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rinterSettings/printerSettings1.bin" ContentType="application/vnd.openxmlformats-officedocument.spreadsheetml.printerSettings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weof.sharepoint.com/teams/o365g_ikeagangdong726_retkr726/Shared Documents/Operations/FULFILMENT/AUTO GADD/"/>
    </mc:Choice>
  </mc:AlternateContent>
  <xr:revisionPtr revIDLastSave="5432" documentId="8_{6473AD4D-02A8-4B77-B6DF-6D3E173EB1A2}" xr6:coauthVersionLast="47" xr6:coauthVersionMax="47" xr10:uidLastSave="{3EFFF565-79F0-436C-93A3-5604B656B48D}"/>
  <bookViews>
    <workbookView xWindow="-108" yWindow="-108" windowWidth="23256" windowHeight="12456" xr2:uid="{CD66891B-EEB2-46B4-B79F-2A1E45036C77}"/>
  </bookViews>
  <sheets>
    <sheet name="Article" sheetId="4" r:id="rId1"/>
    <sheet name="ROI" sheetId="6" r:id="rId2"/>
    <sheet name="Data" sheetId="3" state="hidden" r:id="rId3"/>
    <sheet name="SHP" sheetId="2" r:id="rId4"/>
  </sheets>
  <definedNames>
    <definedName name="_xlnm._FilterDatabase" localSheetId="2" hidden="1">Data!$A$1:$AH$338</definedName>
    <definedName name="ExternalData_1" localSheetId="1" hidden="1">ROI!$A$1:$J$4878</definedName>
    <definedName name="ExternalData_1" localSheetId="3" hidden="1">SHP!$A$1:$CV$297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4" l="1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CW238" i="2" a="1"/>
  <c r="CW238" i="2" s="1"/>
  <c r="CW239" i="2" a="1"/>
  <c r="CW239" i="2" s="1"/>
  <c r="CW240" i="2" a="1"/>
  <c r="CW240" i="2"/>
  <c r="CW241" i="2" a="1"/>
  <c r="CW241" i="2" s="1"/>
  <c r="CW242" i="2" a="1"/>
  <c r="CW242" i="2"/>
  <c r="CW243" i="2" a="1"/>
  <c r="CW243" i="2" s="1"/>
  <c r="CW244" i="2" a="1"/>
  <c r="CW244" i="2" s="1"/>
  <c r="CW245" i="2" a="1"/>
  <c r="CW245" i="2" s="1"/>
  <c r="CW246" i="2" a="1"/>
  <c r="CW246" i="2"/>
  <c r="CW247" i="2" a="1"/>
  <c r="CW247" i="2" s="1"/>
  <c r="CW248" i="2" a="1"/>
  <c r="CW248" i="2" s="1"/>
  <c r="CW249" i="2" a="1"/>
  <c r="CW249" i="2" s="1"/>
  <c r="CW250" i="2" a="1"/>
  <c r="CW250" i="2" s="1"/>
  <c r="CW251" i="2" a="1"/>
  <c r="CW251" i="2" s="1"/>
  <c r="CW35" i="2" a="1"/>
  <c r="CW35" i="2" s="1"/>
  <c r="CW252" i="2" a="1"/>
  <c r="CW252" i="2" s="1"/>
  <c r="CW253" i="2" a="1"/>
  <c r="CW253" i="2"/>
  <c r="CW254" i="2" a="1"/>
  <c r="CW254" i="2" s="1"/>
  <c r="CW4" i="2" a="1"/>
  <c r="CW4" i="2" s="1"/>
  <c r="CW13" i="2" a="1"/>
  <c r="CW13" i="2" s="1"/>
  <c r="CW36" i="2" a="1"/>
  <c r="CW36" i="2" s="1"/>
  <c r="CW73" i="2" a="1"/>
  <c r="CW73" i="2" s="1"/>
  <c r="CW80" i="2" a="1"/>
  <c r="CW80" i="2"/>
  <c r="CW81" i="2" a="1"/>
  <c r="CW81" i="2" s="1"/>
  <c r="CW82" i="2" a="1"/>
  <c r="CW82" i="2" s="1"/>
  <c r="CW83" i="2" a="1"/>
  <c r="CW83" i="2"/>
  <c r="CW84" i="2" a="1"/>
  <c r="CW84" i="2" s="1"/>
  <c r="CW85" i="2" a="1"/>
  <c r="CW85" i="2" s="1"/>
  <c r="CW69" i="2" a="1"/>
  <c r="CW69" i="2" s="1"/>
  <c r="CW74" i="2" a="1"/>
  <c r="CW74" i="2" s="1"/>
  <c r="CW75" i="2" a="1"/>
  <c r="CW75" i="2"/>
  <c r="CW66" i="2" a="1"/>
  <c r="CW66" i="2" s="1"/>
  <c r="CW70" i="2" a="1"/>
  <c r="CW70" i="2" s="1"/>
  <c r="CW88" i="2" a="1"/>
  <c r="CW88" i="2" s="1"/>
  <c r="CW89" i="2" a="1"/>
  <c r="CW89" i="2" s="1"/>
  <c r="CW76" i="2" a="1"/>
  <c r="CW76" i="2" s="1"/>
  <c r="CW77" i="2" a="1"/>
  <c r="CW77" i="2"/>
  <c r="CW90" i="2" a="1"/>
  <c r="CW90" i="2"/>
  <c r="CW91" i="2" a="1"/>
  <c r="CW91" i="2" s="1"/>
  <c r="CW94" i="2" a="1"/>
  <c r="CW94" i="2"/>
  <c r="CW108" i="2" a="1"/>
  <c r="CW108" i="2" s="1"/>
  <c r="CW104" i="2" a="1"/>
  <c r="CW104" i="2" s="1"/>
  <c r="CW105" i="2" a="1"/>
  <c r="CW105" i="2" s="1"/>
  <c r="CW95" i="2" a="1"/>
  <c r="CW95" i="2" s="1"/>
  <c r="CW96" i="2" a="1"/>
  <c r="CW96" i="2" s="1"/>
  <c r="CW97" i="2" a="1"/>
  <c r="CW97" i="2" s="1"/>
  <c r="CW92" i="2" a="1"/>
  <c r="CW92" i="2" s="1"/>
  <c r="CW93" i="2" a="1"/>
  <c r="CW93" i="2" s="1"/>
  <c r="CW113" i="2" a="1"/>
  <c r="CW113" i="2" s="1"/>
  <c r="CW117" i="2" a="1"/>
  <c r="CW117" i="2" s="1"/>
  <c r="CW129" i="2" a="1"/>
  <c r="CW129" i="2"/>
  <c r="CW130" i="2" a="1"/>
  <c r="CW130" i="2"/>
  <c r="CW125" i="2" a="1"/>
  <c r="CW125" i="2" s="1"/>
  <c r="CW131" i="2" a="1"/>
  <c r="CW131" i="2"/>
  <c r="CW124" i="2" a="1"/>
  <c r="CW124" i="2" s="1"/>
  <c r="CW126" i="2" a="1"/>
  <c r="CW126" i="2" s="1"/>
  <c r="CW133" i="2" a="1"/>
  <c r="CW133" i="2" s="1"/>
  <c r="CW132" i="2" a="1"/>
  <c r="CW132" i="2"/>
  <c r="CW145" i="2" a="1"/>
  <c r="CW145" i="2" s="1"/>
  <c r="CW146" i="2" a="1"/>
  <c r="CW146" i="2" s="1"/>
  <c r="CW148" i="2" a="1"/>
  <c r="CW148" i="2" s="1"/>
  <c r="CW149" i="2" a="1"/>
  <c r="CW149" i="2" s="1"/>
  <c r="CW147" i="2" a="1"/>
  <c r="CW147" i="2" s="1"/>
  <c r="CW134" i="2" a="1"/>
  <c r="CW134" i="2" s="1"/>
  <c r="CW135" i="2" a="1"/>
  <c r="CW135" i="2" s="1"/>
  <c r="CW138" i="2" a="1"/>
  <c r="CW138" i="2"/>
  <c r="CW139" i="2" a="1"/>
  <c r="CW139" i="2" s="1"/>
  <c r="CW136" i="2" a="1"/>
  <c r="CW136" i="2" s="1"/>
  <c r="CW137" i="2" a="1"/>
  <c r="CW137" i="2" s="1"/>
  <c r="CW154" i="2" a="1"/>
  <c r="CW154" i="2" s="1"/>
  <c r="CW160" i="2" a="1"/>
  <c r="CW160" i="2" s="1"/>
  <c r="CW163" i="2" a="1"/>
  <c r="CW163" i="2"/>
  <c r="CW169" i="2" a="1"/>
  <c r="CW169" i="2" s="1"/>
  <c r="CW172" i="2" a="1"/>
  <c r="CW172" i="2" s="1"/>
  <c r="CW173" i="2" a="1"/>
  <c r="CW173" i="2"/>
  <c r="CW175" i="2" a="1"/>
  <c r="CW175" i="2" s="1"/>
  <c r="CW176" i="2" a="1"/>
  <c r="CW176" i="2" s="1"/>
  <c r="CW178" i="2" a="1"/>
  <c r="CW178" i="2" s="1"/>
  <c r="CW166" i="2" a="1"/>
  <c r="CW166" i="2" s="1"/>
  <c r="CW167" i="2" a="1"/>
  <c r="CW167" i="2"/>
  <c r="CW168" i="2" a="1"/>
  <c r="CW168" i="2" s="1"/>
  <c r="CW174" i="2" a="1"/>
  <c r="CW174" i="2" s="1"/>
  <c r="CW186" i="2" a="1"/>
  <c r="CW186" i="2" s="1"/>
  <c r="CW181" i="2" a="1"/>
  <c r="CW181" i="2" s="1"/>
  <c r="CW184" i="2" a="1"/>
  <c r="CW184" i="2" s="1"/>
  <c r="CW189" i="2" a="1"/>
  <c r="CW189" i="2"/>
  <c r="CW190" i="2" a="1"/>
  <c r="CW190" i="2"/>
  <c r="CW194" i="2" a="1"/>
  <c r="CW194" i="2" s="1"/>
  <c r="CW195" i="2" a="1"/>
  <c r="CW195" i="2"/>
  <c r="CW196" i="2" a="1"/>
  <c r="CW196" i="2" s="1"/>
  <c r="CW191" i="2" a="1"/>
  <c r="CW191" i="2" s="1"/>
  <c r="CW192" i="2" a="1"/>
  <c r="CW192" i="2" s="1"/>
  <c r="CW193" i="2" a="1"/>
  <c r="CW193" i="2" s="1"/>
  <c r="CW199" i="2" a="1"/>
  <c r="CW199" i="2" s="1"/>
  <c r="CW200" i="2" a="1"/>
  <c r="CW200" i="2" s="1"/>
  <c r="CW215" i="2" a="1"/>
  <c r="CW215" i="2" s="1"/>
  <c r="CW203" i="2" a="1"/>
  <c r="CW203" i="2" s="1"/>
  <c r="CW211" i="2" a="1"/>
  <c r="CW211" i="2" s="1"/>
  <c r="CW207" i="2" a="1"/>
  <c r="CW207" i="2" s="1"/>
  <c r="CW208" i="2" a="1"/>
  <c r="CW208" i="2"/>
  <c r="CW204" i="2" a="1"/>
  <c r="CW204" i="2"/>
  <c r="CW221" i="2" a="1"/>
  <c r="CW221" i="2" s="1"/>
  <c r="CW222" i="2" a="1"/>
  <c r="CW222" i="2"/>
  <c r="CW223" i="2" a="1"/>
  <c r="CW223" i="2" s="1"/>
  <c r="CW219" i="2" a="1"/>
  <c r="CW219" i="2" s="1"/>
  <c r="CW216" i="2" a="1"/>
  <c r="CW216" i="2" s="1"/>
  <c r="CW225" i="2" a="1"/>
  <c r="CW225" i="2"/>
  <c r="CW231" i="2" a="1"/>
  <c r="CW231" i="2" s="1"/>
  <c r="CW232" i="2" a="1"/>
  <c r="CW232" i="2" s="1"/>
  <c r="CW224" i="2" a="1"/>
  <c r="CW224" i="2" s="1"/>
  <c r="CW220" i="2" a="1"/>
  <c r="CW220" i="2" s="1"/>
  <c r="CW228" i="2" a="1"/>
  <c r="CW228" i="2" s="1"/>
  <c r="CW233" i="2" a="1"/>
  <c r="CW233" i="2" s="1"/>
  <c r="CW234" i="2" a="1"/>
  <c r="CW234" i="2" s="1"/>
  <c r="CW56" i="2" a="1"/>
  <c r="CW56" i="2"/>
  <c r="CW29" i="2" a="1"/>
  <c r="CW29" i="2" s="1"/>
  <c r="CW37" i="2" a="1"/>
  <c r="CW37" i="2" s="1"/>
  <c r="CW32" i="2" a="1"/>
  <c r="CW32" i="2" s="1"/>
  <c r="CW57" i="2" a="1"/>
  <c r="CW57" i="2" s="1"/>
  <c r="CW5" i="2" a="1"/>
  <c r="CW5" i="2" s="1"/>
  <c r="CW33" i="2" a="1"/>
  <c r="CW33" i="2"/>
  <c r="CW38" i="2" a="1"/>
  <c r="CW38" i="2" s="1"/>
  <c r="CW58" i="2" a="1"/>
  <c r="CW58" i="2" s="1"/>
  <c r="CW2" i="2" a="1"/>
  <c r="CW2" i="2"/>
  <c r="CW8" i="2" a="1"/>
  <c r="CW8" i="2" s="1"/>
  <c r="CW11" i="2" a="1"/>
  <c r="CW11" i="2" s="1"/>
  <c r="CW59" i="2" a="1"/>
  <c r="CW59" i="2" s="1"/>
  <c r="CW60" i="2" a="1"/>
  <c r="CW60" i="2" s="1"/>
  <c r="CW255" i="2" a="1"/>
  <c r="CW255" i="2"/>
  <c r="CW34" i="2" a="1"/>
  <c r="CW34" i="2" s="1"/>
  <c r="CW47" i="2" a="1"/>
  <c r="CW47" i="2" s="1"/>
  <c r="CW46" i="2" a="1"/>
  <c r="CW46" i="2" s="1"/>
  <c r="CW48" i="2" a="1"/>
  <c r="CW48" i="2" s="1"/>
  <c r="CW49" i="2" a="1"/>
  <c r="CW49" i="2" s="1"/>
  <c r="CW50" i="2" a="1"/>
  <c r="CW50" i="2"/>
  <c r="CW51" i="2" a="1"/>
  <c r="CW51" i="2"/>
  <c r="CW52" i="2" a="1"/>
  <c r="CW52" i="2" s="1"/>
  <c r="CW53" i="2" a="1"/>
  <c r="CW53" i="2"/>
  <c r="CW54" i="2" a="1"/>
  <c r="CW54" i="2" s="1"/>
  <c r="CW55" i="2" a="1"/>
  <c r="CW55" i="2" s="1"/>
  <c r="CW61" i="2" a="1"/>
  <c r="CW61" i="2" s="1"/>
  <c r="CW21" i="2" a="1"/>
  <c r="CW21" i="2" s="1"/>
  <c r="CW9" i="2" a="1"/>
  <c r="CW9" i="2" s="1"/>
  <c r="CW10" i="2" a="1"/>
  <c r="CW10" i="2" s="1"/>
  <c r="CW256" i="2" a="1"/>
  <c r="CW256" i="2" s="1"/>
  <c r="CW257" i="2" a="1"/>
  <c r="CW257" i="2" s="1"/>
  <c r="CW258" i="2" a="1"/>
  <c r="CW258" i="2" s="1"/>
  <c r="CW14" i="2" a="1"/>
  <c r="CW14" i="2" s="1"/>
  <c r="CW259" i="2" a="1"/>
  <c r="CW259" i="2"/>
  <c r="CW15" i="2" a="1"/>
  <c r="CW15" i="2"/>
  <c r="CW16" i="2" a="1"/>
  <c r="CW16" i="2" s="1"/>
  <c r="CW17" i="2" a="1"/>
  <c r="CW17" i="2"/>
  <c r="CW260" i="2" a="1"/>
  <c r="CW260" i="2" s="1"/>
  <c r="CW261" i="2" a="1"/>
  <c r="CW261" i="2" s="1"/>
  <c r="CW262" i="2" a="1"/>
  <c r="CW262" i="2" s="1"/>
  <c r="CW263" i="2" a="1"/>
  <c r="CW263" i="2"/>
  <c r="CW264" i="2" a="1"/>
  <c r="CW264" i="2" s="1"/>
  <c r="CW265" i="2" a="1"/>
  <c r="CW265" i="2" s="1"/>
  <c r="CW266" i="2" a="1"/>
  <c r="CW266" i="2" s="1"/>
  <c r="CW267" i="2" a="1"/>
  <c r="CW267" i="2" s="1"/>
  <c r="CW268" i="2" a="1"/>
  <c r="CW268" i="2" s="1"/>
  <c r="CW269" i="2" a="1"/>
  <c r="CW269" i="2" s="1"/>
  <c r="CW270" i="2" a="1"/>
  <c r="CW270" i="2" s="1"/>
  <c r="CW271" i="2" a="1"/>
  <c r="CW271" i="2"/>
  <c r="CW272" i="2" a="1"/>
  <c r="CW272" i="2" s="1"/>
  <c r="CW273" i="2" a="1"/>
  <c r="CW273" i="2" s="1"/>
  <c r="CW274" i="2" a="1"/>
  <c r="CW274" i="2" s="1"/>
  <c r="CW275" i="2" a="1"/>
  <c r="CW275" i="2" s="1"/>
  <c r="CW276" i="2" a="1"/>
  <c r="CW276" i="2" s="1"/>
  <c r="CW277" i="2" a="1"/>
  <c r="CW277" i="2"/>
  <c r="CW278" i="2" a="1"/>
  <c r="CW278" i="2" s="1"/>
  <c r="CW279" i="2" a="1"/>
  <c r="CW279" i="2" s="1"/>
  <c r="CW280" i="2" a="1"/>
  <c r="CW280" i="2"/>
  <c r="CW22" i="2" a="1"/>
  <c r="CW22" i="2" s="1"/>
  <c r="CW281" i="2" a="1"/>
  <c r="CW281" i="2" s="1"/>
  <c r="CW282" i="2" a="1"/>
  <c r="CW282" i="2" s="1"/>
  <c r="CW6" i="2" a="1"/>
  <c r="CW6" i="2" s="1"/>
  <c r="CW7" i="2" a="1"/>
  <c r="CW7" i="2" s="1"/>
  <c r="CW283" i="2" a="1"/>
  <c r="CW283" i="2" s="1"/>
  <c r="CW284" i="2" a="1"/>
  <c r="CW284" i="2" s="1"/>
  <c r="CW3" i="2" a="1"/>
  <c r="CW3" i="2" s="1"/>
  <c r="CW285" i="2" a="1"/>
  <c r="CW285" i="2" s="1"/>
  <c r="CW286" i="2" a="1"/>
  <c r="CW286" i="2" s="1"/>
  <c r="CW12" i="2" a="1"/>
  <c r="CW12" i="2"/>
  <c r="CW287" i="2" a="1"/>
  <c r="CW287" i="2"/>
  <c r="CW288" i="2" a="1"/>
  <c r="CW288" i="2" s="1"/>
  <c r="CW289" i="2" a="1"/>
  <c r="CW289" i="2"/>
  <c r="CW23" i="2" a="1"/>
  <c r="CW23" i="2" s="1"/>
  <c r="CW18" i="2" a="1"/>
  <c r="CW18" i="2" s="1"/>
  <c r="CW19" i="2" a="1"/>
  <c r="CW19" i="2" s="1"/>
  <c r="CW24" i="2" a="1"/>
  <c r="CW24" i="2" s="1"/>
  <c r="CW25" i="2" a="1"/>
  <c r="CW25" i="2" s="1"/>
  <c r="CW290" i="2" a="1"/>
  <c r="CW290" i="2" s="1"/>
  <c r="CW291" i="2" a="1"/>
  <c r="CW291" i="2" s="1"/>
  <c r="CW62" i="2" a="1"/>
  <c r="CW62" i="2" s="1"/>
  <c r="CW63" i="2" a="1"/>
  <c r="CW63" i="2" s="1"/>
  <c r="CW64" i="2" a="1"/>
  <c r="CW64" i="2" s="1"/>
  <c r="CW65" i="2" a="1"/>
  <c r="CW65" i="2" s="1"/>
  <c r="CW71" i="2" a="1"/>
  <c r="CW71" i="2"/>
  <c r="CW72" i="2" a="1"/>
  <c r="CW72" i="2" s="1"/>
  <c r="CW67" i="2" a="1"/>
  <c r="CW67" i="2"/>
  <c r="CW68" i="2" a="1"/>
  <c r="CW68" i="2" s="1"/>
  <c r="CW78" i="2" a="1"/>
  <c r="CW78" i="2" s="1"/>
  <c r="CW79" i="2" a="1"/>
  <c r="CW79" i="2" s="1"/>
  <c r="CW86" i="2" a="1"/>
  <c r="CW86" i="2"/>
  <c r="CW87" i="2" a="1"/>
  <c r="CW87" i="2" s="1"/>
  <c r="CW41" i="2" a="1"/>
  <c r="CW41" i="2" s="1"/>
  <c r="CW42" i="2" a="1"/>
  <c r="CW42" i="2"/>
  <c r="CW43" i="2" a="1"/>
  <c r="CW43" i="2" s="1"/>
  <c r="CW44" i="2" a="1"/>
  <c r="CW44" i="2" s="1"/>
  <c r="CW45" i="2" a="1"/>
  <c r="CW45" i="2" s="1"/>
  <c r="CW98" i="2" a="1"/>
  <c r="CW98" i="2" s="1"/>
  <c r="CW99" i="2" a="1"/>
  <c r="CW99" i="2"/>
  <c r="CW114" i="2" a="1"/>
  <c r="CW114" i="2" s="1"/>
  <c r="CW106" i="2" a="1"/>
  <c r="CW106" i="2" s="1"/>
  <c r="CW107" i="2" a="1"/>
  <c r="CW107" i="2" s="1"/>
  <c r="CW27" i="2" a="1"/>
  <c r="CW27" i="2" s="1"/>
  <c r="CW28" i="2" a="1"/>
  <c r="CW28" i="2" s="1"/>
  <c r="CW100" i="2" a="1"/>
  <c r="CW100" i="2"/>
  <c r="CW101" i="2" a="1"/>
  <c r="CW101" i="2" s="1"/>
  <c r="CW102" i="2" a="1"/>
  <c r="CW102" i="2" s="1"/>
  <c r="CW103" i="2" a="1"/>
  <c r="CW103" i="2"/>
  <c r="CW39" i="2" a="1"/>
  <c r="CW39" i="2" s="1"/>
  <c r="CW40" i="2" a="1"/>
  <c r="CW40" i="2" s="1"/>
  <c r="CW109" i="2" a="1"/>
  <c r="CW109" i="2" s="1"/>
  <c r="CW110" i="2" a="1"/>
  <c r="CW110" i="2" s="1"/>
  <c r="CW111" i="2" a="1"/>
  <c r="CW111" i="2" s="1"/>
  <c r="CW112" i="2" a="1"/>
  <c r="CW112" i="2" s="1"/>
  <c r="CW118" i="2" a="1"/>
  <c r="CW118" i="2" s="1"/>
  <c r="CW119" i="2" a="1"/>
  <c r="CW119" i="2" s="1"/>
  <c r="CW140" i="2" a="1"/>
  <c r="CW140" i="2" s="1"/>
  <c r="CW141" i="2" a="1"/>
  <c r="CW141" i="2" s="1"/>
  <c r="CW142" i="2" a="1"/>
  <c r="CW142" i="2"/>
  <c r="CW120" i="2" a="1"/>
  <c r="CW120" i="2"/>
  <c r="CW121" i="2" a="1"/>
  <c r="CW121" i="2" s="1"/>
  <c r="CW122" i="2" a="1"/>
  <c r="CW122" i="2"/>
  <c r="CW123" i="2" a="1"/>
  <c r="CW123" i="2" s="1"/>
  <c r="CW150" i="2" a="1"/>
  <c r="CW150" i="2" s="1"/>
  <c r="CW151" i="2" a="1"/>
  <c r="CW151" i="2" s="1"/>
  <c r="CW115" i="2" a="1"/>
  <c r="CW115" i="2" s="1"/>
  <c r="CW116" i="2" a="1"/>
  <c r="CW116" i="2" s="1"/>
  <c r="CW127" i="2" a="1"/>
  <c r="CW127" i="2" s="1"/>
  <c r="CW128" i="2" a="1"/>
  <c r="CW128" i="2" s="1"/>
  <c r="CW155" i="2" a="1"/>
  <c r="CW155" i="2" s="1"/>
  <c r="CW170" i="2" a="1"/>
  <c r="CW170" i="2" s="1"/>
  <c r="CW171" i="2" a="1"/>
  <c r="CW171" i="2" s="1"/>
  <c r="CW164" i="2" a="1"/>
  <c r="CW164" i="2" s="1"/>
  <c r="CW165" i="2" a="1"/>
  <c r="CW165" i="2"/>
  <c r="CW156" i="2" a="1"/>
  <c r="CW156" i="2" s="1"/>
  <c r="CW157" i="2" a="1"/>
  <c r="CW157" i="2"/>
  <c r="CW158" i="2" a="1"/>
  <c r="CW158" i="2" s="1"/>
  <c r="CW159" i="2" a="1"/>
  <c r="CW159" i="2" s="1"/>
  <c r="CW177" i="2" a="1"/>
  <c r="CW177" i="2" s="1"/>
  <c r="CW205" i="2" a="1"/>
  <c r="CW205" i="2"/>
  <c r="CW206" i="2" a="1"/>
  <c r="CW206" i="2" s="1"/>
  <c r="CW152" i="2" a="1"/>
  <c r="CW152" i="2" s="1"/>
  <c r="CW153" i="2" a="1"/>
  <c r="CW153" i="2"/>
  <c r="CW212" i="2" a="1"/>
  <c r="CW212" i="2" s="1"/>
  <c r="CW197" i="2" a="1"/>
  <c r="CW197" i="2" s="1"/>
  <c r="CW198" i="2" a="1"/>
  <c r="CW198" i="2" s="1"/>
  <c r="CW182" i="2" a="1"/>
  <c r="CW182" i="2" s="1"/>
  <c r="CW183" i="2" a="1"/>
  <c r="CW183" i="2"/>
  <c r="CW201" i="2" a="1"/>
  <c r="CW201" i="2" s="1"/>
  <c r="CW202" i="2" a="1"/>
  <c r="CW202" i="2" s="1"/>
  <c r="CW209" i="2" a="1"/>
  <c r="CW209" i="2" s="1"/>
  <c r="CW210" i="2" a="1"/>
  <c r="CW210" i="2" s="1"/>
  <c r="CW161" i="2" a="1"/>
  <c r="CW161" i="2" s="1"/>
  <c r="CW162" i="2" a="1"/>
  <c r="CW162" i="2"/>
  <c r="CW185" i="2" a="1"/>
  <c r="CW185" i="2" s="1"/>
  <c r="CW143" i="2" a="1"/>
  <c r="CW143" i="2" s="1"/>
  <c r="CW144" i="2" a="1"/>
  <c r="CW144" i="2"/>
  <c r="CW187" i="2" a="1"/>
  <c r="CW187" i="2" s="1"/>
  <c r="CW188" i="2" a="1"/>
  <c r="CW188" i="2" s="1"/>
  <c r="CW179" i="2" a="1"/>
  <c r="CW179" i="2" s="1"/>
  <c r="CW180" i="2" a="1"/>
  <c r="CW180" i="2" s="1"/>
  <c r="CW213" i="2" a="1"/>
  <c r="CW213" i="2" s="1"/>
  <c r="CW214" i="2" a="1"/>
  <c r="CW214" i="2" s="1"/>
  <c r="CW217" i="2" a="1"/>
  <c r="CW217" i="2" s="1"/>
  <c r="CW218" i="2" a="1"/>
  <c r="CW218" i="2" s="1"/>
  <c r="CW236" i="2" a="1"/>
  <c r="CW236" i="2" s="1"/>
  <c r="CW237" i="2" a="1"/>
  <c r="CW237" i="2" s="1"/>
  <c r="CW235" i="2" a="1"/>
  <c r="CW235" i="2"/>
  <c r="CW226" i="2" a="1"/>
  <c r="CW226" i="2"/>
  <c r="CW227" i="2" a="1"/>
  <c r="CW227" i="2" s="1"/>
  <c r="CW229" i="2" a="1"/>
  <c r="CW229" i="2"/>
  <c r="CW230" i="2" a="1"/>
  <c r="CW230" i="2" s="1"/>
  <c r="CW292" i="2" a="1"/>
  <c r="CW292" i="2" s="1"/>
  <c r="CW293" i="2" a="1"/>
  <c r="CW293" i="2" s="1"/>
  <c r="CW26" i="2" a="1"/>
  <c r="CW26" i="2" s="1"/>
  <c r="CW30" i="2" a="1"/>
  <c r="CW30" i="2" s="1"/>
  <c r="CW31" i="2" a="1"/>
  <c r="CW31" i="2" s="1"/>
  <c r="CW294" i="2" a="1"/>
  <c r="CW294" i="2" s="1"/>
  <c r="CW295" i="2" a="1"/>
  <c r="CW295" i="2" s="1"/>
  <c r="CW20" i="2" a="1"/>
  <c r="CW20" i="2" s="1"/>
  <c r="CW296" i="2" a="1"/>
  <c r="CW296" i="2" s="1"/>
  <c r="CW297" i="2" a="1"/>
  <c r="CW297" i="2" s="1"/>
  <c r="E7" i="4" l="1" a="1"/>
  <c r="E7" i="4" s="1"/>
  <c r="A1" i="3" l="1" a="1"/>
  <c r="A1" i="3" s="1"/>
  <c r="B13" i="4" l="1"/>
  <c r="A13" i="4" s="1"/>
  <c r="B20" i="4"/>
  <c r="A20" i="4" s="1"/>
  <c r="B27" i="4"/>
  <c r="A27" i="4" s="1"/>
  <c r="B34" i="4"/>
  <c r="A34" i="4" s="1"/>
  <c r="B41" i="4"/>
  <c r="A41" i="4" s="1"/>
  <c r="B48" i="4"/>
  <c r="A48" i="4" s="1"/>
  <c r="B55" i="4"/>
  <c r="A55" i="4" s="1"/>
  <c r="B62" i="4"/>
  <c r="A62" i="4" s="1"/>
  <c r="B69" i="4"/>
  <c r="A69" i="4" s="1"/>
  <c r="C13" i="4"/>
  <c r="C20" i="4"/>
  <c r="C27" i="4"/>
  <c r="C34" i="4"/>
  <c r="C41" i="4"/>
  <c r="C48" i="4"/>
  <c r="C55" i="4"/>
  <c r="C62" i="4"/>
  <c r="C69" i="4"/>
  <c r="B14" i="4"/>
  <c r="A14" i="4" s="1"/>
  <c r="B21" i="4"/>
  <c r="A21" i="4" s="1"/>
  <c r="B28" i="4"/>
  <c r="A28" i="4" s="1"/>
  <c r="B35" i="4"/>
  <c r="A35" i="4" s="1"/>
  <c r="B42" i="4"/>
  <c r="A42" i="4" s="1"/>
  <c r="B49" i="4"/>
  <c r="A49" i="4" s="1"/>
  <c r="B56" i="4"/>
  <c r="A56" i="4" s="1"/>
  <c r="B63" i="4"/>
  <c r="A63" i="4" s="1"/>
  <c r="B70" i="4"/>
  <c r="A70" i="4" s="1"/>
  <c r="C14" i="4"/>
  <c r="C21" i="4"/>
  <c r="C28" i="4"/>
  <c r="C35" i="4"/>
  <c r="C42" i="4"/>
  <c r="C49" i="4"/>
  <c r="C56" i="4"/>
  <c r="C63" i="4"/>
  <c r="C70" i="4"/>
  <c r="B15" i="4"/>
  <c r="A15" i="4" s="1"/>
  <c r="B22" i="4"/>
  <c r="A22" i="4" s="1"/>
  <c r="B29" i="4"/>
  <c r="A29" i="4" s="1"/>
  <c r="B36" i="4"/>
  <c r="A36" i="4" s="1"/>
  <c r="B43" i="4"/>
  <c r="A43" i="4" s="1"/>
  <c r="B50" i="4"/>
  <c r="A50" i="4" s="1"/>
  <c r="B57" i="4"/>
  <c r="A57" i="4" s="1"/>
  <c r="B64" i="4"/>
  <c r="A64" i="4" s="1"/>
  <c r="B71" i="4"/>
  <c r="A71" i="4" s="1"/>
  <c r="C15" i="4"/>
  <c r="C22" i="4"/>
  <c r="C29" i="4"/>
  <c r="C36" i="4"/>
  <c r="C43" i="4"/>
  <c r="C50" i="4"/>
  <c r="C57" i="4"/>
  <c r="C64" i="4"/>
  <c r="C71" i="4"/>
  <c r="B16" i="4"/>
  <c r="A16" i="4" s="1"/>
  <c r="B23" i="4"/>
  <c r="A23" i="4" s="1"/>
  <c r="B37" i="4"/>
  <c r="A37" i="4" s="1"/>
  <c r="B44" i="4"/>
  <c r="A44" i="4" s="1"/>
  <c r="B51" i="4"/>
  <c r="A51" i="4" s="1"/>
  <c r="B58" i="4"/>
  <c r="A58" i="4" s="1"/>
  <c r="B65" i="4"/>
  <c r="A65" i="4" s="1"/>
  <c r="C16" i="4"/>
  <c r="C23" i="4"/>
  <c r="C30" i="4"/>
  <c r="C37" i="4"/>
  <c r="C44" i="4"/>
  <c r="C51" i="4"/>
  <c r="C58" i="4"/>
  <c r="C65" i="4"/>
  <c r="C72" i="4"/>
  <c r="B17" i="4"/>
  <c r="A17" i="4" s="1"/>
  <c r="B24" i="4"/>
  <c r="A24" i="4" s="1"/>
  <c r="B31" i="4"/>
  <c r="A31" i="4" s="1"/>
  <c r="B38" i="4"/>
  <c r="A38" i="4" s="1"/>
  <c r="B45" i="4"/>
  <c r="A45" i="4" s="1"/>
  <c r="B52" i="4"/>
  <c r="A52" i="4" s="1"/>
  <c r="B59" i="4"/>
  <c r="A59" i="4" s="1"/>
  <c r="B66" i="4"/>
  <c r="A66" i="4" s="1"/>
  <c r="C61" i="4"/>
  <c r="C40" i="4"/>
  <c r="B61" i="4"/>
  <c r="A61" i="4" s="1"/>
  <c r="B40" i="4"/>
  <c r="A40" i="4" s="1"/>
  <c r="C67" i="4"/>
  <c r="C39" i="4"/>
  <c r="C17" i="4"/>
  <c r="C19" i="4"/>
  <c r="C47" i="4"/>
  <c r="C26" i="4"/>
  <c r="B54" i="4"/>
  <c r="A54" i="4" s="1"/>
  <c r="B33" i="4"/>
  <c r="A33" i="4" s="1"/>
  <c r="B19" i="4"/>
  <c r="A19" i="4" s="1"/>
  <c r="C53" i="4"/>
  <c r="C32" i="4"/>
  <c r="C18" i="4"/>
  <c r="B60" i="4"/>
  <c r="A60" i="4" s="1"/>
  <c r="B46" i="4"/>
  <c r="A46" i="4" s="1"/>
  <c r="B32" i="4"/>
  <c r="A32" i="4" s="1"/>
  <c r="B18" i="4"/>
  <c r="A18" i="4" s="1"/>
  <c r="C59" i="4"/>
  <c r="C45" i="4"/>
  <c r="C24" i="4"/>
  <c r="B72" i="4"/>
  <c r="A72" i="4" s="1"/>
  <c r="C68" i="4"/>
  <c r="C54" i="4"/>
  <c r="C33" i="4"/>
  <c r="B68" i="4"/>
  <c r="A68" i="4" s="1"/>
  <c r="B47" i="4"/>
  <c r="A47" i="4" s="1"/>
  <c r="B26" i="4"/>
  <c r="A26" i="4" s="1"/>
  <c r="C60" i="4"/>
  <c r="C46" i="4"/>
  <c r="C25" i="4"/>
  <c r="B67" i="4"/>
  <c r="A67" i="4" s="1"/>
  <c r="B53" i="4"/>
  <c r="A53" i="4" s="1"/>
  <c r="B39" i="4"/>
  <c r="A39" i="4" s="1"/>
  <c r="B25" i="4"/>
  <c r="A25" i="4" s="1"/>
  <c r="C66" i="4"/>
  <c r="C52" i="4"/>
  <c r="C38" i="4"/>
  <c r="C31" i="4"/>
  <c r="B30" i="4"/>
  <c r="A30" i="4" s="1"/>
  <c r="B8" i="4"/>
  <c r="A8" i="4" s="1"/>
  <c r="C8" i="4"/>
  <c r="C11" i="4"/>
  <c r="B12" i="4"/>
  <c r="A12" i="4" s="1"/>
  <c r="C12" i="4"/>
  <c r="B9" i="4"/>
  <c r="A9" i="4" s="1"/>
  <c r="C9" i="4"/>
  <c r="B10" i="4"/>
  <c r="A10" i="4" s="1"/>
  <c r="B7" i="4"/>
  <c r="A7" i="4" s="1"/>
  <c r="C10" i="4"/>
  <c r="C7" i="4"/>
  <c r="B11" i="4"/>
  <c r="A1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0ECD21-42C8-46BD-9CE0-E583365A292C}" keepAlive="1" name="Query - _2__ROI_Daily_Update" description="Connection to the '_2__ROI_Daily_Update' query in the workbook." type="5" refreshedVersion="8" background="1" refreshOnLoad="1" saveData="1">
    <dbPr connection="Provider=Microsoft.Mashup.OleDb.1;Data Source=$Workbook$;Location=_2__ROI_Daily_Update;Extended Properties=&quot;&quot;" command="SELECT * FROM [_2__ROI_Daily_Update]"/>
  </connection>
  <connection id="2" xr16:uid="{A159B767-AF08-4817-B75E-B32C25904AEE}" keepAlive="1" name="Query - Page1_1" description="Connection to the 'Page1_1' query in the workbook." type="5" refreshedVersion="8" background="1" refreshOnLoad="1" saveData="1">
    <dbPr connection="Provider=Microsoft.Mashup.OleDb.1;Data Source=$Workbook$;Location=Page1_1;Extended Properties=&quot;&quot;" command="SELECT * FROM [Page1_1]"/>
  </connection>
  <connection id="3" xr16:uid="{386CE0FA-F2C7-4228-8AB6-EB60B22D061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<sst xmlns="http://schemas.openxmlformats.org/spreadsheetml/2006/main" count="29269" uniqueCount="7934">
  <si>
    <t/>
  </si>
  <si>
    <r>
      <t xml:space="preserve">   아티클 번호 입력         </t>
    </r>
    <r>
      <rPr>
        <b/>
        <sz val="16"/>
        <color theme="1"/>
        <rFont val="Noto IKEA Korean"/>
        <family val="2"/>
      </rPr>
      <t>→</t>
    </r>
  </si>
  <si>
    <t xml:space="preserve">CONTAINER </t>
  </si>
  <si>
    <t>Planned Logistics Receiving(Date)</t>
  </si>
  <si>
    <t>PA</t>
  </si>
  <si>
    <t>ItemNo</t>
  </si>
  <si>
    <t>ItemName</t>
  </si>
  <si>
    <t>LatestRcvDate</t>
  </si>
  <si>
    <t>LatestQty</t>
  </si>
  <si>
    <t>CSM id</t>
  </si>
  <si>
    <t>SSD</t>
  </si>
  <si>
    <t>EDS</t>
  </si>
  <si>
    <t>TYPE</t>
  </si>
  <si>
    <t>ItemNo1</t>
  </si>
  <si>
    <t>GDGY</t>
  </si>
  <si>
    <t>20483083</t>
  </si>
  <si>
    <t>OMAR shelv ut 92x36x94 grey-green AP</t>
  </si>
  <si>
    <t>258DT260730726227</t>
  </si>
  <si>
    <t>HF</t>
  </si>
  <si>
    <t>258DT260730726189</t>
  </si>
  <si>
    <t>258DT260827726854</t>
  </si>
  <si>
    <t>80397308</t>
  </si>
  <si>
    <t>TRONES shoe cb/stor 52x18x39 white 2-p AP</t>
  </si>
  <si>
    <t>258DT260812726889</t>
  </si>
  <si>
    <t>258DT260818726327</t>
  </si>
  <si>
    <t>258DT260817726141</t>
  </si>
  <si>
    <t>258DT260806726522</t>
  </si>
  <si>
    <t>258DT260804726412</t>
  </si>
  <si>
    <t>258DT260810726693</t>
  </si>
  <si>
    <t>258DT260813726995</t>
  </si>
  <si>
    <t>60515992</t>
  </si>
  <si>
    <t>BORTBERG lumbar cushion 31x23 grey AP</t>
  </si>
  <si>
    <t>DD</t>
  </si>
  <si>
    <t>258DT260824726624</t>
  </si>
  <si>
    <t>80217977</t>
  </si>
  <si>
    <t>ADILS leg white AP CN</t>
  </si>
  <si>
    <t>258DT260820726492</t>
  </si>
  <si>
    <t>258DT260819726346</t>
  </si>
  <si>
    <t>70530987</t>
  </si>
  <si>
    <t>MACKAPÄR N coat rck w shoe stor ut 78x32x200 wh AP</t>
  </si>
  <si>
    <t>258DT260803726339</t>
  </si>
  <si>
    <t>258DT260826726785</t>
  </si>
  <si>
    <t>00628930</t>
  </si>
  <si>
    <t>KALLAX shelving unit 77x112 white AP</t>
  </si>
  <si>
    <t>10489009</t>
  </si>
  <si>
    <t>GLOSTAD so2 Knisa dark grey AP</t>
  </si>
  <si>
    <t>70430520</t>
  </si>
  <si>
    <t>BURHULT shelf 59x20 white AP</t>
  </si>
  <si>
    <t>80480859</t>
  </si>
  <si>
    <t>ÅGOTNES foam matt 90x200 firm/light blue AP</t>
  </si>
  <si>
    <t>20351879</t>
  </si>
  <si>
    <t>KALLAX NN insert w 2 drw 33x33 white AP</t>
  </si>
  <si>
    <t>20354284</t>
  </si>
  <si>
    <t>MICKE N crnr workstation 100x142 white AP</t>
  </si>
  <si>
    <t>60320225</t>
  </si>
  <si>
    <t>ALEFJÄLL office chr Grann beige AP</t>
  </si>
  <si>
    <t>60586102</t>
  </si>
  <si>
    <t>TORNSBORG sb2 Naggen beige/pine AP</t>
  </si>
  <si>
    <t>20515593</t>
  </si>
  <si>
    <t>MITTZON laptop tbl w cstrs 66x50 black AP</t>
  </si>
  <si>
    <t>80595799</t>
  </si>
  <si>
    <t>FÄRGSÄTTARE wll shlf 60x16x74 green AP</t>
  </si>
  <si>
    <t>319DT260803726938</t>
  </si>
  <si>
    <t>LF</t>
  </si>
  <si>
    <t>319DT260814726430</t>
  </si>
  <si>
    <t>319DT260819726026</t>
  </si>
  <si>
    <t>70353022</t>
  </si>
  <si>
    <t>HOL stor table 98x50 acacia AP</t>
  </si>
  <si>
    <t>294DT260803726937</t>
  </si>
  <si>
    <t>294DT260814726429</t>
  </si>
  <si>
    <t>60381285</t>
  </si>
  <si>
    <t>TISKEN soap dish w suction cup white AP</t>
  </si>
  <si>
    <t>50630332</t>
  </si>
  <si>
    <t>KRAMPHULT armrest tray white/metal AP</t>
  </si>
  <si>
    <t>20624926</t>
  </si>
  <si>
    <t>POÄNG csh ach Kelinge beige AP</t>
  </si>
  <si>
    <t>319DT260730726617</t>
  </si>
  <si>
    <t>90619993</t>
  </si>
  <si>
    <t>YXSTABY gaming laptop sppt w storg 43x27x18 whi AP</t>
  </si>
  <si>
    <t>319DT260805726348</t>
  </si>
  <si>
    <t>319DT260824726388</t>
  </si>
  <si>
    <t>80628974</t>
  </si>
  <si>
    <t>HUMLESJÖN timer with suction cup turquoise AP</t>
  </si>
  <si>
    <t>80612567</t>
  </si>
  <si>
    <t>TÅNGHÄLLAN shwr bskt 29x31 light grey AP</t>
  </si>
  <si>
    <t>294DT260805726347</t>
  </si>
  <si>
    <t>294DT260819726024</t>
  </si>
  <si>
    <t>20160714</t>
  </si>
  <si>
    <t>LYCKSELE MURBO matt 80x188 AP JP</t>
  </si>
  <si>
    <t>40158654</t>
  </si>
  <si>
    <t>LYCKSELE frm chair bed black AP JP</t>
  </si>
  <si>
    <t>60355762</t>
  </si>
  <si>
    <t>FRIDHULT sb Knisa light grey AP</t>
  </si>
  <si>
    <t>70605534</t>
  </si>
  <si>
    <t>GANSJÖN waste bin 3 l light green AP</t>
  </si>
  <si>
    <t>10625525</t>
  </si>
  <si>
    <t>LACK TV bnch 90x36x45 white AP</t>
  </si>
  <si>
    <t>319DT260810726698</t>
  </si>
  <si>
    <t>10624333</t>
  </si>
  <si>
    <t>EKENÄSET ach oak effect/Kilanda light beige AP</t>
  </si>
  <si>
    <t>19369SUPVAN00068163</t>
  </si>
  <si>
    <t>19369SUPVAN00068365</t>
  </si>
  <si>
    <t>19369SUPVAN00069250</t>
  </si>
  <si>
    <t>10624347</t>
  </si>
  <si>
    <t>EKENÄSET ach oak effect/Grann/Bomstad gld-brn AP</t>
  </si>
  <si>
    <t>22121SUPUE066842</t>
  </si>
  <si>
    <t>10628944</t>
  </si>
  <si>
    <t>STRANDMON wing chr Talliden beige/brown AP</t>
  </si>
  <si>
    <t>20570829</t>
  </si>
  <si>
    <t>DYVLINGE swivel easy chair Kelinge black AP</t>
  </si>
  <si>
    <t>22121SUPUE067521</t>
  </si>
  <si>
    <t>20625407</t>
  </si>
  <si>
    <t>POÄNG frm ach walnut effect AP</t>
  </si>
  <si>
    <t>20625539</t>
  </si>
  <si>
    <t>POÄNG N rocking-chr frm walnut effect AP</t>
  </si>
  <si>
    <t>40623860</t>
  </si>
  <si>
    <t>DYVLINGE swivel easy chair Kelinge beige AP</t>
  </si>
  <si>
    <t>22121SUPUE066534</t>
  </si>
  <si>
    <t>00625026</t>
  </si>
  <si>
    <t>HELMER drawer unit on castors 28x44x65 red AP</t>
  </si>
  <si>
    <t>50625024</t>
  </si>
  <si>
    <t>HELMER drawer unit on castors 28x65 black AP</t>
  </si>
  <si>
    <t>70570836</t>
  </si>
  <si>
    <t>DYVLINGE swivel easy chair Kelinge green AP</t>
  </si>
  <si>
    <t>22121SUPUE067837</t>
  </si>
  <si>
    <t>21985SUPECIS42518</t>
  </si>
  <si>
    <t>80594752</t>
  </si>
  <si>
    <t>STOCKHOLM 2025 armchair Djurmo grey/white AP</t>
  </si>
  <si>
    <t>00590791</t>
  </si>
  <si>
    <t>LÄNGDHOPP pull-out desk 90x39/71 white AP</t>
  </si>
  <si>
    <t>90395144</t>
  </si>
  <si>
    <t>POÄNG csh ach Knisa light beige AP</t>
  </si>
  <si>
    <t>90486059</t>
  </si>
  <si>
    <t>POÄNG N rocking-chr frm birch veneer AP</t>
  </si>
  <si>
    <t>90624348</t>
  </si>
  <si>
    <t>EKENÄSET ach hi oak effect/Kilanda light beige AP</t>
  </si>
  <si>
    <t>00572768</t>
  </si>
  <si>
    <t>MÖRTFORS pouffe 47x47 Diseröd grey AP</t>
  </si>
  <si>
    <t>90353021</t>
  </si>
  <si>
    <t>HOL side tbl 50x50 acacia AP</t>
  </si>
  <si>
    <t>294DT260730726616</t>
  </si>
  <si>
    <t>70609004</t>
  </si>
  <si>
    <t>KRAMPHULT armrest tray dark lilac-red/metal AP</t>
  </si>
  <si>
    <t>20624969</t>
  </si>
  <si>
    <t>POÄNG csh ftst Kelinge beige AP</t>
  </si>
  <si>
    <t>60625429</t>
  </si>
  <si>
    <t>POÄNG frm ftst walnut effect AP</t>
  </si>
  <si>
    <t>70531901</t>
  </si>
  <si>
    <t>KJUGE pouffe w stor Knisa dark grey AP</t>
  </si>
  <si>
    <t>90395158</t>
  </si>
  <si>
    <t>POÄNG csh ftst 55x59 Knisa light beige AP</t>
  </si>
  <si>
    <t>00541423</t>
  </si>
  <si>
    <t>HOLMERUD side tbl 80x31 oak effect AP</t>
  </si>
  <si>
    <t>21072SUPECIS74812</t>
  </si>
  <si>
    <t>21072SUPECIS75213</t>
  </si>
  <si>
    <t>21072SUPECIS75150</t>
  </si>
  <si>
    <t>21072SUPECIS75308</t>
  </si>
  <si>
    <t>21072SUPECIS75360</t>
  </si>
  <si>
    <t>21072SUPECIS75584</t>
  </si>
  <si>
    <t>21072SUPECIS75715</t>
  </si>
  <si>
    <t>21072SUPECIS75985</t>
  </si>
  <si>
    <t>10449909</t>
  </si>
  <si>
    <t>LACK NN side tbl 55x55 white AP</t>
  </si>
  <si>
    <t>21072SUPECIS75824</t>
  </si>
  <si>
    <t>10514792</t>
  </si>
  <si>
    <t>LACK side tbl 35x35 white AP</t>
  </si>
  <si>
    <t>21072SUPECIS75793</t>
  </si>
  <si>
    <t>10578977</t>
  </si>
  <si>
    <t>TÅNEBRO side tbl 46 in/outdoor/light grey-beige AP</t>
  </si>
  <si>
    <t>20530918</t>
  </si>
  <si>
    <t>OLSERÖD side tbl 53x50 anthracite/dark grey AP</t>
  </si>
  <si>
    <t>20627982</t>
  </si>
  <si>
    <t>UGGLERUM side tbl 46x40 brown AP</t>
  </si>
  <si>
    <t>30606168</t>
  </si>
  <si>
    <t>GRIMSARBO side tbl pine plywood/bright red AP</t>
  </si>
  <si>
    <t>21985SUPECIS42884</t>
  </si>
  <si>
    <t>40638183</t>
  </si>
  <si>
    <t>TÅNEBRO side tbl 46 in/outdoor/light pink AP</t>
  </si>
  <si>
    <t>319DT260817726648</t>
  </si>
  <si>
    <t>50337820</t>
  </si>
  <si>
    <t>GLADOM tray tbl 45x53 white AP JP</t>
  </si>
  <si>
    <t>21985SUPECIS42429</t>
  </si>
  <si>
    <t>50578452</t>
  </si>
  <si>
    <t>GLADOM N tray tbl 45x53 dark grey-green AP</t>
  </si>
  <si>
    <t>50609000</t>
  </si>
  <si>
    <t>TRANERED side tbl black AP</t>
  </si>
  <si>
    <t>60295928</t>
  </si>
  <si>
    <t>TINGBY side tbl cast 50x50 white AP JP</t>
  </si>
  <si>
    <t>60532010</t>
  </si>
  <si>
    <t>SKRUVBY side tbl 40x32 white AP</t>
  </si>
  <si>
    <t>60621068</t>
  </si>
  <si>
    <t>IKEA PS 2026 side tbl 50x40 dark red AP</t>
  </si>
  <si>
    <t>00637034</t>
  </si>
  <si>
    <t>MALMSLÄTT dressing tbl w stool whi/Vissle lgrey AP</t>
  </si>
  <si>
    <t>20619859</t>
  </si>
  <si>
    <t>ELLOVEN monitor stand with drawer bright orange AP</t>
  </si>
  <si>
    <t>70606166</t>
  </si>
  <si>
    <t>GRIMSARBO side tbl pine plywood/black AP</t>
  </si>
  <si>
    <t>21985SUPECIS42610</t>
  </si>
  <si>
    <t>30600963</t>
  </si>
  <si>
    <t>HUMLESJÖN hook w suc cup 12x8 orange/turq 2-p AP</t>
  </si>
  <si>
    <t>50599336</t>
  </si>
  <si>
    <t>BLECKSJÖN wall basket 31x12x12 black AP</t>
  </si>
  <si>
    <t>90353078</t>
  </si>
  <si>
    <t>STOCKHOLM cff tbl 180x59 walnut veneer AP</t>
  </si>
  <si>
    <t>90534003</t>
  </si>
  <si>
    <t>GLADOM tray tbl 45x53 light blue AP</t>
  </si>
  <si>
    <t>90632089</t>
  </si>
  <si>
    <t>STEGESUND box s2 light bamboo AP</t>
  </si>
  <si>
    <t>30632092</t>
  </si>
  <si>
    <t>STEGESUND box f tissues light bamboo AP</t>
  </si>
  <si>
    <t>00312493</t>
  </si>
  <si>
    <t>OBSERVATÖR clip-on basket grey-brown AP CN</t>
  </si>
  <si>
    <t>00595538</t>
  </si>
  <si>
    <t>EKET cabinet 35x35x35 dark grey-blue AP</t>
  </si>
  <si>
    <t>40618241</t>
  </si>
  <si>
    <t>EKOLN sp disp dark yellow AP</t>
  </si>
  <si>
    <t>70620006</t>
  </si>
  <si>
    <t>YXSTABY gaming monitor stand 98x27x16 white AP</t>
  </si>
  <si>
    <t>277DT260817726142</t>
  </si>
  <si>
    <t>40340045</t>
  </si>
  <si>
    <t>EKET foot adjust metal 4-p AP</t>
  </si>
  <si>
    <t>40574586</t>
  </si>
  <si>
    <t>EKET cab w 2 drs+1 shlf 70x35x70 brown waln eff AP</t>
  </si>
  <si>
    <t>294DT260810726697</t>
  </si>
  <si>
    <t>60333949</t>
  </si>
  <si>
    <t>EKET cabinet w 2 drw 70x35x35 white AP</t>
  </si>
  <si>
    <t>294DT260824726387</t>
  </si>
  <si>
    <t>277DT260818726328</t>
  </si>
  <si>
    <t>60474152</t>
  </si>
  <si>
    <t>EKET leg 10 wood 4-p AP</t>
  </si>
  <si>
    <t>70333939</t>
  </si>
  <si>
    <t>EKET cab w dr/1 shlf 35x35x70 white AP</t>
  </si>
  <si>
    <t>277DT260827726855</t>
  </si>
  <si>
    <t>277DT260806726523</t>
  </si>
  <si>
    <t>277DT260813726996</t>
  </si>
  <si>
    <t>80574589</t>
  </si>
  <si>
    <t>EKET cab w dr/1 shlf 35x35x70 brown waln eff AP</t>
  </si>
  <si>
    <t>277DT260730726190</t>
  </si>
  <si>
    <t>277DT260819726347</t>
  </si>
  <si>
    <t>00522047</t>
  </si>
  <si>
    <t>BILLY N4 bookcs 80x28x202 white AP</t>
  </si>
  <si>
    <t>21072SUPECIS75048</t>
  </si>
  <si>
    <t>21072SUPECIS74852</t>
  </si>
  <si>
    <t>21072SUPECIS75442</t>
  </si>
  <si>
    <t>10483875</t>
  </si>
  <si>
    <t>BAGGEBO bookcs 50x30x80 white AP</t>
  </si>
  <si>
    <t>22715SUPECIS73819</t>
  </si>
  <si>
    <t>22715SUPECIS74601</t>
  </si>
  <si>
    <t>30522041</t>
  </si>
  <si>
    <t>BILLY N4 bookcs 40x28x202 white AP</t>
  </si>
  <si>
    <t>60275685</t>
  </si>
  <si>
    <t>OXBERG door 40x97 white AP CN</t>
  </si>
  <si>
    <t>22715SUPECIS74275</t>
  </si>
  <si>
    <t>22715SUPECIS74434</t>
  </si>
  <si>
    <t>70522044</t>
  </si>
  <si>
    <t>BILLY N4 bookcs 80x28x106 white AP</t>
  </si>
  <si>
    <t>90522038</t>
  </si>
  <si>
    <t>BILLY N4 bookcs 40x28x106 white AP</t>
  </si>
  <si>
    <t>00168527</t>
  </si>
  <si>
    <t>LERBERG shelf ut 35x148 white AP CN</t>
  </si>
  <si>
    <t>00632381</t>
  </si>
  <si>
    <t>KALLAX shelving unit 77x112 wh st oak eff AP</t>
  </si>
  <si>
    <t>10621481</t>
  </si>
  <si>
    <t>BAGGEBO shelving unit 60x30x80 bright green AP</t>
  </si>
  <si>
    <t>20351884</t>
  </si>
  <si>
    <t>KALLAX shelving unit 77x147 white AP</t>
  </si>
  <si>
    <t>22075SUP2600117034</t>
  </si>
  <si>
    <t>22075SUP2600117628</t>
  </si>
  <si>
    <t>22075SUP2600118258</t>
  </si>
  <si>
    <t>22075SUP2600117951</t>
  </si>
  <si>
    <t>22075SUP2600117510</t>
  </si>
  <si>
    <t>22075SUP2600118559</t>
  </si>
  <si>
    <t>40351883</t>
  </si>
  <si>
    <t>KALLAX shelving unit 42x147 white AP</t>
  </si>
  <si>
    <t>20381254</t>
  </si>
  <si>
    <t>TISKEN bskt w suction cup white AP</t>
  </si>
  <si>
    <t>50463941</t>
  </si>
  <si>
    <t>FJÄLLBO shelv ut 51x95 black AP</t>
  </si>
  <si>
    <t>60168529</t>
  </si>
  <si>
    <t>LERBERG shelf ut 60x148 white AP CN</t>
  </si>
  <si>
    <t>60186401</t>
  </si>
  <si>
    <t>LERBERG shelf ut 60x148 dark grey AP CN</t>
  </si>
  <si>
    <t>80354281</t>
  </si>
  <si>
    <t>MICKE desk 73x50 white AP</t>
  </si>
  <si>
    <t>60483873</t>
  </si>
  <si>
    <t>BAGGEBO shelving unit 60x25x116 metal/white AP</t>
  </si>
  <si>
    <t>60487814</t>
  </si>
  <si>
    <t>EKENABBEN open shlvg ut 70x34x154 aspen/white AP</t>
  </si>
  <si>
    <t>70351886</t>
  </si>
  <si>
    <t>KALLAX shelving unit 77x77 white AP</t>
  </si>
  <si>
    <t>70362917</t>
  </si>
  <si>
    <t>KALLAX N shelving unit 77x147 wh st oak eff AP</t>
  </si>
  <si>
    <t>10613909</t>
  </si>
  <si>
    <t>VESKEN N trolley 54x18x71 white AP</t>
  </si>
  <si>
    <t>90487817</t>
  </si>
  <si>
    <t>EKENABBEN open shlvg ut 70x34x86 aspen/white AP</t>
  </si>
  <si>
    <t>90574598</t>
  </si>
  <si>
    <t>KRÖNIKÖR open storage 60x35x91 red AP</t>
  </si>
  <si>
    <t>60569980</t>
  </si>
  <si>
    <t>HATTÅSEN N bds tbl/shlf ut white AP</t>
  </si>
  <si>
    <t>60557802</t>
  </si>
  <si>
    <t>BOLLSIDAN laptop stnd 68x36 white AP</t>
  </si>
  <si>
    <t>00483263</t>
  </si>
  <si>
    <t>VIHALS cb w sliding drs 95x47x90 white AP</t>
  </si>
  <si>
    <t>22715SUPECIS74800</t>
  </si>
  <si>
    <t>00508857</t>
  </si>
  <si>
    <t>SKRUVBY cabinet w doors 70x90 white AP</t>
  </si>
  <si>
    <t>60595762</t>
  </si>
  <si>
    <t>NÅLMAKARE cab on cstrs 79x44x88 dgrn/metal AP</t>
  </si>
  <si>
    <t>20167206</t>
  </si>
  <si>
    <t>OMAR shelv ut 46x36x94 galvanised AP CN</t>
  </si>
  <si>
    <t>70540161</t>
  </si>
  <si>
    <t>OMAR shelv ut 92x50x94 galvanised AP</t>
  </si>
  <si>
    <t>10502992</t>
  </si>
  <si>
    <t>BAGGEBO gls-dr cb 34x30x116 metal/white AP</t>
  </si>
  <si>
    <t>30450138</t>
  </si>
  <si>
    <t>RUDSTA gls-dr cb 80x37x120 anthracite AP</t>
  </si>
  <si>
    <t>23273SUP3639336</t>
  </si>
  <si>
    <t>30481639</t>
  </si>
  <si>
    <t>ÅKREHAMN foam matt 120x200 firm/white AP</t>
  </si>
  <si>
    <t>23273SUP3640100</t>
  </si>
  <si>
    <t>23273SUP3642403</t>
  </si>
  <si>
    <t>23273SUP3644956</t>
  </si>
  <si>
    <t>23273SUP3646704</t>
  </si>
  <si>
    <t>00470072</t>
  </si>
  <si>
    <t>VESTERÖY pckt spr matt 90x200 extra firm/lblue AP</t>
  </si>
  <si>
    <t>60470050</t>
  </si>
  <si>
    <t>VESTERÖY pckt spr matt 120x200 extra firm/lblue AP</t>
  </si>
  <si>
    <t>23273SUP3641081</t>
  </si>
  <si>
    <t>80483240</t>
  </si>
  <si>
    <t>VIHALS chest/4 drw 70x47x90 whi/A/U-F AP</t>
  </si>
  <si>
    <t>22715SUPECIS74597</t>
  </si>
  <si>
    <t>80354276</t>
  </si>
  <si>
    <t>MICKE desk 105x50 white AP</t>
  </si>
  <si>
    <t>00167207</t>
  </si>
  <si>
    <t>OMAR shelv ut 92x36x94 galvanised AP CN</t>
  </si>
  <si>
    <t>20334663</t>
  </si>
  <si>
    <t>OMAR cvr f shelf 92 AP CN</t>
  </si>
  <si>
    <t>40354283</t>
  </si>
  <si>
    <t>MICKE drawer unit on castors 35x75 white AP</t>
  </si>
  <si>
    <t>30460665</t>
  </si>
  <si>
    <t>LAGKAPTEN tbl tp 120x60 white AP</t>
  </si>
  <si>
    <t>10453883</t>
  </si>
  <si>
    <t>VESKEN cr shlf ut 33x33x71 white AP</t>
  </si>
  <si>
    <t>19720SUPECIS213086</t>
  </si>
  <si>
    <t>19720SUPECIS213589</t>
  </si>
  <si>
    <t>80530977</t>
  </si>
  <si>
    <t>OMAR shlvng ut w clths rail 92x50x201 galv AP</t>
  </si>
  <si>
    <t>00361756</t>
  </si>
  <si>
    <t>LINNMON N tbl tp 100x60 white AP</t>
  </si>
  <si>
    <t>10476479</t>
  </si>
  <si>
    <t>BJÖRKÅSEN laptop stnd beige AP</t>
  </si>
  <si>
    <t>21985SUPECIS42294</t>
  </si>
  <si>
    <t>60431327</t>
  </si>
  <si>
    <t>JONAXEL wire bskt 25x51x15 white AP</t>
  </si>
  <si>
    <t>70431317</t>
  </si>
  <si>
    <t>JONAXEL shelv ut 80x38x160 white AP</t>
  </si>
  <si>
    <t>20573173</t>
  </si>
  <si>
    <t>IVÖSJÖN mirror cab w 1 dr 44x15x59 green AP</t>
  </si>
  <si>
    <t>40354278</t>
  </si>
  <si>
    <t>MICKE desk 142x50 white AP</t>
  </si>
  <si>
    <t>90520505</t>
  </si>
  <si>
    <t>MALSKÄR chair frame swivel white AP</t>
  </si>
  <si>
    <t>20307867</t>
  </si>
  <si>
    <t>VESKEN shelf ut 37x23x101 white AP CN</t>
  </si>
  <si>
    <t>50597083</t>
  </si>
  <si>
    <t>ENKROKEN desk 85x56x75 white AP</t>
  </si>
  <si>
    <t>80485102</t>
  </si>
  <si>
    <t>ELLOVEN monitor stand with drawer anthracite AP</t>
  </si>
  <si>
    <t>00522033</t>
  </si>
  <si>
    <t>STYRSPEL gaming chair dark grey/grey AP</t>
  </si>
  <si>
    <t>70264304</t>
  </si>
  <si>
    <t>OLOV leg adjustable white AP CN</t>
  </si>
  <si>
    <t>30406796</t>
  </si>
  <si>
    <t>LOBERGET seat shell white AP</t>
  </si>
  <si>
    <t>60500962</t>
  </si>
  <si>
    <t>ÖRFJÄLL N seat shell white/Vissle light grey AP</t>
  </si>
  <si>
    <t>60573270</t>
  </si>
  <si>
    <t>BLECKBERGET swivel chr Klovsta white/grey AP</t>
  </si>
  <si>
    <t>10326178</t>
  </si>
  <si>
    <t>LENNART drawer ut white AP CN</t>
  </si>
  <si>
    <t>40609072</t>
  </si>
  <si>
    <t>FRIIDROTT drawer unit on castors 35x56 white AP</t>
  </si>
  <si>
    <t>80619903</t>
  </si>
  <si>
    <t>HELMER drawer unit on castors 28x65 white AP</t>
  </si>
  <si>
    <t>40433365</t>
  </si>
  <si>
    <t>BROGRUND tch tp bin 4 l stainless steel AP</t>
  </si>
  <si>
    <t>90463963</t>
  </si>
  <si>
    <t>KROKFJORDEN soap dish w suction cup zinc plated AP</t>
  </si>
  <si>
    <t>40613451</t>
  </si>
  <si>
    <t>TROTTEN N tbl tp 160x80 white AP</t>
  </si>
  <si>
    <t>30493005</t>
  </si>
  <si>
    <t>EKOLN sp disp beige AP</t>
  </si>
  <si>
    <t>50261151</t>
  </si>
  <si>
    <t>MARKUS N office chr Medium Vissle dark grey AP JP</t>
  </si>
  <si>
    <t>50492203</t>
  </si>
  <si>
    <t>FLINTAN N office chr beige AP</t>
  </si>
  <si>
    <t>90521859</t>
  </si>
  <si>
    <t>MARKUS office chr Medium Vissle light grey AP</t>
  </si>
  <si>
    <t>90608824</t>
  </si>
  <si>
    <t>SPELBREDD seat shell w hgh bck Gunnared dgrey AP</t>
  </si>
  <si>
    <t>10257429</t>
  </si>
  <si>
    <t>FLAKNAN stand mirr 30x150 white AP</t>
  </si>
  <si>
    <t>90474773</t>
  </si>
  <si>
    <t>TROTTEN cabinet w doors 70x35x110 white AP</t>
  </si>
  <si>
    <t>90619672</t>
  </si>
  <si>
    <t>TROTTEN drawer ut/3drw/cstrs blue AP</t>
  </si>
  <si>
    <t>20240990</t>
  </si>
  <si>
    <t>DAGOTTO foot-rest black AP JP</t>
  </si>
  <si>
    <t>70568635</t>
  </si>
  <si>
    <t>ÅFJÄLL foam matt 90x200 firm/white AP</t>
  </si>
  <si>
    <t>40636424</t>
  </si>
  <si>
    <t>FÖRSÄSONG cable tray 38 red AP</t>
  </si>
  <si>
    <t>60564015</t>
  </si>
  <si>
    <t>STENERIK laptop support AP</t>
  </si>
  <si>
    <t>70500527</t>
  </si>
  <si>
    <t>FELFRITT laptop/bed tray 58x32x27 bamboo AP</t>
  </si>
  <si>
    <t>80573189</t>
  </si>
  <si>
    <t>FÖRSÄSONG cable tray 38 white AP</t>
  </si>
  <si>
    <t>90489388</t>
  </si>
  <si>
    <t>ANNÅSEN floor protector 100x80 AP</t>
  </si>
  <si>
    <t>90588109</t>
  </si>
  <si>
    <t>DUBBLA laptop stand 60x40 white AP</t>
  </si>
  <si>
    <t>00504067</t>
  </si>
  <si>
    <t>LÅNESPELARE accessories stnd AP</t>
  </si>
  <si>
    <t>319DT260817726651</t>
  </si>
  <si>
    <t>70600961</t>
  </si>
  <si>
    <t>HUMLESJÖN basket w suction cup 26x13x7 lgrn AP</t>
  </si>
  <si>
    <t>40563719</t>
  </si>
  <si>
    <t>VESKEN shelf ut 37x23x70 white CN</t>
  </si>
  <si>
    <t>50613064</t>
  </si>
  <si>
    <t>LÅNESPELARE computer cart w shlf 50x27 black AP</t>
  </si>
  <si>
    <t>60629286</t>
  </si>
  <si>
    <t>UTKLASSNING gaming chair Gräsnäs grey/white AP</t>
  </si>
  <si>
    <t>80441759</t>
  </si>
  <si>
    <t>KLEPPSTAD wrd 3d 117x55x176 white AP</t>
  </si>
  <si>
    <t>40621427</t>
  </si>
  <si>
    <t>PÄRLSLINKE waste bin 3 l white AP</t>
  </si>
  <si>
    <t>20431305</t>
  </si>
  <si>
    <t>JONAXEL frame 50x51x104 white AP</t>
  </si>
  <si>
    <t>00383485</t>
  </si>
  <si>
    <t>NORDLI N top+plnth 80x47 white AP</t>
  </si>
  <si>
    <t>10339331</t>
  </si>
  <si>
    <t>VUKU wrd 74x51x149 white AP</t>
  </si>
  <si>
    <t>30437241</t>
  </si>
  <si>
    <t>KLEPPSTAD wrd sldng drs 117x55x176 white AP</t>
  </si>
  <si>
    <t>00431311</t>
  </si>
  <si>
    <t>JONAXEL mesh bskt 50x51x15 white AP</t>
  </si>
  <si>
    <t>70431303</t>
  </si>
  <si>
    <t>JONAXEL frame 25x51x70 white AP</t>
  </si>
  <si>
    <t>00355661</t>
  </si>
  <si>
    <t>NORDLI mdlr chst of 3 drwrs 80x68 white AP</t>
  </si>
  <si>
    <t>50561116</t>
  </si>
  <si>
    <t>STORKLINTA chest/3 drw 70x50x75 white AP</t>
  </si>
  <si>
    <t>80561247</t>
  </si>
  <si>
    <t>STORKLINTA chest/6 drw 140x50x75 white AP</t>
  </si>
  <si>
    <t>90559282</t>
  </si>
  <si>
    <t>STORKLINTA chest/6 drw 70x50x120 white AP</t>
  </si>
  <si>
    <t>90561119</t>
  </si>
  <si>
    <t>STORKLINTA chest/4 drw 70x50x98 white AP</t>
  </si>
  <si>
    <t>40355659</t>
  </si>
  <si>
    <t>NORDLI mdlr chst of 2 drwrs 80x45 white AP</t>
  </si>
  <si>
    <t>80355657</t>
  </si>
  <si>
    <t>NORDLI mdlr chst of 2 drwrs 40x45 white AP</t>
  </si>
  <si>
    <t>80583107</t>
  </si>
  <si>
    <t>GRÅFJÄLLET bds table 45x36x59 white AP</t>
  </si>
  <si>
    <t>30231631</t>
  </si>
  <si>
    <t>RIGGA clothes rack white AP CN</t>
  </si>
  <si>
    <t>80179433</t>
  </si>
  <si>
    <t>MULIG clothes rack 99x152 white AP CN</t>
  </si>
  <si>
    <t>80396243</t>
  </si>
  <si>
    <t>KNAPPER N stand mirr 48x160 white AP</t>
  </si>
  <si>
    <t>80558216</t>
  </si>
  <si>
    <t>BRUKSVARA clothes rack 78x147 white AP</t>
  </si>
  <si>
    <t>20342597</t>
  </si>
  <si>
    <t>KOLSJÖN shower hose chrome-plated AP</t>
  </si>
  <si>
    <t>70585885</t>
  </si>
  <si>
    <t>ÄLGANÄS shoe rack 76x24x59 black AP</t>
  </si>
  <si>
    <t>00349651</t>
  </si>
  <si>
    <t>VALLAMOSSE sngl-spray handshwr chrome-plated AP</t>
  </si>
  <si>
    <t>00575192</t>
  </si>
  <si>
    <t>NORDBERGET matt pad 90x200 white AP</t>
  </si>
  <si>
    <t>50243968</t>
  </si>
  <si>
    <t>HORNAVAN trolley 26x48x77 white AP</t>
  </si>
  <si>
    <t>70493008</t>
  </si>
  <si>
    <t>EKOLN toil brsh beige AP</t>
  </si>
  <si>
    <t>10493011</t>
  </si>
  <si>
    <t>EKOLN tthb hldr beige AP</t>
  </si>
  <si>
    <t>00628973</t>
  </si>
  <si>
    <t>HUMLESJÖN mirror with suction cup orange AP</t>
  </si>
  <si>
    <t>50628975</t>
  </si>
  <si>
    <t>HUMLESJÖN mug 31 cl orange AP</t>
  </si>
  <si>
    <t>319DT260817726680</t>
  </si>
  <si>
    <t>10424254</t>
  </si>
  <si>
    <t>TEVALEN storage unit 36x17x33 white AP</t>
  </si>
  <si>
    <t>10594944</t>
  </si>
  <si>
    <t>BOLMEN step stool light turquoise AP</t>
  </si>
  <si>
    <t>30613908</t>
  </si>
  <si>
    <t>VESKEN N trolley 54x18x71 black AP</t>
  </si>
  <si>
    <t>50574430</t>
  </si>
  <si>
    <t>BOLMEN N step stool white AP</t>
  </si>
  <si>
    <t>00394016</t>
  </si>
  <si>
    <t>SAXBORGA stor box w mirror lid 24x17 plstc crk AP</t>
  </si>
  <si>
    <t>00493002</t>
  </si>
  <si>
    <t>EKOLN soap dish beige AP</t>
  </si>
  <si>
    <t>50605460</t>
  </si>
  <si>
    <t>GANSJÖN N bthr s3 light green AP</t>
  </si>
  <si>
    <t>70473487</t>
  </si>
  <si>
    <t>SKOGSVIKEN tray 10x15 black AP</t>
  </si>
  <si>
    <t>80600965</t>
  </si>
  <si>
    <t>HUMLESJÖN soap dispenser light green AP</t>
  </si>
  <si>
    <t>20381287</t>
  </si>
  <si>
    <t>TISKEN twl rck w suction cup white AP</t>
  </si>
  <si>
    <t>30428703</t>
  </si>
  <si>
    <t>SKOGSVIKEN hook f dr black 2-p AP</t>
  </si>
  <si>
    <t>30567831</t>
  </si>
  <si>
    <t>SKOGHALL N hook self-adh chrome-plated 3-p AP</t>
  </si>
  <si>
    <t>30605140</t>
  </si>
  <si>
    <t>FLORSJÖN wll shlf w 4 hooks 55x10 beige AP</t>
  </si>
  <si>
    <t>80629964</t>
  </si>
  <si>
    <t>ENUDDEN wll shlf w 3 hooks 30x8 white AP</t>
  </si>
  <si>
    <t>90197672</t>
  </si>
  <si>
    <t>LIL hanger f door stls stl 2-p AP CN</t>
  </si>
  <si>
    <t>90632094</t>
  </si>
  <si>
    <t>STEGESUND towel stand light bamboo AP</t>
  </si>
  <si>
    <t>10605481</t>
  </si>
  <si>
    <t>GANSJÖN waste bin 3 l black AP</t>
  </si>
  <si>
    <t>20381292</t>
  </si>
  <si>
    <t>TISKEN toilet rll hldr w suction cup white AP</t>
  </si>
  <si>
    <t>20604867</t>
  </si>
  <si>
    <t>FLORSJÖN waste bin 3 l beige AP</t>
  </si>
  <si>
    <t>20623494</t>
  </si>
  <si>
    <t>EKOLN N waste bin 3 l beige AP</t>
  </si>
  <si>
    <t>70574434</t>
  </si>
  <si>
    <t>BOLMEN N toil brsh hldr black AP</t>
  </si>
  <si>
    <t>90400305</t>
  </si>
  <si>
    <t>TISKEN hand shwr prk brckt w suc cup white AP</t>
  </si>
  <si>
    <t>00342579</t>
  </si>
  <si>
    <t>VOXNAN 5-spray handshwr chrome-plated AP</t>
  </si>
  <si>
    <t>50390563</t>
  </si>
  <si>
    <t>LILLREVET shower hose 150 white AP</t>
  </si>
  <si>
    <t>00295813</t>
  </si>
  <si>
    <t>VARIERA dish drainer 42x30 white AP CN</t>
  </si>
  <si>
    <t>00613815</t>
  </si>
  <si>
    <t>VARIERA N utensil tray 20x47 AP</t>
  </si>
  <si>
    <t>10136512</t>
  </si>
  <si>
    <t>VARIERA N plastic bag disp white AP JP</t>
  </si>
  <si>
    <t>19720SUPECIS212772</t>
  </si>
  <si>
    <t>294DT260817726647</t>
  </si>
  <si>
    <t>10486421</t>
  </si>
  <si>
    <t>UPPDATERA pegboard drwr org 80 anthracite AP</t>
  </si>
  <si>
    <t>20486411</t>
  </si>
  <si>
    <t>UPPDATERA cutlery tray 32x50 light bamboo AP</t>
  </si>
  <si>
    <t>30486420</t>
  </si>
  <si>
    <t>UPPDATERA pegboard drwr org 60 anthracite AP</t>
  </si>
  <si>
    <t>30601463</t>
  </si>
  <si>
    <t>SMÄCKER cutlery tray 31x26 anthracite AP JP</t>
  </si>
  <si>
    <t>30613814</t>
  </si>
  <si>
    <t>VARIERA cutlery tray 30-52x47 adjustable AP</t>
  </si>
  <si>
    <t>40177742</t>
  </si>
  <si>
    <t>VARIERA drawer mat 150 transparent AP CN</t>
  </si>
  <si>
    <t>277DT260803726340</t>
  </si>
  <si>
    <t>50486419</t>
  </si>
  <si>
    <t>UPPDATERA knife rack 20x50 anthracite AP</t>
  </si>
  <si>
    <t>60432195</t>
  </si>
  <si>
    <t>HÅLLBAR bin w lid 3 l light grey AP</t>
  </si>
  <si>
    <t>60433883</t>
  </si>
  <si>
    <t>HÅLLBAR bin w lid f oranic waste 10 l lgrey AP</t>
  </si>
  <si>
    <t>60486409</t>
  </si>
  <si>
    <t>UPPDATERA utensil tray 20x31 white AP</t>
  </si>
  <si>
    <t>60486414</t>
  </si>
  <si>
    <t>UPPDATERA cutlery tray 32x50 whi AP</t>
  </si>
  <si>
    <t>80618102</t>
  </si>
  <si>
    <t>UPPDATERA N utensil tray 20x50 bamboo AP</t>
  </si>
  <si>
    <t>90486422</t>
  </si>
  <si>
    <t>UPPDATERA plate hldr 15-23 anthracite AP</t>
  </si>
  <si>
    <t>10591667</t>
  </si>
  <si>
    <t>RÅSKOG trolley 35x45x77 beige-yellow AP</t>
  </si>
  <si>
    <t>20585802</t>
  </si>
  <si>
    <t>NISSAFORS trolley 50.5x30x83 beige AP</t>
  </si>
  <si>
    <t>20586788</t>
  </si>
  <si>
    <t>RÅSKOG trolley 35x45x77 white AP</t>
  </si>
  <si>
    <t>20591775</t>
  </si>
  <si>
    <t>NORRÅVA lid 42x31 bamboo AP</t>
  </si>
  <si>
    <t>20629721</t>
  </si>
  <si>
    <t>RÅSKOG N trolley 35x45x77 beige AP</t>
  </si>
  <si>
    <t>30591770</t>
  </si>
  <si>
    <t>RÅSKOG trolley 28x38x61 beige-yellow AP</t>
  </si>
  <si>
    <t>40586792</t>
  </si>
  <si>
    <t>RÅSKOG trolley 28x38x61 white AP</t>
  </si>
  <si>
    <t>50225592</t>
  </si>
  <si>
    <t>BEKVÄM step stool 50 aspen AP CN</t>
  </si>
  <si>
    <t>258DT260804726414</t>
  </si>
  <si>
    <t>50500279</t>
  </si>
  <si>
    <t>SUNNERSTA storage unit 56x38 AP CN</t>
  </si>
  <si>
    <t>60586791</t>
  </si>
  <si>
    <t>RÅSKOG trolley 28x38x61 black AP</t>
  </si>
  <si>
    <t>60629719</t>
  </si>
  <si>
    <t>RÅSKOG trolley 28x38x61 pink AP</t>
  </si>
  <si>
    <t>70178896</t>
  </si>
  <si>
    <t>BEKVÄM step stool 50 white AP CN</t>
  </si>
  <si>
    <t>70591768</t>
  </si>
  <si>
    <t>RÅSKOG trolley 28x38x61 grey-green AP</t>
  </si>
  <si>
    <t>277DT260810726694</t>
  </si>
  <si>
    <t>80629718</t>
  </si>
  <si>
    <t>RÅSKOG trolley 28x38x61 beige AP</t>
  </si>
  <si>
    <t>90334933</t>
  </si>
  <si>
    <t>KUNGSFORS kitchen trolley 60x40 stainless steel AP</t>
  </si>
  <si>
    <t>90465735</t>
  </si>
  <si>
    <t>NISSAFORS trolley 50.5x30x83 white AP</t>
  </si>
  <si>
    <t>00412987</t>
  </si>
  <si>
    <t>SANDSBERG tbl tp 110x67 black AP</t>
  </si>
  <si>
    <t>00594553</t>
  </si>
  <si>
    <t>VIHALS ufrm 125x74x73 white AP</t>
  </si>
  <si>
    <t>10592737</t>
  </si>
  <si>
    <t>VIHALS ext tbl 120/180x74 white AP</t>
  </si>
  <si>
    <t>30592736</t>
  </si>
  <si>
    <t>VIHALS ext tbl 84/120x74 white AP</t>
  </si>
  <si>
    <t>70546894</t>
  </si>
  <si>
    <t>GUNDE folding table 67x67 black AP</t>
  </si>
  <si>
    <t>00530622</t>
  </si>
  <si>
    <t>TEODORES chr black AP</t>
  </si>
  <si>
    <t>00611798</t>
  </si>
  <si>
    <t>SKÅLSTA seat shell plastic beige AP</t>
  </si>
  <si>
    <t>20611815</t>
  </si>
  <si>
    <t>SKÅLSTA chr ufrm tubular metal/black-grey AP</t>
  </si>
  <si>
    <t>30457314</t>
  </si>
  <si>
    <t>ODGER chr anthracite AP</t>
  </si>
  <si>
    <t>30544873</t>
  </si>
  <si>
    <t>SKOGSTA chr black AP</t>
  </si>
  <si>
    <t>277DT260812726890</t>
  </si>
  <si>
    <t>40359997</t>
  </si>
  <si>
    <t>ODGER chr white/beige AP</t>
  </si>
  <si>
    <t>277DT260820726493</t>
  </si>
  <si>
    <t>40592745</t>
  </si>
  <si>
    <t>VIHALS folding chair red AP</t>
  </si>
  <si>
    <t>70350938</t>
  </si>
  <si>
    <t>TEODORES chr white AP</t>
  </si>
  <si>
    <t>70530628</t>
  </si>
  <si>
    <t>TEODORES chr blue AP</t>
  </si>
  <si>
    <t>70611672</t>
  </si>
  <si>
    <t>SKÅLSTA seat shell oak veneer AP</t>
  </si>
  <si>
    <t>70651743</t>
  </si>
  <si>
    <t>VIHALS folding chair black AP</t>
  </si>
  <si>
    <t>80457236</t>
  </si>
  <si>
    <t>LISABO chr ash AP</t>
  </si>
  <si>
    <t>80592753</t>
  </si>
  <si>
    <t>VIHALS folding chair green AP</t>
  </si>
  <si>
    <t>80611817</t>
  </si>
  <si>
    <t>SKÅLSTA chr ufrm tubular metal/light grey-beige AP</t>
  </si>
  <si>
    <t>90592738</t>
  </si>
  <si>
    <t>VIHALS folding chair white AP</t>
  </si>
  <si>
    <t>90611794</t>
  </si>
  <si>
    <t>SKÅLSTA seat shell plastic black AP</t>
  </si>
  <si>
    <t>30184050</t>
  </si>
  <si>
    <t>MARIUS stool 45 white AP JP</t>
  </si>
  <si>
    <t>70608132</t>
  </si>
  <si>
    <t>KYRRE N stool green AP</t>
  </si>
  <si>
    <t>10404878</t>
  </si>
  <si>
    <t>FRANKLIN bar stool/backr fold 63 count hght whi AP</t>
  </si>
  <si>
    <t>70406742</t>
  </si>
  <si>
    <t>FRANKLIN bar stool/backr fold 63 count hght blk AP</t>
  </si>
  <si>
    <t>10592761</t>
  </si>
  <si>
    <t>VIHALS chr white/Tibbleby beige-grey AP</t>
  </si>
  <si>
    <t>30628207</t>
  </si>
  <si>
    <t>KRYLBO chr Axvall blue AP</t>
  </si>
  <si>
    <t>19369SUPVAN00068958</t>
  </si>
  <si>
    <t>60592768</t>
  </si>
  <si>
    <t>VIHALS chr green/Tibbleby grey-green AP</t>
  </si>
  <si>
    <t>70621176</t>
  </si>
  <si>
    <t>VIHALS chr yellow/Tibbleby yellow AP</t>
  </si>
  <si>
    <t>80566749</t>
  </si>
  <si>
    <t>KRYLBO chr Tonerud dark beige AP</t>
  </si>
  <si>
    <t>10518455</t>
  </si>
  <si>
    <t>TROFAST mesh stor box 42x30x10 dark grey AP</t>
  </si>
  <si>
    <t>10530075</t>
  </si>
  <si>
    <t>TROFAST mesh stor box 42x30x10 grey-blue AP</t>
  </si>
  <si>
    <t>20351431</t>
  </si>
  <si>
    <t>TROFAST frame 46x30x95 white AP</t>
  </si>
  <si>
    <t>20582101</t>
  </si>
  <si>
    <t>TROFAST N stor box 42x30x23 white AP</t>
  </si>
  <si>
    <t>30518572</t>
  </si>
  <si>
    <t>TROFAST mesh stor box 42x30x10 light green-grey AP</t>
  </si>
  <si>
    <t>30582073</t>
  </si>
  <si>
    <t>TROFAST NN stor box 42x30x10 white AP</t>
  </si>
  <si>
    <t>40433544</t>
  </si>
  <si>
    <t>SMÅSTAD bench 90x50x48 white AP</t>
  </si>
  <si>
    <t>40434143</t>
  </si>
  <si>
    <t>SMÅSTAD box 90x49x48 white AP</t>
  </si>
  <si>
    <t>40518576</t>
  </si>
  <si>
    <t>TROFAST mesh stor box 42x30x23 grey-blue AP</t>
  </si>
  <si>
    <t>50518566</t>
  </si>
  <si>
    <t>TROFAST mesh stor box 42x30x23 dark grey AP</t>
  </si>
  <si>
    <t>60351429</t>
  </si>
  <si>
    <t>TROFAST frame 46x30x146 white AP</t>
  </si>
  <si>
    <t>60351434</t>
  </si>
  <si>
    <t>TROFAST frame 99x44x56 white AP</t>
  </si>
  <si>
    <t>70614642</t>
  </si>
  <si>
    <t>TIGERFINK stor w comp beige/orange AP</t>
  </si>
  <si>
    <t>80582080</t>
  </si>
  <si>
    <t>TROFAST N lid 40x28 white AP</t>
  </si>
  <si>
    <t>80582099</t>
  </si>
  <si>
    <t>TROFAST stor box 42x30x23 lilac AP</t>
  </si>
  <si>
    <t>90615396</t>
  </si>
  <si>
    <t>TROFAST frame 99x44x95 white/room divider AP</t>
  </si>
  <si>
    <t>00560614</t>
  </si>
  <si>
    <t>BARNDRÖM box 26x37x17 beige AP</t>
  </si>
  <si>
    <t>20178771</t>
  </si>
  <si>
    <t>HÄNGA N coat-hanger child natural 5-p AP CN</t>
  </si>
  <si>
    <t>20550176</t>
  </si>
  <si>
    <t>BÄRFIS hanger f door adjustable AP</t>
  </si>
  <si>
    <t>20604117</t>
  </si>
  <si>
    <t>GLIS N box with lid 17x10 transparent 3-p AP</t>
  </si>
  <si>
    <t>20614569</t>
  </si>
  <si>
    <t>FLISAT N knob rack/4 knobs AP</t>
  </si>
  <si>
    <t>30421339</t>
  </si>
  <si>
    <t>RASSLA stor w 5 comp 25x40x98 white AP</t>
  </si>
  <si>
    <t>30603179</t>
  </si>
  <si>
    <t>GREJSIMOJS storage with lid cat-shaped blk/whi AP</t>
  </si>
  <si>
    <t>40604121</t>
  </si>
  <si>
    <t>GLIS NN box with lid 34x21 transparent AP</t>
  </si>
  <si>
    <t>40631884</t>
  </si>
  <si>
    <t>LILLÅKRE basket 30x30 braided/blue multicolour AP</t>
  </si>
  <si>
    <t>50603215</t>
  </si>
  <si>
    <t>SANDLÖPARE stor bag light brown/zebra AP</t>
  </si>
  <si>
    <t>60574161</t>
  </si>
  <si>
    <t>LÄTTHET hook and clip multicolour 4-p AP</t>
  </si>
  <si>
    <t>70104462</t>
  </si>
  <si>
    <t>VESSLA storage crate w cstrs 39x39 white AP CN</t>
  </si>
  <si>
    <t>70618555</t>
  </si>
  <si>
    <t>SKÅJARE box 53x37x26 black/blue AP</t>
  </si>
  <si>
    <t>277DT260730726228</t>
  </si>
  <si>
    <t>80604119</t>
  </si>
  <si>
    <t>GLIS box with lid 17x10 green lilac/blue 3-p AP</t>
  </si>
  <si>
    <t>90554425</t>
  </si>
  <si>
    <t>LEN box 25x37x22 grey/dotted white AP</t>
  </si>
  <si>
    <t>90560619</t>
  </si>
  <si>
    <t>BARNDRÖM box 26x37x26 beige AP</t>
  </si>
  <si>
    <t>90560624</t>
  </si>
  <si>
    <t>BARNDRÖM box s3 17x27x17 green blue/beige AP</t>
  </si>
  <si>
    <t>00625050</t>
  </si>
  <si>
    <t>LEN dvt cvr 1 pwcs f c 110x125/35x55 w blu/strp AP</t>
  </si>
  <si>
    <t>40373045</t>
  </si>
  <si>
    <t>LEN bump pad 60x120 white AP</t>
  </si>
  <si>
    <t>50373059</t>
  </si>
  <si>
    <t>LENAST duvet f cot 110x125 white/grey AP</t>
  </si>
  <si>
    <t>70453903</t>
  </si>
  <si>
    <t>LENAST bump pad 60x120 dotted/white grey AP</t>
  </si>
  <si>
    <t>80625126</t>
  </si>
  <si>
    <t>LEN fitt sheet cot 60x120 whi bei/muslin 2-p AP</t>
  </si>
  <si>
    <t>90625055</t>
  </si>
  <si>
    <t>LEN dvt cvr 1 pwcs f ct 110x125/35x55 wh be/bny AP</t>
  </si>
  <si>
    <t>90628068</t>
  </si>
  <si>
    <t>LEN dvt cvr 1 pwcs f c 110x125/35x55 w bl/sqr/h AP</t>
  </si>
  <si>
    <t>50595296</t>
  </si>
  <si>
    <t>NATTHÄGER dvt cvr+pwc 150x200/50x80 mult/jungl AP</t>
  </si>
  <si>
    <t>60625146</t>
  </si>
  <si>
    <t>ALPTALL dvt cvr+pwc 150x200/50x80 pink/red pand AP</t>
  </si>
  <si>
    <t>70464119</t>
  </si>
  <si>
    <t>JÄTTELIK dvt cvr+pwc 150x200/50x80 dinosaurs/wh AP</t>
  </si>
  <si>
    <t>90629906</t>
  </si>
  <si>
    <t>BARNDRÖM dvt cvr+pwc 150x200/50x80 wh gn/forest AP</t>
  </si>
  <si>
    <t>00622886</t>
  </si>
  <si>
    <t>BARNDRÖM csh white/unicorn rainbow AP</t>
  </si>
  <si>
    <t>30569514</t>
  </si>
  <si>
    <t>BLÅSKATA cushion 80 cylinder shaped/light grey AP</t>
  </si>
  <si>
    <t>50622879</t>
  </si>
  <si>
    <t>BARNDRÖM csh 51x30 yellow/taxi-shaped AP</t>
  </si>
  <si>
    <t>17596SUPECIS42627</t>
  </si>
  <si>
    <t>17596SUPECIS42686</t>
  </si>
  <si>
    <t>60542127</t>
  </si>
  <si>
    <t>LÖVA NN bed can leaf/green AP</t>
  </si>
  <si>
    <t>70602012</t>
  </si>
  <si>
    <t>GREJSIMOJS floor csh, s3 stackable/multicolour AP</t>
  </si>
  <si>
    <t>80595327</t>
  </si>
  <si>
    <t>NATTHÄGER csh 50x50 blue/tiger AP</t>
  </si>
  <si>
    <t>90542116</t>
  </si>
  <si>
    <t>ELDFLUGA bed tent 70/80/90 blue/green AP</t>
  </si>
  <si>
    <t>00558574</t>
  </si>
  <si>
    <t>MARKKRYPARE rug 74x100 dark grey AP</t>
  </si>
  <si>
    <t>00612241</t>
  </si>
  <si>
    <t>HUSSPARV rug 100x133 green AP</t>
  </si>
  <si>
    <t>20625110</t>
  </si>
  <si>
    <t>LEN NN rug low pile 133x160 beige/dot pattern AP</t>
  </si>
  <si>
    <t>40520428</t>
  </si>
  <si>
    <t>BUSENKEL rug 130x160 harlequin/multi AP</t>
  </si>
  <si>
    <t>60548209</t>
  </si>
  <si>
    <t>BARNDRÖM rug 133x160 pink AP</t>
  </si>
  <si>
    <t>60625165</t>
  </si>
  <si>
    <t>ALPTALL rug 90x130 beige/paw print pattern AP</t>
  </si>
  <si>
    <t>90548217</t>
  </si>
  <si>
    <t>VALLABY rug 100x133 green AP</t>
  </si>
  <si>
    <t>20591582</t>
  </si>
  <si>
    <t>LOCKIG children's potty white/turquoise AP</t>
  </si>
  <si>
    <t>277DT260826726786</t>
  </si>
  <si>
    <t>30251799</t>
  </si>
  <si>
    <t>SKÖTSAM babycare mat 53x80x2 white AP JP</t>
  </si>
  <si>
    <t>30465093</t>
  </si>
  <si>
    <t>KRAMA N wshclth 30x30 white 10-p AP</t>
  </si>
  <si>
    <t>50572370</t>
  </si>
  <si>
    <t>GRÖNFINK baby towel w hood 80x80 yellow AP</t>
  </si>
  <si>
    <t>60591580</t>
  </si>
  <si>
    <t>TOSSIG N toil seat white/turquoise AP</t>
  </si>
  <si>
    <t>80573617</t>
  </si>
  <si>
    <t>GULDVÄVARE washing mitt 14x22 3-p AP</t>
  </si>
  <si>
    <t>80625107</t>
  </si>
  <si>
    <t>LEN babycare mat 70x35 bei/dot pattern foldable AP</t>
  </si>
  <si>
    <t>90591319</t>
  </si>
  <si>
    <t>FÖRSIKTIG children's stool white/turquoise AP</t>
  </si>
  <si>
    <t>277DT260824726625</t>
  </si>
  <si>
    <t>00522108</t>
  </si>
  <si>
    <t>BLÅVINGAD soft toy 50 octopus/yellow AP</t>
  </si>
  <si>
    <t>17596SUPECIS42821</t>
  </si>
  <si>
    <t>00603048</t>
  </si>
  <si>
    <t>SANDLÖPARE soft toy 56 hippopotamus/grey AP</t>
  </si>
  <si>
    <t>00620608</t>
  </si>
  <si>
    <t>ALPTALL soft toy 36 red panda AP</t>
  </si>
  <si>
    <t>17596SUPECIS42925</t>
  </si>
  <si>
    <t>10221317</t>
  </si>
  <si>
    <t>KRAMIG soft toy white/black AP CN</t>
  </si>
  <si>
    <t>10373589</t>
  </si>
  <si>
    <t>BLÅHAJ NNN soft toy 100 shark AP</t>
  </si>
  <si>
    <t>10578538</t>
  </si>
  <si>
    <t>SNUTTIG soft toy 29 white polar bear AP</t>
  </si>
  <si>
    <t>10620622</t>
  </si>
  <si>
    <t>ALPTALL soft toy 52 snow leopard/patterned whi AP</t>
  </si>
  <si>
    <t>20402831</t>
  </si>
  <si>
    <t>DJUNGELSKOG soft toy brown bear AP</t>
  </si>
  <si>
    <t>20620626</t>
  </si>
  <si>
    <t>ALPTALL soft toy 31 Pallas's cat/grey AP</t>
  </si>
  <si>
    <t>30169342</t>
  </si>
  <si>
    <t>GOSIG GOLDEN soft toy 70 dog/golden retriever APCN</t>
  </si>
  <si>
    <t>30297995</t>
  </si>
  <si>
    <t>LIVLIG soft toy 57 dog/siberian husky AP CN</t>
  </si>
  <si>
    <t>30402840</t>
  </si>
  <si>
    <t>DJUNGELSKOG soft toy orangutan AP</t>
  </si>
  <si>
    <t>30578537</t>
  </si>
  <si>
    <t>DJUNGELSKOG soft toy 28 brown bear AP</t>
  </si>
  <si>
    <t>30603061</t>
  </si>
  <si>
    <t>SANDLÖPARE soft toy 50 cheetah/beige AP</t>
  </si>
  <si>
    <t>50169341</t>
  </si>
  <si>
    <t>GOSIG GOLDEN soft toy 40 dog/golden retriever APCN</t>
  </si>
  <si>
    <t>50298102</t>
  </si>
  <si>
    <t>SNUTTIG soft toy polar bear/white AP CN</t>
  </si>
  <si>
    <t>50373592</t>
  </si>
  <si>
    <t>JÄTTESTOR NNN soft toy elephant/grey AP</t>
  </si>
  <si>
    <t>60602084</t>
  </si>
  <si>
    <t>GREJSIMOJS soft toy 100 bear/beige AP</t>
  </si>
  <si>
    <t>60620634</t>
  </si>
  <si>
    <t>ALPTALL soft toy 60 Bengal tiger/stripd lorange AP</t>
  </si>
  <si>
    <t>80603073</t>
  </si>
  <si>
    <t>SANDLÖPARE soft toy 24 cheetah cub/beige AP</t>
  </si>
  <si>
    <t>90136155</t>
  </si>
  <si>
    <t>FAMNIG HJÄRTA cushion 40x101 red AP JP</t>
  </si>
  <si>
    <t>90620642</t>
  </si>
  <si>
    <t>ALPTALL soft toy 63 yak /dark brown AP</t>
  </si>
  <si>
    <t>00167839</t>
  </si>
  <si>
    <t>DUKTIG N toy cookware s5 stainless steel col AP JP</t>
  </si>
  <si>
    <t>00330067</t>
  </si>
  <si>
    <t>LILLABO train set w rail s45 AP</t>
  </si>
  <si>
    <t>00544643</t>
  </si>
  <si>
    <t>BARKBORRE toy doctor 7s AP</t>
  </si>
  <si>
    <t>00641470</t>
  </si>
  <si>
    <t>DVÄRGMÅS chld tent blue AP</t>
  </si>
  <si>
    <t>10363726</t>
  </si>
  <si>
    <t>LILLABO N rail 10-p AP</t>
  </si>
  <si>
    <t>10544647</t>
  </si>
  <si>
    <t>BLOMFLUGA toy tool 13s AP</t>
  </si>
  <si>
    <t>20262005</t>
  </si>
  <si>
    <t>LÅTSAS shopping bskt s12 AP CN</t>
  </si>
  <si>
    <t>20581366</t>
  </si>
  <si>
    <t>CIRKUSTÄLT N chld tent red/blue white AP</t>
  </si>
  <si>
    <t>20641474</t>
  </si>
  <si>
    <t>DVÄRGMÅS play tunnel yellow/beige AP</t>
  </si>
  <si>
    <t>30506673</t>
  </si>
  <si>
    <t>UNDERHÅLLA abacus multicolour AP</t>
  </si>
  <si>
    <t>40319973</t>
  </si>
  <si>
    <t>DUKTIG N play kitchen 72x40x109 birch AP CN</t>
  </si>
  <si>
    <t>40359657</t>
  </si>
  <si>
    <t>DUKTIG toy kitchen ut s4 multicolour AP JP</t>
  </si>
  <si>
    <t>40589352</t>
  </si>
  <si>
    <t>LILLABO garage w car and helicopter multicolour AP</t>
  </si>
  <si>
    <t>50581893</t>
  </si>
  <si>
    <t>MAJBAGGE 3-piece nature exploration set gre/ora AP</t>
  </si>
  <si>
    <t>50620880</t>
  </si>
  <si>
    <t>PLUFSIG fold gym mat 78x185 blue/green AP</t>
  </si>
  <si>
    <t>60572001</t>
  </si>
  <si>
    <t>DUKTIG N toy cash register AP</t>
  </si>
  <si>
    <t>70320055</t>
  </si>
  <si>
    <t>LILLABO N basic train s20 multicolour AP</t>
  </si>
  <si>
    <t>70506685</t>
  </si>
  <si>
    <t>UNDERHÅLLA 40-p wood bld blck multicolour AP</t>
  </si>
  <si>
    <t>70620884</t>
  </si>
  <si>
    <t>PLUFSIG fold gym mat 78x185 red/lilac AP</t>
  </si>
  <si>
    <t>80190690</t>
  </si>
  <si>
    <t>DUKTIG N glass multicolour 8-p AP JP</t>
  </si>
  <si>
    <t>90469960</t>
  </si>
  <si>
    <t>LILLABO N batt op lcmtv KR</t>
  </si>
  <si>
    <t>90611925</t>
  </si>
  <si>
    <t>GREJSIMOJS balance brd f child wood AP</t>
  </si>
  <si>
    <t>10488967</t>
  </si>
  <si>
    <t>MÅLA N easel softwood AP CN</t>
  </si>
  <si>
    <t>20169899</t>
  </si>
  <si>
    <t>PYSSLA N beads 600 g mixed colours AP CN</t>
  </si>
  <si>
    <t>20193272</t>
  </si>
  <si>
    <t>MÅLA N watercolour box mixed colours AP CN</t>
  </si>
  <si>
    <t>60526504</t>
  </si>
  <si>
    <t>BLÅVINGAD modelling dough cutters s5 alum-col AP</t>
  </si>
  <si>
    <t>60625028</t>
  </si>
  <si>
    <t>ALPTALL colouring paper roll 8 m The Himalayas AP</t>
  </si>
  <si>
    <t>70193316</t>
  </si>
  <si>
    <t>MÅLA N felt-tip pen mixed colours 12-p AP CN</t>
  </si>
  <si>
    <t>70477616</t>
  </si>
  <si>
    <t>MÅLA scissors AP</t>
  </si>
  <si>
    <t>70620134</t>
  </si>
  <si>
    <t>ALPTALL act book The Himalayas AP</t>
  </si>
  <si>
    <t>80461083</t>
  </si>
  <si>
    <t>MÅLA NNN drawing paper roll 30 m AP</t>
  </si>
  <si>
    <t>90193320</t>
  </si>
  <si>
    <t>MÅLA N brush s6 AP CN</t>
  </si>
  <si>
    <t>90544224</t>
  </si>
  <si>
    <t>SOLFÅGEL canvas pad 16 pieces AP</t>
  </si>
  <si>
    <t>90544238</t>
  </si>
  <si>
    <t>SOLFÅGEL acrylic paint 375 ml mixed colours 5-p AP</t>
  </si>
  <si>
    <t>00597066</t>
  </si>
  <si>
    <t>DVÄRGHARE soft toy 21 bunny/beige AP</t>
  </si>
  <si>
    <t>40513885</t>
  </si>
  <si>
    <t>UPPSTÅ build beakers multicolour AP</t>
  </si>
  <si>
    <t>40564479</t>
  </si>
  <si>
    <t>SANDBI rattle frog/green AP</t>
  </si>
  <si>
    <t>60580789</t>
  </si>
  <si>
    <t>UPPSTÅ crane w blocks multicolour/beech AP</t>
  </si>
  <si>
    <t>70513879</t>
  </si>
  <si>
    <t>UPPSTÅ pull toy hedgehog/multicolour AP</t>
  </si>
  <si>
    <t>80513893</t>
  </si>
  <si>
    <t>UPPSTÅ stacking rings multicolour AP</t>
  </si>
  <si>
    <t>90582268</t>
  </si>
  <si>
    <t>ÄNGSHUMLA bath toy s4 AP</t>
  </si>
  <si>
    <t>00598971</t>
  </si>
  <si>
    <t>GREJSIMOJS children's table 84x42 wood/orange AP</t>
  </si>
  <si>
    <t>20371523</t>
  </si>
  <si>
    <t>TROGEN child step stl 40x38x33 yellow AP</t>
  </si>
  <si>
    <t>30176644</t>
  </si>
  <si>
    <t>MAMMUT children's stool in/outdoor/white AP</t>
  </si>
  <si>
    <t>60603234</t>
  </si>
  <si>
    <t>SANDLÖPARE stool cvr 38 bei brown/giraffe AP</t>
  </si>
  <si>
    <t>90365364</t>
  </si>
  <si>
    <t>MAMMUT N children's chair in/outdoor/white AP</t>
  </si>
  <si>
    <t>90581985</t>
  </si>
  <si>
    <t>MAMMUT children's stool in/outdoor/pink AP</t>
  </si>
  <si>
    <t>90603181</t>
  </si>
  <si>
    <t>GREJSIMOJS pouffe w stor yellow AP</t>
  </si>
  <si>
    <t>10540296</t>
  </si>
  <si>
    <t>RELATERA table top 117x60 white AP</t>
  </si>
  <si>
    <t>50528508</t>
  </si>
  <si>
    <t>BÖNSYRSA desk pad 60x37 animal pattern AP</t>
  </si>
  <si>
    <t>50534019</t>
  </si>
  <si>
    <t>BÖNSYRSA book holder foldable AP</t>
  </si>
  <si>
    <t>80601432</t>
  </si>
  <si>
    <t>MÖJLIGHET headset/tblt stnd orange AP</t>
  </si>
  <si>
    <t>00378672</t>
  </si>
  <si>
    <t>KALAS NN cutlery s18 mixed colours AP</t>
  </si>
  <si>
    <t>258DT260820726495</t>
  </si>
  <si>
    <t>00517908</t>
  </si>
  <si>
    <t>KANONKUL bowl AP</t>
  </si>
  <si>
    <t>319DT260806726470</t>
  </si>
  <si>
    <t>319DT260803726023</t>
  </si>
  <si>
    <t>10158189</t>
  </si>
  <si>
    <t>FABLER cutlery s3 stainless steel AP JP</t>
  </si>
  <si>
    <t>10572414</t>
  </si>
  <si>
    <t>GRÖNFINK place mat 30x40 multicolour AP</t>
  </si>
  <si>
    <t>20378671</t>
  </si>
  <si>
    <t>KALAS NN plate mixed colours 6-p AP</t>
  </si>
  <si>
    <t>258DT260805726460</t>
  </si>
  <si>
    <t>258DT260824726627</t>
  </si>
  <si>
    <t>20595575</t>
  </si>
  <si>
    <t>GULDVÄVARE bib dark yellow/white 2-p AP</t>
  </si>
  <si>
    <t>30165216</t>
  </si>
  <si>
    <t>URBAN junior chair white AP JP</t>
  </si>
  <si>
    <t>30279944</t>
  </si>
  <si>
    <t>ANTILOP seat shll f hghchr white AP JP</t>
  </si>
  <si>
    <t>40378670</t>
  </si>
  <si>
    <t>KALAS NN mug mixed colours AP</t>
  </si>
  <si>
    <t>40517911</t>
  </si>
  <si>
    <t>KANONKUL plate AP</t>
  </si>
  <si>
    <t>50573751</t>
  </si>
  <si>
    <t>GULDVÄVARE place mat 30x40 green AP</t>
  </si>
  <si>
    <t>50575123</t>
  </si>
  <si>
    <t>GRÖNFINK place mat 30x40 red/green AP</t>
  </si>
  <si>
    <t>50595654</t>
  </si>
  <si>
    <t>GULDVÄVARE place mat 30x40 pale pink AP</t>
  </si>
  <si>
    <t>50600815</t>
  </si>
  <si>
    <t>ANTILOP hghchr leg white 4-p AP</t>
  </si>
  <si>
    <t>60378669</t>
  </si>
  <si>
    <t>KALAS NN bowl mixed colours 6-p AP</t>
  </si>
  <si>
    <t>70596940</t>
  </si>
  <si>
    <t>SMASKA N cutlery s3 mixed colours AP</t>
  </si>
  <si>
    <t>70607142</t>
  </si>
  <si>
    <t>KLADDIG bib white/green AP</t>
  </si>
  <si>
    <t>80517909</t>
  </si>
  <si>
    <t>KANONKUL mug 23 cl blue 1-p AP</t>
  </si>
  <si>
    <t>90595652</t>
  </si>
  <si>
    <t>GULDVÄVARE bib pale pink silicon AP</t>
  </si>
  <si>
    <t>90596939</t>
  </si>
  <si>
    <t>MATA eating set 4p bright green AP</t>
  </si>
  <si>
    <t>00486394</t>
  </si>
  <si>
    <t>TÅGARP flr uplghtr/rdbg lmp black/white KR</t>
  </si>
  <si>
    <t>00539095</t>
  </si>
  <si>
    <t>VINDKAST floor lamp white KR</t>
  </si>
  <si>
    <t>00595675</t>
  </si>
  <si>
    <t>SJÖMAKT floor lamp with 2-spot beige/ash KR</t>
  </si>
  <si>
    <t>10284036</t>
  </si>
  <si>
    <t>ÅRSTID N floor lamp nickel-plated/white KR</t>
  </si>
  <si>
    <t>10437751</t>
  </si>
  <si>
    <t>TÄLLBYN floor lamp 135 nick-plt/opalwhi gls KR</t>
  </si>
  <si>
    <t>10594840</t>
  </si>
  <si>
    <t>STRANDAD floor lamp white/black KR</t>
  </si>
  <si>
    <t>10608516</t>
  </si>
  <si>
    <t>IKEA PS 2026 flr uplghtr 182 dark red KR</t>
  </si>
  <si>
    <t>10608540</t>
  </si>
  <si>
    <t>IKEA PS 2026 flr uplghtr 182 yellow KR</t>
  </si>
  <si>
    <t>20284248</t>
  </si>
  <si>
    <t>LERSTA floor/read lamp aluminium chrome effect KR</t>
  </si>
  <si>
    <t>50455489</t>
  </si>
  <si>
    <t>NYMÅNE flr lmp w 3-spot white KR</t>
  </si>
  <si>
    <t>50601216</t>
  </si>
  <si>
    <t>TRÅDNATE flr uplghtr/rdbg lmp 180 black KR</t>
  </si>
  <si>
    <t>60405984</t>
  </si>
  <si>
    <t>SKAFTET floor lmp bse white KR</t>
  </si>
  <si>
    <t>60608528</t>
  </si>
  <si>
    <t>IKEA PS 2026 flr uplghtr 182 blue KR</t>
  </si>
  <si>
    <t>70303112</t>
  </si>
  <si>
    <t>NYFORS NN floor lamp nickel-plated white KR</t>
  </si>
  <si>
    <t>70477739</t>
  </si>
  <si>
    <t>NYMÅNE flr lmp w 3-spot anthracite KR</t>
  </si>
  <si>
    <t>80321323</t>
  </si>
  <si>
    <t>ÅRSTID floor lamp brass/white KR</t>
  </si>
  <si>
    <t>80464053</t>
  </si>
  <si>
    <t>TÅGARP flr uplghtr black/white KR</t>
  </si>
  <si>
    <t>80629978</t>
  </si>
  <si>
    <t>MOSSPLYM flr uplgh/rd lmp 180oplwh gls/dbrn oak KR</t>
  </si>
  <si>
    <t>90459715</t>
  </si>
  <si>
    <t>ISJAKT LED flr uplg/rd lmp 180 dim/nic-plt KR</t>
  </si>
  <si>
    <t>00321379</t>
  </si>
  <si>
    <t>ÅRSTID table lamp brass/white KR</t>
  </si>
  <si>
    <t>00358018</t>
  </si>
  <si>
    <t>TOKABO table lamp glass opal white KR</t>
  </si>
  <si>
    <t>00514170</t>
  </si>
  <si>
    <t>BLIDVÄDER table lamp 50 off-white ceramic/beige KR</t>
  </si>
  <si>
    <t>00594614</t>
  </si>
  <si>
    <t>LAMPAN prtb lamp 24 btry-op adj clr/otdr whi CS AP</t>
  </si>
  <si>
    <t>10484832</t>
  </si>
  <si>
    <t>MARKFROST table lamp marble black KR</t>
  </si>
  <si>
    <t>10504991</t>
  </si>
  <si>
    <t>SAXHYTTAN table lamp 26 beige/black KR</t>
  </si>
  <si>
    <t>10589117</t>
  </si>
  <si>
    <t>SPETSBOJ table lamp 22 dimmable/white KR</t>
  </si>
  <si>
    <t>10591653</t>
  </si>
  <si>
    <t>AKTERSPRING table lamp 39 opalwhi gls/brs-plt KR</t>
  </si>
  <si>
    <t>10594326</t>
  </si>
  <si>
    <t>NYMÅNE N table lamp 33 white KR</t>
  </si>
  <si>
    <t>20404991</t>
  </si>
  <si>
    <t>DEJSA table lamp 28 beige/opal white glass KR</t>
  </si>
  <si>
    <t>30283899</t>
  </si>
  <si>
    <t>FADO N table lamp 25 white KR</t>
  </si>
  <si>
    <t>30520933</t>
  </si>
  <si>
    <t>BLÅSVERK table lamp 36 beige KR</t>
  </si>
  <si>
    <t>30614248</t>
  </si>
  <si>
    <t>VARMBLIXT tbl/wll lmp 30dim smrt/wh gls cws KR</t>
  </si>
  <si>
    <t>30617609</t>
  </si>
  <si>
    <t>VARMBLIXT LED table/wll lmp 30 orange gls/round KR</t>
  </si>
  <si>
    <t>40582572</t>
  </si>
  <si>
    <t>NÖDMAST LED prtbl lmp,bttry oprtd 26 whi/blk AP CN</t>
  </si>
  <si>
    <t>50283898</t>
  </si>
  <si>
    <t>BÖJA table lamp bamboo/handmade KR</t>
  </si>
  <si>
    <t>50437669</t>
  </si>
  <si>
    <t>TÄLLBYN table lamp 40 nick-plt/opalwhi gls KR</t>
  </si>
  <si>
    <t>60437683</t>
  </si>
  <si>
    <t>SIMRISHAMN table lamp 42 chr-plt/opalwhi gls KR</t>
  </si>
  <si>
    <t>60592631</t>
  </si>
  <si>
    <t>FADO N table lamp 25 pink/glass KR</t>
  </si>
  <si>
    <t>70575914</t>
  </si>
  <si>
    <t>NÖDMAST LED prtb lmp,btry op 26lpnk/dgry-grn AP CN</t>
  </si>
  <si>
    <t>70595634</t>
  </si>
  <si>
    <t>NYMÅNE N table lamp 33 anthracite KR</t>
  </si>
  <si>
    <t>80323888</t>
  </si>
  <si>
    <t>TÄRNABY table lamp 25 dimmable anthracite KR</t>
  </si>
  <si>
    <t>80594851</t>
  </si>
  <si>
    <t>STRANDAD table lamp 29 white/black KR</t>
  </si>
  <si>
    <t>80601272</t>
  </si>
  <si>
    <t>HALGATT table lamp 35 dimmable whi/whi ceramic KR</t>
  </si>
  <si>
    <t>90601238</t>
  </si>
  <si>
    <t>VARPTROSS table lamp 26 bamboo KR</t>
  </si>
  <si>
    <t>90618390</t>
  </si>
  <si>
    <t>VATERBOM table lamp 27 bamboo/rattan KR</t>
  </si>
  <si>
    <t>00363147</t>
  </si>
  <si>
    <t>VÄXJÖ pend lmp 38 beige KR</t>
  </si>
  <si>
    <t>00407146</t>
  </si>
  <si>
    <t>NYMÅNE N pend lmp 40 white KR</t>
  </si>
  <si>
    <t>10503821</t>
  </si>
  <si>
    <t>NYMÅNE LED pend lmp 38 white KR</t>
  </si>
  <si>
    <t>20469119</t>
  </si>
  <si>
    <t>VINDKAST pend lmp 50 white KR</t>
  </si>
  <si>
    <t>30596782</t>
  </si>
  <si>
    <t>SKIVTOFS pend lmp 24 off-white/ceramic KR</t>
  </si>
  <si>
    <t>40420264</t>
  </si>
  <si>
    <t>SUNNEBY cord set 1.8 m white textile KR</t>
  </si>
  <si>
    <t>40591642</t>
  </si>
  <si>
    <t>AKTERSPRING pend lmp 73 opalwhi gls/brs-plt KR</t>
  </si>
  <si>
    <t>50595687</t>
  </si>
  <si>
    <t>SJÖMAKT pend lmp 38 beige/ash KR</t>
  </si>
  <si>
    <t>70610795</t>
  </si>
  <si>
    <t>VARPTROSS pend lmp 79 bamboo KR</t>
  </si>
  <si>
    <t>80561662</t>
  </si>
  <si>
    <t>DYKARKLOCKA pend lampshade 40 wh st oak ven AP</t>
  </si>
  <si>
    <t>90405459</t>
  </si>
  <si>
    <t>MYRHULT lampshade 33 white AP CN</t>
  </si>
  <si>
    <t>90617079</t>
  </si>
  <si>
    <t>IKEA PS 2026 pend lampshade 90 handmade/whi AP CN</t>
  </si>
  <si>
    <t>00640116</t>
  </si>
  <si>
    <t>SPEGELROCKA ceil lmp 44 white textile KR</t>
  </si>
  <si>
    <t>20336271</t>
  </si>
  <si>
    <t>NYMÅNE ceil spot w 3 spots white KR</t>
  </si>
  <si>
    <t>30399734</t>
  </si>
  <si>
    <t>BÄVE LED ceil trck 5-spots white KR</t>
  </si>
  <si>
    <t>40415088</t>
  </si>
  <si>
    <t>NYMÅNE ceil spot w 4 spots anthracite KR</t>
  </si>
  <si>
    <t>40567562</t>
  </si>
  <si>
    <t>NYMÅNE N LED ceil lmp 45 white KR</t>
  </si>
  <si>
    <t>40592514</t>
  </si>
  <si>
    <t>KRANBALK ceiling lmp beige KR</t>
  </si>
  <si>
    <t>70284298</t>
  </si>
  <si>
    <t>BÄVE LED ceil trck 3-spots white KR</t>
  </si>
  <si>
    <t>80337705</t>
  </si>
  <si>
    <t>NYMÅNE ceil spot w 4 spots white KR</t>
  </si>
  <si>
    <t>80601583</t>
  </si>
  <si>
    <t>TRUBBRUFSE ceil lmp 45 sedge KR</t>
  </si>
  <si>
    <t>90513736</t>
  </si>
  <si>
    <t>NÖSUND ceil lmp 44 birch KR</t>
  </si>
  <si>
    <t>00612854</t>
  </si>
  <si>
    <t>ANKARLÄGG LED nightlight w sensor battery-op KR</t>
  </si>
  <si>
    <t>60610852</t>
  </si>
  <si>
    <t>VARPTROSS wll lmp w-in inst 30 bamboo KR</t>
  </si>
  <si>
    <t>90350126</t>
  </si>
  <si>
    <t>MÖRKRÄDD LED ngtlght w sen white KR</t>
  </si>
  <si>
    <t>20440786</t>
  </si>
  <si>
    <t>UPPLYST LED wll lmp flower lilac KR</t>
  </si>
  <si>
    <t>20516922</t>
  </si>
  <si>
    <t>TÖVÄDER LED night lght cat battery-operated CS KR</t>
  </si>
  <si>
    <t>20603523</t>
  </si>
  <si>
    <t>GREJSIMOJS LED tbl lamp dimmable/dog blue KR</t>
  </si>
  <si>
    <t>40487754</t>
  </si>
  <si>
    <t>ÄNGARNA LED tbl lamp football pattern KR</t>
  </si>
  <si>
    <t>40624299</t>
  </si>
  <si>
    <t>KORVSNÖRE LED desk lamp dimmable/white KR</t>
  </si>
  <si>
    <t>50325474</t>
  </si>
  <si>
    <t>KRUX LED work lamp white KR</t>
  </si>
  <si>
    <t>50558779</t>
  </si>
  <si>
    <t>AFTONSPARV LED deco light pln shp multi RGB KR</t>
  </si>
  <si>
    <t>60555233</t>
  </si>
  <si>
    <t>AFTONSPARV LED tbl lamp rocket/multicolour RGB KR</t>
  </si>
  <si>
    <t>60628017</t>
  </si>
  <si>
    <t>SOLSKUR LED tbl lamp light blue/nickel-plated KR</t>
  </si>
  <si>
    <t>90626272</t>
  </si>
  <si>
    <t>KORVSNÖRE LED wll lmp dimmable/white KR</t>
  </si>
  <si>
    <t>00358495</t>
  </si>
  <si>
    <t>SVALLET work lamp dark grey/white KR</t>
  </si>
  <si>
    <t>00504294</t>
  </si>
  <si>
    <t>TERTIAL work lamp light blue KR</t>
  </si>
  <si>
    <t>20552316</t>
  </si>
  <si>
    <t>FLOTTILJ desk lamp beige KR</t>
  </si>
  <si>
    <t>50283916</t>
  </si>
  <si>
    <t>FORSÅ work lamp nickel-plated KR</t>
  </si>
  <si>
    <t>50445711</t>
  </si>
  <si>
    <t>EBBARED battery-op clmp sptlght white KR</t>
  </si>
  <si>
    <t>50449894</t>
  </si>
  <si>
    <t>NÄVLINGE LED clmp sptlght white KR</t>
  </si>
  <si>
    <t>50583439</t>
  </si>
  <si>
    <t>RÖDFLIK desk lamp light beige KR</t>
  </si>
  <si>
    <t>60355724</t>
  </si>
  <si>
    <t>TERTIAL work lamp white KR</t>
  </si>
  <si>
    <t>60449884</t>
  </si>
  <si>
    <t>NÄVLINGE LED clmp sptlght black KR</t>
  </si>
  <si>
    <t>60595658</t>
  </si>
  <si>
    <t>SJÖMAKT desk lamp beige/ash KR</t>
  </si>
  <si>
    <t>70283996</t>
  </si>
  <si>
    <t>RANARP work lamp off-white KR</t>
  </si>
  <si>
    <t>70408307</t>
  </si>
  <si>
    <t>NÄVLINGE LED wll/clmp spotlght white KR</t>
  </si>
  <si>
    <t>70444428</t>
  </si>
  <si>
    <t>FORSÅ work lamp white KR</t>
  </si>
  <si>
    <t>70612841</t>
  </si>
  <si>
    <t>HÖSTULOTA LED USB lamp 30 red KR</t>
  </si>
  <si>
    <t>90514359</t>
  </si>
  <si>
    <t>LÅNESPELARE ring light w phone hldr KR</t>
  </si>
  <si>
    <t>90644134</t>
  </si>
  <si>
    <t>HAVSSALLAD clmp sptlt light blue KR</t>
  </si>
  <si>
    <t>00283513</t>
  </si>
  <si>
    <t>KOPPLA socket 6w/sw 1,5 m earthed white 2-p KR</t>
  </si>
  <si>
    <t>00618422</t>
  </si>
  <si>
    <t>VÄSTMÄRKE wrlss charger AP</t>
  </si>
  <si>
    <t>00625234</t>
  </si>
  <si>
    <t>LILLHULT N3 USB-C to USB-C 3.0m bbeiyel AP</t>
  </si>
  <si>
    <t>20620136</t>
  </si>
  <si>
    <t>LILLHULT N3 USB-C to USB-C 3.0 m lilac AP</t>
  </si>
  <si>
    <t>20625214</t>
  </si>
  <si>
    <t>LILLHULT N3 USB-C to lightning 1.5 m pink/beige AP</t>
  </si>
  <si>
    <t>30539188</t>
  </si>
  <si>
    <t>SMÅHAGEL 3-prt USB chrgr white KR</t>
  </si>
  <si>
    <t>30558445</t>
  </si>
  <si>
    <t>SKOTAT ext cord 1.8 m green KR</t>
  </si>
  <si>
    <t>40300233</t>
  </si>
  <si>
    <t>KOPPLA socket 4-w w 2 USB prt 3.0 m white KR</t>
  </si>
  <si>
    <t>40555738</t>
  </si>
  <si>
    <t>HAVSKÅL 2-piece USB anchor black/yellow AP</t>
  </si>
  <si>
    <t>40618458</t>
  </si>
  <si>
    <t>SJÖSS 65W 1-port USB charger KR</t>
  </si>
  <si>
    <t>50546692</t>
  </si>
  <si>
    <t>LITOSFÄR battery chrgr w stor dark blue KR</t>
  </si>
  <si>
    <t>50564209</t>
  </si>
  <si>
    <t>TRIXIG screwdr/drill li-ion 12 V AP</t>
  </si>
  <si>
    <t>50604432</t>
  </si>
  <si>
    <t>SMÅHAGEL power supply kit KR</t>
  </si>
  <si>
    <t>50619297</t>
  </si>
  <si>
    <t>RUNDHULT N3 USB-C to USB-C 1.5 m/100 W be/blue AP</t>
  </si>
  <si>
    <t>50619315</t>
  </si>
  <si>
    <t>SITTBRUNN N3 USB-C to USB-C 1.0 m white AP</t>
  </si>
  <si>
    <t>60283510</t>
  </si>
  <si>
    <t>KOPPLA ext cord 5 m earthed white KR</t>
  </si>
  <si>
    <t>60409581</t>
  </si>
  <si>
    <t>KOPPLA socket 4-w w 2 USB prt 3.0 m black KR</t>
  </si>
  <si>
    <t>60628376</t>
  </si>
  <si>
    <t>RÖDHAJ batt pack</t>
  </si>
  <si>
    <t>80619309</t>
  </si>
  <si>
    <t>SITTBRUNN N3 USB-C to USB-C 1.0 m light green AP</t>
  </si>
  <si>
    <t>90625220</t>
  </si>
  <si>
    <t>LILLHULT N3 USB-C to USB-C 1.5 m deep green AP</t>
  </si>
  <si>
    <t>20605292</t>
  </si>
  <si>
    <t>KULGLASS Bluetooth speaker lamp red brown/pink KR</t>
  </si>
  <si>
    <t>30605178</t>
  </si>
  <si>
    <t>KALLSUP prtbl Bluetht spkr pink KR</t>
  </si>
  <si>
    <t>40605842</t>
  </si>
  <si>
    <t>SOLSKYDD Bluetooth speaker 45 beige KR</t>
  </si>
  <si>
    <t>50604856</t>
  </si>
  <si>
    <t>NATTBAD Blth Spkr black KR</t>
  </si>
  <si>
    <t>60604945</t>
  </si>
  <si>
    <t>BLOMPRAKT Blth spkr lamp beige KR</t>
  </si>
  <si>
    <t>70604964</t>
  </si>
  <si>
    <t>BLOMPRAKT Blth spkr lamp black KR</t>
  </si>
  <si>
    <t>70605119</t>
  </si>
  <si>
    <t>KALLSUP prtbl Bluetht spkr yellow-green KR</t>
  </si>
  <si>
    <t>70605275</t>
  </si>
  <si>
    <t>KULGLASS Bluetooth speaker lamp dark green KR</t>
  </si>
  <si>
    <t>80605878</t>
  </si>
  <si>
    <t>SOLSKYDD prtbl Bluetht spkr 19 orange KR</t>
  </si>
  <si>
    <t>90605104</t>
  </si>
  <si>
    <t>KALLSUP prtbl Bluetht spkr white KR</t>
  </si>
  <si>
    <t>00493610</t>
  </si>
  <si>
    <t>STARKVIND filter f part removal AP</t>
  </si>
  <si>
    <t>50492298</t>
  </si>
  <si>
    <t>FÖRNUFTIG filter f gas cleaning AP</t>
  </si>
  <si>
    <t>70551499</t>
  </si>
  <si>
    <t>UPPÅTVIND filter f part removal AP</t>
  </si>
  <si>
    <t>00618950</t>
  </si>
  <si>
    <t>TIMMERFLOTTE Matter temp/hmd snsr smart AP</t>
  </si>
  <si>
    <t>50624741</t>
  </si>
  <si>
    <t>GRILLPLATS Matter plug smart KR</t>
  </si>
  <si>
    <t>70503413</t>
  </si>
  <si>
    <t>DIRIGERA hub f smart products white smart KR</t>
  </si>
  <si>
    <t>00548434</t>
  </si>
  <si>
    <t>SOLHETTA E26 1521lm 95mm dimmable/globe opalwhi KR</t>
  </si>
  <si>
    <t>00619011</t>
  </si>
  <si>
    <t>KAJPLATS E26 1521 lm smart WS/globe/opalwhi KR</t>
  </si>
  <si>
    <t>10540461</t>
  </si>
  <si>
    <t>MOLNART N2 E26 260lm 150mm ellipse shaped multi KR</t>
  </si>
  <si>
    <t>10548424</t>
  </si>
  <si>
    <t>SOLHETTA GU10 600lm dimmable KR</t>
  </si>
  <si>
    <t>10583974</t>
  </si>
  <si>
    <t>SOLHETTA N2 E14 470 lm globe opalwhi 2-p KR</t>
  </si>
  <si>
    <t>10584105</t>
  </si>
  <si>
    <t>SOLHETTA N2 GU10 345lm dimmable KR</t>
  </si>
  <si>
    <t>10613377</t>
  </si>
  <si>
    <t>MOLNART N5 E26 150lm 120mm t-shp opentop/grclgl KR</t>
  </si>
  <si>
    <t>20591445</t>
  </si>
  <si>
    <t>SOLHETTA N2 E26 470 lm globe clear KR</t>
  </si>
  <si>
    <t>30591510</t>
  </si>
  <si>
    <t>SOLHETTA N2 E26 806 lm 6500K globe opalwhi 2-p KR</t>
  </si>
  <si>
    <t>40584043</t>
  </si>
  <si>
    <t>SOLHETTA N2 E14 250lm chandelier/opalwhi 2-p KR</t>
  </si>
  <si>
    <t>50614841</t>
  </si>
  <si>
    <t>LUNNOM N3 E26 470lm 95mm dimmable/globe cl gls KR</t>
  </si>
  <si>
    <t>50614860</t>
  </si>
  <si>
    <t>LUNNOM N3 E26 806lm 125mm dimmable/globe cl gls KR</t>
  </si>
  <si>
    <t>50615317</t>
  </si>
  <si>
    <t>LUNNOM N3 E14 260lm 45mm dimmable/globe cl gls KR</t>
  </si>
  <si>
    <t>60591504</t>
  </si>
  <si>
    <t>SOLHETTA N2 E14 470 lm 6500K globe opalwhi 2-p KR</t>
  </si>
  <si>
    <t>80591541</t>
  </si>
  <si>
    <t>SOLHETTA N2 E26 1521 lm dimmable/globe opalwhi KR</t>
  </si>
  <si>
    <t>90539246</t>
  </si>
  <si>
    <t>LUNNOM N2 E14 210lm dimm/chandelier brwn cl gls KR</t>
  </si>
  <si>
    <t>90591480</t>
  </si>
  <si>
    <t>SOLHETTA N3 E26 470 lm globe opalwhi 2-p KR</t>
  </si>
  <si>
    <t>00633781</t>
  </si>
  <si>
    <t>KÖLVATTEN N LED light w snsor 70 whi/battery-op AP</t>
  </si>
  <si>
    <t>20405844</t>
  </si>
  <si>
    <t>ANSLUTA LED drvr w cord 19 W white KR</t>
  </si>
  <si>
    <t>20565333</t>
  </si>
  <si>
    <t>KÖLVATTEN LED light w sensor 30 whi/battery-op AP</t>
  </si>
  <si>
    <t>30599139</t>
  </si>
  <si>
    <t>KÖLVATTEN LED light w sensor 50 grey/battery-op AP</t>
  </si>
  <si>
    <t>50527896</t>
  </si>
  <si>
    <t>YTBERG LED cab lghtng black/dimmable KR</t>
  </si>
  <si>
    <t>60565369</t>
  </si>
  <si>
    <t>STRIMSÄV LED spotlight black KR</t>
  </si>
  <si>
    <t>60609716</t>
  </si>
  <si>
    <t>KABBLEKA LED light strip w USB 3m adj colour CS KR</t>
  </si>
  <si>
    <t>70516830</t>
  </si>
  <si>
    <t>YTBERG LED cab lghtng white/dimmable KR</t>
  </si>
  <si>
    <t>70571906</t>
  </si>
  <si>
    <t>KÖLVATTEN LED light w sensor 50 whi/battery-op AP</t>
  </si>
  <si>
    <t>70609706</t>
  </si>
  <si>
    <t>KABBLEKA LED light strip w USB 3 m dimmable KR</t>
  </si>
  <si>
    <t>90599136</t>
  </si>
  <si>
    <t>KÖLVATTEN LED light w sensor 30 grey/battery-op AP</t>
  </si>
  <si>
    <t>00633050</t>
  </si>
  <si>
    <t>KUSTFYR 2026 LED pndnt lmp pumpk bat-op/odr or KR</t>
  </si>
  <si>
    <t>319DT260803726974</t>
  </si>
  <si>
    <t>90635375</t>
  </si>
  <si>
    <t>STRÅLA 2026 LED tbl deco battery-op/tree green KR</t>
  </si>
  <si>
    <t>40573898</t>
  </si>
  <si>
    <t>SOLARVET N LED lght chain24outdr solar/ball whi KR</t>
  </si>
  <si>
    <t>00357170</t>
  </si>
  <si>
    <t>DVALA N fitt sheet 90x200 white AP</t>
  </si>
  <si>
    <t>00442668</t>
  </si>
  <si>
    <t>NATTJASMIN fitt sheet 120x200 dark grey AP</t>
  </si>
  <si>
    <t>00537322</t>
  </si>
  <si>
    <t>TÖCKENFLY pwc f ergo pillow 29x43 grey AP</t>
  </si>
  <si>
    <t>00615697</t>
  </si>
  <si>
    <t>SOLFIBBLA fitt sheet 90x200 white blue/stripe AP</t>
  </si>
  <si>
    <t>00615744</t>
  </si>
  <si>
    <t>SOLFIBBLA pwc 50x80 white blue/stripe AP</t>
  </si>
  <si>
    <t>00615763</t>
  </si>
  <si>
    <t>SOLFIBBLA fitt sheet 90x200 white green/stripe AP</t>
  </si>
  <si>
    <t>00615777</t>
  </si>
  <si>
    <t>SOLFIBBLA fitt sheet 180x200 white green/stripe AP</t>
  </si>
  <si>
    <t>00627761</t>
  </si>
  <si>
    <t>DVALA NN fitt sheet 90x200 beige AP</t>
  </si>
  <si>
    <t>00627803</t>
  </si>
  <si>
    <t>DVALA NN pwc 50x80 beige 2-p AP</t>
  </si>
  <si>
    <t>10357160</t>
  </si>
  <si>
    <t>DVALA N fitt sheet 140x200 white AP</t>
  </si>
  <si>
    <t>10532625</t>
  </si>
  <si>
    <t>RÖNNVECKMAL fitt sheet 120x200 white AP</t>
  </si>
  <si>
    <t>10615404</t>
  </si>
  <si>
    <t>DVALA N fitt sheet 90x200 blue AP</t>
  </si>
  <si>
    <t>10615847</t>
  </si>
  <si>
    <t>SOLFIBBLA fitt sheet 150x200 white beige/stripe AP</t>
  </si>
  <si>
    <t>10618049</t>
  </si>
  <si>
    <t>VÅRVIAL N fitt sheet 80x200 blue AP</t>
  </si>
  <si>
    <t>10621928</t>
  </si>
  <si>
    <t>BÄRGLIM pwc f ergo pillow 33x50 grey AP</t>
  </si>
  <si>
    <t>20342795</t>
  </si>
  <si>
    <t>ULLVIDE pwc 50x80 grey AP JP</t>
  </si>
  <si>
    <t>20356565</t>
  </si>
  <si>
    <t>DVALA N fitt sheet 180x200 white AP</t>
  </si>
  <si>
    <t>20590200</t>
  </si>
  <si>
    <t>ULLVIDE fitt sheet 120x200 grey-beige AP</t>
  </si>
  <si>
    <t>20615842</t>
  </si>
  <si>
    <t>SOLFIBBLA fitt sheet 120x200 white beige/stripe AP</t>
  </si>
  <si>
    <t>20616399</t>
  </si>
  <si>
    <t>SOLFIBBLA fitt sheet 120x200 grey white/stripe AP</t>
  </si>
  <si>
    <t>30337029</t>
  </si>
  <si>
    <t>ULLVIDE pwc 50x80 dark blue AP JP</t>
  </si>
  <si>
    <t>30482460</t>
  </si>
  <si>
    <t>DVALA fitt sheet 90x200 grey AP</t>
  </si>
  <si>
    <t>30532629</t>
  </si>
  <si>
    <t>RÖNNVECKMAL fitt sheet 150x200 white AP</t>
  </si>
  <si>
    <t>30532667</t>
  </si>
  <si>
    <t>RÖNNVECKMAL pwc 50x80 white AP</t>
  </si>
  <si>
    <t>30547602</t>
  </si>
  <si>
    <t>NATTJASMIN fitt sheet 120x200 white AP</t>
  </si>
  <si>
    <t>30615766</t>
  </si>
  <si>
    <t>SOLFIBBLA fitt sheet 120x200 white green/stripe AP</t>
  </si>
  <si>
    <t>40342723</t>
  </si>
  <si>
    <t>ULLVIDE fitt sheet 150x200 white AP JP</t>
  </si>
  <si>
    <t>40343732</t>
  </si>
  <si>
    <t>NATTJASMIN pwc 50x80 white AP</t>
  </si>
  <si>
    <t>40491987</t>
  </si>
  <si>
    <t>BRUDBORSTE fitt sheet 120x200 grey AP</t>
  </si>
  <si>
    <t>40615407</t>
  </si>
  <si>
    <t>DVALA N fitt sheet 120x200 blue AP</t>
  </si>
  <si>
    <t>40615412</t>
  </si>
  <si>
    <t>DVALA N fitt sheet 150x200 blue AP</t>
  </si>
  <si>
    <t>40616416</t>
  </si>
  <si>
    <t>SOLFIBBLA fitt sheet 90x200 grey white/stripe AP</t>
  </si>
  <si>
    <t>40632647</t>
  </si>
  <si>
    <t>ÄNGSLILJA pwc 50x80 pale grey-green AP</t>
  </si>
  <si>
    <t>40632713</t>
  </si>
  <si>
    <t>ÄNGSLILJA pwc 50x80 light brown AP</t>
  </si>
  <si>
    <t>40638296</t>
  </si>
  <si>
    <t>KRONBUSKE fitt sheet 120x200 lbeige/flrl patt AP</t>
  </si>
  <si>
    <t>40638343</t>
  </si>
  <si>
    <t>KRONBUSKE pwc 50x80 light beige/floral pattern AP</t>
  </si>
  <si>
    <t>50336953</t>
  </si>
  <si>
    <t>ULLVIDE fitt sheet 150x200 grey AP</t>
  </si>
  <si>
    <t>50342727</t>
  </si>
  <si>
    <t>ULLVIDE fitt sheet 180x200 grey AP JP</t>
  </si>
  <si>
    <t>50357219</t>
  </si>
  <si>
    <t>DVALA N fitt sheet 150x200 white AP</t>
  </si>
  <si>
    <t>50615685</t>
  </si>
  <si>
    <t>SOLFIBBLA fitt sheet 150x200 white blue/stripe AP</t>
  </si>
  <si>
    <t>50615906</t>
  </si>
  <si>
    <t>SOLFIBBLA pwc 50x80 white beige/stripe AP</t>
  </si>
  <si>
    <t>50621436</t>
  </si>
  <si>
    <t>BÄRGLIM fitt sheet 120x200 grey AP</t>
  </si>
  <si>
    <t>60482449</t>
  </si>
  <si>
    <t>DVALA fitt sheet 150x200 grey AP</t>
  </si>
  <si>
    <t>60549628</t>
  </si>
  <si>
    <t>DVALA fitt sheet 120x200 grey-green AP</t>
  </si>
  <si>
    <t>60590203</t>
  </si>
  <si>
    <t>ULLVIDE fitt sheet 150x200 grey-beige AP</t>
  </si>
  <si>
    <t>60615680</t>
  </si>
  <si>
    <t>SOLFIBBLA fitt sheet 120x200 white blue/stripe AP</t>
  </si>
  <si>
    <t>60615859</t>
  </si>
  <si>
    <t>SOLFIBBLA fitt sheet 90x200 white beige/stripe AP</t>
  </si>
  <si>
    <t>70537314</t>
  </si>
  <si>
    <t>TÖCKENFLY pwc f ergo pillow 29x43 white AP</t>
  </si>
  <si>
    <t>70549637</t>
  </si>
  <si>
    <t>DVALA fitt sheet 180x200 grey-green AP</t>
  </si>
  <si>
    <t>70616410</t>
  </si>
  <si>
    <t>SOLFIBBLA fitt sheet 180x200 grey white/stripe AP</t>
  </si>
  <si>
    <t>80357227</t>
  </si>
  <si>
    <t>DVALA N fitt sheet 90x200 black AP</t>
  </si>
  <si>
    <t>80549632</t>
  </si>
  <si>
    <t>DVALA fitt sheet 150x200 grey-green AP</t>
  </si>
  <si>
    <t>80616462</t>
  </si>
  <si>
    <t>SOLFIBBLA pwc 50x80 grey white/stripe AP</t>
  </si>
  <si>
    <t>80627743</t>
  </si>
  <si>
    <t>DVALA NN fitt sheet 120x200 beige AP</t>
  </si>
  <si>
    <t>90343664</t>
  </si>
  <si>
    <t>NATTJASMIN fitt sheet 180x200 white APJP</t>
  </si>
  <si>
    <t>90345347</t>
  </si>
  <si>
    <t>ULLVIDE fitt sheet 120x200 white AP JP</t>
  </si>
  <si>
    <t>90420997</t>
  </si>
  <si>
    <t>DVALA bolster case 38x110 white AP</t>
  </si>
  <si>
    <t>90482481</t>
  </si>
  <si>
    <t>DVALA pwc 50x80 grey 2-p AP</t>
  </si>
  <si>
    <t>90590254</t>
  </si>
  <si>
    <t>ULLVIDE pwc 50x80 grey-beige AP</t>
  </si>
  <si>
    <t>90615853</t>
  </si>
  <si>
    <t>SOLFIBBLA fitt sheet 180x200 white beige/stripe AP</t>
  </si>
  <si>
    <t>90621439</t>
  </si>
  <si>
    <t>BÄRGLIM fitt sheet 150x200 grey AP</t>
  </si>
  <si>
    <t>00442606</t>
  </si>
  <si>
    <t>NATTJASMIN dc/2pwc 200x230/50x80 light beige AP</t>
  </si>
  <si>
    <t>00585412</t>
  </si>
  <si>
    <t>EKTANDVINGE dc/2pwc 200x230/50x80 gry-grn w/chk AP</t>
  </si>
  <si>
    <t>00637897</t>
  </si>
  <si>
    <t>JÄRNTRÄD dc/2pwc 200x230/50x80 lbeige/whi AP</t>
  </si>
  <si>
    <t>10600501</t>
  </si>
  <si>
    <t>DOFTAKLEJA dc/2pwc 200x230/50x80 whi/anthracite AP</t>
  </si>
  <si>
    <t>10621990</t>
  </si>
  <si>
    <t>BANDKNIPPE NEW dc/2pwc 200x230/50x80 whi/bei AP</t>
  </si>
  <si>
    <t>10637043</t>
  </si>
  <si>
    <t>ARENBOK dc/2pwc 200x230/50x80 dblue/flrl patt AP</t>
  </si>
  <si>
    <t>10637868</t>
  </si>
  <si>
    <t>BÖNTRÄD dc/2pwc 200x230/50x80 dbei/flrl patt AP</t>
  </si>
  <si>
    <t>10637910</t>
  </si>
  <si>
    <t>JÄRNTRÄD dc/pwc 150x200/50x80 light beige/white AP</t>
  </si>
  <si>
    <t>20591172</t>
  </si>
  <si>
    <t>BJÖRKGRÅMAL dc/2pwc 200x230/50x80 blk whi/dott AP</t>
  </si>
  <si>
    <t>20599762</t>
  </si>
  <si>
    <t>SCHERSMIN dc/2pwc 200x230/50x80 pale pink AP</t>
  </si>
  <si>
    <t>20637882</t>
  </si>
  <si>
    <t>BÖNTRÄD dc/pwc 150x200/50x80 dbei/flrl patt AP</t>
  </si>
  <si>
    <t>30605772</t>
  </si>
  <si>
    <t>BROKDRACENA dc/2pwc 200x230/50x80 white/black AP</t>
  </si>
  <si>
    <t>30611278</t>
  </si>
  <si>
    <t>SOLFIBBLA dc/2pwc 240x220/50x80 whi gree/stripe AP</t>
  </si>
  <si>
    <t>30621625</t>
  </si>
  <si>
    <t>BANDKNIPPE NEW dc/pwc 150x200/50x80 white/green AP</t>
  </si>
  <si>
    <t>30621994</t>
  </si>
  <si>
    <t>BANDKNIPPE NEW dc/2pwc 240x220/50x80 whi/bei AP</t>
  </si>
  <si>
    <t>30632172</t>
  </si>
  <si>
    <t>FYRISVIDE dc/2pwc 200x230/50x80 whi/flrl patt AP</t>
  </si>
  <si>
    <t>30632186</t>
  </si>
  <si>
    <t>FYRISVIDE dc/pwc 150x200/50x80 whi/flrl patt AP</t>
  </si>
  <si>
    <t>30632445</t>
  </si>
  <si>
    <t>ÄNGSLILJA dc/2pwc 200x230/50x80 pale grey-green AP</t>
  </si>
  <si>
    <t>30632662</t>
  </si>
  <si>
    <t>EKTANDVINGE dc/2pwc 200x230/50x80 dblue whi/che AP</t>
  </si>
  <si>
    <t>40318657</t>
  </si>
  <si>
    <t>ÄNGSLILJA dc/2pwc 240x220/50x80 grey AP JP</t>
  </si>
  <si>
    <t>40591185</t>
  </si>
  <si>
    <t>BJÖRKGRÅMAL dc/pwc 150x200/50x80 blk whi/dotted AP</t>
  </si>
  <si>
    <t>40595824</t>
  </si>
  <si>
    <t>NATTJASMIN dc/2pwc 200x230/50x80 blue-green AP</t>
  </si>
  <si>
    <t>40612197</t>
  </si>
  <si>
    <t>SOLFIBBLA dc/pwc 150x200/50x80 whi blue/stripe AP</t>
  </si>
  <si>
    <t>40623332</t>
  </si>
  <si>
    <t>FLÄDERBUSKE dc/pwc 150x200/50x80 multicolour AP</t>
  </si>
  <si>
    <t>40623761</t>
  </si>
  <si>
    <t>PILTANDVINGE dc/2pwc 200x230/50x80 light blue AP</t>
  </si>
  <si>
    <t>40623775</t>
  </si>
  <si>
    <t>PILTANDVINGE dc/pwc 150x200/50x80 light blue AP</t>
  </si>
  <si>
    <t>40636612</t>
  </si>
  <si>
    <t>ÄNGSLILJA N dc/2pwc 200x230/50x80 dark blue AP</t>
  </si>
  <si>
    <t>50318567</t>
  </si>
  <si>
    <t>ÄNGSLILJA dc/pwc 150x200/50x80 white AP JP</t>
  </si>
  <si>
    <t>50318671</t>
  </si>
  <si>
    <t>ÄNGSLILJA dc/pwc 150x200/50x80 grey AP JP</t>
  </si>
  <si>
    <t>50632675</t>
  </si>
  <si>
    <t>EKTANDVINGE dc/pwc 150x200/50x80 dblue whi/chec AP</t>
  </si>
  <si>
    <t>60599840</t>
  </si>
  <si>
    <t>PILDVÄRGMAL dc/2pwc 200x230/50x80 whi/flrl patt AP</t>
  </si>
  <si>
    <t>60600589</t>
  </si>
  <si>
    <t>DOFTAKLEJA dc/2pwc 240x220/50x80 dblue/lbrn AP</t>
  </si>
  <si>
    <t>60623307</t>
  </si>
  <si>
    <t>FLÄDERBUSKE dc/2pwc 200x230/50x80 multicolour AP</t>
  </si>
  <si>
    <t>60632458</t>
  </si>
  <si>
    <t>ÄNGSLILJA dc/pwc 150x200/50x80 pale grey-green AP</t>
  </si>
  <si>
    <t>60632665</t>
  </si>
  <si>
    <t>EKTANDVINGE dc/2pwc 240x220/50x80 dblue whi/che AP</t>
  </si>
  <si>
    <t>60632873</t>
  </si>
  <si>
    <t>SLÅNHÖSTMAL dc/pwc 150x200/50x80 lpin dred/stri AP</t>
  </si>
  <si>
    <t>60632905</t>
  </si>
  <si>
    <t>SLÅNHÖSTMAL dc/2pwc 200x230/50x80 lblu dgr/stri AP</t>
  </si>
  <si>
    <t>60636625</t>
  </si>
  <si>
    <t>ÄNGSLILJA N dc/pwc 150x200/50x80 dark blue AP</t>
  </si>
  <si>
    <t>60637658</t>
  </si>
  <si>
    <t>KRONBUSKE dc/pwc 150x200/50x80 lbeige/flrl patt AP</t>
  </si>
  <si>
    <t>70579101</t>
  </si>
  <si>
    <t>PILTANDVINGE dc/pwc 150x200/50x80 grey AP</t>
  </si>
  <si>
    <t>70591971</t>
  </si>
  <si>
    <t>ÄNGSLILJA dc/2pwc 200x230/50x80 natural AP</t>
  </si>
  <si>
    <t>70595827</t>
  </si>
  <si>
    <t>NATTJASMIN dc/2pwc 240x220/50x80 blue-green AP</t>
  </si>
  <si>
    <t>70599854</t>
  </si>
  <si>
    <t>PILDVÄRGMAL dc/pwc 150x200/50x80 whi/flrl patt AP</t>
  </si>
  <si>
    <t>70611276</t>
  </si>
  <si>
    <t>SOLFIBBLA dc/2pwc 200x230/50x80 whi gree/stripe AP</t>
  </si>
  <si>
    <t>70622005</t>
  </si>
  <si>
    <t>BANDKNIPPE NEW dc/pwc 150x200/50x80 white/beige AP</t>
  </si>
  <si>
    <t>70632919</t>
  </si>
  <si>
    <t>SLÅNHÖSTMAL dc/pwc 150x200/50x80 lblu dgr/strip AP</t>
  </si>
  <si>
    <t>70636682</t>
  </si>
  <si>
    <t>BIRGITTARÖNN dc/pwc 150x200/50x80 white AP</t>
  </si>
  <si>
    <t>80337164</t>
  </si>
  <si>
    <t>NATTJASMIN dc/2pwc 200x230/50x80 white AP</t>
  </si>
  <si>
    <t>80592791</t>
  </si>
  <si>
    <t>ÄNGSLILJA dc/pwc 150x200/50x80 natural AP</t>
  </si>
  <si>
    <t>80605784</t>
  </si>
  <si>
    <t>BROKDRACENA dc/pwc 150x200/50x80 white/black AP</t>
  </si>
  <si>
    <t>80610945</t>
  </si>
  <si>
    <t>SOLFIBBLA dc/2pwc 200x230/50x80 whi bei/stripe AP</t>
  </si>
  <si>
    <t>80632481</t>
  </si>
  <si>
    <t>ÄNGSLILJA dc/2pwc 200x230/50x80 light brown AP</t>
  </si>
  <si>
    <t>90442621</t>
  </si>
  <si>
    <t>NATTJASMIN dc/pwc 150x200/50x80 light beige AP</t>
  </si>
  <si>
    <t>90600516</t>
  </si>
  <si>
    <t>DOFTAKLEJA dc/pwc 150x200/50x80 whi/anthracite AP</t>
  </si>
  <si>
    <t>90600601</t>
  </si>
  <si>
    <t>DOFTAKLEJA dc/pwc 150x200/50x80 dblue/lbrn AP</t>
  </si>
  <si>
    <t>00458739</t>
  </si>
  <si>
    <t>FJÄLLBRÄCKA duvet extra warm 240x220 KR</t>
  </si>
  <si>
    <t>10457452</t>
  </si>
  <si>
    <t>FJÄLLARNIKA duvet light warm 200x230 KR</t>
  </si>
  <si>
    <t>10458734</t>
  </si>
  <si>
    <t>FJÄLLBRÄCKA duvet extra warm 200x230 KR</t>
  </si>
  <si>
    <t>10459286</t>
  </si>
  <si>
    <t>FJÄLLARNIKA duvet extra warm 200x230 KR</t>
  </si>
  <si>
    <t>10607258</t>
  </si>
  <si>
    <t>SKOGSFRÄKEN duvet warm 200x230 AP</t>
  </si>
  <si>
    <t>20458427</t>
  </si>
  <si>
    <t>SMÅSPORRE duvet extra warm 150x200 AP</t>
  </si>
  <si>
    <t>30459030</t>
  </si>
  <si>
    <t>FJÄLLARNIKA duvet warm 200x230 KR</t>
  </si>
  <si>
    <t>30602387</t>
  </si>
  <si>
    <t>GRÄSROTSFLY duvet cool 150x200 AP</t>
  </si>
  <si>
    <t>40458520</t>
  </si>
  <si>
    <t>FJÄLLBRÄCKA duvet warm 150x200 KR</t>
  </si>
  <si>
    <t>50457006</t>
  </si>
  <si>
    <t>SMÅSPORRE duvet, light warm 150x200 AP</t>
  </si>
  <si>
    <t>50457978</t>
  </si>
  <si>
    <t>SMÅSPORRE duvet warm 150x200 AP</t>
  </si>
  <si>
    <t>50459289</t>
  </si>
  <si>
    <t>FJÄLLARNIKA duvet extra warm 240x220 KR</t>
  </si>
  <si>
    <t>60457987</t>
  </si>
  <si>
    <t>SMÅSPORRE duvet warm 200x230 AP</t>
  </si>
  <si>
    <t>70457449</t>
  </si>
  <si>
    <t>FJÄLLARNIKA duvet light warm 150x200 KR</t>
  </si>
  <si>
    <t>80459283</t>
  </si>
  <si>
    <t>FJÄLLARNIKA duvet extra warm 150x200 KR</t>
  </si>
  <si>
    <t>90458725</t>
  </si>
  <si>
    <t>FJÄLLBRÄCKA duvet extra warm 150x200 KR</t>
  </si>
  <si>
    <t>10421000</t>
  </si>
  <si>
    <t>BACKTRAV bolster 23x91 AP</t>
  </si>
  <si>
    <t>10460572</t>
  </si>
  <si>
    <t>VILDKORN pllw high side/back 50x80 AP</t>
  </si>
  <si>
    <t>10460591</t>
  </si>
  <si>
    <t>VILDKORN pllw low stomach 50x80 AP</t>
  </si>
  <si>
    <t>10547151</t>
  </si>
  <si>
    <t>GULKAVLE N pllw high side/back 50x80 KR</t>
  </si>
  <si>
    <t>20554283</t>
  </si>
  <si>
    <t>RAMSLÖKSMAL ergo pllw multi position 41x52 AP</t>
  </si>
  <si>
    <t>20560284</t>
  </si>
  <si>
    <t>NORDSTÅLÖRT ergo pllw side/back sleeper 35x50 AP</t>
  </si>
  <si>
    <t>30587141</t>
  </si>
  <si>
    <t>PILSPINNARE pllw low stomach 50x80 KR</t>
  </si>
  <si>
    <t>30627199</t>
  </si>
  <si>
    <t>SKOGSFRÄKEN N pllw high side/back 50x80 AP</t>
  </si>
  <si>
    <t>40470107</t>
  </si>
  <si>
    <t>BJÖRKPYROLA ergo pllw side/back sleeper 33x50 AP</t>
  </si>
  <si>
    <t>40628626</t>
  </si>
  <si>
    <t>GAFFELKLOCKA pllw high side/back 50x80 AP</t>
  </si>
  <si>
    <t>60460372</t>
  </si>
  <si>
    <t>LAPPTÅTEL pllw high side/back 50x80 AP</t>
  </si>
  <si>
    <t>60544881</t>
  </si>
  <si>
    <t>SANDGRÄSMAL pillow 50x80 AP</t>
  </si>
  <si>
    <t>60596196</t>
  </si>
  <si>
    <t>LÖKSTAMFLY ergo pllw side/back sleeper 50x80 AP</t>
  </si>
  <si>
    <t>70444367</t>
  </si>
  <si>
    <t>ROSENSKÄRM ergo pllw side/back sleeper 33x50 AP</t>
  </si>
  <si>
    <t>80446097</t>
  </si>
  <si>
    <t>KLUBBSPORRE ergo pllw side/back sleeper 41x70 AP</t>
  </si>
  <si>
    <t>80513218</t>
  </si>
  <si>
    <t>KVARNVEN erg pillow, stomach sleeper 39x69 AP</t>
  </si>
  <si>
    <t>90587119</t>
  </si>
  <si>
    <t>PILSPINNARE pllw high side/back 50x80 KR</t>
  </si>
  <si>
    <t>10531287</t>
  </si>
  <si>
    <t>SOTNÄTFJÄRIL waterpr matt protec 150x200 AP</t>
  </si>
  <si>
    <t>40543613</t>
  </si>
  <si>
    <t>KEJSAROLVON mattr protector 180x200 beige/blue AP</t>
  </si>
  <si>
    <t>60629111</t>
  </si>
  <si>
    <t>ÄNGSKORN N pillow protector 50x80 AP</t>
  </si>
  <si>
    <t>90531293</t>
  </si>
  <si>
    <t>SOTNÄTFJÄRIL waterpr matt protec 90x200 AP</t>
  </si>
  <si>
    <t>00576040</t>
  </si>
  <si>
    <t>SLÅNHÖSTMAL hand towel 40x70 bblue/lblue stripd AP</t>
  </si>
  <si>
    <t>00579717</t>
  </si>
  <si>
    <t>GULVIAL wshclth 30x30 dark grey-blue AP</t>
  </si>
  <si>
    <t>10612071</t>
  </si>
  <si>
    <t>BROKGLIM hand towel 40x70 pink AP</t>
  </si>
  <si>
    <t>10614414</t>
  </si>
  <si>
    <t>BROKGINST hand towel 40x70 black AP</t>
  </si>
  <si>
    <t>20614357</t>
  </si>
  <si>
    <t>GULVIAL bath towel 70x140 yellow AP</t>
  </si>
  <si>
    <t>30614371</t>
  </si>
  <si>
    <t>GULVIAL wshclth 30x30 yellow AP</t>
  </si>
  <si>
    <t>40579701</t>
  </si>
  <si>
    <t>GULVIAL wshclth 30x30 turquoise AP</t>
  </si>
  <si>
    <t>40612017</t>
  </si>
  <si>
    <t>BROKGLIM bath towel 70x140 grey AP</t>
  </si>
  <si>
    <t>40612102</t>
  </si>
  <si>
    <t>BROKGLIM hand towel 40x70 beige AP</t>
  </si>
  <si>
    <t>50576028</t>
  </si>
  <si>
    <t>SLÅNHÖSTMAL bath towel 70x140 blk/lbeige stripe AP</t>
  </si>
  <si>
    <t>50612026</t>
  </si>
  <si>
    <t>BROKGLIM wshclth 30x30 grey AP</t>
  </si>
  <si>
    <t>50612045</t>
  </si>
  <si>
    <t>BROKGLIM bath towel 70x140 dark blue AP</t>
  </si>
  <si>
    <t>50614365</t>
  </si>
  <si>
    <t>GULVIAL hand towel 40x70 yellow AP</t>
  </si>
  <si>
    <t>60612097</t>
  </si>
  <si>
    <t>BROKGLIM bath towel 70x140 beige AP</t>
  </si>
  <si>
    <t>70576032</t>
  </si>
  <si>
    <t>SLÅNHÖSTMAL hand towel 40x70 blk/lbeige striped AP</t>
  </si>
  <si>
    <t>70579667</t>
  </si>
  <si>
    <t>GULVIAL hand towel 40x70 white AP</t>
  </si>
  <si>
    <t>70579691</t>
  </si>
  <si>
    <t>GULVIAL wshclth 30x30 beige AP</t>
  </si>
  <si>
    <t>70579714</t>
  </si>
  <si>
    <t>GULVIAL hand towel 40x70 dark grey-blue AP</t>
  </si>
  <si>
    <t>70614406</t>
  </si>
  <si>
    <t>BROKGINST bath towel 70x140 black AP</t>
  </si>
  <si>
    <t>80579681</t>
  </si>
  <si>
    <t>GULVIAL wshclth 30x30 black AP</t>
  </si>
  <si>
    <t>90579671</t>
  </si>
  <si>
    <t>GULVIAL wshclth 30x30 white AP</t>
  </si>
  <si>
    <t>00581904</t>
  </si>
  <si>
    <t>FINTSEN bath mat 40x60 beige AP</t>
  </si>
  <si>
    <t>30557530</t>
  </si>
  <si>
    <t>KÄRRKNIPPROT bath mat 65 floral pattern/multi AP</t>
  </si>
  <si>
    <t>30610269</t>
  </si>
  <si>
    <t>TOFTBO bath mat 40x60 grey-white/mélange AP</t>
  </si>
  <si>
    <t>30610274</t>
  </si>
  <si>
    <t>TOFTBO bath mat 40x60 bright blue AP</t>
  </si>
  <si>
    <t>80610262</t>
  </si>
  <si>
    <t>TOFTBO bath mat 40x60 beige AP</t>
  </si>
  <si>
    <t>80623274</t>
  </si>
  <si>
    <t>KALLGATE bath mat 40x60 black/white AP</t>
  </si>
  <si>
    <t>20591148</t>
  </si>
  <si>
    <t>STRANDLUMMER show curtain 180x200 multicolour AP</t>
  </si>
  <si>
    <t>40496758</t>
  </si>
  <si>
    <t>ÄNGSKLOCKA show curtain 180x200 white/blue AP</t>
  </si>
  <si>
    <t>40623167</t>
  </si>
  <si>
    <t>STAVBJÖRNBÄR show curtain 180x200 black/white AP</t>
  </si>
  <si>
    <t>50613686</t>
  </si>
  <si>
    <t>DOCKBÅT show curtain 180x200 white/multicolour AP</t>
  </si>
  <si>
    <t>70314974</t>
  </si>
  <si>
    <t>BOTAREN shower curtain rod 120-200 white AP CN</t>
  </si>
  <si>
    <t>80466009</t>
  </si>
  <si>
    <t>HASSJÖN shower curtain ring white 12-p AP</t>
  </si>
  <si>
    <t>90306020</t>
  </si>
  <si>
    <t>BOTAREN shower curtain rod 70-120 white AP CN</t>
  </si>
  <si>
    <t>10611868</t>
  </si>
  <si>
    <t>SKOGSSALLAT toiletry bag red/white/striped AP</t>
  </si>
  <si>
    <t>10636717</t>
  </si>
  <si>
    <t>GULDLÖNN bath robe S/M beige AP</t>
  </si>
  <si>
    <t>30633685</t>
  </si>
  <si>
    <t>VINTERFINT 2026 slippers S/M grey AP</t>
  </si>
  <si>
    <t>50636715</t>
  </si>
  <si>
    <t>GULDLÖNN bath robe L/XL beige AP</t>
  </si>
  <si>
    <t>00556377</t>
  </si>
  <si>
    <t>LÖNNSTÄVMAL blck-out crtns 1 pr 145x250 bei/ht AP</t>
  </si>
  <si>
    <t>00583390</t>
  </si>
  <si>
    <t>SILVERLÖNN sheer crtn 1 pair 145x250 lgrey/ht AP</t>
  </si>
  <si>
    <t>00586015</t>
  </si>
  <si>
    <t>VILBORG room dark crtns 1 pr 145x250 pink/ht AP</t>
  </si>
  <si>
    <t>00597189</t>
  </si>
  <si>
    <t>GINSTMOTT crtns 1pr 145x250 dblue/heading tape AP</t>
  </si>
  <si>
    <t>00627681</t>
  </si>
  <si>
    <t>PELARKÖRSBÄR crtns 1pr 145x250 wh/bk flrl pa/ht AP</t>
  </si>
  <si>
    <t>10346751</t>
  </si>
  <si>
    <t>MAJGULL room dark crtns 1 pr 145x250 lgrey/ht AP</t>
  </si>
  <si>
    <t>10417814</t>
  </si>
  <si>
    <t>MAJGULL N blck-out crtns 1 pr 145x250 grey/ht AP</t>
  </si>
  <si>
    <t>10597711</t>
  </si>
  <si>
    <t>STENFRÖ sheer curtain 1 pc 300x250 bei/ht AP</t>
  </si>
  <si>
    <t>10637156</t>
  </si>
  <si>
    <t>ALVINE SPETS café curtain 1 p 145x50 wh/rd pckt AP</t>
  </si>
  <si>
    <t>20509969</t>
  </si>
  <si>
    <t>BYMOTT crtns 1pr 120x250 wh/bei striped/ht AP</t>
  </si>
  <si>
    <t>20597169</t>
  </si>
  <si>
    <t>GINSTMOTT crtns 1pr 145x250 whi/heading tape AP</t>
  </si>
  <si>
    <t>20602161</t>
  </si>
  <si>
    <t>BENGTA N block-out crtns 1 pc 210x250 lpink/ht AP</t>
  </si>
  <si>
    <t>20640846</t>
  </si>
  <si>
    <t>ANNAKAJSA rm drk crtns 1pr 145x250 yel-brn/w ht AP</t>
  </si>
  <si>
    <t>30539065</t>
  </si>
  <si>
    <t>ROSENMANDEL blck-out crtns 1 pr 135x250 dgrn/ht AP</t>
  </si>
  <si>
    <t>30637160</t>
  </si>
  <si>
    <t>MATILDA café curtain 1 p 145x50 whi/tab top AP</t>
  </si>
  <si>
    <t>40491039</t>
  </si>
  <si>
    <t>SILVERLÖNN sheer crtn 1 pair 145x250 whi/ht AP</t>
  </si>
  <si>
    <t>40594891</t>
  </si>
  <si>
    <t>STENFRÖ sheer crtn 1 pair 145x250 pink/ht AP</t>
  </si>
  <si>
    <t>40640845</t>
  </si>
  <si>
    <t>ANNAKAJSA room dark crtns 1 pr 145x250 whi/w ht AP</t>
  </si>
  <si>
    <t>50539074</t>
  </si>
  <si>
    <t>ROSENMANDEL rom drk crtn 1 pr 135x250 ylwbei/ht AP</t>
  </si>
  <si>
    <t>50602150</t>
  </si>
  <si>
    <t>BENGTA N block-out crtns 1 pc 210x250 bei/ht AP</t>
  </si>
  <si>
    <t>50640562</t>
  </si>
  <si>
    <t>ANNAKAJSA room dark crtns 1 pr 145x178 bei/w ht AP</t>
  </si>
  <si>
    <t>60466717</t>
  </si>
  <si>
    <t>DYTÅG crtns 1pr 145x250 white/with heading tape AP</t>
  </si>
  <si>
    <t>60597172</t>
  </si>
  <si>
    <t>GINSTMOTT crtns 1pr 145x250 bei/heading tape AP</t>
  </si>
  <si>
    <t>60633764</t>
  </si>
  <si>
    <t>RITVA crtns w tieb 1pr 145x250 whi/with eyelets AP</t>
  </si>
  <si>
    <t>70597176</t>
  </si>
  <si>
    <t>GINSTMOTT crtns 1pr 145x250 dgrey/heading tape AP</t>
  </si>
  <si>
    <t>70640924</t>
  </si>
  <si>
    <t>ANNAKAJSA room dark crtns 1 pr 145x178 whi/w ht AP</t>
  </si>
  <si>
    <t>80297554</t>
  </si>
  <si>
    <t>VILBORG N room dark crtn 1 pr 145x250 bei/ht AP JP</t>
  </si>
  <si>
    <t>80597185</t>
  </si>
  <si>
    <t>GINSTMOTT crtns 1pr 145x250 yel/heading tape AP</t>
  </si>
  <si>
    <t>80601093</t>
  </si>
  <si>
    <t>STOCKHOLM 2025 crtns 1pr 145x250 wh/bk/ht AP</t>
  </si>
  <si>
    <t>80637167</t>
  </si>
  <si>
    <t>LENDA café curtain 1 p 140x50 off-whi/tab top AP</t>
  </si>
  <si>
    <t>90559673</t>
  </si>
  <si>
    <t>HÄLLEBRÄCKA sheer crtn 1 pair 145x250 lbeige/ht AP</t>
  </si>
  <si>
    <t>90597156</t>
  </si>
  <si>
    <t>KORGMOTT blck-out crtns 1 pr 145x250 dgrey/ht AP</t>
  </si>
  <si>
    <t>90629322</t>
  </si>
  <si>
    <t>MATILDA N sheer crtn 1 pair 145x250 whi/w eyele AP</t>
  </si>
  <si>
    <t>90640923</t>
  </si>
  <si>
    <t>ANNAKAJSA rm drk crtns 1pr 145x178 yel-brn/w ht AP</t>
  </si>
  <si>
    <t>10380995</t>
  </si>
  <si>
    <t>TRETUR blck-out rllr blnd 140x195 light grey AP</t>
  </si>
  <si>
    <t>10506551</t>
  </si>
  <si>
    <t>TRIPPEVALS blck-out cllulr blnd 100x195 white AP</t>
  </si>
  <si>
    <t>10584619</t>
  </si>
  <si>
    <t>FRIDANS blck-out rllr blnd 180x195 white KR</t>
  </si>
  <si>
    <t>20506555</t>
  </si>
  <si>
    <t>TRIPPEVALS blck-out cllulr blnd 80x195 white AP</t>
  </si>
  <si>
    <t>30469784</t>
  </si>
  <si>
    <t>SANDVEDEL rller blind 100x195 beige AP</t>
  </si>
  <si>
    <t>30627585</t>
  </si>
  <si>
    <t>TANDLUNDFLY duo roller blind 120x155 AP</t>
  </si>
  <si>
    <t>50583707</t>
  </si>
  <si>
    <t>VECKLARFLY ven blind 120x155 white AP</t>
  </si>
  <si>
    <t>80290637</t>
  </si>
  <si>
    <t>HOPPVALS cellular blind 140x155 white AP JP</t>
  </si>
  <si>
    <t>80380987</t>
  </si>
  <si>
    <t>TRETUR blck-out rllr blnd 100x195 light grey AP</t>
  </si>
  <si>
    <t>80469786</t>
  </si>
  <si>
    <t>SANDVEDEL rller blind 140x195 beige AP</t>
  </si>
  <si>
    <t>10183216</t>
  </si>
  <si>
    <t>SY iron-on hemm strp AP JP</t>
  </si>
  <si>
    <t>20212204</t>
  </si>
  <si>
    <t>RIKTIG curtain hook pleating hooks 20-p AP CN</t>
  </si>
  <si>
    <t>20489532</t>
  </si>
  <si>
    <t>FRAMFUSIG single track rail w glide 100-180 whi AP</t>
  </si>
  <si>
    <t>20489688</t>
  </si>
  <si>
    <t>BEKRÄFTA curtain rod set 120-210 cm 28 mm white AP</t>
  </si>
  <si>
    <t>30417436</t>
  </si>
  <si>
    <t>FJÄDRANDE curtain rod 70-120 white AP</t>
  </si>
  <si>
    <t>40219898</t>
  </si>
  <si>
    <t>BETYDLIG crtn rod hldr white AP CN</t>
  </si>
  <si>
    <t>50489535</t>
  </si>
  <si>
    <t>BEKRÄFTA curtain rod set 120-210 cm 19 mm white AP</t>
  </si>
  <si>
    <t>50489700</t>
  </si>
  <si>
    <t>BEKRÄFTA dbl crtn rod set 120-210 cm 19 mm whi AP</t>
  </si>
  <si>
    <t>60217233</t>
  </si>
  <si>
    <t>SYRLIG crtn ring w clip+hook 38mm white 10-p AP CN</t>
  </si>
  <si>
    <t>70172804</t>
  </si>
  <si>
    <t>IRJA curtain rod set 140 white AP CN</t>
  </si>
  <si>
    <t>70219892</t>
  </si>
  <si>
    <t>BETYDLIG wll/clng brckt white AP CN</t>
  </si>
  <si>
    <t>00579821</t>
  </si>
  <si>
    <t>VARGTÖREL pre-cut fabric 150x300 black/white AP</t>
  </si>
  <si>
    <t>00561802</t>
  </si>
  <si>
    <t>LAGERPOPPEL cushion cvr 50x50 light pink AP</t>
  </si>
  <si>
    <t>00598730</t>
  </si>
  <si>
    <t>GURLI cushion cvr 50x50 unbleached AP</t>
  </si>
  <si>
    <t>00598754</t>
  </si>
  <si>
    <t>GURLI NN cushion cvr 50x50 pink AP</t>
  </si>
  <si>
    <t>00603996</t>
  </si>
  <si>
    <t>BLÅMUNKAR cushion cvr 50x50 wh/bk/dot pattern AP</t>
  </si>
  <si>
    <t>00604632</t>
  </si>
  <si>
    <t>REVFINGERÖRT cushion cvr 50x50 dblue/multi AP</t>
  </si>
  <si>
    <t>00624362</t>
  </si>
  <si>
    <t>KRYDDBUSKE cushion cvr 50x50 brown-red AP</t>
  </si>
  <si>
    <t>00624588</t>
  </si>
  <si>
    <t>MURSENAP cushion 40x58 beige white/embroidery AP</t>
  </si>
  <si>
    <t>00625267</t>
  </si>
  <si>
    <t>SYRENBUSKE cushion 38 off-white AP</t>
  </si>
  <si>
    <t>00625286</t>
  </si>
  <si>
    <t>HALLONBUSKE cushion cvr 48x48 unbleach/flrl pat AP</t>
  </si>
  <si>
    <t>00625446</t>
  </si>
  <si>
    <t>DYTÅG cushion cvr 50x50 unbleached AP</t>
  </si>
  <si>
    <t>00626417</t>
  </si>
  <si>
    <t>ÅSVEIG cushion cvr 50x50 light pink AP</t>
  </si>
  <si>
    <t>10539226</t>
  </si>
  <si>
    <t>FJÄDRAR cush pad 40x58 grey KR</t>
  </si>
  <si>
    <t>10591894</t>
  </si>
  <si>
    <t>SANELA cushion cvr 50x50 pale pink AP</t>
  </si>
  <si>
    <t>10622089</t>
  </si>
  <si>
    <t>FJUNKLOCKA cushion cvr 50x50 yellow/white AP</t>
  </si>
  <si>
    <t>10623423</t>
  </si>
  <si>
    <t>GURLI N floor cushion 45x45x10 unbleached AP</t>
  </si>
  <si>
    <t>20368752</t>
  </si>
  <si>
    <t>RÖDARV cushion 40x65 multicolour KR</t>
  </si>
  <si>
    <t>20605046</t>
  </si>
  <si>
    <t>KORALLBUSKE cushion cvr 50x50 lblue/multi AP</t>
  </si>
  <si>
    <t>20623286</t>
  </si>
  <si>
    <t>FJÄLLFRYLE cushion 50x58 whi multi/embroidery AP</t>
  </si>
  <si>
    <t>20626416</t>
  </si>
  <si>
    <t>ÅSVEIG cushion cvr 50x50 dark green AP</t>
  </si>
  <si>
    <t>20628774</t>
  </si>
  <si>
    <t>KOMPISHÄNG back cshn 68x60 beige AP</t>
  </si>
  <si>
    <t>20636024</t>
  </si>
  <si>
    <t>SANELA N cushion cvr 50x50 dark brown AP</t>
  </si>
  <si>
    <t>30550703</t>
  </si>
  <si>
    <t>INNER cush pad 50x50 white/in/outdoor AP</t>
  </si>
  <si>
    <t>30571098</t>
  </si>
  <si>
    <t>MOROTSMOTT cushion cvr 50x50 white/light pink AP</t>
  </si>
  <si>
    <t>30590898</t>
  </si>
  <si>
    <t>SANELA N cushion cvr 50x50 light beige AP</t>
  </si>
  <si>
    <t>40598728</t>
  </si>
  <si>
    <t>GURLI NN cushion cvr 50x50 white AP</t>
  </si>
  <si>
    <t>40599624</t>
  </si>
  <si>
    <t>BJÖRKGRÅMAL cushion cvr 50x50 black/white AP</t>
  </si>
  <si>
    <t>40614403</t>
  </si>
  <si>
    <t>TRATTKAKTUS cushion cvr 50x50 multicolour AP</t>
  </si>
  <si>
    <t>40617492</t>
  </si>
  <si>
    <t>IKEA PS 2026 cushion cvr 50x50 whi/multi AP</t>
  </si>
  <si>
    <t>40630733</t>
  </si>
  <si>
    <t>KUSTFYR 2026 cushion cvr 50x50 pumpk pat blk/or AP</t>
  </si>
  <si>
    <t>50372776</t>
  </si>
  <si>
    <t>FJÄDRAR cush pad 65x65 off-white KR</t>
  </si>
  <si>
    <t>50570960</t>
  </si>
  <si>
    <t>VALLKRASSING cushion cvr 50x50 off-white AP</t>
  </si>
  <si>
    <t>50604700</t>
  </si>
  <si>
    <t>SVARTPOPPEL cushion cvr 50x50 anthracite AP</t>
  </si>
  <si>
    <t>50623421</t>
  </si>
  <si>
    <t>GURLI N floor cushion 45x45x10 grey AP</t>
  </si>
  <si>
    <t>60548370</t>
  </si>
  <si>
    <t>JORDKASTANJ cushion 40x40 grey AP</t>
  </si>
  <si>
    <t>60550711</t>
  </si>
  <si>
    <t>INNER cush pad 40x58 white/in/outdoor AP</t>
  </si>
  <si>
    <t>60588139</t>
  </si>
  <si>
    <t>SVARTHÖ cushion cvr 50x50 orange/multicolour AP</t>
  </si>
  <si>
    <t>60590929</t>
  </si>
  <si>
    <t>SANELA cushion cvr 50x50 dark grey-turquoise AP</t>
  </si>
  <si>
    <t>60632383</t>
  </si>
  <si>
    <t>SYRENBUSKE cushion 36 brown-red AP</t>
  </si>
  <si>
    <t>60636003</t>
  </si>
  <si>
    <t>SANELA N cushion cvr 50x50 dark green AP</t>
  </si>
  <si>
    <t>60636734</t>
  </si>
  <si>
    <t>HALLONBUSKE cushion cvr 48x48 green/flrl patt AP</t>
  </si>
  <si>
    <t>60641113</t>
  </si>
  <si>
    <t>GLANSHÄGG cushion 50x50 black/white AP</t>
  </si>
  <si>
    <t>70372775</t>
  </si>
  <si>
    <t>FJÄDRAR cush pad 50x50 off-white KR</t>
  </si>
  <si>
    <t>70465053</t>
  </si>
  <si>
    <t>HANNELISE cushion 50x50 multicolour AP</t>
  </si>
  <si>
    <t>70550697</t>
  </si>
  <si>
    <t>INNER cush pad 65x65 white/in/outdoor AP</t>
  </si>
  <si>
    <t>70561808</t>
  </si>
  <si>
    <t>LAGERPOPPEL cushion cvr 40x58 light brown AP</t>
  </si>
  <si>
    <t>70592131</t>
  </si>
  <si>
    <t>STOCKHOLM 2025 cushion cvr 50x50 white/black AP</t>
  </si>
  <si>
    <t>70598736</t>
  </si>
  <si>
    <t>GURLI N cushion cvr 50x50 dark grey AP</t>
  </si>
  <si>
    <t>70635989</t>
  </si>
  <si>
    <t>SANELA cushion cvr 50x50 yellow-brown AP</t>
  </si>
  <si>
    <t>80561799</t>
  </si>
  <si>
    <t>LAGERPOPPEL cushion cvr 50x50 off-white AP</t>
  </si>
  <si>
    <t>80572199</t>
  </si>
  <si>
    <t>UNDERBLOMMA cushion cvr 50x50 white/green AP</t>
  </si>
  <si>
    <t>80572420</t>
  </si>
  <si>
    <t>ÅSVEIG cushion cvr 40x58 light beige AP</t>
  </si>
  <si>
    <t>80604628</t>
  </si>
  <si>
    <t>DRABOR cushion cvr 50x50 black/light beige AP</t>
  </si>
  <si>
    <t>80614401</t>
  </si>
  <si>
    <t>BRUNNYCKLAR cushn cvr 50x50 dgrey/blk/dot patt AP</t>
  </si>
  <si>
    <t>80615113</t>
  </si>
  <si>
    <t>MÄVINN cushion cvr 50x50 multi/stripe pattern AP</t>
  </si>
  <si>
    <t>80632278</t>
  </si>
  <si>
    <t>KUSTFYR 2026 cushion cvr 50x50 mix patt wh/bk AP</t>
  </si>
  <si>
    <t>90471699</t>
  </si>
  <si>
    <t>VÄNDEROT cushion 50x50 white KR</t>
  </si>
  <si>
    <t>90517683</t>
  </si>
  <si>
    <t>DYTÅG cushion cvr 50x50 red-brown AP</t>
  </si>
  <si>
    <t>90570958</t>
  </si>
  <si>
    <t>VALLKRASSING cushion cvr 50x50 grey-green AP</t>
  </si>
  <si>
    <t>90582329</t>
  </si>
  <si>
    <t>VILDPERSILJA cushion cvr 50x50 whi mult/flr pat AP</t>
  </si>
  <si>
    <t>90603987</t>
  </si>
  <si>
    <t>SLÅNHÖSTMAL cushion cvr 50x50 blk wh/strip patt AP</t>
  </si>
  <si>
    <t>90610742</t>
  </si>
  <si>
    <t>SVARTPOPPEL cushion cvr 50x50 light orange AP</t>
  </si>
  <si>
    <t>90624386</t>
  </si>
  <si>
    <t>SANDMOTT cushion 35x50 beige black/cat pattern AP</t>
  </si>
  <si>
    <t>90625277</t>
  </si>
  <si>
    <t>SYRENBUSKE cushion 36 light beige AP</t>
  </si>
  <si>
    <t>90625475</t>
  </si>
  <si>
    <t>DYTÅG cushion cvr 65x65 grey-green AP</t>
  </si>
  <si>
    <t>90639712</t>
  </si>
  <si>
    <t>TORPSPIREA cushion cvr 48x48 white AP</t>
  </si>
  <si>
    <t>00529096</t>
  </si>
  <si>
    <t>HORNMAL throw 130x170 off-white AP</t>
  </si>
  <si>
    <t>00621599</t>
  </si>
  <si>
    <t>HUMLEMOTT throw 130x170 anthracite AP</t>
  </si>
  <si>
    <t>00625309</t>
  </si>
  <si>
    <t>PERSIKOTRÄD throw 150x200 off-white/grey-beige AP</t>
  </si>
  <si>
    <t>30583464</t>
  </si>
  <si>
    <t>SLÅNGRÅMAL throw 150x200 light grey AP</t>
  </si>
  <si>
    <t>50549544</t>
  </si>
  <si>
    <t>HUMLEMOTT throw 130x170 off-white AP</t>
  </si>
  <si>
    <t>50584622</t>
  </si>
  <si>
    <t>KLIPPOXEL throw 130x170 off-white AP</t>
  </si>
  <si>
    <t>50630426</t>
  </si>
  <si>
    <t>ROSTLÖNN throw 130x170 light pink AP</t>
  </si>
  <si>
    <t>60549548</t>
  </si>
  <si>
    <t>HUMLEMOTT throw 130x170 blue-grey AP</t>
  </si>
  <si>
    <t>60614402</t>
  </si>
  <si>
    <t>FLIKBRUNÖRT throw 130x170 check pattern AP</t>
  </si>
  <si>
    <t>70304890</t>
  </si>
  <si>
    <t>VITMOSSA throw 120x160 grey AP JP</t>
  </si>
  <si>
    <t>70570935</t>
  </si>
  <si>
    <t>VALLKRASSING throw 150x200 grey-green AP</t>
  </si>
  <si>
    <t>294DT260803726973</t>
  </si>
  <si>
    <t>90572207</t>
  </si>
  <si>
    <t>LAPPTÅG throw 130x170 off-white AP</t>
  </si>
  <si>
    <t>00560204</t>
  </si>
  <si>
    <t>ÅKERVINDEFLY chair chs 39/35x37x5 beige AP</t>
  </si>
  <si>
    <t>10174995</t>
  </si>
  <si>
    <t>JUSTINA chr pad 42/35x40x4 natural AP JP</t>
  </si>
  <si>
    <t>10175004</t>
  </si>
  <si>
    <t>JUSTINA chr pad 42/35x40x4 grey AP JP</t>
  </si>
  <si>
    <t>10612165</t>
  </si>
  <si>
    <t>VIPPÄRT chr pad 38 dark grey AP</t>
  </si>
  <si>
    <t>10641243</t>
  </si>
  <si>
    <t>ÅKERVINDEFLY chair chs 39/35x37x5 dark blue AP</t>
  </si>
  <si>
    <t>30641242</t>
  </si>
  <si>
    <t>ÅKERVINDEFLY chair chs 39/35x37x5 light green AP</t>
  </si>
  <si>
    <t>50599280</t>
  </si>
  <si>
    <t>VIPPÄRT N chr pad 38x38x6.5 beige AP</t>
  </si>
  <si>
    <t>50636249</t>
  </si>
  <si>
    <t>MALINDA chr pad 40x38x7 grey-beige AP</t>
  </si>
  <si>
    <t>50636254</t>
  </si>
  <si>
    <t>MALINDA chr pad 40x38x7 anthracite AP</t>
  </si>
  <si>
    <t>60554361</t>
  </si>
  <si>
    <t>ÅKERVINDEFLY chair chs 39/35x37x5 grey AP</t>
  </si>
  <si>
    <t>60612163</t>
  </si>
  <si>
    <t>VIPPÄRT chr pad 38 beige AP</t>
  </si>
  <si>
    <t>70538219</t>
  </si>
  <si>
    <t>ÄLVGRÄSMAL chr pad 32.6/31.3x33x3 beige AP</t>
  </si>
  <si>
    <t>70607991</t>
  </si>
  <si>
    <t>ÅKERVINDEFLY chr pad 38 dark grey AP</t>
  </si>
  <si>
    <t>70636267</t>
  </si>
  <si>
    <t>MALINDA chr pad 40x38x7 brown-red AP</t>
  </si>
  <si>
    <t>70636272</t>
  </si>
  <si>
    <t>MALINDA chr pad 40x38x7 off-whi bei/stripe patt AP</t>
  </si>
  <si>
    <t>90563547</t>
  </si>
  <si>
    <t>JUSTINA chr pad 42/35x40x4 light green AP</t>
  </si>
  <si>
    <t>90635158</t>
  </si>
  <si>
    <t>VIPPÄRT chr pad 38x38x6.5 green AP</t>
  </si>
  <si>
    <t>00425536</t>
  </si>
  <si>
    <t>STOENSE rug low pile 170x240 off-white AP</t>
  </si>
  <si>
    <t>20623229</t>
  </si>
  <si>
    <t>LOKALTÅG rug low pile 133x195 beige/grey AP</t>
  </si>
  <si>
    <t>30614253</t>
  </si>
  <si>
    <t>VOLLERSLEV rug high pile 160x230 beige AP</t>
  </si>
  <si>
    <t>30619401</t>
  </si>
  <si>
    <t>IKEA PS 2026 rug low pile 170x240 off-white/red AP</t>
  </si>
  <si>
    <t>30621791</t>
  </si>
  <si>
    <t>LOKBYTE rug flatwoven 170x240 dblue/lbeige AP</t>
  </si>
  <si>
    <t>30628858</t>
  </si>
  <si>
    <t>STOENSE rug low pile 133x195 green AP</t>
  </si>
  <si>
    <t>40600948</t>
  </si>
  <si>
    <t>VÄNDPLATS rug low pile 133x195 whi/blk dotted AP</t>
  </si>
  <si>
    <t>60426830</t>
  </si>
  <si>
    <t>STOENSE rug low pile 130 medium grey AP</t>
  </si>
  <si>
    <t>60624180</t>
  </si>
  <si>
    <t>MORUM rug flatw in/out 160x230 dark green AP</t>
  </si>
  <si>
    <t>70550211</t>
  </si>
  <si>
    <t>STOPP FILT rug underlay w anti-slip 123x185 AP</t>
  </si>
  <si>
    <t>70623076</t>
  </si>
  <si>
    <t>JÄRNVÄG rug low pile 160x230 ornmt pat pink/bei AP</t>
  </si>
  <si>
    <t>80629148</t>
  </si>
  <si>
    <t>STOENSE rug low pile 133x195 pale green AP</t>
  </si>
  <si>
    <t>90425527</t>
  </si>
  <si>
    <t>STOENSE rug low pile 133x195 off-white AP</t>
  </si>
  <si>
    <t>90607669</t>
  </si>
  <si>
    <t>STOENSE rug low pile 170x240 beige AP</t>
  </si>
  <si>
    <t>20600954</t>
  </si>
  <si>
    <t>VÄNDPLATS door mat 40x60 multicolour/stripe AP</t>
  </si>
  <si>
    <t>60633698</t>
  </si>
  <si>
    <t>VINTERFINT 2026 door m 40x60 co/San Cl pa re/wh AP</t>
  </si>
  <si>
    <t>00406335</t>
  </si>
  <si>
    <t>BRYNDUM N kitchen mat 45x120 beige AP</t>
  </si>
  <si>
    <t>00600969</t>
  </si>
  <si>
    <t>RIDSTIG rug flatwoven 80x180 grey/off-white AP</t>
  </si>
  <si>
    <t>10212676</t>
  </si>
  <si>
    <t>TÅNUM rug flatwoven 60x90 assorted colours AP JP</t>
  </si>
  <si>
    <t>20426281</t>
  </si>
  <si>
    <t>LINDKNUD rug high pile 60x90 pink AP</t>
  </si>
  <si>
    <t>20610788</t>
  </si>
  <si>
    <t>KÖRFÄLT kitchen mat 45x120 light grey AP</t>
  </si>
  <si>
    <t>30478726</t>
  </si>
  <si>
    <t>LINDKNUD rug high pile 80x150 dark grey AP</t>
  </si>
  <si>
    <t>40426280</t>
  </si>
  <si>
    <t>LINDKNUD rug high pile 60x90 beige AP</t>
  </si>
  <si>
    <t>40623233</t>
  </si>
  <si>
    <t>LOKALTÅG rug low pile 80x150 beige/grey AP</t>
  </si>
  <si>
    <t>60406337</t>
  </si>
  <si>
    <t>BRYNDUM N kitchen mat 45x120 grey AP</t>
  </si>
  <si>
    <t>60426806</t>
  </si>
  <si>
    <t>STOENSE rug low pile 80x150 off-white AP</t>
  </si>
  <si>
    <t>70549053</t>
  </si>
  <si>
    <t>STOPP N anti-slip underlay 67.5x200 AP</t>
  </si>
  <si>
    <t>80427008</t>
  </si>
  <si>
    <t>STOENSE rug low pile 80x150 medium grey AP</t>
  </si>
  <si>
    <t>00513142</t>
  </si>
  <si>
    <t>HEMKOMST pot w lid 5 l stainless steel/glass AP</t>
  </si>
  <si>
    <t>10611057</t>
  </si>
  <si>
    <t>ELDSTJÄRT pot stand s2 19 round/blk blk-blue AP</t>
  </si>
  <si>
    <t>20449169</t>
  </si>
  <si>
    <t>KLOCKREN splatter screen 33 AP</t>
  </si>
  <si>
    <t>20484271</t>
  </si>
  <si>
    <t>IKEA 365+ N pot w lid 10.0 l stainless steel AP</t>
  </si>
  <si>
    <t>20513160</t>
  </si>
  <si>
    <t>HEMKOMST saucepan/lid 2 l stainless steel/glass AP</t>
  </si>
  <si>
    <t>20587170</t>
  </si>
  <si>
    <t>MANGOFISK N saucepan/lid 2.3 l non-stick/whi AP</t>
  </si>
  <si>
    <t>30175277</t>
  </si>
  <si>
    <t>IKEA 365+ GUNSTIG potstand magnetic red/dgr AP JP</t>
  </si>
  <si>
    <t>30633751</t>
  </si>
  <si>
    <t>KLOCKREN lid 20/22/24 glass/dark grey AP</t>
  </si>
  <si>
    <t>40176455</t>
  </si>
  <si>
    <t>LÄMPLIG trivet 50x28 stainless steel AP CN</t>
  </si>
  <si>
    <t>40484251</t>
  </si>
  <si>
    <t>IKEA 365+ N pot w lid 5.0 l stainless steel AP</t>
  </si>
  <si>
    <t>50298475</t>
  </si>
  <si>
    <t>ANNONS pot w lid 2.8 l glass/stainless steel AP JP</t>
  </si>
  <si>
    <t>50484236</t>
  </si>
  <si>
    <t>IKEA 365+ N saucepan/lid 2.0 l stainless steel AP</t>
  </si>
  <si>
    <t>50650363</t>
  </si>
  <si>
    <t>VARDAGEN pot w lid 3 l enam cst ir dgry-grn AP</t>
  </si>
  <si>
    <t>60484274</t>
  </si>
  <si>
    <t>IKEA 365+ N pot w lid 15.0 l stainless steel AP</t>
  </si>
  <si>
    <t>60513139</t>
  </si>
  <si>
    <t>HEMKOMST pot w lid 3 l stainless steel/glass AP</t>
  </si>
  <si>
    <t>70611059</t>
  </si>
  <si>
    <t>ELDSTJÄRT pot stand s2 26x16 oval/lbrn red AP</t>
  </si>
  <si>
    <t>70650362</t>
  </si>
  <si>
    <t>VARDAGEN pot w lid 2.5 l enam cst ir lpink AP</t>
  </si>
  <si>
    <t>90163525</t>
  </si>
  <si>
    <t>STABIL steamer insert 5 l stainless steel AP JP</t>
  </si>
  <si>
    <t>90513147</t>
  </si>
  <si>
    <t>HEMKOMST pot w lid 10 l stainless steel/glass AP</t>
  </si>
  <si>
    <t>00602510</t>
  </si>
  <si>
    <t>KLIPPFISK frying pan 24 non-stick/wood dgry-blu AP</t>
  </si>
  <si>
    <t>10463698</t>
  </si>
  <si>
    <t>MIDDAGSMAT frying pan 28 non-stick/stnls AP</t>
  </si>
  <si>
    <t>10545227</t>
  </si>
  <si>
    <t>MIDDAGSMAT frying pan 24 non-stick/stnls AP</t>
  </si>
  <si>
    <t>10580701</t>
  </si>
  <si>
    <t>IKEA 365+ NN frying pan 24 stnls/non-stick AP</t>
  </si>
  <si>
    <t>10587175</t>
  </si>
  <si>
    <t>PUCKELLAX frying pan 20 non-stick coating AP</t>
  </si>
  <si>
    <t>20581154</t>
  </si>
  <si>
    <t>TAGGHAJ N frying pan 24 non-stick coating black AP</t>
  </si>
  <si>
    <t>20602514</t>
  </si>
  <si>
    <t>KLIPPFISK frying pan 28 non-stick/wood dgreyblu AP</t>
  </si>
  <si>
    <t>30545226</t>
  </si>
  <si>
    <t>MIDDAGSMAT wok 32 non-stick/stnls AP</t>
  </si>
  <si>
    <t>30555710</t>
  </si>
  <si>
    <t>HEMKOMST frying pan 28 stainless steel AP</t>
  </si>
  <si>
    <t>30587909</t>
  </si>
  <si>
    <t>IKEA 365+ frying pan 13 stnls/non-stick AP</t>
  </si>
  <si>
    <t>50587178</t>
  </si>
  <si>
    <t>PUCKELLAX N frying pan non-stick coating AP</t>
  </si>
  <si>
    <t>60580096</t>
  </si>
  <si>
    <t>HEMKOMST N frying pan 24 stnls/non-stick AP</t>
  </si>
  <si>
    <t>60609472</t>
  </si>
  <si>
    <t>GULDÖRING frying pan 20 non-stick stnls/blkgrey AP</t>
  </si>
  <si>
    <t>70324553</t>
  </si>
  <si>
    <t>SENSUELL frying pan 28 stainless steel/grey AP JP</t>
  </si>
  <si>
    <t>70580699</t>
  </si>
  <si>
    <t>IKEA 365+ NN frying pan 20 stnls/non-stick AP</t>
  </si>
  <si>
    <t>70587177</t>
  </si>
  <si>
    <t>PUCKELLAX frying pan 28 non-stick coating AP</t>
  </si>
  <si>
    <t>70609476</t>
  </si>
  <si>
    <t>GULDÖRING frying pan 24 non-stick stnls/blkgrey AP</t>
  </si>
  <si>
    <t>80484254</t>
  </si>
  <si>
    <t>IKEA 365+ N saute pan 24 stainless steel AP</t>
  </si>
  <si>
    <t>90324552</t>
  </si>
  <si>
    <t>SENSUELL frying pan 24 stainless steel/grey AP JP</t>
  </si>
  <si>
    <t>90580716</t>
  </si>
  <si>
    <t>IKEA 365+ NN wok 32 stnls/non-stick AP</t>
  </si>
  <si>
    <t>90587176</t>
  </si>
  <si>
    <t>PUCKELLAX frying pan 24 non-stick coating AP</t>
  </si>
  <si>
    <t>00632927</t>
  </si>
  <si>
    <t>HÖSTAGILLE 2026 pie dish 32 off-white AP</t>
  </si>
  <si>
    <t>294DT260803726022</t>
  </si>
  <si>
    <t>10513877</t>
  </si>
  <si>
    <t>POETISK oven dish 30x20 off-white AP</t>
  </si>
  <si>
    <t>294DT260806726469</t>
  </si>
  <si>
    <t>20174645</t>
  </si>
  <si>
    <t>KONCIS roasting tin 34x24 stainless steel AP JP</t>
  </si>
  <si>
    <t>30631945</t>
  </si>
  <si>
    <t>FISKTÄRNA pie dish white 4-p AP</t>
  </si>
  <si>
    <t>40133989</t>
  </si>
  <si>
    <t>MIXTUR oven/serv dish 27x18 clear glass AP JP</t>
  </si>
  <si>
    <t>40513866</t>
  </si>
  <si>
    <t>POETISK oven dish 23x19 off-white AP</t>
  </si>
  <si>
    <t>00174463</t>
  </si>
  <si>
    <t>IDEALISK jug 1 l graduated/stainless steel AP JP</t>
  </si>
  <si>
    <t>00485549</t>
  </si>
  <si>
    <t>BAKGLAD rbbr spatula 26 beige/blue AP</t>
  </si>
  <si>
    <t>20527355</t>
  </si>
  <si>
    <t>GUBBRÖRA rbbr spatula black/white AP</t>
  </si>
  <si>
    <t>20586161</t>
  </si>
  <si>
    <t>VARDAGEN mix bowl 4 l stainless steel AP</t>
  </si>
  <si>
    <t>20632323</t>
  </si>
  <si>
    <t>KUSTFYR 2026 pastry cutter s3 stainless steel AP</t>
  </si>
  <si>
    <t>40324724</t>
  </si>
  <si>
    <t>VARDAGEN measur cup s5 AP JP</t>
  </si>
  <si>
    <t>40480168</t>
  </si>
  <si>
    <t>BAKTRADITION baking mat 61x46 white/turquoise AP</t>
  </si>
  <si>
    <t>50174516</t>
  </si>
  <si>
    <t>IDEALISK flour sifter stainless steel AP JP</t>
  </si>
  <si>
    <t>50289249</t>
  </si>
  <si>
    <t>VARDAGEN bowl 26 clear glass AP JP</t>
  </si>
  <si>
    <t>50633745</t>
  </si>
  <si>
    <t>VINTERFINT 2026 pastry cutter s4 mix shp stnls AP</t>
  </si>
  <si>
    <t>70480162</t>
  </si>
  <si>
    <t>LÄTTBAKAD cookie cutter s5 silver-colour AP</t>
  </si>
  <si>
    <t>90485272</t>
  </si>
  <si>
    <t>LÄTTBAKAD dough cutter AP</t>
  </si>
  <si>
    <t>40609982</t>
  </si>
  <si>
    <t>RINNIG apron 69x85 patterned AP</t>
  </si>
  <si>
    <t>80476348</t>
  </si>
  <si>
    <t>RINNIG tea towel 45x60 whi dgrey/patterned 4-p AP</t>
  </si>
  <si>
    <t>90618007</t>
  </si>
  <si>
    <t>VÄLVÅRDAD tea towel 45x60 whi/blue patt 4-p AP</t>
  </si>
  <si>
    <t>00609677</t>
  </si>
  <si>
    <t>RÖDSYRA spoonrest 12 light grey-blue AP</t>
  </si>
  <si>
    <t>30581484</t>
  </si>
  <si>
    <t>VARDAGEN ladle 33 stainless steel/beech AP</t>
  </si>
  <si>
    <t>30581506</t>
  </si>
  <si>
    <t>VARDAGEN cooking tweezers 30 stnls steel/beech AP</t>
  </si>
  <si>
    <t>50599666</t>
  </si>
  <si>
    <t>KNORRHANE spoon f cooking 33 lorange/dred AP</t>
  </si>
  <si>
    <t>60555191</t>
  </si>
  <si>
    <t>FINMAT soup ladle 31 stainless steel AP</t>
  </si>
  <si>
    <t>90555199</t>
  </si>
  <si>
    <t>FINMAT spatula 33 stainless steel AP</t>
  </si>
  <si>
    <t>00521953</t>
  </si>
  <si>
    <t>UPPFYLLD pot peeler green AP</t>
  </si>
  <si>
    <t>00618691</t>
  </si>
  <si>
    <t>STENSNULTRA veg chopper blk grey-turq/transp AP</t>
  </si>
  <si>
    <t>10171303</t>
  </si>
  <si>
    <t>FANTAST meat thermo/timer digital black AP JP</t>
  </si>
  <si>
    <t>10328554</t>
  </si>
  <si>
    <t>MÄRKBART scissors s2 AP JP</t>
  </si>
  <si>
    <t>10521938</t>
  </si>
  <si>
    <t>UPPFYLLD pizza cttr off-white AP</t>
  </si>
  <si>
    <t>20566342</t>
  </si>
  <si>
    <t>TROJKA household scissors light green AP</t>
  </si>
  <si>
    <t>20620339</t>
  </si>
  <si>
    <t>UPPFYLLD ice-cream scoop light turquoise AP</t>
  </si>
  <si>
    <t>294DT260817726679</t>
  </si>
  <si>
    <t>30605630</t>
  </si>
  <si>
    <t>GRILLTIDER squeeze bttl 330 ml whi/transp AP</t>
  </si>
  <si>
    <t>40422319</t>
  </si>
  <si>
    <t>IKEA 365+ grater black AP</t>
  </si>
  <si>
    <t>40521951</t>
  </si>
  <si>
    <t>UPPFYLLD salad spinner white AP</t>
  </si>
  <si>
    <t>40529400</t>
  </si>
  <si>
    <t>UPPFYLLD jar opener 21 off-white/bright orange AP</t>
  </si>
  <si>
    <t>40563432</t>
  </si>
  <si>
    <t>SVÄRDFISK scissors s2 stnls grey/grey-turq AP</t>
  </si>
  <si>
    <t>40605125</t>
  </si>
  <si>
    <t>UPPFYLLD egg slicer off-white AP</t>
  </si>
  <si>
    <t>40633760</t>
  </si>
  <si>
    <t>KLOCKREN colander 4.0 l stainless steel AP</t>
  </si>
  <si>
    <t>50191907</t>
  </si>
  <si>
    <t>IDEALISK grater stainless steel AP JP</t>
  </si>
  <si>
    <t>50521936</t>
  </si>
  <si>
    <t>UPPFYLLD handheld grater off-white AP</t>
  </si>
  <si>
    <t>60173564</t>
  </si>
  <si>
    <t>KONCIS N garlic press stainless steel AP JP</t>
  </si>
  <si>
    <t>60324365</t>
  </si>
  <si>
    <t>VARDAGEN peeler AP JP</t>
  </si>
  <si>
    <t>60529381</t>
  </si>
  <si>
    <t>UPPFYLLD spreader off-white AP</t>
  </si>
  <si>
    <t>70331474</t>
  </si>
  <si>
    <t>GEMAK colander off-white AP CN</t>
  </si>
  <si>
    <t>277DT260820726496</t>
  </si>
  <si>
    <t>70581482</t>
  </si>
  <si>
    <t>VARDAGEN zester w handle 33 stnls steel/beech AP</t>
  </si>
  <si>
    <t>80174459</t>
  </si>
  <si>
    <t>IDEALISK corkscrew silver-colour/matt AP JP</t>
  </si>
  <si>
    <t>80191915</t>
  </si>
  <si>
    <t>IDEALISK pot press stainless steel AP JP</t>
  </si>
  <si>
    <t>80422322</t>
  </si>
  <si>
    <t>IKEA 365+ mandoline black AP</t>
  </si>
  <si>
    <t>80562765</t>
  </si>
  <si>
    <t>SVARTFISK kitchen scissors stainless steel/blk AP</t>
  </si>
  <si>
    <t>80563430</t>
  </si>
  <si>
    <t>MÅNÖGA scissors stainless steel/black AP</t>
  </si>
  <si>
    <t>90191934</t>
  </si>
  <si>
    <t>IDEALISK colander 34x23 stainl steel/black AP JP</t>
  </si>
  <si>
    <t>90561713</t>
  </si>
  <si>
    <t>KORKEN strnr/funnel s3 stainless steel AP</t>
  </si>
  <si>
    <t>90633734</t>
  </si>
  <si>
    <t>IDEALISK strainer 14 stainless steel AP</t>
  </si>
  <si>
    <t>00157717</t>
  </si>
  <si>
    <t>ASPEKT knife sharpener black AP JP</t>
  </si>
  <si>
    <t>00631466</t>
  </si>
  <si>
    <t>FJÄLLRÖDING cook's knife 22 damascus steel/blk AP</t>
  </si>
  <si>
    <t>10521943</t>
  </si>
  <si>
    <t>UPPFYLLD paring knife, set of 3 mixed colours AP</t>
  </si>
  <si>
    <t>20283526</t>
  </si>
  <si>
    <t>IKEA 365+ cook's knife 20 stainless steel AP JP</t>
  </si>
  <si>
    <t>20602482</t>
  </si>
  <si>
    <t>VARDAGEN paring knife 9 stainless steel/walnut AP</t>
  </si>
  <si>
    <t>30289170</t>
  </si>
  <si>
    <t>SKÄRANDE knife sharpener black AP JP</t>
  </si>
  <si>
    <t>30454966</t>
  </si>
  <si>
    <t>IKEA 365+ knife s3 AP</t>
  </si>
  <si>
    <t>50283520</t>
  </si>
  <si>
    <t>IKEA 365+ paring knife 9 stainless steel AP JP</t>
  </si>
  <si>
    <t>50623063</t>
  </si>
  <si>
    <t>IKEA 365+ sharpening rod 25 diamond steel stnls AP</t>
  </si>
  <si>
    <t>60606652</t>
  </si>
  <si>
    <t>STJÄRNSTÖR cook's knife 16 stnls/dgrey AP</t>
  </si>
  <si>
    <t>60631468</t>
  </si>
  <si>
    <t>FJÄLLRÖDING paring knife 10 damascus steel/blk AP</t>
  </si>
  <si>
    <t>80283528</t>
  </si>
  <si>
    <t>IKEA 365+ chinese chopper 18 stainless steel AP JP</t>
  </si>
  <si>
    <t>90287936</t>
  </si>
  <si>
    <t>IKEA 365+ vegetable knife 16 stainless steel AP JP</t>
  </si>
  <si>
    <t>90289266</t>
  </si>
  <si>
    <t>VÖRDA paring knife 9 black AP JP</t>
  </si>
  <si>
    <t>90602469</t>
  </si>
  <si>
    <t>VARDAGEN santoku knife 16 stnls/waln AP</t>
  </si>
  <si>
    <t>10512811</t>
  </si>
  <si>
    <t>STOLTHET chopping board 35x22 bamboo AP</t>
  </si>
  <si>
    <t>10573319</t>
  </si>
  <si>
    <t>GUMMIHAJ hldr w 3 chopp brds mixed colours AP</t>
  </si>
  <si>
    <t>20233428</t>
  </si>
  <si>
    <t>APTITLIG chopping board 45x28 bamboo AP CN</t>
  </si>
  <si>
    <t>20309828</t>
  </si>
  <si>
    <t>LÄMPLIG chopping board 53x46 bamboo AP CN</t>
  </si>
  <si>
    <t>20503364</t>
  </si>
  <si>
    <t>FASCINERA N chopping board 52x22 acacia AP</t>
  </si>
  <si>
    <t>20557248</t>
  </si>
  <si>
    <t>APTITLIG chopping board 31x15 bamboo AP</t>
  </si>
  <si>
    <t>40233427</t>
  </si>
  <si>
    <t>APTITLIG chopping board 24x15 bamboo AP CN</t>
  </si>
  <si>
    <t>40613007</t>
  </si>
  <si>
    <t>BERGTUNGA chopping board s2 bright yellow/lilac AP</t>
  </si>
  <si>
    <t>60233431</t>
  </si>
  <si>
    <t>APTITLIG butcher's block 45x36 bamboo AP CN</t>
  </si>
  <si>
    <t>80313323</t>
  </si>
  <si>
    <t>OSTBIT serv plate 42 bamboo AP CN</t>
  </si>
  <si>
    <t>90515165</t>
  </si>
  <si>
    <t>UPPFYLLD preparation bowl 18 mixed colours 3-p AP</t>
  </si>
  <si>
    <t>00213544</t>
  </si>
  <si>
    <t>KORKEN jar/lid 0.5 l clear glass AP JP</t>
  </si>
  <si>
    <t>00605698</t>
  </si>
  <si>
    <t>BETTHAJ tin w lid 2.5l f ckies/yell pl blue 2p AP</t>
  </si>
  <si>
    <t>00607329</t>
  </si>
  <si>
    <t>IKEA 365+ food strg bskt 30x20x11 met/lgry-br JPKR</t>
  </si>
  <si>
    <t>00624606</t>
  </si>
  <si>
    <t>ISTAD resealable bag 1l fru/veg patt green 25-p AP</t>
  </si>
  <si>
    <t>00625371</t>
  </si>
  <si>
    <t>ISTAD resealable bag 1/2/4 l w sldr/mix cl 80-p AP</t>
  </si>
  <si>
    <t>277DT260805726461</t>
  </si>
  <si>
    <t>277DT260824726628</t>
  </si>
  <si>
    <t>00628355</t>
  </si>
  <si>
    <t>ISTAD resealable bag 0.3 l multi/patterned 25-p AP</t>
  </si>
  <si>
    <t>00631522</t>
  </si>
  <si>
    <t>ISTAD 2026 reseal bag 0.3/0.8l mix pa wh/bk 60p AP</t>
  </si>
  <si>
    <t>10134023</t>
  </si>
  <si>
    <t>IKEA 365+ dry food jar w lid 1,3 l trp/white AP JP</t>
  </si>
  <si>
    <t>10213548</t>
  </si>
  <si>
    <t>KORKEN jar/lid 2 l clear glass AP JP</t>
  </si>
  <si>
    <t>10419059</t>
  </si>
  <si>
    <t>EKLATANT jar/lid 1.8 l clear glass/bamboo AP</t>
  </si>
  <si>
    <t>10452176</t>
  </si>
  <si>
    <t>IKEA 365+ food cntnr 750 ml square/plastic 3-p AP</t>
  </si>
  <si>
    <t>10497924</t>
  </si>
  <si>
    <t>ÖVERMÄTT food cvr s2 silicone AP</t>
  </si>
  <si>
    <t>10586294</t>
  </si>
  <si>
    <t>SPLITTERNY snack cont 300 ml transp/lgrey-brn AP</t>
  </si>
  <si>
    <t>10595910</t>
  </si>
  <si>
    <t>IKEA 365+ lid 32x21 large rectangular/bamboo AP</t>
  </si>
  <si>
    <t>10625484</t>
  </si>
  <si>
    <t>BEVARA seal clip green/lilac 6-p AP</t>
  </si>
  <si>
    <t>20359149</t>
  </si>
  <si>
    <t>IKEA 365+ food cntnr 1.0 l rectangular/plastic AP</t>
  </si>
  <si>
    <t>20359205</t>
  </si>
  <si>
    <t>IKEA 365+ food cntnr 1.8 l rectangular/glass AP</t>
  </si>
  <si>
    <t>20553226</t>
  </si>
  <si>
    <t>CITRONHAJ salt/pepper shakers 12cl gls/stnls 2p AP</t>
  </si>
  <si>
    <t>20596711</t>
  </si>
  <si>
    <t>PRUTA snack cont w lid 0.3 l lilac/green 2-p AP</t>
  </si>
  <si>
    <t>20605697</t>
  </si>
  <si>
    <t>BETTHAJ tin w lid 1.3 l for coffee/tea/silv-col AP</t>
  </si>
  <si>
    <t>20607328</t>
  </si>
  <si>
    <t>IKEA 365+ food strg bskt 14x14x10 met/lgry-br JPKR</t>
  </si>
  <si>
    <t>20623743</t>
  </si>
  <si>
    <t>AFTONHAJ salt/pepper shkr s2 8.5 stnls be/waln AP</t>
  </si>
  <si>
    <t>20649069</t>
  </si>
  <si>
    <t>ISTAD resealable bag 0.3 l green/pine 25-p AP</t>
  </si>
  <si>
    <t>30213547</t>
  </si>
  <si>
    <t>KORKEN jar/lid 1 l clear glass AP JP</t>
  </si>
  <si>
    <t>30361793</t>
  </si>
  <si>
    <t>IKEA 365+ lid rectangular/plastic AP</t>
  </si>
  <si>
    <t>30381908</t>
  </si>
  <si>
    <t>IKEA 365+ lid square/bamboo AP</t>
  </si>
  <si>
    <t>30499234</t>
  </si>
  <si>
    <t>FRAMTUNG lunch bag 22x17x35 black AP</t>
  </si>
  <si>
    <t>30553216</t>
  </si>
  <si>
    <t>CITRONHAJ oil/vineg bottle 16 cl gls/stnls AP</t>
  </si>
  <si>
    <t>30611155</t>
  </si>
  <si>
    <t>BLOMNING tin w lid 10x10x10 off-whi f coffe/tea AP</t>
  </si>
  <si>
    <t>30623832</t>
  </si>
  <si>
    <t>IKEA 365+ food cont w lid 600 ml round/gls 3-p AP</t>
  </si>
  <si>
    <t>30624228</t>
  </si>
  <si>
    <t>SPJUTLILJA spice mill s2 16 black/light beige AP</t>
  </si>
  <si>
    <t>30638584</t>
  </si>
  <si>
    <t>BRUGDHAJ jar/lid 1.9 l beige AP</t>
  </si>
  <si>
    <t>40444948</t>
  </si>
  <si>
    <t>IKEA 365+ food cntnr w lid 180 ml sqr/glass 3-p AP</t>
  </si>
  <si>
    <t>40506917</t>
  </si>
  <si>
    <t>FILFISK resealable bag s3 multicolour AP</t>
  </si>
  <si>
    <t>40596710</t>
  </si>
  <si>
    <t>PRUTA sandwich cont w lid 22x14x5 lilac/grn 2-p AP</t>
  </si>
  <si>
    <t>40605696</t>
  </si>
  <si>
    <t>BETTHAJ tin w lid 0.6 l for coffee/tea/silv-col AP</t>
  </si>
  <si>
    <t>40623737</t>
  </si>
  <si>
    <t>AFTONHAJ jar with lid 0.6 l stainless steel AP</t>
  </si>
  <si>
    <t>40628363</t>
  </si>
  <si>
    <t>ISTAD resealable bag 8.0 l multi/patterned 15-p AP</t>
  </si>
  <si>
    <t>50213551</t>
  </si>
  <si>
    <t>KORKEN jar/lid 1.8 l clear glass AP JP</t>
  </si>
  <si>
    <t>50485009</t>
  </si>
  <si>
    <t>BEKOSTA resealable bag li or-pnk/blue 20-p AP</t>
  </si>
  <si>
    <t>50507964</t>
  </si>
  <si>
    <t>IKEA 365+ food cntnr w lid 1.0 l rect/plast 3-p AP</t>
  </si>
  <si>
    <t>50608053</t>
  </si>
  <si>
    <t>ISTAD resealable bag 0.2 l patterned yel 60-p AP</t>
  </si>
  <si>
    <t>60291925</t>
  </si>
  <si>
    <t>VARDAGEN jar/lid 1.9 l clear glass AP JP</t>
  </si>
  <si>
    <t>60340412</t>
  </si>
  <si>
    <t>ISTAD NNN resealable bag sizes/asst col 30-p AP JP</t>
  </si>
  <si>
    <t>60438545</t>
  </si>
  <si>
    <t>IKEA 365+ label 50-p AP</t>
  </si>
  <si>
    <t>60597105</t>
  </si>
  <si>
    <t>PRUTA food cont w lid 0.6 l blue 3-p AP</t>
  </si>
  <si>
    <t>60613209</t>
  </si>
  <si>
    <t>LJUNGJORDFLY sealing clip so6 multicolour AP</t>
  </si>
  <si>
    <t>60625486</t>
  </si>
  <si>
    <t>BEVARA seal clip s24 mixed colours AP</t>
  </si>
  <si>
    <t>70134020</t>
  </si>
  <si>
    <t>IKEA 365+ dry food jar w lid 2,3l trp/white AP JP</t>
  </si>
  <si>
    <t>70359180</t>
  </si>
  <si>
    <t>IKEA 365+ food cntnr 1.4 l square/plastic AP</t>
  </si>
  <si>
    <t>70381906</t>
  </si>
  <si>
    <t>IKEA 365+ lid rectangular/bamboo AP</t>
  </si>
  <si>
    <t>70525655</t>
  </si>
  <si>
    <t>ISTAD resealable bag patt/blue 60-p AP</t>
  </si>
  <si>
    <t>70597100</t>
  </si>
  <si>
    <t>PRUTA food container w lid s17 green AP</t>
  </si>
  <si>
    <t>80580316</t>
  </si>
  <si>
    <t>IKEA 365+ food cntnr 3.0 l large rect/stnls AP</t>
  </si>
  <si>
    <t>80605699</t>
  </si>
  <si>
    <t>BETTHAJ tin w lid 3.1 l for dry food/pale blue AP</t>
  </si>
  <si>
    <t>80607325</t>
  </si>
  <si>
    <t>IKEA 365+ food storage bskt 14x14x10 met/whi JPKR</t>
  </si>
  <si>
    <t>80623735</t>
  </si>
  <si>
    <t>AFTONHAJ jar with lid 1.5 l stainless steel AP</t>
  </si>
  <si>
    <t>80628342</t>
  </si>
  <si>
    <t>ISTAD N reseal bag 1.0/2.0 l patt blue/red 50-p AP</t>
  </si>
  <si>
    <t>90497213</t>
  </si>
  <si>
    <t>ENKELSPÅRIG water bottle 0.5 l stnls/bei AP</t>
  </si>
  <si>
    <t>90497802</t>
  </si>
  <si>
    <t>IKEA 365+ food cntnr 1.0 l rectangular/stnls AP</t>
  </si>
  <si>
    <t>90553204</t>
  </si>
  <si>
    <t>CITRONHAJ salt/pepper shakers 8 cl gls/stnls 2p AP</t>
  </si>
  <si>
    <t>90580325</t>
  </si>
  <si>
    <t>IKEA 365+ food cntnr 600 ml square/stnls AP</t>
  </si>
  <si>
    <t>90624225</t>
  </si>
  <si>
    <t>SPJUTLILJA jar w lid s2 light yellow AP</t>
  </si>
  <si>
    <t>90628346</t>
  </si>
  <si>
    <t>ISTAD N rslbl bag 0.3/0.8l patt lilac/yel 60-p AP</t>
  </si>
  <si>
    <t>00179535</t>
  </si>
  <si>
    <t>ORDNING dish drainer 50x27x36 stainless steel APJP</t>
  </si>
  <si>
    <t>00605325</t>
  </si>
  <si>
    <t>VÄLVÅRDAD dish drainer 52x35 white/galvanised AP</t>
  </si>
  <si>
    <t>10430165</t>
  </si>
  <si>
    <t>VÄLVÅRDAD dish-washing brush stnls/be AP</t>
  </si>
  <si>
    <t>10601355</t>
  </si>
  <si>
    <t>RINNIG plate hldr yellow AP</t>
  </si>
  <si>
    <t>40387269</t>
  </si>
  <si>
    <t>RINNIG plate hldr AP</t>
  </si>
  <si>
    <t>40473714</t>
  </si>
  <si>
    <t>VÄLVÅRDAD dish dry rck 12x32 stainless steel AP</t>
  </si>
  <si>
    <t>50595437</t>
  </si>
  <si>
    <t>VÄLVÅRDAD organiser 22.5x9x12.5 white AP</t>
  </si>
  <si>
    <t>60503475</t>
  </si>
  <si>
    <t>LILLHAVET multifunc dish rack anthracite AP</t>
  </si>
  <si>
    <t>60561007</t>
  </si>
  <si>
    <t>VIDEVECKMAL dish-wshng brush w dspnsr bgreen AP</t>
  </si>
  <si>
    <t>70179546</t>
  </si>
  <si>
    <t>ORDNING cutlery stand 13,5 stainless steel AP JP</t>
  </si>
  <si>
    <t>80179579</t>
  </si>
  <si>
    <t>ORDNING kitchen ut rck 18 stainless steel AP JP</t>
  </si>
  <si>
    <t>80473868</t>
  </si>
  <si>
    <t>VÄLVÅRDAD dish dry shlf 13x32 stainless steel AP</t>
  </si>
  <si>
    <t>90377687</t>
  </si>
  <si>
    <t>BESTÅENDE chopping board hldr AP</t>
  </si>
  <si>
    <t>90490527</t>
  </si>
  <si>
    <t>VÄLVÅRDAD dish-washing brush refills av leaf fi AP</t>
  </si>
  <si>
    <t>90561015</t>
  </si>
  <si>
    <t>SKOLÄST food waste strainer AP</t>
  </si>
  <si>
    <t>90605316</t>
  </si>
  <si>
    <t>KVOT dish drainer black AP</t>
  </si>
  <si>
    <t>00313322</t>
  </si>
  <si>
    <t>OSTBIT plate hldr bamboo AP CN</t>
  </si>
  <si>
    <t>10597527</t>
  </si>
  <si>
    <t>KLIPPKAKTUS containerwtapdisp ffridge 4.5ltranspAP</t>
  </si>
  <si>
    <t>30497720</t>
  </si>
  <si>
    <t>AVSTEG kitchn cntrtop rack 54x36 white AP</t>
  </si>
  <si>
    <t>30618576</t>
  </si>
  <si>
    <t>NÅLBLECKA utensil rck 38x13x37 me/bam f ktch ct AP</t>
  </si>
  <si>
    <t>40572808</t>
  </si>
  <si>
    <t>KLIPPKAKTUS storage turntbl AP</t>
  </si>
  <si>
    <t>50572817</t>
  </si>
  <si>
    <t>KLIPPKAKTUS storage box f fridge 32x14x14 transpAP</t>
  </si>
  <si>
    <t>60572807</t>
  </si>
  <si>
    <t>KLIPPKAKTUS storage box for fridge AP</t>
  </si>
  <si>
    <t>70497718</t>
  </si>
  <si>
    <t>AVSTEG cutting brd/lid stnd 14 white AP</t>
  </si>
  <si>
    <t>70572816</t>
  </si>
  <si>
    <t>KLIPPKAKTUS storage box f fridge 32x10x14 transpAP</t>
  </si>
  <si>
    <t>90564617</t>
  </si>
  <si>
    <t>NÅLBLECKA ktch cntrtop organi 38x13x28 met/bamb AP</t>
  </si>
  <si>
    <t>90572815</t>
  </si>
  <si>
    <t>KLIPPKAKTUS storage box f fridge 32x10x8 transp AP</t>
  </si>
  <si>
    <t>90610997</t>
  </si>
  <si>
    <t>KLIPPKAKTUS drink hldr f frdg transparent AP</t>
  </si>
  <si>
    <t>00584323</t>
  </si>
  <si>
    <t>KRUSTISTEL plate 25 patterned/light beige AP</t>
  </si>
  <si>
    <t>00631353</t>
  </si>
  <si>
    <t>KUSTFYR 2026 side plate 20 mixed patterns 4-p AP</t>
  </si>
  <si>
    <t>00631490</t>
  </si>
  <si>
    <t>STRIMMIG side plate 21 stoneware pl gry-grn AP</t>
  </si>
  <si>
    <t>10258914</t>
  </si>
  <si>
    <t>OFTAST plate 25 white AP JP</t>
  </si>
  <si>
    <t>10588721</t>
  </si>
  <si>
    <t>GLADELIG plate 10 grey 2-p AP</t>
  </si>
  <si>
    <t>10592332</t>
  </si>
  <si>
    <t>KRUSTISTEL side plate 20 patterned/light beige AP</t>
  </si>
  <si>
    <t>10592426</t>
  </si>
  <si>
    <t>STOCKHOLM 2025 deep plate 25 white 2-p AP</t>
  </si>
  <si>
    <t>10600431</t>
  </si>
  <si>
    <t>FÄRGKLAR bowl 16 light blue AP</t>
  </si>
  <si>
    <t>10607734</t>
  </si>
  <si>
    <t>SANDSKÄDDA side plate 20 yellow AP</t>
  </si>
  <si>
    <t>10609733</t>
  </si>
  <si>
    <t>SILVERSIDA plate 26 patterned/blue AP</t>
  </si>
  <si>
    <t>10613787</t>
  </si>
  <si>
    <t>HARMYNTA side plate 12 white AP</t>
  </si>
  <si>
    <t>20318941</t>
  </si>
  <si>
    <t>OFTAST deep plate 20 white  AP JP</t>
  </si>
  <si>
    <t>20592421</t>
  </si>
  <si>
    <t>STOCKHOLM 2025 side plate 18 black 2-p AP</t>
  </si>
  <si>
    <t>20600421</t>
  </si>
  <si>
    <t>FÄRGKLAR bowl 16 light pink AP</t>
  </si>
  <si>
    <t>20600751</t>
  </si>
  <si>
    <t>GLADELIG bowl 14 grey AP</t>
  </si>
  <si>
    <t>20608945</t>
  </si>
  <si>
    <t>PELARKAKTUS plate 26 green AP</t>
  </si>
  <si>
    <t>20614296</t>
  </si>
  <si>
    <t>SPJUTLILJA side plate 20 patterned 4-p AP</t>
  </si>
  <si>
    <t>20633723</t>
  </si>
  <si>
    <t>VINTERFINT 2026 side plate 20 white/red AP</t>
  </si>
  <si>
    <t>30588720</t>
  </si>
  <si>
    <t>GLADELIG plate 15 grey 2-p AP</t>
  </si>
  <si>
    <t>30600430</t>
  </si>
  <si>
    <t>FÄRGKLAR deep plate 23 light blue AP</t>
  </si>
  <si>
    <t>30607380</t>
  </si>
  <si>
    <t>STRANDKRABBA deep plate 19 glass/transparent AP</t>
  </si>
  <si>
    <t>30607403</t>
  </si>
  <si>
    <t>HAVSGÄDDA side plate 21 stripe pattern/grey AP</t>
  </si>
  <si>
    <t>30609732</t>
  </si>
  <si>
    <t>SILVERSIDA bowl 14 patterned/blue AP</t>
  </si>
  <si>
    <t>30613791</t>
  </si>
  <si>
    <t>HARMYNTA soup bowl 15 white AP</t>
  </si>
  <si>
    <t>30621220</t>
  </si>
  <si>
    <t>KEJSERLIG NN bowl 10 mixed colours 3-p AP</t>
  </si>
  <si>
    <t>30622644</t>
  </si>
  <si>
    <t>FORELLTETRA deep plate 21x19 white AP</t>
  </si>
  <si>
    <t>40278350</t>
  </si>
  <si>
    <t>IKEA 365+ NN bowl 16 rounded sides white AP JP</t>
  </si>
  <si>
    <t>40318940</t>
  </si>
  <si>
    <t>OFTAST side plate 19 white AP JP</t>
  </si>
  <si>
    <t>40609736</t>
  </si>
  <si>
    <t>SILVERSIDA side plate 20 patterned/blue AP</t>
  </si>
  <si>
    <t>40631488</t>
  </si>
  <si>
    <t>STRIMMIG plate 27 stoneware pale grey-green AP</t>
  </si>
  <si>
    <t>50258945</t>
  </si>
  <si>
    <t>IKEA 365+ plate 20 white AP JP</t>
  </si>
  <si>
    <t>50600434</t>
  </si>
  <si>
    <t>FÄRGKLAR deep plate 23 light pink AP</t>
  </si>
  <si>
    <t>50600759</t>
  </si>
  <si>
    <t>GLADELIG plate 20x13 grey AP</t>
  </si>
  <si>
    <t>50607807</t>
  </si>
  <si>
    <t>DAGGASTER deep plate 19 dotted/light beige AP</t>
  </si>
  <si>
    <t>50613790</t>
  </si>
  <si>
    <t>HARMYNTA rice bowl 12 white AP</t>
  </si>
  <si>
    <t>50636555</t>
  </si>
  <si>
    <t>VARDAGEN side plate 22 white AP</t>
  </si>
  <si>
    <t>60258916</t>
  </si>
  <si>
    <t>OFTAST bowl 15 white AP JP</t>
  </si>
  <si>
    <t>60282997</t>
  </si>
  <si>
    <t>IKEA 365+ bowl 9 rounded sides white 2-p AP JP</t>
  </si>
  <si>
    <t>60321079</t>
  </si>
  <si>
    <t>UPPVISPAD plate 22 white AP JP</t>
  </si>
  <si>
    <t>60592419</t>
  </si>
  <si>
    <t>STOCKHOLM 2025 plate 26 black 2-p AP</t>
  </si>
  <si>
    <t>60600424</t>
  </si>
  <si>
    <t>FÄRGKLAR side plate 20 light blue AP</t>
  </si>
  <si>
    <t>60608948</t>
  </si>
  <si>
    <t>PELARKAKTUS side plate 20 green AP</t>
  </si>
  <si>
    <t>60609778</t>
  </si>
  <si>
    <t>FÄRGKLAR bowl 12 matt dark grey AP</t>
  </si>
  <si>
    <t>60609797</t>
  </si>
  <si>
    <t>FÄRGKLAR deep plate 23 matt dark grey AP</t>
  </si>
  <si>
    <t>60613775</t>
  </si>
  <si>
    <t>HARMYNTA side plate 9 white AP</t>
  </si>
  <si>
    <t>60633721</t>
  </si>
  <si>
    <t>VINTERFINT 2026 bowl 13 white/red AP</t>
  </si>
  <si>
    <t>60636545</t>
  </si>
  <si>
    <t>VARDAGEN deep plate 25 white AP</t>
  </si>
  <si>
    <t>70581496</t>
  </si>
  <si>
    <t>GLADELIG bowl 19 grey AP</t>
  </si>
  <si>
    <t>70600414</t>
  </si>
  <si>
    <t>FÄRGKLAR plate 26 light blue AP</t>
  </si>
  <si>
    <t>70607378</t>
  </si>
  <si>
    <t>STRANDKRABBA bowl 15 glass/transparent AP</t>
  </si>
  <si>
    <t>70607731</t>
  </si>
  <si>
    <t>SANDSKÄDDA bowl 14 yellow AP</t>
  </si>
  <si>
    <t>70607806</t>
  </si>
  <si>
    <t>DAGGASTER side plate 20 dotted/light beige AP</t>
  </si>
  <si>
    <t>70607811</t>
  </si>
  <si>
    <t>DAGGASTER bowl 14 dotted/light beige AP</t>
  </si>
  <si>
    <t>70608943</t>
  </si>
  <si>
    <t>PELARKAKTUS bowl 16 green AP</t>
  </si>
  <si>
    <t>70609810</t>
  </si>
  <si>
    <t>FÄRGKLAR side plate 20 matt light grey AP</t>
  </si>
  <si>
    <t>70614294</t>
  </si>
  <si>
    <t>SPJUTLILJA serving s3 mixed colours AP</t>
  </si>
  <si>
    <t>80319018</t>
  </si>
  <si>
    <t>OFANTLIGT side plate 22 white AP</t>
  </si>
  <si>
    <t>80319023</t>
  </si>
  <si>
    <t>OFANTLIGT plate 28 white AP</t>
  </si>
  <si>
    <t>80572439</t>
  </si>
  <si>
    <t>FÄRGKLAR service s10 matt light grey AP</t>
  </si>
  <si>
    <t>80600753</t>
  </si>
  <si>
    <t>GLADELIG side plate 20 grey AP</t>
  </si>
  <si>
    <t>80609782</t>
  </si>
  <si>
    <t>FÄRGKLAR bowl 16 matt dark grey AP</t>
  </si>
  <si>
    <t>80609796</t>
  </si>
  <si>
    <t>FÄRGKLAR side plate 20 matt dark grey AP</t>
  </si>
  <si>
    <t>90258948</t>
  </si>
  <si>
    <t>IKEA 365+ NN plate 27 white AP JP</t>
  </si>
  <si>
    <t>90607805</t>
  </si>
  <si>
    <t>DAGGASTER plate 26 dotted/light beige AP</t>
  </si>
  <si>
    <t>90609791</t>
  </si>
  <si>
    <t>FÄRGKLAR plate 26 matt dark grey AP</t>
  </si>
  <si>
    <t>90614293</t>
  </si>
  <si>
    <t>SPJUTLILJA bowl 12 mixed colours 3-p AP</t>
  </si>
  <si>
    <t>90622641</t>
  </si>
  <si>
    <t>FORELLTETRA side plate 19 white AP</t>
  </si>
  <si>
    <t>90636558</t>
  </si>
  <si>
    <t>VARDAGEN bowl 17 white AP</t>
  </si>
  <si>
    <t>00214341</t>
  </si>
  <si>
    <t>BLANDA MATT serv bowl 20 bamboo AP JP</t>
  </si>
  <si>
    <t>00439393</t>
  </si>
  <si>
    <t>OFTAST serv bowl 23 white AP</t>
  </si>
  <si>
    <t>00603091</t>
  </si>
  <si>
    <t>PINNLILJA serv bowl s2 AP</t>
  </si>
  <si>
    <t>20179624</t>
  </si>
  <si>
    <t>BLANDA serv bowl 20 clear glass AP JP</t>
  </si>
  <si>
    <t>30166051</t>
  </si>
  <si>
    <t>BLANDA BLANK serv bowl 20 stainless steel AP JP</t>
  </si>
  <si>
    <t>30610090</t>
  </si>
  <si>
    <t>VITBLECKA serv bowl 22 light grey AP</t>
  </si>
  <si>
    <t>40179699</t>
  </si>
  <si>
    <t>BLANDA BLANK serv bowl 28 stainless steel AP JP</t>
  </si>
  <si>
    <t>40638282</t>
  </si>
  <si>
    <t>GRÅRÄV serving plate 38 green-grey 1-p AP</t>
  </si>
  <si>
    <t>60603045</t>
  </si>
  <si>
    <t>ÅKERHALLON serv bowl s2 bamboo AP</t>
  </si>
  <si>
    <t>80222974</t>
  </si>
  <si>
    <t>BLANDA MATT serv bowl 12 bamboo AP JP</t>
  </si>
  <si>
    <t>80289238</t>
  </si>
  <si>
    <t>VARDAGEN serv bowl 20 clear glass AP JP</t>
  </si>
  <si>
    <t>80620218</t>
  </si>
  <si>
    <t>AFTONHAJ serv bowl 26 stainless steel AP</t>
  </si>
  <si>
    <t>80642649</t>
  </si>
  <si>
    <t>VINTERFINT 2026 serv stnd 3 tiers red AP</t>
  </si>
  <si>
    <t>00309301</t>
  </si>
  <si>
    <t>DYRGRIP red wine glass 58 cl clear glass AP</t>
  </si>
  <si>
    <t>00592441</t>
  </si>
  <si>
    <t>STOCKHOLM 2025 glass 40 cl 4-p AP</t>
  </si>
  <si>
    <t>00597518</t>
  </si>
  <si>
    <t>SKINNFISK gls w handle 35 cl clear glass AP</t>
  </si>
  <si>
    <t>20137846</t>
  </si>
  <si>
    <t>GODIS glass 40 cl clear glass 6-p AP CN</t>
  </si>
  <si>
    <t>20137851</t>
  </si>
  <si>
    <t>REKO glass 17 cl clear glass 6-p AP CN</t>
  </si>
  <si>
    <t>30619929</t>
  </si>
  <si>
    <t>PAPPERSBJÖRK N glass 30 cl mixed colours 4-p AP</t>
  </si>
  <si>
    <t>30628721</t>
  </si>
  <si>
    <t>FJÄLLUGGLA glass 37 cl clear glass 4-p AP</t>
  </si>
  <si>
    <t>40137812</t>
  </si>
  <si>
    <t>SVALKA wine glass 30 cl clear glass 6-p AP CN</t>
  </si>
  <si>
    <t>40592444</t>
  </si>
  <si>
    <t>STOCKHOLM 2025 wine glass 32 cl 4-p AP</t>
  </si>
  <si>
    <t>40628725</t>
  </si>
  <si>
    <t>FJÄLLUGGLA wine glass 49 cl clear glass 4-p AP</t>
  </si>
  <si>
    <t>50473025</t>
  </si>
  <si>
    <t>SVALKA wine glass 44 cl clear glass 6-p AP</t>
  </si>
  <si>
    <t>50566642</t>
  </si>
  <si>
    <t>BLÅKÄXA drnk straws/cleanbrush s5 mixed colours AP</t>
  </si>
  <si>
    <t>50610107</t>
  </si>
  <si>
    <t>RÖDRÄKA wine glass 50 cl blue-grey/clear glass AP</t>
  </si>
  <si>
    <t>60309303</t>
  </si>
  <si>
    <t>DYRGRIP whi wne gls 42 cl clear glass AP</t>
  </si>
  <si>
    <t>60396282</t>
  </si>
  <si>
    <t>STORSINT glass 37 cl clear glass 6-p AP</t>
  </si>
  <si>
    <t>60623185</t>
  </si>
  <si>
    <t>POKAL glass 35 cl clear glass AP</t>
  </si>
  <si>
    <t>70567594</t>
  </si>
  <si>
    <t>VARDAGEN glass 31 cl light turquoise 4-p AP</t>
  </si>
  <si>
    <t>90278362</t>
  </si>
  <si>
    <t>IKEA 365+ goblet 30 cl clear glass AP JP</t>
  </si>
  <si>
    <t>90596722</t>
  </si>
  <si>
    <t>KLIPPLAX glass 25 cl clear glass AP</t>
  </si>
  <si>
    <t>00213558</t>
  </si>
  <si>
    <t>KORKEN bttle w stppr 1 l clear glass AP JP</t>
  </si>
  <si>
    <t>00322473</t>
  </si>
  <si>
    <t>KORKEN bttle w stppr 0.5 l clear glass AP JP</t>
  </si>
  <si>
    <t>30434737</t>
  </si>
  <si>
    <t>LÖSTAGBAR pourer plastic 2-p AP</t>
  </si>
  <si>
    <t>30633727</t>
  </si>
  <si>
    <t>VINTERFINT 2026 bttle w stppr 0.5 l glass green AP</t>
  </si>
  <si>
    <t>50573317</t>
  </si>
  <si>
    <t>AUXID bottle stopper s3 mixed colours AP</t>
  </si>
  <si>
    <t>70351853</t>
  </si>
  <si>
    <t>IKEA 365+ carafe w stppr 0.5 l clear glass/cork AP</t>
  </si>
  <si>
    <t>80342976</t>
  </si>
  <si>
    <t>KARAFF carafe 1.0 l clear glass AP</t>
  </si>
  <si>
    <t>80541363</t>
  </si>
  <si>
    <t>KORKEN bottle shaped jar w lid 1 l clear glass AP</t>
  </si>
  <si>
    <t>00237875</t>
  </si>
  <si>
    <t>DRAGON salad servers s2 22 stainless steel AP JP</t>
  </si>
  <si>
    <t>00428484</t>
  </si>
  <si>
    <t>FÖRNUFT fork 19 stainless steel 4-p AP</t>
  </si>
  <si>
    <t>00610077</t>
  </si>
  <si>
    <t>FENGÖMMARE spoon s2 16 glass/multicolour AP</t>
  </si>
  <si>
    <t>20521037</t>
  </si>
  <si>
    <t>MARTORP spoon 19 stainless steel 4-p AP</t>
  </si>
  <si>
    <t>30610071</t>
  </si>
  <si>
    <t>DOLKFISK chopstick holder s4 patterned/blue AP</t>
  </si>
  <si>
    <t>40293874</t>
  </si>
  <si>
    <t>SALTAD chopsticks 2 pairs bamboo AP CN</t>
  </si>
  <si>
    <t>40521041</t>
  </si>
  <si>
    <t>MARTORP teaspoon 14 stainless steel 4-p AP</t>
  </si>
  <si>
    <t>40565921</t>
  </si>
  <si>
    <t>MARTORP cutlery s10 stainless steel AP</t>
  </si>
  <si>
    <t>50428486</t>
  </si>
  <si>
    <t>FÖRNUFT knife 21 stainless steel 4-p AP</t>
  </si>
  <si>
    <t>50521031</t>
  </si>
  <si>
    <t>MARTORP fork 19 stainless steel 4-p AP</t>
  </si>
  <si>
    <t>50573322</t>
  </si>
  <si>
    <t>GRÅSELLACK 2-piece cutlery set AP</t>
  </si>
  <si>
    <t>50609590</t>
  </si>
  <si>
    <t>DOFTSKÖLD cutlery s24 black AP</t>
  </si>
  <si>
    <t>50610070</t>
  </si>
  <si>
    <t>ÅRFENHAJ chopsticks 8 pairs multicolour AP</t>
  </si>
  <si>
    <t>70342972</t>
  </si>
  <si>
    <t>TREBENT chopsticks 4 pairs bamboo AP</t>
  </si>
  <si>
    <t>70610069</t>
  </si>
  <si>
    <t>SÖTBJÖRNBÄR chopsticks 2 pairs 24 brown AP</t>
  </si>
  <si>
    <t>80343004</t>
  </si>
  <si>
    <t>MOPSIG cutlery s16 AP</t>
  </si>
  <si>
    <t>80428480</t>
  </si>
  <si>
    <t>FÖRNUFT teaspoon 14 stainless steel 4-p AP</t>
  </si>
  <si>
    <t>90177589</t>
  </si>
  <si>
    <t>DRAGON salad/dessert fork 16 stainl steel 6p AP JP</t>
  </si>
  <si>
    <t>90521034</t>
  </si>
  <si>
    <t>MARTORP knife 22 stainless steel 4-p AP</t>
  </si>
  <si>
    <t>00559187</t>
  </si>
  <si>
    <t>VIPPSTARR tablecloth 150x150 stripepatt red/nat AP</t>
  </si>
  <si>
    <t>10459168</t>
  </si>
  <si>
    <t>STORÄTARE paper napkin 30x30 white 150-p AP</t>
  </si>
  <si>
    <t>294DT260817726650</t>
  </si>
  <si>
    <t>30632780</t>
  </si>
  <si>
    <t>KUSTFYR 2026 paper na 33x33 spider pa wh/bk 30p AP</t>
  </si>
  <si>
    <t>30633831</t>
  </si>
  <si>
    <t>VINTERFINT 2026 ppr npkn 33x33 chck p/mlt 30-p AP</t>
  </si>
  <si>
    <t>30636655</t>
  </si>
  <si>
    <t>VINTERFINT 2026 pa nap 33x33 heart wh/rd 30-p AP</t>
  </si>
  <si>
    <t>40642707</t>
  </si>
  <si>
    <t>VINTERFINT 2026 paper napkin 33x33 st/gn/wh 30p AP</t>
  </si>
  <si>
    <t>60526580</t>
  </si>
  <si>
    <t>SILVERARV tablecloth 145x240 beige AP</t>
  </si>
  <si>
    <t>60559189</t>
  </si>
  <si>
    <t>VIPPSTARR napkin 30x30 stripe patt red/nat 4-p AP</t>
  </si>
  <si>
    <t>70633283</t>
  </si>
  <si>
    <t>FANTASTISK 2026 paper napkin 40x40 red 50-p AP</t>
  </si>
  <si>
    <t>70633829</t>
  </si>
  <si>
    <t>VINTERFINT 2026 pa nap 33x33 Santa Cl p gr 30-p AP</t>
  </si>
  <si>
    <t>90633833</t>
  </si>
  <si>
    <t>VINTERFINT 2026 paper napkin 38x38 duck pi 30p AP</t>
  </si>
  <si>
    <t>10470509</t>
  </si>
  <si>
    <t>OSTBIT tray 30x40 bamboo AP</t>
  </si>
  <si>
    <t>20432159</t>
  </si>
  <si>
    <t>FRUKTSKAL tray 50x30 bamboo AP</t>
  </si>
  <si>
    <t>30419949</t>
  </si>
  <si>
    <t>TILLGÅNG tray 37x29 grey AP</t>
  </si>
  <si>
    <t>30631568</t>
  </si>
  <si>
    <t>KUSTFYR 2026 tray 20x28 cat pattern white/black AP</t>
  </si>
  <si>
    <t>40519934</t>
  </si>
  <si>
    <t>FRUKTSKAL N tray 35x23 bamboo AP</t>
  </si>
  <si>
    <t>50607690</t>
  </si>
  <si>
    <t>KEJSARFISK tray 28x37 patterned multicolour AP</t>
  </si>
  <si>
    <t>70607694</t>
  </si>
  <si>
    <t>SOLDATFISK tray 20x28 striped white/grey-blue AP</t>
  </si>
  <si>
    <t>90631805</t>
  </si>
  <si>
    <t>HÖSTAGILLE 2026 tray 20x28 multicolour AP</t>
  </si>
  <si>
    <t>00601799</t>
  </si>
  <si>
    <t>SILVERSIDA mug 40 cl patterned/blue AP</t>
  </si>
  <si>
    <t>10362821</t>
  </si>
  <si>
    <t>DINERA mug 30 cl dark grey AP</t>
  </si>
  <si>
    <t>10607814</t>
  </si>
  <si>
    <t>DAGGASTER mug 40 cl dotted/light beige AP</t>
  </si>
  <si>
    <t>20319021</t>
  </si>
  <si>
    <t>OFANTLIGT mug 31 cl white AP</t>
  </si>
  <si>
    <t>20603684</t>
  </si>
  <si>
    <t>TOBISFISK mug 33 cl patterned/beige AP</t>
  </si>
  <si>
    <t>30561829</t>
  </si>
  <si>
    <t>PIGGÅL mug 30 cl white/green 2-p AP</t>
  </si>
  <si>
    <t>40417450</t>
  </si>
  <si>
    <t>DRÖMBILD mug 25 cl clear glass AP</t>
  </si>
  <si>
    <t>40633835</t>
  </si>
  <si>
    <t>VINTERFINT 2026 mug 36 cl white/red AP</t>
  </si>
  <si>
    <t>40635504</t>
  </si>
  <si>
    <t>SKUGGSTUBB mug 41 cl light blue/glass AP</t>
  </si>
  <si>
    <t>50633019</t>
  </si>
  <si>
    <t>HÖSTAGILLE mug 50 cl light brown tempered glass AP</t>
  </si>
  <si>
    <t>60279725</t>
  </si>
  <si>
    <t>IKEA 365+ mug 24 cl clear glass AP JP</t>
  </si>
  <si>
    <t>60632321</t>
  </si>
  <si>
    <t>KUSTFYR 2026 mug 36 cl cat pattern white/black AP</t>
  </si>
  <si>
    <t>60636531</t>
  </si>
  <si>
    <t>VARDAGEN mug 30 cl white AP</t>
  </si>
  <si>
    <t>70615095</t>
  </si>
  <si>
    <t>BLOMVECKLARE mug 43 cl light pink AP</t>
  </si>
  <si>
    <t>70633018</t>
  </si>
  <si>
    <t>HÖSTAGILLE mug 50 cl light grey tempered glass AP</t>
  </si>
  <si>
    <t>80635502</t>
  </si>
  <si>
    <t>SKEDSTÖR mug 30 cl patterned/glass 2-p AP</t>
  </si>
  <si>
    <t>80638398</t>
  </si>
  <si>
    <t>GRÅRÄV mug 34 cl multicolour 2-p AP</t>
  </si>
  <si>
    <t>90603690</t>
  </si>
  <si>
    <t>TOBISFISK mug 33 cl blue/lilac AP</t>
  </si>
  <si>
    <t>90615103</t>
  </si>
  <si>
    <t>PANSARMAL mug 27 cl white AP</t>
  </si>
  <si>
    <t>10360233</t>
  </si>
  <si>
    <t>ÖVERST metal filter coffee s3 stainless steel AP</t>
  </si>
  <si>
    <t>20297849</t>
  </si>
  <si>
    <t>UPPHETTA coffee/tea maker 0.4 l glass/stnls AP JP</t>
  </si>
  <si>
    <t>60297847</t>
  </si>
  <si>
    <t>RIKLIG teapot 0.6 l glass AP JP</t>
  </si>
  <si>
    <t>70163215</t>
  </si>
  <si>
    <t>MÅTTLIG milkfrothing jug 0,5l stainl steel AP JP</t>
  </si>
  <si>
    <t>80241388</t>
  </si>
  <si>
    <t>UPPHETTA coffee/tea maker 1l glass/stainl st AP JP</t>
  </si>
  <si>
    <t>90532725</t>
  </si>
  <si>
    <t>IKEA 365+ coffee/tea maker 1 l cl gls/stnls AP</t>
  </si>
  <si>
    <t>10630169</t>
  </si>
  <si>
    <t>SANDÖDLA plant pot 15 water hyacinth AP</t>
  </si>
  <si>
    <t>10642582</t>
  </si>
  <si>
    <t>SAMMETSSYREN plant pot 12 in/outdoor/lgrn AP</t>
  </si>
  <si>
    <t>20478350</t>
  </si>
  <si>
    <t>SESAMFRÖN plant pot 9 in/outdoor off-white AP</t>
  </si>
  <si>
    <t>20621824</t>
  </si>
  <si>
    <t>HASSELBUKETT plant pot 19 in/outdoor/beige AP</t>
  </si>
  <si>
    <t>20623291</t>
  </si>
  <si>
    <t>GRADVIS plant pot 12 in/outdoor/light brown AP</t>
  </si>
  <si>
    <t>20628284</t>
  </si>
  <si>
    <t>FRIDFULL plant pot 19 water hyacinth AP</t>
  </si>
  <si>
    <t>40611027</t>
  </si>
  <si>
    <t>KVASTSPIREA plant pot 12 in/outdoor/off-white AP</t>
  </si>
  <si>
    <t>40627189</t>
  </si>
  <si>
    <t>TÄRNMÅS plant pot 24 indoor/beige/black AP</t>
  </si>
  <si>
    <t>50492260</t>
  </si>
  <si>
    <t>CHILISTRÅN hang planter 12 in/outdoor white AP</t>
  </si>
  <si>
    <t>50510829</t>
  </si>
  <si>
    <t>BRUNBÄR plant pot w saucer 12 outdoor terrac AP</t>
  </si>
  <si>
    <t>50632821</t>
  </si>
  <si>
    <t>GLACIÄRBJÖRN plant pot 9 light green AP</t>
  </si>
  <si>
    <t>50641359</t>
  </si>
  <si>
    <t>HASSELBUKETT plant pot 9 in/outdoor/green AP</t>
  </si>
  <si>
    <t>60454818</t>
  </si>
  <si>
    <t>FÖRENLIG plant pot 9 in/outdoor white AP</t>
  </si>
  <si>
    <t>60611936</t>
  </si>
  <si>
    <t>BRYTBÖNA scissors 16 stainless steel AP</t>
  </si>
  <si>
    <t>70641344</t>
  </si>
  <si>
    <t>HONUNGSPALM plant pot 12 in/outdoor/blue AP</t>
  </si>
  <si>
    <t>80454817</t>
  </si>
  <si>
    <t>FÖRENLIG plant pot 12 in/outdoor white AP</t>
  </si>
  <si>
    <t>80570869</t>
  </si>
  <si>
    <t>VÅRDTRÄD selfwaterplpo15in/out transp/anthracit AP</t>
  </si>
  <si>
    <t>80610610</t>
  </si>
  <si>
    <t>FRÄKENVÄXT plant pot 24 in/outdoor/da grey-bei AP</t>
  </si>
  <si>
    <t>80611025</t>
  </si>
  <si>
    <t>KVASTSPIREA plant pot 9 in/outdoor/off-white AP</t>
  </si>
  <si>
    <t>80612317</t>
  </si>
  <si>
    <t>DOFTRIPS water can 1.5 l stainless steel AP</t>
  </si>
  <si>
    <t>90454893</t>
  </si>
  <si>
    <t>MUSKOTBLOMMA plant pot w saucer 15in/out terrac AP</t>
  </si>
  <si>
    <t>90510827</t>
  </si>
  <si>
    <t>BRUNBÄR plant pot w saucer 15 outdoor terrac AP</t>
  </si>
  <si>
    <t>90632824</t>
  </si>
  <si>
    <t>GLACIÄRBJÖRN plant pot 9 white AP</t>
  </si>
  <si>
    <t>00341122</t>
  </si>
  <si>
    <t>BLADVERK potted plant 10 assorted KR</t>
  </si>
  <si>
    <t>00588670</t>
  </si>
  <si>
    <t>FICUS BENGHALENSIS potted plant 21 banyan KR</t>
  </si>
  <si>
    <t>40339914</t>
  </si>
  <si>
    <t>HIMALAYAMIX pottd plnt10 ass plnts with foliage KR</t>
  </si>
  <si>
    <t>40342271</t>
  </si>
  <si>
    <t>CHAMAEDOREA ELEGANS pottedplant 10 Parlour palm KR</t>
  </si>
  <si>
    <t>40625755</t>
  </si>
  <si>
    <t>ASPARAGUS SETACEUS potted plant 10 Lace fern KR</t>
  </si>
  <si>
    <t>60625759</t>
  </si>
  <si>
    <t>DRACAENA MARGINATA pottdplnt15Dragontree/3-stem KR</t>
  </si>
  <si>
    <t>70625768</t>
  </si>
  <si>
    <t>FINNTRÄSK potted plant 10 fern/assorted KR</t>
  </si>
  <si>
    <t>00610746</t>
  </si>
  <si>
    <t>FEJKA artifi pttd plant 9 in/out/plantain lily AP</t>
  </si>
  <si>
    <t>10600898</t>
  </si>
  <si>
    <t>FEJKA artifi pttd plant 12 in/out Banana tree AP</t>
  </si>
  <si>
    <t>10630065</t>
  </si>
  <si>
    <t>20610608</t>
  </si>
  <si>
    <t>FEJKA artifi pttd plant 21 in/outdoor/bamboo AP</t>
  </si>
  <si>
    <t>20626398</t>
  </si>
  <si>
    <t>FEJKA artifi pttd plant 17 in/outdoor/grass AP</t>
  </si>
  <si>
    <t>60615246</t>
  </si>
  <si>
    <t>FEJKA NN artifi pttd plant 19 in/out Monstera AP</t>
  </si>
  <si>
    <t>70610743</t>
  </si>
  <si>
    <t>FEJKA artifi pttd plant 9 in/outdoor/basil AP</t>
  </si>
  <si>
    <t>90630066</t>
  </si>
  <si>
    <t>FEJKA artifi pttd plant s3 in/outdoor leaf AP</t>
  </si>
  <si>
    <t>00624357</t>
  </si>
  <si>
    <t>DAKSJUS plnt mvr 28 bamboo AP</t>
  </si>
  <si>
    <t>60294962</t>
  </si>
  <si>
    <t>SATSUMAS plant stand 78 bamboo/white AP CN</t>
  </si>
  <si>
    <t>70537168</t>
  </si>
  <si>
    <t>ÅKERBÄR plnt mvr 31 in/outdoor/galvanised AP</t>
  </si>
  <si>
    <t>90567022</t>
  </si>
  <si>
    <t>DAKSJUS plant stand 21 bamboo AP</t>
  </si>
  <si>
    <t>90621726</t>
  </si>
  <si>
    <t>LÅNGNÄBB plant stand 26 in/outdoor/white AP</t>
  </si>
  <si>
    <t>00607046</t>
  </si>
  <si>
    <t>BLADFÅGEL candle dish 11 pink AP</t>
  </si>
  <si>
    <t>00630056</t>
  </si>
  <si>
    <t>KUSTFYR 2026 lantern pill candle, in/out 44 blk AP</t>
  </si>
  <si>
    <t>10342135</t>
  </si>
  <si>
    <t>FULLTALIG candlestick s3 black AP</t>
  </si>
  <si>
    <t>10574984</t>
  </si>
  <si>
    <t>SILVERPÄRON pillar cndl hldr 20 white AP</t>
  </si>
  <si>
    <t>10651835</t>
  </si>
  <si>
    <t>FINSMAK candlestick 4 assorted colours AP</t>
  </si>
  <si>
    <t>20575011</t>
  </si>
  <si>
    <t>SILVERPÄRON pillar cndl hldr 24 black AP</t>
  </si>
  <si>
    <t>30638150</t>
  </si>
  <si>
    <t>SMÅNÄCKROS tealt hldr 6 white AP</t>
  </si>
  <si>
    <t>40608992</t>
  </si>
  <si>
    <t>LADUSVALA tealt hldr 5.5 mixed colours 3-p AP</t>
  </si>
  <si>
    <t>40633519</t>
  </si>
  <si>
    <t>SNÖDUVA candlestick 25 for 2 candles silv-col AP</t>
  </si>
  <si>
    <t>50634269</t>
  </si>
  <si>
    <t>VINTERFINT 2026 candlestick 24 for 3 candles re AP</t>
  </si>
  <si>
    <t>80634456</t>
  </si>
  <si>
    <t>KUNGSTÄRNA tealt hldr 8 clear glass/gold-colour AP</t>
  </si>
  <si>
    <t>90290137</t>
  </si>
  <si>
    <t>GLASIG candle dish 10x10 clear glass AP CN</t>
  </si>
  <si>
    <t>10623989</t>
  </si>
  <si>
    <t>SNÖRPTRÅD LED tbl deco battery-op brass-col KR</t>
  </si>
  <si>
    <t>40612809</t>
  </si>
  <si>
    <t>SMÅLOM LED pillar candle 19 battery-op whi KR</t>
  </si>
  <si>
    <t>90612802</t>
  </si>
  <si>
    <t>SMÅLOM LED pillar candle 9 battery-operated whi KR</t>
  </si>
  <si>
    <t>90619790</t>
  </si>
  <si>
    <t>SMÅLOM LED pillar candle 14 battery-op whi KR</t>
  </si>
  <si>
    <t>00611048</t>
  </si>
  <si>
    <t>BERGKÖRSBÄR vase 15 glass/green AP</t>
  </si>
  <si>
    <t>00612378</t>
  </si>
  <si>
    <t>DOFTRIPS vase 18 clear glass AP</t>
  </si>
  <si>
    <t>10191631</t>
  </si>
  <si>
    <t>SOCKERÄRT vase/jug 16 white AP CN</t>
  </si>
  <si>
    <t>10442192</t>
  </si>
  <si>
    <t>TONSÄTTA vase 21 blue AP</t>
  </si>
  <si>
    <t>10623263</t>
  </si>
  <si>
    <t>KOPPARBJÖRK vase 21 light brown AP</t>
  </si>
  <si>
    <t>10632936</t>
  </si>
  <si>
    <t>KUSTFYR 2026 tin w lid s3 pumpk-shpd mix col AP</t>
  </si>
  <si>
    <t>10638896</t>
  </si>
  <si>
    <t>VINTERFINT 2026 bowl w lid 18 red/white AP</t>
  </si>
  <si>
    <t>20511967</t>
  </si>
  <si>
    <t>KONSTFULL vase 26 clear glass/patterned AP</t>
  </si>
  <si>
    <t>20567110</t>
  </si>
  <si>
    <t>DAKSJUS vase s3 mixed colours AP</t>
  </si>
  <si>
    <t>20611047</t>
  </si>
  <si>
    <t>BERGKÖRSBÄR vase 28 glass/green AP</t>
  </si>
  <si>
    <t>20630545</t>
  </si>
  <si>
    <t>HÖSTAGILLE 2026 bowl w lid 13 green-brown AP</t>
  </si>
  <si>
    <t>20636694</t>
  </si>
  <si>
    <t>VINTERFINT 2026 bowl w lid 13.5 bird red AP</t>
  </si>
  <si>
    <t>30618562</t>
  </si>
  <si>
    <t>IKEA PS 2026 vase 15 glass/white/green pink AP</t>
  </si>
  <si>
    <t>30630578</t>
  </si>
  <si>
    <t>PÄRLHÄGG 2026 vase 22 brown-red AP</t>
  </si>
  <si>
    <t>40630059</t>
  </si>
  <si>
    <t>KUSTFYR 2026 bowl w lid 13 ghost clear glass AP</t>
  </si>
  <si>
    <t>40630605</t>
  </si>
  <si>
    <t>KUSTFYR 2026 bowl w lid 19 bat black AP</t>
  </si>
  <si>
    <t>40638159</t>
  </si>
  <si>
    <t>SMÅNÄCKROS deco bowl 15 white AP</t>
  </si>
  <si>
    <t>50470989</t>
  </si>
  <si>
    <t>PÅDRAG vase 17 clear glass AP</t>
  </si>
  <si>
    <t>50610541</t>
  </si>
  <si>
    <t>PÅSKÖTRÄD vase 20 glass/light brown AP</t>
  </si>
  <si>
    <t>50635419</t>
  </si>
  <si>
    <t>VINTERFINT 2026 bowl w lid 12 reindeer brown AP</t>
  </si>
  <si>
    <t>50636697</t>
  </si>
  <si>
    <t>VINTERFINT 2026 bowl w lid 7 bird white AP</t>
  </si>
  <si>
    <t>60623265</t>
  </si>
  <si>
    <t>STILREN vase 12 dark grey-beige AP</t>
  </si>
  <si>
    <t>70537663</t>
  </si>
  <si>
    <t>ÄRTBUSKE vase/watering can 24 bright green AP</t>
  </si>
  <si>
    <t>70559551</t>
  </si>
  <si>
    <t>KOPPARBJÖRK vase 21 bright yellow AP</t>
  </si>
  <si>
    <t>70636762</t>
  </si>
  <si>
    <t>SNÖSISKA bowl w lid 15 dark grey-green AP</t>
  </si>
  <si>
    <t>70646327</t>
  </si>
  <si>
    <t>VINTERFINT 2026 jar/lid 1.0 l Santa Claus red AP</t>
  </si>
  <si>
    <t>90191632</t>
  </si>
  <si>
    <t>SOCKERÄRT vase/jug 22 white AP CN</t>
  </si>
  <si>
    <t>90592366</t>
  </si>
  <si>
    <t>STILREN vase 12 white AP</t>
  </si>
  <si>
    <t>90610539</t>
  </si>
  <si>
    <t>PÅSKÖTRÄD vase 13.5 glass/light brown AP</t>
  </si>
  <si>
    <t>90632305</t>
  </si>
  <si>
    <t>KUSTFYR 2026 deco s3 mixed shapes AP</t>
  </si>
  <si>
    <t>90635182</t>
  </si>
  <si>
    <t>PÄRLGLADA vase 24 clear glass AP</t>
  </si>
  <si>
    <t>00606259</t>
  </si>
  <si>
    <t>SMYCKA art bouquet 36 in/outdoor/lilac AP</t>
  </si>
  <si>
    <t>10606046</t>
  </si>
  <si>
    <t>SMYCKA art flower 71 in/out Chrysanthemums/whi AP</t>
  </si>
  <si>
    <t>319DT260803726025</t>
  </si>
  <si>
    <t>20606055</t>
  </si>
  <si>
    <t>SMYCKA art flower 63 in/outdoor Ranunculus/yel AP</t>
  </si>
  <si>
    <t>20614965</t>
  </si>
  <si>
    <t>GULDSPETT art flower 50 paper/Peony wh/l pnk AP</t>
  </si>
  <si>
    <t>30606291</t>
  </si>
  <si>
    <t>SMYCKA art bouquet 60 in/outdoor/pink/white AP</t>
  </si>
  <si>
    <t>30638126</t>
  </si>
  <si>
    <t>TORKA dried plants 70 bunch/reed AP</t>
  </si>
  <si>
    <t>30638131</t>
  </si>
  <si>
    <t>TORKA dried plants 70 bunch/green AP</t>
  </si>
  <si>
    <t>40606059</t>
  </si>
  <si>
    <t>SMYCKA art flower 66 in/outdoor Dahlia/orange AP</t>
  </si>
  <si>
    <t>40638135</t>
  </si>
  <si>
    <t>TORKA dried parts flowers/plants 70 bunch/lilac AP</t>
  </si>
  <si>
    <t>50587183</t>
  </si>
  <si>
    <t>SMYCKA N art flower 40 in/outdoor/Rose red AP</t>
  </si>
  <si>
    <t>50638125</t>
  </si>
  <si>
    <t>TORKA dried plants 60 bunch/natural AP</t>
  </si>
  <si>
    <t>60560121</t>
  </si>
  <si>
    <t>SMYCKA art flower 63 in/outdoor/Rose gld-brn AP</t>
  </si>
  <si>
    <t>60605983</t>
  </si>
  <si>
    <t>SMYCKA art flower 57 in/outdoor Poppy/blue AP</t>
  </si>
  <si>
    <t>60606039</t>
  </si>
  <si>
    <t>SMYCKA art flower 51 in/outdoor Poppy/white AP</t>
  </si>
  <si>
    <t>60606261</t>
  </si>
  <si>
    <t>SMYCKA art bouquet 60 in/out eucal/green AP</t>
  </si>
  <si>
    <t>70560149</t>
  </si>
  <si>
    <t>SMYCKA art flower 65 in/outdoor/Rose white AP</t>
  </si>
  <si>
    <t>70606067</t>
  </si>
  <si>
    <t>SMYCKA art flower 55 in/out Chrysanthemum/dpink AP</t>
  </si>
  <si>
    <t>80608004</t>
  </si>
  <si>
    <t>SMYCKA art flower 52 in/outdoor Ranunculus/whi AP</t>
  </si>
  <si>
    <t>80637332</t>
  </si>
  <si>
    <t>SMYCKA art flower 60 in/outdoor hydrangea/lpink AP</t>
  </si>
  <si>
    <t>90606085</t>
  </si>
  <si>
    <t>SMYCKA art flower 66 in/outdoor Dahlia/white AP</t>
  </si>
  <si>
    <t>00608442</t>
  </si>
  <si>
    <t>LOTSFÅGEL scntd cndl in gl 20hr Citrus flo lyel KR</t>
  </si>
  <si>
    <t>00609597</t>
  </si>
  <si>
    <t>FRÖFINK scented potpourri 60 g Peach orange JPKR</t>
  </si>
  <si>
    <t>20609600</t>
  </si>
  <si>
    <t>FRÖFINK scented potpourri 60 g Citrus flo yel JPKR</t>
  </si>
  <si>
    <t>30608450</t>
  </si>
  <si>
    <t>LOTSFÅGEL scntd cndl in gl 20hr Peach lorange JPKR</t>
  </si>
  <si>
    <t>40611584</t>
  </si>
  <si>
    <t>PÄRLHÖNA sc cn cer jar 3w 30hr Rose&amp;carn offw JPKR</t>
  </si>
  <si>
    <t>60608378</t>
  </si>
  <si>
    <t>LOTSFÅGEL scntd cndl in gl 40hr Pink flo pl p JPKR</t>
  </si>
  <si>
    <t>60614280</t>
  </si>
  <si>
    <t>DVÄRGHÖK sc cn gls lid 50hr Citr fl redo/yebr JPKR</t>
  </si>
  <si>
    <t>80608438</t>
  </si>
  <si>
    <t>LOTSFÅGEL scntd cndl in gl 20hr Fresh linen whi KR</t>
  </si>
  <si>
    <t>80609584</t>
  </si>
  <si>
    <t>FRÖFINK scented potpourri 60 g pink flo pink JPKR</t>
  </si>
  <si>
    <t>10635906</t>
  </si>
  <si>
    <t>VINTERFINT 2026 gift bag 18x22 striped red 5-p AP</t>
  </si>
  <si>
    <t>20631026</t>
  </si>
  <si>
    <t>VINTERFINT 2026 string 25 m jute AP</t>
  </si>
  <si>
    <t>30636108</t>
  </si>
  <si>
    <t>VINTERFINT 2026 gwr 3x0.7 m/2.10 m² mx pt c 3-p AP</t>
  </si>
  <si>
    <t>40635858</t>
  </si>
  <si>
    <t>VINTERFINT 2026 gift bag s3 mix col/mix patt AP</t>
  </si>
  <si>
    <t>70632071</t>
  </si>
  <si>
    <t>VINTERFINT 2026 gift bag 38x50 X-mas patt /red AP</t>
  </si>
  <si>
    <t>70636106</t>
  </si>
  <si>
    <t>VINTERFINT 2026 gwr 3x0.7 m/2.10 m² mx gl/w 3-p AP</t>
  </si>
  <si>
    <t>80635917</t>
  </si>
  <si>
    <t>VINTERFINT 2026 gift bow s21 mix size/mix col AP</t>
  </si>
  <si>
    <t>90632065</t>
  </si>
  <si>
    <t>VINTERFINT 2026 gift bag s3 mixed patterns red AP</t>
  </si>
  <si>
    <t>10633403</t>
  </si>
  <si>
    <t>VINTERFINT 2026 tree or 16 icicle-sh cl gls 6-p AP</t>
  </si>
  <si>
    <t>10635322</t>
  </si>
  <si>
    <t>VINTERFINT 2026 deco s2 mixed shapes/mix col AP</t>
  </si>
  <si>
    <t>50633397</t>
  </si>
  <si>
    <t>VINTERFINT 2026 deco 23x30 Santa hat re/wh AP</t>
  </si>
  <si>
    <t>60633429</t>
  </si>
  <si>
    <t>VINTERFINT 2026 tree orn s6 pap mix shp/mix col AP</t>
  </si>
  <si>
    <t>70633363</t>
  </si>
  <si>
    <t>VINTERFINT 2026 tree ornament s8 mushroom red AP</t>
  </si>
  <si>
    <t>80637327</t>
  </si>
  <si>
    <t>VINTERFINT 2026 deco s4 tree-shaped/mix col AP</t>
  </si>
  <si>
    <t>00286762</t>
  </si>
  <si>
    <t>LOMVIKEN frame 30x40 aluminium AP</t>
  </si>
  <si>
    <t>00314307</t>
  </si>
  <si>
    <t>LOMVIKEN frame 40x50 black AP</t>
  </si>
  <si>
    <t>00427291</t>
  </si>
  <si>
    <t>KNOPPÄNG frame 30x40 white AP</t>
  </si>
  <si>
    <t>00550040</t>
  </si>
  <si>
    <t>RÖDALM frame 13x18 white AP</t>
  </si>
  <si>
    <t>00594336</t>
  </si>
  <si>
    <t>PLOMMONTRÄD frame 13x18 pale grey-green AP</t>
  </si>
  <si>
    <t>00610082</t>
  </si>
  <si>
    <t>KLOTKÖRSBÄR frame 21x30 oak effect/dark brown AP</t>
  </si>
  <si>
    <t>10297430</t>
  </si>
  <si>
    <t>FISKBO frame 40x50 black AP CN</t>
  </si>
  <si>
    <t>10387119</t>
  </si>
  <si>
    <t>KNOPPÄNG frame 30x40 black AP</t>
  </si>
  <si>
    <t>10553726</t>
  </si>
  <si>
    <t>RÖDALM frame f 3pict 55x28 white AP</t>
  </si>
  <si>
    <t>10594331</t>
  </si>
  <si>
    <t>PLOMMONTRÄD frame 30x40 pale grey-green AP</t>
  </si>
  <si>
    <t>20256622</t>
  </si>
  <si>
    <t>VÄXBO collage frame 8ph 13x18 white AP CN</t>
  </si>
  <si>
    <t>20427285</t>
  </si>
  <si>
    <t>KNOPPÄNG frame 21x30 white AP</t>
  </si>
  <si>
    <t>20566399</t>
  </si>
  <si>
    <t>RÖDALM frame 40x50 oak effect AP</t>
  </si>
  <si>
    <t>30550109</t>
  </si>
  <si>
    <t>RÖDALM frame 50x70 white AP</t>
  </si>
  <si>
    <t>30566389</t>
  </si>
  <si>
    <t>RÖDALM frame 10x15 oak effect AP</t>
  </si>
  <si>
    <t>30566394</t>
  </si>
  <si>
    <t>RÖDALM frame 21x30 oak effect AP</t>
  </si>
  <si>
    <t>40314305</t>
  </si>
  <si>
    <t>LOMVIKEN frame 30x40 black AP</t>
  </si>
  <si>
    <t>40387127</t>
  </si>
  <si>
    <t>KNOPPÄNG frame 13x18 black AP</t>
  </si>
  <si>
    <t>40550095</t>
  </si>
  <si>
    <t>RÖDALM frame 30x40 white AP</t>
  </si>
  <si>
    <t>40566402</t>
  </si>
  <si>
    <t>RÖDALM frame 50x70 oak effect AP</t>
  </si>
  <si>
    <t>50550033</t>
  </si>
  <si>
    <t>RÖDALM frame 13x18 birch effect AP</t>
  </si>
  <si>
    <t>50550047</t>
  </si>
  <si>
    <t>RÖDALM frame 21x30 white AP</t>
  </si>
  <si>
    <t>50553710</t>
  </si>
  <si>
    <t>RÖDALM frame f 9 pict 46x61 black AP</t>
  </si>
  <si>
    <t>60335854</t>
  </si>
  <si>
    <t>LOMVIKEN frame 32x32 black AP</t>
  </si>
  <si>
    <t>60427269</t>
  </si>
  <si>
    <t>KNOPPÄNG frame 13x18 white AP</t>
  </si>
  <si>
    <t>60429758</t>
  </si>
  <si>
    <t>YLLEVAD frame 21x30 white AP</t>
  </si>
  <si>
    <t>60459123</t>
  </si>
  <si>
    <t>SANNAHED frame 25x25 black AP</t>
  </si>
  <si>
    <t>60550042</t>
  </si>
  <si>
    <t>RÖDALM frame 21x30 black AP</t>
  </si>
  <si>
    <t>60611007</t>
  </si>
  <si>
    <t>TRIVIALSKOG frame 21x30 rattan AP</t>
  </si>
  <si>
    <t>70387121</t>
  </si>
  <si>
    <t>KNOPPÄNG frame 21x30 black AP</t>
  </si>
  <si>
    <t>70550027</t>
  </si>
  <si>
    <t>RÖDALM frame 10x15 black AP</t>
  </si>
  <si>
    <t>70550032</t>
  </si>
  <si>
    <t>RÖDALM frame 10x15 white AP</t>
  </si>
  <si>
    <t>70550046</t>
  </si>
  <si>
    <t>RÖDALM frame 21x30 walnut effect AP</t>
  </si>
  <si>
    <t>80300467</t>
  </si>
  <si>
    <t>FISKBO frame 40x50 white AP CN</t>
  </si>
  <si>
    <t>80300472</t>
  </si>
  <si>
    <t>FISKBO frame 50x70 white AP CN</t>
  </si>
  <si>
    <t>80459122</t>
  </si>
  <si>
    <t>SANNAHED frame 25x25 white AP</t>
  </si>
  <si>
    <t>80610083</t>
  </si>
  <si>
    <t>KLOTKÖRSBÄR frame 30x40 oak effect/dark brown AP</t>
  </si>
  <si>
    <t>80611006</t>
  </si>
  <si>
    <t>TRIVIALSKOG frame 13x18 rattan AP</t>
  </si>
  <si>
    <t>90300457</t>
  </si>
  <si>
    <t>FISKBO frame 21x30 white AP CN</t>
  </si>
  <si>
    <t>90550031</t>
  </si>
  <si>
    <t>RÖDALM frame 10x15 walnut effect AP</t>
  </si>
  <si>
    <t>90550111</t>
  </si>
  <si>
    <t>RÖDALM frame 61x91 black AP</t>
  </si>
  <si>
    <t>90566391</t>
  </si>
  <si>
    <t>RÖDALM frame 13x18 oak effect AP</t>
  </si>
  <si>
    <t>10623461</t>
  </si>
  <si>
    <t>PJÄTTERYD pict 140x56 endless tide AP</t>
  </si>
  <si>
    <t>20601963</t>
  </si>
  <si>
    <t>BILD poster 21x30 still life with fruit 2-p AP</t>
  </si>
  <si>
    <t>40623474</t>
  </si>
  <si>
    <t>BLODFLÄDER picture 50x70 bold florals AP</t>
  </si>
  <si>
    <t>70601965</t>
  </si>
  <si>
    <t>BILD poster 21x30 forest fun 4-p AP</t>
  </si>
  <si>
    <t>70623868</t>
  </si>
  <si>
    <t>PJÄTTERYD pict 30x40 dawn haze 2-p AP</t>
  </si>
  <si>
    <t>80623858</t>
  </si>
  <si>
    <t>BLODFLÄDER picture 40x50 black leaves 2-p AP</t>
  </si>
  <si>
    <t>80623924</t>
  </si>
  <si>
    <t>PJÄTTERYD pict 56x56 colourful shapes AP</t>
  </si>
  <si>
    <t>80624018</t>
  </si>
  <si>
    <t>PJÄTTERYD pict 50x70 big apple AP</t>
  </si>
  <si>
    <t>00570335</t>
  </si>
  <si>
    <t>KORVTRÄD wll clock 28 multicolour LVM AP</t>
  </si>
  <si>
    <t>00619704</t>
  </si>
  <si>
    <t>LAVSKRIKA wll clock 31 flower-shaped yellow LVM AP</t>
  </si>
  <si>
    <t>00620463</t>
  </si>
  <si>
    <t>LJUNGPIPARE clock/timer 8x7 green AP</t>
  </si>
  <si>
    <t>10557079</t>
  </si>
  <si>
    <t>TROMMA wll clock 25 white LVM AP</t>
  </si>
  <si>
    <t>10620448</t>
  </si>
  <si>
    <t>ÖKENMARSVIN alarm clock 11x6x9 yellow LVM AP</t>
  </si>
  <si>
    <t>20617087</t>
  </si>
  <si>
    <t>TALLSPARV wll clock 28 black/beige LVM AP</t>
  </si>
  <si>
    <t>30534039</t>
  </si>
  <si>
    <t>JÄNKIG wll clock 30 gold-colour LVM AP</t>
  </si>
  <si>
    <t>30540865</t>
  </si>
  <si>
    <t>SÖNDRUM wll clock 35 white LVM AP</t>
  </si>
  <si>
    <t>30620466</t>
  </si>
  <si>
    <t>ÖRNVRÅK clock w hygro-/therm 8x3 white AP</t>
  </si>
  <si>
    <t>40615351</t>
  </si>
  <si>
    <t>SKOGSSVALA wll clock 24x24 oak veneer LVM AP</t>
  </si>
  <si>
    <t>50619706</t>
  </si>
  <si>
    <t>KÄRRSÅNGARE alarm clock 11x7x11 blue LVM AP</t>
  </si>
  <si>
    <t>60540840</t>
  </si>
  <si>
    <t>PLIRA alarm clock 10 turquoise LVM AP</t>
  </si>
  <si>
    <t>60619701</t>
  </si>
  <si>
    <t>KÄRRSÅNGARE alarm clock 11x7x11 black LVM AP</t>
  </si>
  <si>
    <t>60620455</t>
  </si>
  <si>
    <t>ÖKENMARSVIN alarm clock 11x6x9 white LVM AP</t>
  </si>
  <si>
    <t>70540477</t>
  </si>
  <si>
    <t>DEKAD alarm clock 10 white LVM AP</t>
  </si>
  <si>
    <t>70540854</t>
  </si>
  <si>
    <t>PUGG wll clock 32 stainless steel LVM AP</t>
  </si>
  <si>
    <t>70601710</t>
  </si>
  <si>
    <t>BONDIS wll clock 38 orange LVM AP</t>
  </si>
  <si>
    <t>80540858</t>
  </si>
  <si>
    <t>SKÄRIG wll clock 26 blue LVM AP</t>
  </si>
  <si>
    <t>90578092</t>
  </si>
  <si>
    <t>SLÅTTIS clock w hygro-/therm 8x12 white LVM AP</t>
  </si>
  <si>
    <t>90618494</t>
  </si>
  <si>
    <t>PUGG wll clock 32 stainless steel/turquoise LVM AP</t>
  </si>
  <si>
    <t>90620473</t>
  </si>
  <si>
    <t>LJUNGPIPARE clock/timer 8x7 white AP</t>
  </si>
  <si>
    <t>30297467</t>
  </si>
  <si>
    <t>MOSSLANDA picture ledge 55 white AP CN</t>
  </si>
  <si>
    <t>30586938</t>
  </si>
  <si>
    <t>MOSSLANDA N picture ledge 55 walnut effect AP</t>
  </si>
  <si>
    <t>40601702</t>
  </si>
  <si>
    <t>NORDHÄGG picture ledge 45 pine AP</t>
  </si>
  <si>
    <t>60620484</t>
  </si>
  <si>
    <t>MOSSLANDA picture ledge 55 grey-beige AP</t>
  </si>
  <si>
    <t>80511342</t>
  </si>
  <si>
    <t>MOSSLANDA picture ledge 55 birch effect AP</t>
  </si>
  <si>
    <t>80650917</t>
  </si>
  <si>
    <t>MOSSLANDA picture ledge 15 white AP</t>
  </si>
  <si>
    <t>90586940</t>
  </si>
  <si>
    <t>MOSSLANDA picture ledge 55 oak effect AP</t>
  </si>
  <si>
    <t>00610096</t>
  </si>
  <si>
    <t>PINGSTSYREN mirror 60x80 white AP</t>
  </si>
  <si>
    <t>10446897</t>
  </si>
  <si>
    <t>STOCKHOLM mirror 60 walnut veneer AP</t>
  </si>
  <si>
    <t>10591592</t>
  </si>
  <si>
    <t>DVÄRGSYREN mirror 40x50 oak veneer AP</t>
  </si>
  <si>
    <t>10602133</t>
  </si>
  <si>
    <t>RUNDOXEL mirror 30x40 white AP</t>
  </si>
  <si>
    <t>50534340</t>
  </si>
  <si>
    <t>BLÅSER mirror 38 AP</t>
  </si>
  <si>
    <t>60608571</t>
  </si>
  <si>
    <t>SMULTRONTRÄD mirror 20x40 AP</t>
  </si>
  <si>
    <t>80306921</t>
  </si>
  <si>
    <t>IKORNNES table mirror 27x40 ash AP CN</t>
  </si>
  <si>
    <t>80591598</t>
  </si>
  <si>
    <t>DVÄRGSYREN mirror 28x37 walnut veneer AP</t>
  </si>
  <si>
    <t>90182190</t>
  </si>
  <si>
    <t>TYSNES table mirror 22x39 AP CN</t>
  </si>
  <si>
    <t>90320318</t>
  </si>
  <si>
    <t>NISSEDAL mirror 65x65 white AP CN</t>
  </si>
  <si>
    <t>90542381</t>
  </si>
  <si>
    <t>BLODLÖNN mirror 30x30 4-p AP</t>
  </si>
  <si>
    <t>90632287</t>
  </si>
  <si>
    <t>HOLMÖARNA mirror 27x27 heart-shaped AP</t>
  </si>
  <si>
    <t>10428327</t>
  </si>
  <si>
    <t>HYLLIS shelv ut 60x27x74 in/outdoor AP CN</t>
  </si>
  <si>
    <t>30584185</t>
  </si>
  <si>
    <t>SUNDSÖ cabinet 60x35x86 off-whi outdoor/indoor AP</t>
  </si>
  <si>
    <t>80278579</t>
  </si>
  <si>
    <t>HYLLIS N shelv ut 60x27x140 in/outdoor AP CN</t>
  </si>
  <si>
    <t>30238114</t>
  </si>
  <si>
    <t>RUNNEN floor deck, out 0.81 m² dark grey 9-p AP CN</t>
  </si>
  <si>
    <t>60476735</t>
  </si>
  <si>
    <t>RUNNEN floor deck, out 0.81 m² beige 9-p AP</t>
  </si>
  <si>
    <t>00546468</t>
  </si>
  <si>
    <t>UPPDATERA box 24x17 white AP</t>
  </si>
  <si>
    <t>00568530</t>
  </si>
  <si>
    <t>KUGGIS box 18x26x15 white AP</t>
  </si>
  <si>
    <t>00628812</t>
  </si>
  <si>
    <t>KOMPISHÄNG book-end 54x19x18 red AP</t>
  </si>
  <si>
    <t>10307556</t>
  </si>
  <si>
    <t>BESTÅ box 25x31x15 grey AP CN</t>
  </si>
  <si>
    <t>10568563</t>
  </si>
  <si>
    <t>KUGGIS box 18x26x8 white AP</t>
  </si>
  <si>
    <t>10596924</t>
  </si>
  <si>
    <t>FJÄDERHARV stor box w lid 25x35x16 white AP</t>
  </si>
  <si>
    <t>10599159</t>
  </si>
  <si>
    <t>KUGGIS box 37x54x21 light grey AP</t>
  </si>
  <si>
    <t>10625808</t>
  </si>
  <si>
    <t>SLÅTTERÄNG stor basket 25x32x15 anthracite AP</t>
  </si>
  <si>
    <t>20376479</t>
  </si>
  <si>
    <t>SOPPROT pull-out stor 51x46x20.5 transp whi AP CN</t>
  </si>
  <si>
    <t>22280SUP263772601CP</t>
  </si>
  <si>
    <t>22280SUP264072601CP</t>
  </si>
  <si>
    <t>20443978</t>
  </si>
  <si>
    <t>DRÖNA N box 33x38x33 dark grey AP</t>
  </si>
  <si>
    <t>20546472</t>
  </si>
  <si>
    <t>UPPDATERA box 34x24 white AP</t>
  </si>
  <si>
    <t>20568529</t>
  </si>
  <si>
    <t>KUGGIS lid 18x26 white AP</t>
  </si>
  <si>
    <t>20568548</t>
  </si>
  <si>
    <t>KUGGIS box 13x18x8 white AP</t>
  </si>
  <si>
    <t>30596956</t>
  </si>
  <si>
    <t>GÄRDESGÅRD stor box w lid 32x35x31 natural AP</t>
  </si>
  <si>
    <t>30632134</t>
  </si>
  <si>
    <t>DRÖNA box 18x25x15 dark grey 3-p AP</t>
  </si>
  <si>
    <t>40322174</t>
  </si>
  <si>
    <t>FLÅDIS basket 25 seagrass AP CN</t>
  </si>
  <si>
    <t>50612427</t>
  </si>
  <si>
    <t>SLÅTTERVALL stor basket 32x35x32 textile AP</t>
  </si>
  <si>
    <t>60480544</t>
  </si>
  <si>
    <t>RISATORP basket 25x26x18 white CN JP</t>
  </si>
  <si>
    <t>60596926</t>
  </si>
  <si>
    <t>FJÄDERHARV stor box w lid 32x35x31 white AP</t>
  </si>
  <si>
    <t>70262828</t>
  </si>
  <si>
    <t>DRÖNA box 33x38x33 white AP CN</t>
  </si>
  <si>
    <t>70568522</t>
  </si>
  <si>
    <t>KUGGIS box 37x54x21 white AP</t>
  </si>
  <si>
    <t>70568536</t>
  </si>
  <si>
    <t>KUGGIS box 26x35x15 white AP</t>
  </si>
  <si>
    <t>80376481</t>
  </si>
  <si>
    <t>SOPPROT pull-out stor 34x46x20.5 transp whit AP CN</t>
  </si>
  <si>
    <t>22280SUP263272601CP</t>
  </si>
  <si>
    <t>80467061</t>
  </si>
  <si>
    <t>DRÖNA box 25x35x25 black AP</t>
  </si>
  <si>
    <t>80596954</t>
  </si>
  <si>
    <t>GÄRDESGÅRD stor box w lid 25x35x16 natural AP</t>
  </si>
  <si>
    <t>90307557</t>
  </si>
  <si>
    <t>BESTÅ box 32x51x21 grey AP CN</t>
  </si>
  <si>
    <t>90568535</t>
  </si>
  <si>
    <t>KUGGIS lid 26x35 white AP</t>
  </si>
  <si>
    <t>90618173</t>
  </si>
  <si>
    <t>RISATORP basket 25x26x18 bright red AP</t>
  </si>
  <si>
    <t>90625809</t>
  </si>
  <si>
    <t>SLÅTTERÄNG stor basket 25x32x15 off-white AP</t>
  </si>
  <si>
    <t>00468106</t>
  </si>
  <si>
    <t>NOJIG organiser 15x20x5 plastic/beige AP</t>
  </si>
  <si>
    <t>00477040</t>
  </si>
  <si>
    <t>NOJIG organiser 10x10x5 plastic/beige AP</t>
  </si>
  <si>
    <t>00578586</t>
  </si>
  <si>
    <t>HARVMATTA letter tray anthracite AP</t>
  </si>
  <si>
    <t>00598589</t>
  </si>
  <si>
    <t>FAGNING magaz file white AP</t>
  </si>
  <si>
    <t>10512670</t>
  </si>
  <si>
    <t>HÖSSLA book-end white AP</t>
  </si>
  <si>
    <t>10536162</t>
  </si>
  <si>
    <t>VARIERA shelf insert 45.5x14x16 white AP</t>
  </si>
  <si>
    <t>10580800</t>
  </si>
  <si>
    <t>UPPDATERA box 50x12 anthracite AP JP</t>
  </si>
  <si>
    <t>10596919</t>
  </si>
  <si>
    <t>FJÄDERHARV mini chst/2 drw 16x25 white AP</t>
  </si>
  <si>
    <t>20596914</t>
  </si>
  <si>
    <t>FJÄDERHARV magaz file anthracite 2-p AP</t>
  </si>
  <si>
    <t>20603311</t>
  </si>
  <si>
    <t>KUGGIS insert w 5 comp white AP</t>
  </si>
  <si>
    <t>30534416</t>
  </si>
  <si>
    <t>PÅLYCKE clip-on multi-prps rack AP</t>
  </si>
  <si>
    <t>30534628</t>
  </si>
  <si>
    <t>SÄTTING cable managem box w lid AP</t>
  </si>
  <si>
    <t>30596918</t>
  </si>
  <si>
    <t>FJÄDERHARV mini chst/2 drw 32x25 white AP</t>
  </si>
  <si>
    <t>30620145</t>
  </si>
  <si>
    <t>STACKSTOD desk org 32x18x16 red AP</t>
  </si>
  <si>
    <t>40428825</t>
  </si>
  <si>
    <t>DRÖNJÖNS letter tray white 2-p AP</t>
  </si>
  <si>
    <t>40521927</t>
  </si>
  <si>
    <t>MOJAN make-up stor w comp/2 drwrs 25x9 AP</t>
  </si>
  <si>
    <t>40590765</t>
  </si>
  <si>
    <t>FODERTRÅG organiser fo desk/wall 25x18x15 lgrey AP</t>
  </si>
  <si>
    <t>40596951</t>
  </si>
  <si>
    <t>GÄRDESGÅRD magaz file natural 2-p AP</t>
  </si>
  <si>
    <t>50177727</t>
  </si>
  <si>
    <t>VARIERA shelf insert 32x28x16 white AP CN</t>
  </si>
  <si>
    <t>50534397</t>
  </si>
  <si>
    <t>HÖVAGN box with lid 8x12x5 3-p AP</t>
  </si>
  <si>
    <t>50534415</t>
  </si>
  <si>
    <t>PÅLYCKE clip-on basket 22x26x19 AP</t>
  </si>
  <si>
    <t>50534420</t>
  </si>
  <si>
    <t>PÅLYCKE clip-on twl rck AP</t>
  </si>
  <si>
    <t>50536160</t>
  </si>
  <si>
    <t>VARIERA shelf insert 45.5x29x16 white AP</t>
  </si>
  <si>
    <t>50596917</t>
  </si>
  <si>
    <t>FJÄDERHARV mini chst/2 drw 16x25 anthracite AP</t>
  </si>
  <si>
    <t>60297102</t>
  </si>
  <si>
    <t>SKRUTT desk pad 65x45 white AP JP</t>
  </si>
  <si>
    <t>70468080</t>
  </si>
  <si>
    <t>NOJIG organiser 10x20x5 plastic/beige AP</t>
  </si>
  <si>
    <t>70531939</t>
  </si>
  <si>
    <t>KRUBBET hldr f mbl phn black AP</t>
  </si>
  <si>
    <t>70534396</t>
  </si>
  <si>
    <t>HÖVAGN box with lid 6x9x5.5 3-p AP</t>
  </si>
  <si>
    <t>70596916</t>
  </si>
  <si>
    <t>FJÄDERHARV mini chst/2 drw 32x25 anthracite AP</t>
  </si>
  <si>
    <t>80280209</t>
  </si>
  <si>
    <t>KUGGIS insert w 8 comp white AP CN</t>
  </si>
  <si>
    <t>80297101</t>
  </si>
  <si>
    <t>SKRUTT desk pad 65x45 black AP JP</t>
  </si>
  <si>
    <t>80348025</t>
  </si>
  <si>
    <t>RAGGISAR tray 40x30 dark grey AP</t>
  </si>
  <si>
    <t>80428828</t>
  </si>
  <si>
    <t>DRÖNJÖNS desk org 25x20 white AP</t>
  </si>
  <si>
    <t>80439695</t>
  </si>
  <si>
    <t>DRÖNJÖNS magaz file white 2-p AP</t>
  </si>
  <si>
    <t>80468107</t>
  </si>
  <si>
    <t>NOJIG organiser 20x25x10 plastic/beige AP</t>
  </si>
  <si>
    <t>80494880</t>
  </si>
  <si>
    <t>DRÖNJÖNS pen cup white AP</t>
  </si>
  <si>
    <t>80534386</t>
  </si>
  <si>
    <t>KACKLA extndbl box 18-28x13 white AP</t>
  </si>
  <si>
    <t>80542089</t>
  </si>
  <si>
    <t>RISATORP desk org 50x16x17 white CNJP</t>
  </si>
  <si>
    <t>90520893</t>
  </si>
  <si>
    <t>PLÖJA desk pad 65x45 white/transparent AP</t>
  </si>
  <si>
    <t>90534423</t>
  </si>
  <si>
    <t>PÅLYCKE clip-on hook rack AP</t>
  </si>
  <si>
    <t>90559526</t>
  </si>
  <si>
    <t>FÅNGGRÖDA insert w comp 35x24x14 light grey AP</t>
  </si>
  <si>
    <t>90596915</t>
  </si>
  <si>
    <t>FJÄDERHARV magaz file white 2-p AP</t>
  </si>
  <si>
    <t>00316066</t>
  </si>
  <si>
    <t>SOCKERBIT box w lid 38x51x30 white AP CN</t>
  </si>
  <si>
    <t>00455081</t>
  </si>
  <si>
    <t>SAMLA N lid f box 11/22 l transparent AP</t>
  </si>
  <si>
    <t>10180939</t>
  </si>
  <si>
    <t>SAMLA box 39x28x14cm/11l transparent AP CN</t>
  </si>
  <si>
    <t>10180944</t>
  </si>
  <si>
    <t>SAMLA box 78x56x43cm/130l transparent AP CN</t>
  </si>
  <si>
    <t>10411534</t>
  </si>
  <si>
    <t>SOCKERBIT stor box w lid 50x77x19 white AP</t>
  </si>
  <si>
    <t>20440767</t>
  </si>
  <si>
    <t>UPPSNOFSAD lid 25x17 black AP</t>
  </si>
  <si>
    <t>20444685</t>
  </si>
  <si>
    <t>SOCKERBIT box w lid 38x25x15 pink AP</t>
  </si>
  <si>
    <t>20644284</t>
  </si>
  <si>
    <t>UPPSNOFSAD stor box 25x17x12 cm/3.5l transp whi AP</t>
  </si>
  <si>
    <t>40188774</t>
  </si>
  <si>
    <t>RILL castor 50 mm grey 4-p AP CN</t>
  </si>
  <si>
    <t>40455084</t>
  </si>
  <si>
    <t>SAMLA N lid f box 55/130 l transparent AP</t>
  </si>
  <si>
    <t>50180942</t>
  </si>
  <si>
    <t>SAMLA box 56x39x42 cm/65 l transparent AP CN</t>
  </si>
  <si>
    <t>50316064</t>
  </si>
  <si>
    <t>SOCKERBIT box w lid 38x25x15 white AP CN</t>
  </si>
  <si>
    <t>60180885</t>
  </si>
  <si>
    <t>SAMLA box 28x19x14 cm/5 l transparent AP CN</t>
  </si>
  <si>
    <t>60440765</t>
  </si>
  <si>
    <t>UPPSNOFSAD stor box 25x17x12 cm/3.5 l black AP</t>
  </si>
  <si>
    <t>60455083</t>
  </si>
  <si>
    <t>SAMLA N lid f box 5 l transparent AP</t>
  </si>
  <si>
    <t>60598204</t>
  </si>
  <si>
    <t>UPPSNOFSAD lid 35x25 black AP</t>
  </si>
  <si>
    <t>60644282</t>
  </si>
  <si>
    <t>UPPSNOFSAD lid 25x17 transparent white AP</t>
  </si>
  <si>
    <t>70180875</t>
  </si>
  <si>
    <t>SAMLA insert f box 11/22 l 37x25x12 trsp AP CN</t>
  </si>
  <si>
    <t>70180941</t>
  </si>
  <si>
    <t>SAMLA box 56x39x28cm/45l transparent AP CN</t>
  </si>
  <si>
    <t>70316181</t>
  </si>
  <si>
    <t>SOCKERBIT box 19x26x15 white AP CN</t>
  </si>
  <si>
    <t>70444678</t>
  </si>
  <si>
    <t>SOCKERBIT box 19x26x15 pink AP</t>
  </si>
  <si>
    <t>80455082</t>
  </si>
  <si>
    <t>SAMLA N lid f box 45/65 l transparent AP</t>
  </si>
  <si>
    <t>90180940</t>
  </si>
  <si>
    <t>SAMLA box 39x28x28cm/22l transparent AP CN</t>
  </si>
  <si>
    <t>90644285</t>
  </si>
  <si>
    <t>UPPSNOFSAD stor box 35x25x14 cm/9l transp white AP</t>
  </si>
  <si>
    <t>00591842</t>
  </si>
  <si>
    <t>SKÅDIS display shlf white AP</t>
  </si>
  <si>
    <t>10320794</t>
  </si>
  <si>
    <t>SKÅDIS conn white 2-p AP CN</t>
  </si>
  <si>
    <t>10440367</t>
  </si>
  <si>
    <t>SVENSÅS memo board 40x60 black AP</t>
  </si>
  <si>
    <t>10517762</t>
  </si>
  <si>
    <t>SKÅDIS stor basket s3 white AP</t>
  </si>
  <si>
    <t>10519884</t>
  </si>
  <si>
    <t>SKÅDIS hook 19 mm white 5-p AP</t>
  </si>
  <si>
    <t>20303727</t>
  </si>
  <si>
    <t>SUNNERSTA hook 5-p AP JP</t>
  </si>
  <si>
    <t>20321632</t>
  </si>
  <si>
    <t>SKÅDIS elastic cord grey 3-p AP CN</t>
  </si>
  <si>
    <t>30303736</t>
  </si>
  <si>
    <t>SUNNERSTA container 12x11 white AP JP</t>
  </si>
  <si>
    <t>30320806</t>
  </si>
  <si>
    <t>SKÅDIS pgbrd 56x56 white AP CN</t>
  </si>
  <si>
    <t>22715SUPECIS73359</t>
  </si>
  <si>
    <t>30321617</t>
  </si>
  <si>
    <t>SKÅDIS hook white 5-p AP CN</t>
  </si>
  <si>
    <t>30334926</t>
  </si>
  <si>
    <t>KUNGSFORS container 12.0x26.5 stainless steel AP</t>
  </si>
  <si>
    <t>30334931</t>
  </si>
  <si>
    <t>KUNGSFORS container 24x12x26.5 stainless steel AP</t>
  </si>
  <si>
    <t>30335619</t>
  </si>
  <si>
    <t>SKÅDIS hook white 2-p AP CN</t>
  </si>
  <si>
    <t>30534379</t>
  </si>
  <si>
    <t>SKÅDIS pgbrd 76x56 black AP</t>
  </si>
  <si>
    <t>40320797</t>
  </si>
  <si>
    <t>SKÅDIS container white AP CN</t>
  </si>
  <si>
    <t>40569938</t>
  </si>
  <si>
    <t>SKÅDIS hook black 5-p AP</t>
  </si>
  <si>
    <t>40586419</t>
  </si>
  <si>
    <t>SKÅDIS acc s7 black AP</t>
  </si>
  <si>
    <t>50440365</t>
  </si>
  <si>
    <t>SVENSÅS memo board 40x60 white AP</t>
  </si>
  <si>
    <t>60320800</t>
  </si>
  <si>
    <t>SKÅDIS shlf white AP CN</t>
  </si>
  <si>
    <t>277DT260804726415</t>
  </si>
  <si>
    <t>60465925</t>
  </si>
  <si>
    <t>NEREBY wll shlf 40x10 birch AP</t>
  </si>
  <si>
    <t>60519886</t>
  </si>
  <si>
    <t>SKÅDIS hook rack white AP</t>
  </si>
  <si>
    <t>60569923</t>
  </si>
  <si>
    <t>SKÅDIS clip black 2-p AP</t>
  </si>
  <si>
    <t>60599519</t>
  </si>
  <si>
    <t>SKÅDIS stor basket grey AP</t>
  </si>
  <si>
    <t>60606119</t>
  </si>
  <si>
    <t>ÖBONÄS wall shelf w suction cup 28 grey-beige AP</t>
  </si>
  <si>
    <t>70334929</t>
  </si>
  <si>
    <t>KUNGSFORS s-hook stainless steel 5-p AP</t>
  </si>
  <si>
    <t>70569927</t>
  </si>
  <si>
    <t>SKÅDIS container w lid transparent/black 3-p AP</t>
  </si>
  <si>
    <t>70569932</t>
  </si>
  <si>
    <t>SKÅDIS hook black 2-p AP</t>
  </si>
  <si>
    <t>70606091</t>
  </si>
  <si>
    <t>ÖBONÄS container w suction cup grey-beige AP</t>
  </si>
  <si>
    <t>90321619</t>
  </si>
  <si>
    <t>SKÅDIS pgbrd 76x56 white AP CN</t>
  </si>
  <si>
    <t>50242657</t>
  </si>
  <si>
    <t>TJUSIG hanger f dr/wll 60 white AP CN</t>
  </si>
  <si>
    <t>60563718</t>
  </si>
  <si>
    <t>JORDBORR hook self-adh snowflake/multicolour 3p AP</t>
  </si>
  <si>
    <t>80618710</t>
  </si>
  <si>
    <t>IKEA PS 2026 rack w 5 hooks solid birch AP</t>
  </si>
  <si>
    <t>90474179</t>
  </si>
  <si>
    <t>BÄSTIS N hook black AP</t>
  </si>
  <si>
    <t>90563712</t>
  </si>
  <si>
    <t>GALTBOX rack w 3 hooks self-adhesive/white AP</t>
  </si>
  <si>
    <t>00472995</t>
  </si>
  <si>
    <t>SKUBB stor w 6 comp 35x45x125 dark grey AP</t>
  </si>
  <si>
    <t>00591050</t>
  </si>
  <si>
    <t>SKUBB NN stor case 90x53x19 white AP</t>
  </si>
  <si>
    <t>10186390</t>
  </si>
  <si>
    <t>SKUBB box 31x34x33 white 3-p AP CN</t>
  </si>
  <si>
    <t>10395384</t>
  </si>
  <si>
    <t>PÄRKLA stor case 55x49x19 AP</t>
  </si>
  <si>
    <t>10503920</t>
  </si>
  <si>
    <t>HEMMAFIXARE storage c 69x51x19 fab strip/wh/gry AP</t>
  </si>
  <si>
    <t>10625832</t>
  </si>
  <si>
    <t>KOSINGEN box 20x38x12 light grey AP</t>
  </si>
  <si>
    <t>20405778</t>
  </si>
  <si>
    <t>KOMPL box 15x27x12 light grey 2-p AP</t>
  </si>
  <si>
    <t>20428553</t>
  </si>
  <si>
    <t>SKUBB N box s6 white AP CN</t>
  </si>
  <si>
    <t>20469421</t>
  </si>
  <si>
    <t>MURVEL N shoe org 14x14x24 grey AP</t>
  </si>
  <si>
    <t>20612259</t>
  </si>
  <si>
    <t>PURRPINGLA stor case 34x51x28 textile/beige AP</t>
  </si>
  <si>
    <t>20612264</t>
  </si>
  <si>
    <t>PURRPINGLA hang strg 6comp 22x34x80 textile/bei AP</t>
  </si>
  <si>
    <t>30179464</t>
  </si>
  <si>
    <t>SKUBB clothes cvr s3 white AP CN</t>
  </si>
  <si>
    <t>30591063</t>
  </si>
  <si>
    <t>SKUBB NN stor case 90x53x19 dark grey AP</t>
  </si>
  <si>
    <t>30601104</t>
  </si>
  <si>
    <t>PÄRKLA clothes cover AP</t>
  </si>
  <si>
    <t>30630583</t>
  </si>
  <si>
    <t>SKUBB box s3 20x38x12 white AP</t>
  </si>
  <si>
    <t>40591048</t>
  </si>
  <si>
    <t>SKUBB NN stor case 43x53x19 white AP</t>
  </si>
  <si>
    <t>40591053</t>
  </si>
  <si>
    <t>SKUBB NN stor case 43x53x19 dark grey AP</t>
  </si>
  <si>
    <t>60611371</t>
  </si>
  <si>
    <t>MURVEL shoe org 27x14x25 grey AP</t>
  </si>
  <si>
    <t>80612261</t>
  </si>
  <si>
    <t>PURRPINGLA box s3 20x38x12 textile/beige AP</t>
  </si>
  <si>
    <t>90621528</t>
  </si>
  <si>
    <t>STUK box w comp 17x51x18 white/black AP</t>
  </si>
  <si>
    <t>10530952</t>
  </si>
  <si>
    <t>SNÖSKYFFEL shoehorn 18 bright red AP</t>
  </si>
  <si>
    <t>20432480</t>
  </si>
  <si>
    <t>BUMERANG skirt hanger natural AP</t>
  </si>
  <si>
    <t>30238538</t>
  </si>
  <si>
    <t>BUMERANG hanger natural 8-p AP CN</t>
  </si>
  <si>
    <t>40317078</t>
  </si>
  <si>
    <t>SPRUTTIG hanger black 10-p AP CN</t>
  </si>
  <si>
    <t>50238542</t>
  </si>
  <si>
    <t>BUMERANG hanger white 8-p AP CN</t>
  </si>
  <si>
    <t>60555799</t>
  </si>
  <si>
    <t>HÖSVANS hanger bamboo 5-p AP</t>
  </si>
  <si>
    <t>80609635</t>
  </si>
  <si>
    <t>HÖSVANS shoehorn 40.0 bamboo AP</t>
  </si>
  <si>
    <t>90515071</t>
  </si>
  <si>
    <t>TRYSSE hanger white/grey 5-p AP</t>
  </si>
  <si>
    <t>90540730</t>
  </si>
  <si>
    <t>GÅRDSMÄSTARE trouser/skrt hngr white AP</t>
  </si>
  <si>
    <t>00242891</t>
  </si>
  <si>
    <t>JÄLL drying rck in/out white AP CN</t>
  </si>
  <si>
    <t>00567724</t>
  </si>
  <si>
    <t>SLIBB flexi laundry bskt 24 l green AP</t>
  </si>
  <si>
    <t>10567766</t>
  </si>
  <si>
    <t>SLIBB flexi laundry bskt 24 l blue AP</t>
  </si>
  <si>
    <t>50567726</t>
  </si>
  <si>
    <t>SLIBB hang dryer 24 clths pegs green AP</t>
  </si>
  <si>
    <t>70567749</t>
  </si>
  <si>
    <t>SLIBB clothes peg green 8-p AP</t>
  </si>
  <si>
    <t>70579158</t>
  </si>
  <si>
    <t>PRESSA hang dryer 16 clths pegs green AP</t>
  </si>
  <si>
    <t>80569856</t>
  </si>
  <si>
    <t>SLIBB N wshng bag s2 white/grey AP</t>
  </si>
  <si>
    <t>00611114</t>
  </si>
  <si>
    <t>FRAKTA NNN carrier bag lar 55x37x35 cm/71l blue AP</t>
  </si>
  <si>
    <t>10517677</t>
  </si>
  <si>
    <t>SKYNKE carrier bag 45x36 stripe/black white AP</t>
  </si>
  <si>
    <t>30485227</t>
  </si>
  <si>
    <t>RADARBULLE shopp bag on wh 33x24x68 cm/38 l blk AP</t>
  </si>
  <si>
    <t>30640596</t>
  </si>
  <si>
    <t>ROMELSÖN accessory bag s2 patterned AP</t>
  </si>
  <si>
    <t>40185474</t>
  </si>
  <si>
    <t>BRATTBY bag 27x27 AP CN</t>
  </si>
  <si>
    <t>40428774</t>
  </si>
  <si>
    <t>KNÖLIG key ring 9x7 small blue AP</t>
  </si>
  <si>
    <t>40432506</t>
  </si>
  <si>
    <t>RENSARE clothes bag s3 check pattern/grey black AP</t>
  </si>
  <si>
    <t>40611112</t>
  </si>
  <si>
    <t>FRAKTA NN carrier bag med 45x18x45 cm/36 l blue AP</t>
  </si>
  <si>
    <t>50636904</t>
  </si>
  <si>
    <t>SPJUTSÖ rain poncho patterned/multicolour AP</t>
  </si>
  <si>
    <t>70281266</t>
  </si>
  <si>
    <t>KNALLA umbrella black AP JP</t>
  </si>
  <si>
    <t>70372836</t>
  </si>
  <si>
    <t>KUNGSFORS net bag s2 natural AP</t>
  </si>
  <si>
    <t>70432500</t>
  </si>
  <si>
    <t>RENSARE bag 30x40 cm/8 l check pattern/black AP</t>
  </si>
  <si>
    <t>80632787</t>
  </si>
  <si>
    <t>ROMELSÖN acc bag 13x2x11 whale pattern AP</t>
  </si>
  <si>
    <t>90504195</t>
  </si>
  <si>
    <t>GÖRSNYGG carrier bag la 57x37x39 cm/71 l lbeige AP</t>
  </si>
  <si>
    <t>90633569</t>
  </si>
  <si>
    <t>EKAÅN acc bag 16x4x11 patterned AP</t>
  </si>
  <si>
    <t>00295441</t>
  </si>
  <si>
    <t>FNISS N waste bin 10 l white AP JP</t>
  </si>
  <si>
    <t>00595393</t>
  </si>
  <si>
    <t>STENTRAPPA pedal bin 18 l light grey-beige AP</t>
  </si>
  <si>
    <t>10601435</t>
  </si>
  <si>
    <t>DIMPA sort bag w lid 50 l light grey-beige AP</t>
  </si>
  <si>
    <t>20559978</t>
  </si>
  <si>
    <t>DAMMÄNG bin w lid 26 l grey-beige AP</t>
  </si>
  <si>
    <t>20595392</t>
  </si>
  <si>
    <t>GÅNGSKYFFEL pedal bin 18 l grey-green AP</t>
  </si>
  <si>
    <t>30420207</t>
  </si>
  <si>
    <t>HÅLLBAR bin w lid 35 l light grey AP</t>
  </si>
  <si>
    <t>30503863</t>
  </si>
  <si>
    <t>DIMPA wast sort b 22x35x45 cm/35 l wh dg/lg 3-p AP</t>
  </si>
  <si>
    <t>30595400</t>
  </si>
  <si>
    <t>STENTRAPPA pedal bin 18 l anthracite AP</t>
  </si>
  <si>
    <t>40339933</t>
  </si>
  <si>
    <t>FIRRA box w lid 44.5x42x31 transparent AP CN</t>
  </si>
  <si>
    <t>22280SUP263372601CP</t>
  </si>
  <si>
    <t>40645305</t>
  </si>
  <si>
    <t>TRÖSKNING bin w lid 25 l light beige AP</t>
  </si>
  <si>
    <t>50339937</t>
  </si>
  <si>
    <t>FIRRA box w lid 67x42x31 transparent AP CN</t>
  </si>
  <si>
    <t>50503980</t>
  </si>
  <si>
    <t>GÖRSNYGG bag 40x30x60 cm/72 l blue AP</t>
  </si>
  <si>
    <t>50595395</t>
  </si>
  <si>
    <t>GÅNGSKYFFEL pedal bin 9 l grey-green AP</t>
  </si>
  <si>
    <t>50595404</t>
  </si>
  <si>
    <t>TURRIDNING pedal bin 9 l white/anthracite AP</t>
  </si>
  <si>
    <t>60339932</t>
  </si>
  <si>
    <t>FIRRA box w lid 22x42x31 transparent AP CN</t>
  </si>
  <si>
    <t>60559981</t>
  </si>
  <si>
    <t>DAMMÄNG bin w lid 48 l grey-green AP</t>
  </si>
  <si>
    <t>70420205</t>
  </si>
  <si>
    <t>HÅLLBAR bin w lid 22 l light grey AP</t>
  </si>
  <si>
    <t>70514096</t>
  </si>
  <si>
    <t>KNÖCKLA pedal bin 25 l dark grey AP</t>
  </si>
  <si>
    <t>80417523</t>
  </si>
  <si>
    <t>HÅLLBAR bin w lid 10 l light grey AP</t>
  </si>
  <si>
    <t>80473694</t>
  </si>
  <si>
    <t>KNALLA N bag 40x25x47 cm/47 l black/white AP</t>
  </si>
  <si>
    <t>80595394</t>
  </si>
  <si>
    <t>STENTRAPPA pedal bin 9 l light grey-beige AP</t>
  </si>
  <si>
    <t>80602097</t>
  </si>
  <si>
    <t>SORTERA sort bin w lid 60 l beige AP</t>
  </si>
  <si>
    <t>90556679</t>
  </si>
  <si>
    <t>SKOLÄST waste bin f cb w dr 3.3 l light grey AP</t>
  </si>
  <si>
    <t>90595398</t>
  </si>
  <si>
    <t>STENTRAPPA pedal bin 9 l anthracite AP</t>
  </si>
  <si>
    <t>90595949</t>
  </si>
  <si>
    <t>GÖRSNYGG bag 40x30x60 cm/72 l AP</t>
  </si>
  <si>
    <t>00573230</t>
  </si>
  <si>
    <t>TRIXIG paint brush s3 AP</t>
  </si>
  <si>
    <t>10578251</t>
  </si>
  <si>
    <t>TRIXIG mending kit s39 AP</t>
  </si>
  <si>
    <t>50568085</t>
  </si>
  <si>
    <t>TRIXIG bit and drill s20 AP</t>
  </si>
  <si>
    <t>70563727</t>
  </si>
  <si>
    <t>TRIXIG spirit level AP</t>
  </si>
  <si>
    <t>70563746</t>
  </si>
  <si>
    <t>TRIXIG wood screw s200 AP</t>
  </si>
  <si>
    <t>80564203</t>
  </si>
  <si>
    <t>TRIXIG tape measure 3 m AP</t>
  </si>
  <si>
    <t>20527096</t>
  </si>
  <si>
    <t>PEPPRIG dust pan/brush grey AP</t>
  </si>
  <si>
    <t>40527095</t>
  </si>
  <si>
    <t>PEPPRIG floor squeegee AP</t>
  </si>
  <si>
    <t>40567618</t>
  </si>
  <si>
    <t>PEPPRIG brush head green AP</t>
  </si>
  <si>
    <t>50572964</t>
  </si>
  <si>
    <t>PEPPRIG wash-tub 10 l foldable/green AP</t>
  </si>
  <si>
    <t>60527080</t>
  </si>
  <si>
    <t>PEPPRIG lint roller refill 2-p AP</t>
  </si>
  <si>
    <t>70147758</t>
  </si>
  <si>
    <t>BÄSTIS lint roller refill 4-p AP CN</t>
  </si>
  <si>
    <t>70425627</t>
  </si>
  <si>
    <t>BÄSTIS lint roller grey AP</t>
  </si>
  <si>
    <t>70567631</t>
  </si>
  <si>
    <t>PEPPRIG dustpan/broom grey/green AP</t>
  </si>
  <si>
    <t>TYPE_1</t>
  </si>
  <si>
    <t>BL</t>
  </si>
  <si>
    <t>Container NO.</t>
  </si>
  <si>
    <t>Lut Code</t>
  </si>
  <si>
    <t>Csm Id</t>
  </si>
  <si>
    <t>Planned Logistics Receiving(Time)</t>
  </si>
  <si>
    <t>Cus. Date</t>
  </si>
  <si>
    <t>Customs Inspection Date</t>
  </si>
  <si>
    <t>Actual
Arrival
Date</t>
  </si>
  <si>
    <t>shipment ID</t>
  </si>
  <si>
    <t>Csm Stat</t>
  </si>
  <si>
    <t>Shp Id</t>
  </si>
  <si>
    <t>Shp Stat</t>
  </si>
  <si>
    <t>Shp CarContact</t>
  </si>
  <si>
    <t>Shp DayCre</t>
  </si>
  <si>
    <t>Cnee Code</t>
  </si>
  <si>
    <t>Cnee Type</t>
  </si>
  <si>
    <t>Total Art Qty (pcs)</t>
  </si>
  <si>
    <t>Csm VolNetTot</t>
  </si>
  <si>
    <t>Csm VolGroTot</t>
  </si>
  <si>
    <t>Csm WeiGroTot</t>
  </si>
  <si>
    <t>Csm ArrDayPlan</t>
  </si>
  <si>
    <t>ShpRou RecPldArrDate</t>
  </si>
  <si>
    <t>LuTrL ActDepDate</t>
  </si>
  <si>
    <t>Carrier Code</t>
  </si>
  <si>
    <t>Carrier Name</t>
  </si>
  <si>
    <t>Seal</t>
  </si>
  <si>
    <t>Vessel Name</t>
  </si>
  <si>
    <t>Voyage No</t>
  </si>
  <si>
    <t>Start Cty</t>
  </si>
  <si>
    <t>Start Type</t>
  </si>
  <si>
    <t>Start Code</t>
  </si>
  <si>
    <t>End Cty</t>
  </si>
  <si>
    <t>End Code</t>
  </si>
  <si>
    <t>End TG:AEype</t>
  </si>
  <si>
    <t>Incoterms</t>
  </si>
  <si>
    <t>CGS Declaration No.</t>
  </si>
  <si>
    <t>BL receiving</t>
  </si>
  <si>
    <t>RECEIPTED BY CUSTOMS</t>
  </si>
  <si>
    <t>BONDED WAREHOUSE</t>
  </si>
  <si>
    <t>SPLIT, LOCATION</t>
  </si>
  <si>
    <t>Customs broker COMMENT</t>
  </si>
  <si>
    <t>Damage Notice (MS bonded warehouse)</t>
  </si>
  <si>
    <t>DEM exp date
(ATA+14)</t>
  </si>
  <si>
    <t>expiration date from Busan Port
(Cus. Date+75days)</t>
  </si>
  <si>
    <t>expiration date from  INCHEON Port (Cus. Date+15days)</t>
  </si>
  <si>
    <t>Inland Carrier</t>
  </si>
  <si>
    <t>D-day Earliest</t>
  </si>
  <si>
    <t>D-day Lasted</t>
  </si>
  <si>
    <t>DD best date</t>
  </si>
  <si>
    <t>Actual Unloading</t>
  </si>
  <si>
    <t>D</t>
  </si>
  <si>
    <t>TYPE_2</t>
  </si>
  <si>
    <t>TYPE_3</t>
  </si>
  <si>
    <t>BL_4</t>
  </si>
  <si>
    <t>Container NO._5</t>
  </si>
  <si>
    <t>Lut Code_6</t>
  </si>
  <si>
    <t>POA Month</t>
  </si>
  <si>
    <t>Floor_CSM</t>
  </si>
  <si>
    <t>Column62</t>
  </si>
  <si>
    <t>LT3.3 OT Early</t>
  </si>
  <si>
    <t>LT3.3 OT Late</t>
  </si>
  <si>
    <t>OTD Status</t>
  </si>
  <si>
    <t>Causing party</t>
  </si>
  <si>
    <t>Column101</t>
  </si>
  <si>
    <t>MILK RUN NOR</t>
  </si>
  <si>
    <t>MAEUIK0216384</t>
  </si>
  <si>
    <t>MIEU3531961</t>
  </si>
  <si>
    <t>C40HC</t>
  </si>
  <si>
    <t>373-STO-S10000030994</t>
  </si>
  <si>
    <t>400</t>
  </si>
  <si>
    <t>037TSOS10000668504</t>
  </si>
  <si>
    <t>300</t>
  </si>
  <si>
    <t>LINLI65</t>
  </si>
  <si>
    <t>STO</t>
  </si>
  <si>
    <t>5.123072</t>
  </si>
  <si>
    <t>5.457699</t>
  </si>
  <si>
    <t>31825</t>
  </si>
  <si>
    <t>MAERSK A/S</t>
  </si>
  <si>
    <t>CN9030190</t>
  </si>
  <si>
    <t>KUALA LUMPUR EXPRESS</t>
  </si>
  <si>
    <t>633E</t>
  </si>
  <si>
    <t>CN</t>
  </si>
  <si>
    <t>PRT</t>
  </si>
  <si>
    <t>CNNGB</t>
  </si>
  <si>
    <t>KR</t>
  </si>
  <si>
    <t>KRPUS</t>
  </si>
  <si>
    <t>INVMAEUIK0216384</t>
  </si>
  <si>
    <t>부산신항만(주)자유무역지역</t>
  </si>
  <si>
    <t>MILK RUN NOR, 검사</t>
  </si>
  <si>
    <t>HANJIN</t>
  </si>
  <si>
    <t>MAEUIK0217315</t>
  </si>
  <si>
    <t>MRSU2917130</t>
  </si>
  <si>
    <t>373-STO-S10000030971</t>
  </si>
  <si>
    <t>037TSOS10000672941</t>
  </si>
  <si>
    <t>6.327718</t>
  </si>
  <si>
    <t>6.739096</t>
  </si>
  <si>
    <t>CN6568434</t>
  </si>
  <si>
    <t>INVMAEUIK0217315</t>
  </si>
  <si>
    <t>OOLU2173146130</t>
  </si>
  <si>
    <t>OOCU9705353</t>
  </si>
  <si>
    <t>373-STO-S10000030972</t>
  </si>
  <si>
    <t>030TSOS10000132341</t>
  </si>
  <si>
    <t>JEGAO9</t>
  </si>
  <si>
    <t>0.963138</t>
  </si>
  <si>
    <t>1.006026</t>
  </si>
  <si>
    <t>30105</t>
  </si>
  <si>
    <t>ORIENT OVERSEAS CONTAINER LINE LTD.</t>
  </si>
  <si>
    <t>OOLKXQ3715</t>
  </si>
  <si>
    <t>XIN MEI ZHOU</t>
  </si>
  <si>
    <t>168W</t>
  </si>
  <si>
    <t>CNTXG</t>
  </si>
  <si>
    <t>INVOOLU2173146130</t>
  </si>
  <si>
    <t>부산컨테이너터미널(주)</t>
  </si>
  <si>
    <t>HDMUSHAA92025800</t>
  </si>
  <si>
    <t>KOCU4017116</t>
  </si>
  <si>
    <t>373-STO-S10000031006</t>
  </si>
  <si>
    <t>258DTS10000198935</t>
  </si>
  <si>
    <t>350</t>
  </si>
  <si>
    <t>50.80333</t>
  </si>
  <si>
    <t>54.94227633</t>
  </si>
  <si>
    <t>31676</t>
  </si>
  <si>
    <t>HMM CO., LTD.</t>
  </si>
  <si>
    <t>25H1003531</t>
  </si>
  <si>
    <t>HMM MIR</t>
  </si>
  <si>
    <t>0022E</t>
  </si>
  <si>
    <t>CNYAN</t>
  </si>
  <si>
    <t>INVHDMUSHAA92025800</t>
  </si>
  <si>
    <t>에이치엠엠피에스에이신항만(주)</t>
  </si>
  <si>
    <t>4.552128</t>
  </si>
  <si>
    <t>5.0155815</t>
  </si>
  <si>
    <t>OOLU2172953220</t>
  </si>
  <si>
    <t>FCIU9702950</t>
  </si>
  <si>
    <t>373-STO-S10000030969</t>
  </si>
  <si>
    <t>030TSOS10000131537</t>
  </si>
  <si>
    <t>1.06704</t>
  </si>
  <si>
    <t>1.113826</t>
  </si>
  <si>
    <t>OOLKXQ3801</t>
  </si>
  <si>
    <t>OOCL TAIPEI</t>
  </si>
  <si>
    <t>093W</t>
  </si>
  <si>
    <t>INVOOLU2172953220</t>
  </si>
  <si>
    <t>MAEUIK0216139</t>
  </si>
  <si>
    <t>MRSU2903820</t>
  </si>
  <si>
    <t>373-STO-S10000030970</t>
  </si>
  <si>
    <t>037TSOS10000667148</t>
  </si>
  <si>
    <t>20.343017</t>
  </si>
  <si>
    <t>21.654869</t>
  </si>
  <si>
    <t>CN6568438</t>
  </si>
  <si>
    <t>INVMAEUIK0216139</t>
  </si>
  <si>
    <t>MAEUIK0216696</t>
  </si>
  <si>
    <t>SUDU8958186</t>
  </si>
  <si>
    <t>373-STO-S10000030952</t>
  </si>
  <si>
    <t>258DTS10000197139</t>
  </si>
  <si>
    <t>JOWAN57</t>
  </si>
  <si>
    <t>42.919223</t>
  </si>
  <si>
    <t>46.29496202</t>
  </si>
  <si>
    <t>CN7981669</t>
  </si>
  <si>
    <t>NORDLEOPARD</t>
  </si>
  <si>
    <t>630N</t>
  </si>
  <si>
    <t>CNSHA</t>
  </si>
  <si>
    <t>INVMAEUIK0216696</t>
  </si>
  <si>
    <t>11.298383</t>
  </si>
  <si>
    <t>12.155924</t>
  </si>
  <si>
    <t>OOLU2172712620</t>
  </si>
  <si>
    <t>OOLU9551085</t>
  </si>
  <si>
    <t>373-STO-S10000030957</t>
  </si>
  <si>
    <t>030TSOS10000130421</t>
  </si>
  <si>
    <t>5.80863</t>
  </si>
  <si>
    <t>6.106065</t>
  </si>
  <si>
    <t>OOLKXQ3319</t>
  </si>
  <si>
    <t>INVOOLU2172712620</t>
  </si>
  <si>
    <t>PLISH7H40441</t>
  </si>
  <si>
    <t>HMMU6716707</t>
  </si>
  <si>
    <t>373-STO-S10000030938</t>
  </si>
  <si>
    <t>258DTS10000197102</t>
  </si>
  <si>
    <t>51.978338</t>
  </si>
  <si>
    <t>55.991509</t>
  </si>
  <si>
    <t>33300</t>
  </si>
  <si>
    <t>LX PANTOS CO., LTD.</t>
  </si>
  <si>
    <t>26H0284788</t>
  </si>
  <si>
    <t>HMM TOPAZ</t>
  </si>
  <si>
    <t>0013E</t>
  </si>
  <si>
    <t>INVPLISH7H40441</t>
  </si>
  <si>
    <t>3.896452</t>
  </si>
  <si>
    <t>4.260022</t>
  </si>
  <si>
    <t>MAEUIK0217110</t>
  </si>
  <si>
    <t>MRSU5229280</t>
  </si>
  <si>
    <t>373-STO-S10000030917</t>
  </si>
  <si>
    <t>258DTS10000197556</t>
  </si>
  <si>
    <t>50.659111</t>
  </si>
  <si>
    <t>54.63623661</t>
  </si>
  <si>
    <t>CN3556606</t>
  </si>
  <si>
    <t>INVMAEUIK0217110</t>
  </si>
  <si>
    <t>4.69666</t>
  </si>
  <si>
    <t>5.12119167</t>
  </si>
  <si>
    <t>F/C</t>
  </si>
  <si>
    <t>MAEUIK0215134</t>
  </si>
  <si>
    <t>CAIU6262843</t>
  </si>
  <si>
    <t>C20DV</t>
  </si>
  <si>
    <t>294DT260720726601</t>
  </si>
  <si>
    <t>373-STO-S10000030873</t>
  </si>
  <si>
    <t>258DTS10000195521</t>
  </si>
  <si>
    <t>SEZHA1</t>
  </si>
  <si>
    <t>8.529763</t>
  </si>
  <si>
    <t>9.20512881</t>
  </si>
  <si>
    <t>CN7830118</t>
  </si>
  <si>
    <t>MERATUS JIMBARAN</t>
  </si>
  <si>
    <t>KRINC</t>
  </si>
  <si>
    <t>INVMAEUIK0215134</t>
  </si>
  <si>
    <t>FINE</t>
  </si>
  <si>
    <t>(주) 화인통상</t>
  </si>
  <si>
    <t>148차 FOOD CONTACT 분할 1차 신고-26.08.25/잔량 ART# 40324724 / 분할2차 전량수리-26.08.26</t>
  </si>
  <si>
    <t>신한</t>
  </si>
  <si>
    <t>EGLV003600948388</t>
  </si>
  <si>
    <t>EMCU6428170</t>
  </si>
  <si>
    <t>22280SUP262972601CP</t>
  </si>
  <si>
    <t>373-STO-S10000030895</t>
  </si>
  <si>
    <t>420</t>
  </si>
  <si>
    <t>012TSOS10000388382</t>
  </si>
  <si>
    <t>PHWAN5</t>
  </si>
  <si>
    <t>3.518384</t>
  </si>
  <si>
    <t>3.785864</t>
  </si>
  <si>
    <t>31267</t>
  </si>
  <si>
    <t>EVERGREEN LINE</t>
  </si>
  <si>
    <t>EMCCTB1045</t>
  </si>
  <si>
    <t>EVER VAST</t>
  </si>
  <si>
    <t>0295-027N</t>
  </si>
  <si>
    <t>TW</t>
  </si>
  <si>
    <t>TWTXG</t>
  </si>
  <si>
    <t>INVEGLV003600948388</t>
  </si>
  <si>
    <t>인천컨테이너터미널(주)</t>
  </si>
  <si>
    <t>22280SUP263072601CP</t>
  </si>
  <si>
    <t>1.615824</t>
  </si>
  <si>
    <t>1.745997</t>
  </si>
  <si>
    <t>319DT260720726602</t>
  </si>
  <si>
    <t>12.435784</t>
  </si>
  <si>
    <t>13.50563201</t>
  </si>
  <si>
    <t>148차 FOOD CONTACT 분할 1차 신고-26.08.25/잔량 ART# 40324724</t>
  </si>
  <si>
    <t>22280SUP263172601CP</t>
  </si>
  <si>
    <t>8.3812</t>
  </si>
  <si>
    <t>9.107704</t>
  </si>
  <si>
    <t>HDMUSHAA01967900</t>
  </si>
  <si>
    <t>HMMU4231353</t>
  </si>
  <si>
    <t>258DT260811726866</t>
  </si>
  <si>
    <t>373-STO-S10000030916</t>
  </si>
  <si>
    <t>258DTS10000198786</t>
  </si>
  <si>
    <t>44.600037</t>
  </si>
  <si>
    <t>47.96724912</t>
  </si>
  <si>
    <t>26H0295437</t>
  </si>
  <si>
    <t>INVHDMUSHAA01967900</t>
  </si>
  <si>
    <t>277DT260811726867</t>
  </si>
  <si>
    <t>10.31126</t>
  </si>
  <si>
    <t>11.171166</t>
  </si>
  <si>
    <t>MAEUIK0216531</t>
  </si>
  <si>
    <t>MRKU3094060</t>
  </si>
  <si>
    <t>21985SUPECIS42181</t>
  </si>
  <si>
    <t>373-STO-S10000030893</t>
  </si>
  <si>
    <t>440</t>
  </si>
  <si>
    <t>037TSOS10000669303</t>
  </si>
  <si>
    <t>JUWAN78</t>
  </si>
  <si>
    <t>0.354696</t>
  </si>
  <si>
    <t>0.4077</t>
  </si>
  <si>
    <t>CN7982819</t>
  </si>
  <si>
    <t>INVMAEUIK0216531</t>
  </si>
  <si>
    <t>MAEUIK0215542</t>
  </si>
  <si>
    <t>TCKU6516340</t>
  </si>
  <si>
    <t>22075SUP2600116672</t>
  </si>
  <si>
    <t>373-STO-S10000030879</t>
  </si>
  <si>
    <t>037TSOS10000664214</t>
  </si>
  <si>
    <t>3.878652</t>
  </si>
  <si>
    <t>4.152677</t>
  </si>
  <si>
    <t>CN4465686</t>
  </si>
  <si>
    <t>INVMAEUIK0215542</t>
  </si>
  <si>
    <t>22121SUPUE065997</t>
  </si>
  <si>
    <t>10.114318</t>
  </si>
  <si>
    <t>11.006217</t>
  </si>
  <si>
    <t>MAEUIK0217261</t>
  </si>
  <si>
    <t>UETU8127800</t>
  </si>
  <si>
    <t>294DT260803726970</t>
  </si>
  <si>
    <t>373-STO-S10000030876</t>
  </si>
  <si>
    <t>258DTS10000197675</t>
  </si>
  <si>
    <t>LARXU</t>
  </si>
  <si>
    <t>6.399728</t>
  </si>
  <si>
    <t>6.91614234</t>
  </si>
  <si>
    <t>CN8087492</t>
  </si>
  <si>
    <t>MERATUS TOMINI</t>
  </si>
  <si>
    <t>632N</t>
  </si>
  <si>
    <t>INVMAEUIK0217261</t>
  </si>
  <si>
    <t>한진인천컨테이너터미널(주)</t>
  </si>
  <si>
    <t>319DT260803726971</t>
  </si>
  <si>
    <t>41.931167</t>
  </si>
  <si>
    <t>44.98813925</t>
  </si>
  <si>
    <t>MAEUIK0213569</t>
  </si>
  <si>
    <t>MSKU5463723</t>
  </si>
  <si>
    <t>294DT260709726491</t>
  </si>
  <si>
    <t>373-STO-S10000030849</t>
  </si>
  <si>
    <t>258DTS10000194172</t>
  </si>
  <si>
    <t>4.469627</t>
  </si>
  <si>
    <t>4.83124452</t>
  </si>
  <si>
    <t>CN2690918</t>
  </si>
  <si>
    <t>GSL ELEFTHERIA</t>
  </si>
  <si>
    <t>629N</t>
  </si>
  <si>
    <t>INVMAEUIK0213569</t>
  </si>
  <si>
    <t>145차 FOOD CONTACT 분할 1차 신고-26.08.25/ 분할 잔량 신고-2026-08-27</t>
  </si>
  <si>
    <t>319DT260709726492</t>
  </si>
  <si>
    <t>16.479342</t>
  </si>
  <si>
    <t>17.82734987</t>
  </si>
  <si>
    <t>OOLU2172202190</t>
  </si>
  <si>
    <t>OOLU8954764</t>
  </si>
  <si>
    <t>23273SUP3633531</t>
  </si>
  <si>
    <t>373-STO-S10000030831</t>
  </si>
  <si>
    <t>030TSOS10000128514</t>
  </si>
  <si>
    <t>8.47983</t>
  </si>
  <si>
    <t>8.905932</t>
  </si>
  <si>
    <t>OOLKXQ5448</t>
  </si>
  <si>
    <t>OOCL SINGAPORE</t>
  </si>
  <si>
    <t>068W</t>
  </si>
  <si>
    <t>삼익</t>
  </si>
  <si>
    <t>INVOOLU2172202190</t>
  </si>
  <si>
    <t>PLISH7H34186</t>
  </si>
  <si>
    <t>KMTU9490381</t>
  </si>
  <si>
    <t>294DT260720726574</t>
  </si>
  <si>
    <t>373-STO-S10000030828</t>
  </si>
  <si>
    <t>258DTS10000195525</t>
  </si>
  <si>
    <t>500</t>
  </si>
  <si>
    <t>15.438219</t>
  </si>
  <si>
    <t>16.57289821</t>
  </si>
  <si>
    <t>CF542193</t>
  </si>
  <si>
    <t>ZHONG SHENG TUO HAI</t>
  </si>
  <si>
    <t>2622N</t>
  </si>
  <si>
    <t>INVPLISH7H34186</t>
  </si>
  <si>
    <t>294DT260720726577</t>
  </si>
  <si>
    <t>1.519804</t>
  </si>
  <si>
    <t>1.620825</t>
  </si>
  <si>
    <t>319DT260720726575</t>
  </si>
  <si>
    <t>30.270784</t>
  </si>
  <si>
    <t>32.65517654</t>
  </si>
  <si>
    <t>319DT260720726578</t>
  </si>
  <si>
    <t>1.229478</t>
  </si>
  <si>
    <t>1.322118</t>
  </si>
  <si>
    <t>EGLV003600846496</t>
  </si>
  <si>
    <t>SEKU1029018</t>
  </si>
  <si>
    <t>16642SUP262872601</t>
  </si>
  <si>
    <t>373-STO-S10000030821</t>
  </si>
  <si>
    <t>012TSOS10000380393</t>
  </si>
  <si>
    <t>0.6336</t>
  </si>
  <si>
    <t>0.732206</t>
  </si>
  <si>
    <t>EMCCQQ5395</t>
  </si>
  <si>
    <t>EVER VIVE</t>
  </si>
  <si>
    <t>0294-022N</t>
  </si>
  <si>
    <t>INVEGLV003600846496</t>
  </si>
  <si>
    <t>OOLU2172478190</t>
  </si>
  <si>
    <t>OOCU8504293</t>
  </si>
  <si>
    <t>23273SUP3634650</t>
  </si>
  <si>
    <t>373-STO-S10000030807</t>
  </si>
  <si>
    <t>030TSOS10000129537</t>
  </si>
  <si>
    <t>3.800742</t>
  </si>
  <si>
    <t>3.975265</t>
  </si>
  <si>
    <t>OOLKXQ5978</t>
  </si>
  <si>
    <t>INVOOLU2172478190</t>
  </si>
  <si>
    <t>MAEUIK0214579</t>
  </si>
  <si>
    <t>TCNU2566760</t>
  </si>
  <si>
    <t>258DT260715726354</t>
  </si>
  <si>
    <t>373-STO-S10000030827</t>
  </si>
  <si>
    <t>258DTS10000195035</t>
  </si>
  <si>
    <t>22.197849</t>
  </si>
  <si>
    <t>23.98936868</t>
  </si>
  <si>
    <t>CN7876204</t>
  </si>
  <si>
    <t>INVMAEUIK0214579</t>
  </si>
  <si>
    <t>140차 FOOD CONTACT</t>
  </si>
  <si>
    <t>277DT260715726355</t>
  </si>
  <si>
    <t>32.732523</t>
  </si>
  <si>
    <t>35.389448</t>
  </si>
  <si>
    <t>MAEUIK0216893</t>
  </si>
  <si>
    <t>MIEU3623564</t>
  </si>
  <si>
    <t>19720SUPECIS212555</t>
  </si>
  <si>
    <t>373-STO-S10000030805</t>
  </si>
  <si>
    <t>012TSOS10000389710</t>
  </si>
  <si>
    <t>HEDXU</t>
  </si>
  <si>
    <t>25.575001</t>
  </si>
  <si>
    <t>27.441372</t>
  </si>
  <si>
    <t>CN7095005</t>
  </si>
  <si>
    <t>MAERSK BERMUDA</t>
  </si>
  <si>
    <t>CNNSA</t>
  </si>
  <si>
    <t>INVMAEUIK0216893</t>
  </si>
  <si>
    <t>MAEUIK0216180</t>
  </si>
  <si>
    <t>CAAU5224722</t>
  </si>
  <si>
    <t>294DT260727726277</t>
  </si>
  <si>
    <t>373-STO-S10000030799</t>
  </si>
  <si>
    <t>258DTS10000196588</t>
  </si>
  <si>
    <t>11.472747</t>
  </si>
  <si>
    <t>12.26138873</t>
  </si>
  <si>
    <t>CN7884900</t>
  </si>
  <si>
    <t>ESL SEATTLE</t>
  </si>
  <si>
    <t>631N</t>
  </si>
  <si>
    <t>INVMAEUIK0216180</t>
  </si>
  <si>
    <t>319DT260727726278</t>
  </si>
  <si>
    <t>36.561718</t>
  </si>
  <si>
    <t>39.62607008</t>
  </si>
  <si>
    <t>PLISZ4H12831</t>
  </si>
  <si>
    <t>FCIU7149125</t>
  </si>
  <si>
    <t>19720SUPECIS212113</t>
  </si>
  <si>
    <t>373-STO-S10000030790</t>
  </si>
  <si>
    <t>012TSOS10000385325</t>
  </si>
  <si>
    <t>ELXUE</t>
  </si>
  <si>
    <t>21.383025</t>
  </si>
  <si>
    <t>22.927166</t>
  </si>
  <si>
    <t>CF786027</t>
  </si>
  <si>
    <t>CA MANILA</t>
  </si>
  <si>
    <t>2612N</t>
  </si>
  <si>
    <t>CNSHK</t>
  </si>
  <si>
    <t>INVPLISZ4H12831</t>
  </si>
  <si>
    <t>한국허치슨터미널(주)</t>
  </si>
  <si>
    <t>PLISH7H38463</t>
  </si>
  <si>
    <t>CAAU5038610</t>
  </si>
  <si>
    <t>258DT260727726005</t>
  </si>
  <si>
    <t>373-STO-S10000030798</t>
  </si>
  <si>
    <t>258DTS10000196526</t>
  </si>
  <si>
    <t>49.505</t>
  </si>
  <si>
    <t>53.48495732</t>
  </si>
  <si>
    <t>HMM TURQUOISE</t>
  </si>
  <si>
    <t>0011E</t>
  </si>
  <si>
    <t>INVPLISH7H38463</t>
  </si>
  <si>
    <t>277DT260727726006</t>
  </si>
  <si>
    <t>5.767552</t>
  </si>
  <si>
    <t>6.252113</t>
  </si>
  <si>
    <t>MAEUIK0215071</t>
  </si>
  <si>
    <t>MRKU4793441</t>
  </si>
  <si>
    <t>21072SUPECIS74615</t>
  </si>
  <si>
    <t>373-STO-S10000030763</t>
  </si>
  <si>
    <t>037TSOS10000661948</t>
  </si>
  <si>
    <t>2.121152</t>
  </si>
  <si>
    <t>2.266184</t>
  </si>
  <si>
    <t>CN9016770</t>
  </si>
  <si>
    <t>NAVIOS CONSTELLATION</t>
  </si>
  <si>
    <t>631E</t>
  </si>
  <si>
    <t>INVMAEUIK0215071</t>
  </si>
  <si>
    <t>MAEUIK0215952</t>
  </si>
  <si>
    <t>TRHU5299383</t>
  </si>
  <si>
    <t>294DT260724726163</t>
  </si>
  <si>
    <t>373-STO-S10000030795</t>
  </si>
  <si>
    <t>258DTS10000196328</t>
  </si>
  <si>
    <t>14.075824</t>
  </si>
  <si>
    <t>15.17550795</t>
  </si>
  <si>
    <t>CN3559404</t>
  </si>
  <si>
    <t>INVMAEUIK0215952</t>
  </si>
  <si>
    <t>319DT260724726164</t>
  </si>
  <si>
    <t>34.129504</t>
  </si>
  <si>
    <t>36.70233215</t>
  </si>
  <si>
    <t>HLCUTS12607BSYP0</t>
  </si>
  <si>
    <t>HAMU5080657</t>
  </si>
  <si>
    <t>23273SUP3630639</t>
  </si>
  <si>
    <t>373-STO-S10000030759</t>
  </si>
  <si>
    <t>030TSOS10000127927</t>
  </si>
  <si>
    <t>6.070236</t>
  </si>
  <si>
    <t>6.328672</t>
  </si>
  <si>
    <t>31363</t>
  </si>
  <si>
    <t>HAPAG LLOYD AG</t>
  </si>
  <si>
    <t>HLK5022866</t>
  </si>
  <si>
    <t>GUNHILDE MAERSK</t>
  </si>
  <si>
    <t>632E</t>
  </si>
  <si>
    <t>INVHLCUTS12607BSYP0</t>
  </si>
  <si>
    <t>HDMUSHAA26102300</t>
  </si>
  <si>
    <t>HMMU4144726</t>
  </si>
  <si>
    <t>258DT260728726070</t>
  </si>
  <si>
    <t>373-STO-S10000030776</t>
  </si>
  <si>
    <t>258DTS10000196684</t>
  </si>
  <si>
    <t>50.520937</t>
  </si>
  <si>
    <t>54.36856437</t>
  </si>
  <si>
    <t>26H0287218</t>
  </si>
  <si>
    <t>INVHDMUSHAA26102300</t>
  </si>
  <si>
    <t>277DT260728726071</t>
  </si>
  <si>
    <t>4.4456</t>
  </si>
  <si>
    <t>4.856706</t>
  </si>
  <si>
    <t>HDMUSHAA63402100</t>
  </si>
  <si>
    <t>HMMU4769971</t>
  </si>
  <si>
    <t>258DT260722726755</t>
  </si>
  <si>
    <t>373-STO-S10000030743</t>
  </si>
  <si>
    <t>258DTS10000195901</t>
  </si>
  <si>
    <t>46.850299</t>
  </si>
  <si>
    <t>50.61810964</t>
  </si>
  <si>
    <t>25H1005044</t>
  </si>
  <si>
    <t>INVHDMUSHAA63402100</t>
  </si>
  <si>
    <t>277DT260722726756</t>
  </si>
  <si>
    <t>7.774388</t>
  </si>
  <si>
    <t>8.370817</t>
  </si>
  <si>
    <t>EGLV003600814713</t>
  </si>
  <si>
    <t>EGHU3791119</t>
  </si>
  <si>
    <t>22280SUP262872601CP</t>
  </si>
  <si>
    <t>373-STO-S10000030736</t>
  </si>
  <si>
    <t>012TSOS10000378284</t>
  </si>
  <si>
    <t>2.84652</t>
  </si>
  <si>
    <t>3.092404</t>
  </si>
  <si>
    <t>EMCCQL2515</t>
  </si>
  <si>
    <t>EVER VIVA</t>
  </si>
  <si>
    <t>0292-021N</t>
  </si>
  <si>
    <t>한진</t>
  </si>
  <si>
    <t>INVEGLV003600814713</t>
  </si>
  <si>
    <t>HDMUSHAA83596300</t>
  </si>
  <si>
    <t>HMMU6231990</t>
  </si>
  <si>
    <t>373-STO-S10000030725</t>
  </si>
  <si>
    <t>037TSOS10000661691</t>
  </si>
  <si>
    <t>JIZHU80</t>
  </si>
  <si>
    <t>51.616492</t>
  </si>
  <si>
    <t>55.171091</t>
  </si>
  <si>
    <t>25H1423821</t>
  </si>
  <si>
    <t>INVHDMUSHAA83596300</t>
  </si>
  <si>
    <t>MAEUIK0215789</t>
  </si>
  <si>
    <t>MRSU2590582</t>
  </si>
  <si>
    <t>258DT260723726846</t>
  </si>
  <si>
    <t>373-STO-S10000030700</t>
  </si>
  <si>
    <t>258DTS10000196219</t>
  </si>
  <si>
    <t>50.867254</t>
  </si>
  <si>
    <t>54.72965</t>
  </si>
  <si>
    <t>CN3562038</t>
  </si>
  <si>
    <t>INVMAEUIK0215789</t>
  </si>
  <si>
    <t>277DT260723726847</t>
  </si>
  <si>
    <t>5.17842</t>
  </si>
  <si>
    <t>5.58210611</t>
  </si>
  <si>
    <t>OOLU2171708560</t>
  </si>
  <si>
    <t>OOCU5598107</t>
  </si>
  <si>
    <t>23273SUP3627989</t>
  </si>
  <si>
    <t>373-STO-S10000030688</t>
  </si>
  <si>
    <t>030TSOS10000126918</t>
  </si>
  <si>
    <t>9.577398</t>
  </si>
  <si>
    <t>10.007564</t>
  </si>
  <si>
    <t>OOLKXP8963</t>
  </si>
  <si>
    <t>OOCL MALAYSIA</t>
  </si>
  <si>
    <t>072W</t>
  </si>
  <si>
    <t>INVOOLU2171708560</t>
  </si>
  <si>
    <t>MAEUIK0214302</t>
  </si>
  <si>
    <t>MRSU4812077</t>
  </si>
  <si>
    <t>294DT260714726869</t>
  </si>
  <si>
    <t>373-STO-S10000030699</t>
  </si>
  <si>
    <t>258DTS10000194704</t>
  </si>
  <si>
    <t>11.184594</t>
  </si>
  <si>
    <t>12.14199604</t>
  </si>
  <si>
    <t>CN7895349</t>
  </si>
  <si>
    <t>INVMAEUIK0214302</t>
  </si>
  <si>
    <t>ART # 10573753 78PC / NON FC 8/14(금) 오전 검사 완료</t>
  </si>
  <si>
    <t>319DT260714726870</t>
  </si>
  <si>
    <t>37.25391</t>
  </si>
  <si>
    <t>40.39744428</t>
  </si>
  <si>
    <t>OOLU2171731350</t>
  </si>
  <si>
    <t>OOCU8965612</t>
  </si>
  <si>
    <t>23273SUP3626611</t>
  </si>
  <si>
    <t>373-STO-S10000030663</t>
  </si>
  <si>
    <t>030TSOS10000127028</t>
  </si>
  <si>
    <t>4.14396</t>
  </si>
  <si>
    <t>4.321282</t>
  </si>
  <si>
    <t>OOLKXP8869</t>
  </si>
  <si>
    <t>072West</t>
  </si>
  <si>
    <t>INVOOLU2171731350</t>
  </si>
  <si>
    <t>MAEUIK0214760</t>
  </si>
  <si>
    <t>MRKU2666242</t>
  </si>
  <si>
    <t>258DT260716726437</t>
  </si>
  <si>
    <t>373-STO-S10000030679</t>
  </si>
  <si>
    <t>258DTS10000195198</t>
  </si>
  <si>
    <t>54.727126</t>
  </si>
  <si>
    <t>59.02269262</t>
  </si>
  <si>
    <t>CN7875809</t>
  </si>
  <si>
    <t>INVMAEUIK0214760</t>
  </si>
  <si>
    <t>OOLU2171667000</t>
  </si>
  <si>
    <t>OOCU5860454</t>
  </si>
  <si>
    <t>23273SUP3626294</t>
  </si>
  <si>
    <t>373-STO-S10000030659</t>
  </si>
  <si>
    <t>030TSOS10000126790</t>
  </si>
  <si>
    <t>3.526242</t>
  </si>
  <si>
    <t>3.695937</t>
  </si>
  <si>
    <t>OOLKXP8970</t>
  </si>
  <si>
    <t>INVOOLU2171667000</t>
  </si>
  <si>
    <t>MAEUIK0215570</t>
  </si>
  <si>
    <t>GCXU5558019</t>
  </si>
  <si>
    <t>294DT260722726954</t>
  </si>
  <si>
    <t>373-STO-S10000030678</t>
  </si>
  <si>
    <t>258DTS10000195900</t>
  </si>
  <si>
    <t>9.783074</t>
  </si>
  <si>
    <t>10.51334836</t>
  </si>
  <si>
    <t>CN4466970</t>
  </si>
  <si>
    <t>INVMAEUIK0215570</t>
  </si>
  <si>
    <t>319DT260722726955</t>
  </si>
  <si>
    <t>38.349317</t>
  </si>
  <si>
    <t>41.39467373</t>
  </si>
  <si>
    <t>HDMUSHAA89466900</t>
  </si>
  <si>
    <t>HMMU4774155</t>
  </si>
  <si>
    <t>258DT260716726464</t>
  </si>
  <si>
    <t>373-STO-S10000030639</t>
  </si>
  <si>
    <t>258DTS10000195182</t>
  </si>
  <si>
    <t>49.190707</t>
  </si>
  <si>
    <t>52.965579</t>
  </si>
  <si>
    <t>25H1010901</t>
  </si>
  <si>
    <t>HMM RUBY</t>
  </si>
  <si>
    <t>0014E</t>
  </si>
  <si>
    <t>INVHDMUSHAA89466900</t>
  </si>
  <si>
    <t>277DT260716726465</t>
  </si>
  <si>
    <t>6.038399</t>
  </si>
  <si>
    <t>6.52885</t>
  </si>
  <si>
    <t>MAEUIK0214906</t>
  </si>
  <si>
    <t>MRSU4078045</t>
  </si>
  <si>
    <t>21985SUPECIS42051</t>
  </si>
  <si>
    <t>373-STO-S10000030621</t>
  </si>
  <si>
    <t>037TSOS10000660991</t>
  </si>
  <si>
    <t>3.749176</t>
  </si>
  <si>
    <t>4.139618</t>
  </si>
  <si>
    <t>CN7978177</t>
  </si>
  <si>
    <t>MTT SAPANGAR</t>
  </si>
  <si>
    <t>INVMAEUIK0214906</t>
  </si>
  <si>
    <t>22075SUP2600116371</t>
  </si>
  <si>
    <t>5.285514</t>
  </si>
  <si>
    <t>5.677026</t>
  </si>
  <si>
    <t>22121SUPUE065431</t>
  </si>
  <si>
    <t>2.36493</t>
  </si>
  <si>
    <t>2.576159</t>
  </si>
  <si>
    <t>MAEUIK0213848</t>
  </si>
  <si>
    <t>CAAU6878179</t>
  </si>
  <si>
    <t>21985SUPECIS41860</t>
  </si>
  <si>
    <t>373-STO-S10000030617</t>
  </si>
  <si>
    <t>037TSOS10000657118</t>
  </si>
  <si>
    <t>1.128384</t>
  </si>
  <si>
    <t>1.269308</t>
  </si>
  <si>
    <t>CN7950676</t>
  </si>
  <si>
    <t>INVMAEUIK0213848</t>
  </si>
  <si>
    <t>22075SUP2600116191</t>
  </si>
  <si>
    <t>2.83533</t>
  </si>
  <si>
    <t>3.035282</t>
  </si>
  <si>
    <t>22121SUPUE065105</t>
  </si>
  <si>
    <t>8.87902</t>
  </si>
  <si>
    <t>9.653765</t>
  </si>
  <si>
    <t>MAEUIK0214091</t>
  </si>
  <si>
    <t>MRSU3814795</t>
  </si>
  <si>
    <t>294DT260713726735</t>
  </si>
  <si>
    <t>373-STO-S10000030638</t>
  </si>
  <si>
    <t>258DTS10000194561</t>
  </si>
  <si>
    <t>10.120285</t>
  </si>
  <si>
    <t>10.95470168</t>
  </si>
  <si>
    <t>CN7895321</t>
  </si>
  <si>
    <t>INVMAEUIK0214091</t>
  </si>
  <si>
    <t>319DT260713726736</t>
  </si>
  <si>
    <t>38.492478</t>
  </si>
  <si>
    <t>41.60063812</t>
  </si>
  <si>
    <t>PLISH7H37524</t>
  </si>
  <si>
    <t>HMMU4317375</t>
  </si>
  <si>
    <t>258DT260720726600</t>
  </si>
  <si>
    <t>373-STO-S10000030598</t>
  </si>
  <si>
    <t>258DTS10000195572</t>
  </si>
  <si>
    <t>49.66951</t>
  </si>
  <si>
    <t>53.60237008</t>
  </si>
  <si>
    <t>26H0072953</t>
  </si>
  <si>
    <t>INVPLISH7H37524</t>
  </si>
  <si>
    <t>277DT260720726601</t>
  </si>
  <si>
    <t>5.663264</t>
  </si>
  <si>
    <t>6.14630232</t>
  </si>
  <si>
    <t>MAEUIK0214327</t>
  </si>
  <si>
    <t>MRSU3636311</t>
  </si>
  <si>
    <t>258DT260714726268</t>
  </si>
  <si>
    <t>373-STO-S10000030597</t>
  </si>
  <si>
    <t>258DTS10000194751</t>
  </si>
  <si>
    <t>49.545136</t>
  </si>
  <si>
    <t>53.25812958</t>
  </si>
  <si>
    <t>CN7875862</t>
  </si>
  <si>
    <t>INVMAEUIK0214327</t>
  </si>
  <si>
    <t>277DT260714726269</t>
  </si>
  <si>
    <t>5.706487</t>
  </si>
  <si>
    <t>6.11225125</t>
  </si>
  <si>
    <t>PLISH7H37982</t>
  </si>
  <si>
    <t>FCIU7273563</t>
  </si>
  <si>
    <t>21072SUPECIS74703</t>
  </si>
  <si>
    <t>373-STO-S10000030557</t>
  </si>
  <si>
    <t>037TSOS10000664008</t>
  </si>
  <si>
    <t>14.596316</t>
  </si>
  <si>
    <t>15.542588</t>
  </si>
  <si>
    <t>144826</t>
  </si>
  <si>
    <t>PACIFIC BEIJING</t>
  </si>
  <si>
    <t>2614E</t>
  </si>
  <si>
    <t>INVPLISH7H37982</t>
  </si>
  <si>
    <t>신선대감만터미널(주) 신선대CY</t>
  </si>
  <si>
    <t>MAEUIK0213899</t>
  </si>
  <si>
    <t>MIEU3613674</t>
  </si>
  <si>
    <t>19720SUPECIS211826</t>
  </si>
  <si>
    <t>373-STO-S10000030534</t>
  </si>
  <si>
    <t>012TSOS10000382132</t>
  </si>
  <si>
    <t>VILIU20</t>
  </si>
  <si>
    <t>17.456127</t>
  </si>
  <si>
    <t>18.68778</t>
  </si>
  <si>
    <t>CN7087183</t>
  </si>
  <si>
    <t>XIN BIN ZHOU</t>
  </si>
  <si>
    <t>INVMAEUIK0213899</t>
  </si>
  <si>
    <t>MAEUIK0213030</t>
  </si>
  <si>
    <t>MSKU1576275</t>
  </si>
  <si>
    <t>294DT260706726074</t>
  </si>
  <si>
    <t>373-STO-S10000030596</t>
  </si>
  <si>
    <t>258DTS10000193585</t>
  </si>
  <si>
    <t>12.337354</t>
  </si>
  <si>
    <t>13.485567</t>
  </si>
  <si>
    <t>CN7895291</t>
  </si>
  <si>
    <t>INVMAEUIK0213030</t>
  </si>
  <si>
    <t>319DT260706726075</t>
  </si>
  <si>
    <t>35.854988</t>
  </si>
  <si>
    <t>38.78614749</t>
  </si>
  <si>
    <t>MAEUIK0214683</t>
  </si>
  <si>
    <t>MRKU2720810</t>
  </si>
  <si>
    <t>21072SUPECIS74543</t>
  </si>
  <si>
    <t>373-STO-S10000030533</t>
  </si>
  <si>
    <t>037TSOS10000660245</t>
  </si>
  <si>
    <t>4.553643</t>
  </si>
  <si>
    <t>4.845725</t>
  </si>
  <si>
    <t>CN3726438</t>
  </si>
  <si>
    <t>VIENNA EXPRESS</t>
  </si>
  <si>
    <t>INVMAEUIK0214683</t>
  </si>
  <si>
    <t>PLISH7H35134</t>
  </si>
  <si>
    <t>HMMU4612719</t>
  </si>
  <si>
    <t>22715SUPECIS73018</t>
  </si>
  <si>
    <t>373-STO-S10000030522</t>
  </si>
  <si>
    <t>037TSOS10000652093</t>
  </si>
  <si>
    <t>15.387144</t>
  </si>
  <si>
    <t>16.612204</t>
  </si>
  <si>
    <t>25H1423826</t>
  </si>
  <si>
    <t>HMM RAON</t>
  </si>
  <si>
    <t>0025E</t>
  </si>
  <si>
    <t>INVPLISH7H35134</t>
  </si>
  <si>
    <t>MAEUIK0214575</t>
  </si>
  <si>
    <t>MRSU5573629</t>
  </si>
  <si>
    <t>258DT260715726351</t>
  </si>
  <si>
    <t>373-STO-S10000030566</t>
  </si>
  <si>
    <t>258DTS10000195029</t>
  </si>
  <si>
    <t>47.60743</t>
  </si>
  <si>
    <t>51.60115276</t>
  </si>
  <si>
    <t>CN7875853</t>
  </si>
  <si>
    <t>INVMAEUIK0214575</t>
  </si>
  <si>
    <t>277DT260715726352</t>
  </si>
  <si>
    <t>7.667618</t>
  </si>
  <si>
    <t>8.244484</t>
  </si>
  <si>
    <t>MAEUIK0214032</t>
  </si>
  <si>
    <t>MRSU2863542</t>
  </si>
  <si>
    <t>21072SUPECIS74426</t>
  </si>
  <si>
    <t>373-STO-S10000030532</t>
  </si>
  <si>
    <t>037TSOS10000657723</t>
  </si>
  <si>
    <t>4.617921</t>
  </si>
  <si>
    <t>4.912623</t>
  </si>
  <si>
    <t>CN6492381</t>
  </si>
  <si>
    <t>INVMAEUIK0214032</t>
  </si>
  <si>
    <t>EGLV003600762543</t>
  </si>
  <si>
    <t>EITU3226850</t>
  </si>
  <si>
    <t>22280SUP262672601CP</t>
  </si>
  <si>
    <t>373-STO-S10000030497</t>
  </si>
  <si>
    <t>012TSOS10000374815</t>
  </si>
  <si>
    <t>2.644528</t>
  </si>
  <si>
    <t>2.852229</t>
  </si>
  <si>
    <t>EMCCQG0155</t>
  </si>
  <si>
    <t>EVER VIBE</t>
  </si>
  <si>
    <t>0291-007N</t>
  </si>
  <si>
    <t>INVEGLV003600762543</t>
  </si>
  <si>
    <t>22280SUP262772601CP</t>
  </si>
  <si>
    <t>6.756048</t>
  </si>
  <si>
    <t>7.290814</t>
  </si>
  <si>
    <t>MAEUIK0214086</t>
  </si>
  <si>
    <t>CAAU7159971</t>
  </si>
  <si>
    <t>258DT260713726198</t>
  </si>
  <si>
    <t>373-STO-S10000030565</t>
  </si>
  <si>
    <t>258DTS10000194545</t>
  </si>
  <si>
    <t>55.752322</t>
  </si>
  <si>
    <t>60.08548117</t>
  </si>
  <si>
    <t>CN9661293</t>
  </si>
  <si>
    <t>INVMAEUIK0214086</t>
  </si>
  <si>
    <t>MAEUIK0213454</t>
  </si>
  <si>
    <t>HASU4002097</t>
  </si>
  <si>
    <t>21072SUPECIS74274</t>
  </si>
  <si>
    <t>373-STO-S10000030493</t>
  </si>
  <si>
    <t>037TSOS10000655568</t>
  </si>
  <si>
    <t>12.672084</t>
  </si>
  <si>
    <t>13.462512</t>
  </si>
  <si>
    <t>CN8980565</t>
  </si>
  <si>
    <t>NAVIOS UNISON</t>
  </si>
  <si>
    <t>629E</t>
  </si>
  <si>
    <t>INVMAEUIK0213454</t>
  </si>
  <si>
    <t>MAEUIK0213505</t>
  </si>
  <si>
    <t>HASU5122190</t>
  </si>
  <si>
    <t>21072SUPECIS74283</t>
  </si>
  <si>
    <t>037TSOS10000655727</t>
  </si>
  <si>
    <t>4.484568</t>
  </si>
  <si>
    <t>4.778609</t>
  </si>
  <si>
    <t>CN6549074</t>
  </si>
  <si>
    <t>INVMAEUIK0213505</t>
  </si>
  <si>
    <t>MAEUIK0212235</t>
  </si>
  <si>
    <t>MRSU0307523</t>
  </si>
  <si>
    <t>294DT260630726534</t>
  </si>
  <si>
    <t>373-STO-S10000030511</t>
  </si>
  <si>
    <t>258DTS10000192866</t>
  </si>
  <si>
    <t>9.257904</t>
  </si>
  <si>
    <t>10.00617546</t>
  </si>
  <si>
    <t>CN7935943</t>
  </si>
  <si>
    <t>628N</t>
  </si>
  <si>
    <t>INVMAEUIK0212235</t>
  </si>
  <si>
    <t>136차 FOOD CONTACT / ART# 80614298 검사 진행 예정(26.08.04) - 검사 완료 및 수리</t>
  </si>
  <si>
    <t>319DT260630726535</t>
  </si>
  <si>
    <t>11.842792</t>
  </si>
  <si>
    <t>12.81923222</t>
  </si>
  <si>
    <t>MAEUIK0213002</t>
  </si>
  <si>
    <t>MRKU5339726</t>
  </si>
  <si>
    <t>21072SUPECIS74172</t>
  </si>
  <si>
    <t>373-STO-S10000030477</t>
  </si>
  <si>
    <t>037TSOS10000653201</t>
  </si>
  <si>
    <t>5.630021</t>
  </si>
  <si>
    <t>5.987075</t>
  </si>
  <si>
    <t>CN9016500</t>
  </si>
  <si>
    <t>INVMAEUIK0213002</t>
  </si>
  <si>
    <t>MAEUIK0213650</t>
  </si>
  <si>
    <t>CAAU9973117</t>
  </si>
  <si>
    <t>22715SUPECIS73255</t>
  </si>
  <si>
    <t>373-STO-S10000030428</t>
  </si>
  <si>
    <t>037TSOS10000656497</t>
  </si>
  <si>
    <t>9.642388</t>
  </si>
  <si>
    <t>10.362846</t>
  </si>
  <si>
    <t>CN7937608</t>
  </si>
  <si>
    <t>ERASMUS ICON</t>
  </si>
  <si>
    <t>627N</t>
  </si>
  <si>
    <t>INVMAEUIK0213650</t>
  </si>
  <si>
    <t>MAEUIK0213427</t>
  </si>
  <si>
    <t>TCNU6774777</t>
  </si>
  <si>
    <t>22075SUP2600115745</t>
  </si>
  <si>
    <t>373-STO-S10000030424</t>
  </si>
  <si>
    <t>037TSOS10000655302</t>
  </si>
  <si>
    <t>7.348906</t>
  </si>
  <si>
    <t>7.886649</t>
  </si>
  <si>
    <t>CN7962609</t>
  </si>
  <si>
    <t>INVMAEUIK0213427</t>
  </si>
  <si>
    <t>HDMUSHAA83911400</t>
  </si>
  <si>
    <t>KOCU4072160</t>
  </si>
  <si>
    <t>258DT260703726710</t>
  </si>
  <si>
    <t>373-STO-S10000030444</t>
  </si>
  <si>
    <t>258DTS10000193380</t>
  </si>
  <si>
    <t>51.966713</t>
  </si>
  <si>
    <t>56.02422946</t>
  </si>
  <si>
    <t>26H0270976</t>
  </si>
  <si>
    <t>HMM DIAMOND</t>
  </si>
  <si>
    <t>INVHDMUSHAA83911400</t>
  </si>
  <si>
    <t>258DT260703726712</t>
  </si>
  <si>
    <t>1.5366</t>
  </si>
  <si>
    <t>1.634944</t>
  </si>
  <si>
    <t>277DT260703726713</t>
  </si>
  <si>
    <t>0.870098</t>
  </si>
  <si>
    <t>0.933875</t>
  </si>
  <si>
    <t>MAEUIK0212433</t>
  </si>
  <si>
    <t>TRHU5905921</t>
  </si>
  <si>
    <t>22121SUPUE064863</t>
  </si>
  <si>
    <t>373-STO-S10000030389</t>
  </si>
  <si>
    <t>037TSOS10000650983</t>
  </si>
  <si>
    <t>12.017708</t>
  </si>
  <si>
    <t>13.133662</t>
  </si>
  <si>
    <t>CN7978640</t>
  </si>
  <si>
    <t>AS SIMONE</t>
  </si>
  <si>
    <t>626N</t>
  </si>
  <si>
    <t>INVMAEUIK0212433</t>
  </si>
  <si>
    <t>MAEUIK0212241</t>
  </si>
  <si>
    <t>GCXU5675226</t>
  </si>
  <si>
    <t>258DT260630726508</t>
  </si>
  <si>
    <t>373-STO-S10000030408</t>
  </si>
  <si>
    <t>258DTS10000192876</t>
  </si>
  <si>
    <t>33.423082</t>
  </si>
  <si>
    <t>36.11873621</t>
  </si>
  <si>
    <t>CN2262837</t>
  </si>
  <si>
    <t>TS MELBOURNE</t>
  </si>
  <si>
    <t>INVMAEUIK0212241</t>
  </si>
  <si>
    <t>132차 FOOD CONTACT /분할 1차 수리/ 분할 2차 전량 수리-26.07.31</t>
  </si>
  <si>
    <t>277DT260630726509</t>
  </si>
  <si>
    <t>21.774512</t>
  </si>
  <si>
    <t>23.371155</t>
  </si>
  <si>
    <t>PLISH7H36420</t>
  </si>
  <si>
    <t>SKHU6373767</t>
  </si>
  <si>
    <t>21072SUPECIS74464</t>
  </si>
  <si>
    <t>373-STO-S10000030384</t>
  </si>
  <si>
    <t>037TSOS10000659102</t>
  </si>
  <si>
    <t>5.683842</t>
  </si>
  <si>
    <t>6.053839</t>
  </si>
  <si>
    <t>144958</t>
  </si>
  <si>
    <t>2613E</t>
  </si>
  <si>
    <t>INVPLISH7H36420</t>
  </si>
  <si>
    <t>MAEUIK0209788</t>
  </si>
  <si>
    <t>MRKU9180822</t>
  </si>
  <si>
    <t>294DT260615726200</t>
  </si>
  <si>
    <t>373-STO-S10000030407</t>
  </si>
  <si>
    <t>258DTS10000190845</t>
  </si>
  <si>
    <t>10.699541</t>
  </si>
  <si>
    <t>11.55475478</t>
  </si>
  <si>
    <t>CN3378262</t>
  </si>
  <si>
    <t>JPO AQUARIUS</t>
  </si>
  <si>
    <t>INVMAEUIK0209788</t>
  </si>
  <si>
    <t>128차 FOOD CONTACT / 분할 1차 수리/  분할 2차 전량수리-26.07.31</t>
  </si>
  <si>
    <t>319DT260615726201</t>
  </si>
  <si>
    <t>10.361721</t>
  </si>
  <si>
    <t>11.19463125</t>
  </si>
  <si>
    <t>MAEUIK0213541</t>
  </si>
  <si>
    <t>MRSU4366566</t>
  </si>
  <si>
    <t>19720SUPECIS211491</t>
  </si>
  <si>
    <t>373-STO-S10000030362</t>
  </si>
  <si>
    <t>012TSOS10000381100</t>
  </si>
  <si>
    <t>WIWEN8</t>
  </si>
  <si>
    <t>24.813638</t>
  </si>
  <si>
    <t>26.63083</t>
  </si>
  <si>
    <t>CN5026306</t>
  </si>
  <si>
    <t>AS NARA</t>
  </si>
  <si>
    <t>INVMAEUIK0213541</t>
  </si>
  <si>
    <t>MAEUIK0213053</t>
  </si>
  <si>
    <t>MRSU2310819</t>
  </si>
  <si>
    <t>258DT260706726856</t>
  </si>
  <si>
    <t>373-STO-S10000030406</t>
  </si>
  <si>
    <t>258DTS10000193650</t>
  </si>
  <si>
    <t>44.119798</t>
  </si>
  <si>
    <t>47.64789846</t>
  </si>
  <si>
    <t>CN3554988</t>
  </si>
  <si>
    <t>INVMAEUIK0213053</t>
  </si>
  <si>
    <t>277DT260706726857</t>
  </si>
  <si>
    <t>10.486981</t>
  </si>
  <si>
    <t>11.324272</t>
  </si>
  <si>
    <t>HDMUSHAA71744900</t>
  </si>
  <si>
    <t>BSIU9947121</t>
  </si>
  <si>
    <t>22715SUPECIS72795</t>
  </si>
  <si>
    <t>373-STO-S10000030338</t>
  </si>
  <si>
    <t>037TSOS10000646386</t>
  </si>
  <si>
    <t>10.661876</t>
  </si>
  <si>
    <t>11.515201</t>
  </si>
  <si>
    <t>25H1424199</t>
  </si>
  <si>
    <t>HMM NURI</t>
  </si>
  <si>
    <t>0020E</t>
  </si>
  <si>
    <t>INVHDMUSHAA71744900</t>
  </si>
  <si>
    <t>MAEUIK0213461</t>
  </si>
  <si>
    <t>MRKU4731326</t>
  </si>
  <si>
    <t>258DT260708726997</t>
  </si>
  <si>
    <t>373-STO-S10000030337</t>
  </si>
  <si>
    <t>258DTS10000194080</t>
  </si>
  <si>
    <t>53.741909</t>
  </si>
  <si>
    <t>58.09361063</t>
  </si>
  <si>
    <t>CN9765184</t>
  </si>
  <si>
    <t>INVMAEUIK0213461</t>
  </si>
  <si>
    <t>MAEUIK0213456</t>
  </si>
  <si>
    <t>FDCU0249225</t>
  </si>
  <si>
    <t>258DT260708726999</t>
  </si>
  <si>
    <t>373-STO-S10000030321</t>
  </si>
  <si>
    <t>258DTS10000194084</t>
  </si>
  <si>
    <t>47.02351</t>
  </si>
  <si>
    <t>50.5839865</t>
  </si>
  <si>
    <t>CN9765187</t>
  </si>
  <si>
    <t>INVMAEUIK0213456</t>
  </si>
  <si>
    <t>277DT260708726001</t>
  </si>
  <si>
    <t>7.214499</t>
  </si>
  <si>
    <t>7.727709</t>
  </si>
  <si>
    <t>OSAKA EXPRESS</t>
  </si>
  <si>
    <t>GEORG MAERSK</t>
  </si>
  <si>
    <t>ANLIU52</t>
  </si>
  <si>
    <t>DUMMY BARGE</t>
  </si>
  <si>
    <t>1234</t>
  </si>
  <si>
    <t>CNZPU</t>
  </si>
  <si>
    <t>AS SOPHIA</t>
  </si>
  <si>
    <t>GJERTRUD MAERSK</t>
  </si>
  <si>
    <t>ELZHE</t>
  </si>
  <si>
    <t>SKY PEACE</t>
  </si>
  <si>
    <t>ID</t>
  </si>
  <si>
    <t>IDJKT</t>
  </si>
  <si>
    <t>MUNDRA EXPRESS</t>
  </si>
  <si>
    <t>0.34581</t>
  </si>
  <si>
    <t>0.377</t>
  </si>
  <si>
    <t>COCHRANE</t>
  </si>
  <si>
    <t>1.15245</t>
  </si>
  <si>
    <t>1.226208</t>
  </si>
  <si>
    <t>0.74088</t>
  </si>
  <si>
    <t>0.804515</t>
  </si>
  <si>
    <t>HDMUSHAA74229300</t>
  </si>
  <si>
    <t>HDMU4915018</t>
  </si>
  <si>
    <t>258DTS10000200053</t>
  </si>
  <si>
    <t>54.949135</t>
  </si>
  <si>
    <t>59.01711134</t>
  </si>
  <si>
    <t>26H0159661</t>
  </si>
  <si>
    <t>HMM EMERALD</t>
  </si>
  <si>
    <t>0015E</t>
  </si>
  <si>
    <t>INVHDMUSHAA74229300</t>
  </si>
  <si>
    <t>0.801936</t>
  </si>
  <si>
    <t>0.853519</t>
  </si>
  <si>
    <t>HDMUSHAA92415200</t>
  </si>
  <si>
    <t>HDMU4920502</t>
  </si>
  <si>
    <t>258DTS10000200325</t>
  </si>
  <si>
    <t>50.398155</t>
  </si>
  <si>
    <t>54.23675665</t>
  </si>
  <si>
    <t>26H0386443</t>
  </si>
  <si>
    <t>INVHDMUSHAA92415200</t>
  </si>
  <si>
    <t>4.958796</t>
  </si>
  <si>
    <t>5.31627233</t>
  </si>
  <si>
    <t>MAEUIK0219274</t>
  </si>
  <si>
    <t>MRKU9138463</t>
  </si>
  <si>
    <t>041TSOS10000275113</t>
  </si>
  <si>
    <t>25.274728</t>
  </si>
  <si>
    <t>26.85891</t>
  </si>
  <si>
    <t>ID1204857</t>
  </si>
  <si>
    <t>635N</t>
  </si>
  <si>
    <t>INVMAEUIK0219274</t>
  </si>
  <si>
    <t>MAEUIK0221100</t>
  </si>
  <si>
    <t>UETU2059170</t>
  </si>
  <si>
    <t>041TSOS10000278373</t>
  </si>
  <si>
    <t>25.362248</t>
  </si>
  <si>
    <t>26.974425</t>
  </si>
  <si>
    <t>ID1208780</t>
  </si>
  <si>
    <t>INVMAEUIK0221100</t>
  </si>
  <si>
    <t>MAEUIK0218873</t>
  </si>
  <si>
    <t>GATU8363151</t>
  </si>
  <si>
    <t>012TSOS10000394903</t>
  </si>
  <si>
    <t>24.532367</t>
  </si>
  <si>
    <t>26.330683</t>
  </si>
  <si>
    <t>CN7167142</t>
  </si>
  <si>
    <t>MONACO</t>
  </si>
  <si>
    <t>636X</t>
  </si>
  <si>
    <t>INVMAEUIK0218873</t>
  </si>
  <si>
    <t>PLISZ4H14370</t>
  </si>
  <si>
    <t>TXTU4873666</t>
  </si>
  <si>
    <t>012TSOS10000396381</t>
  </si>
  <si>
    <t>16.976635</t>
  </si>
  <si>
    <t>18.237162</t>
  </si>
  <si>
    <t>CF816316</t>
  </si>
  <si>
    <t>MARIA C</t>
  </si>
  <si>
    <t>0096N</t>
  </si>
  <si>
    <t>INVPLISZ4H14370</t>
  </si>
  <si>
    <t>MAEUIK0218541</t>
  </si>
  <si>
    <t>MRSU8891731</t>
  </si>
  <si>
    <t>037TSOS10000679195</t>
  </si>
  <si>
    <t>10.64271</t>
  </si>
  <si>
    <t>12.409665</t>
  </si>
  <si>
    <t>CN6565368</t>
  </si>
  <si>
    <t>INVMAEUIK0218541</t>
  </si>
  <si>
    <t>MAEUIK0219927</t>
  </si>
  <si>
    <t>MIEU3578320</t>
  </si>
  <si>
    <t>037TSOS10000686487</t>
  </si>
  <si>
    <t>11.877999</t>
  </si>
  <si>
    <t>12.631727</t>
  </si>
  <si>
    <t>CN6559043</t>
  </si>
  <si>
    <t>SEASPAN YANGTZE</t>
  </si>
  <si>
    <t>636E</t>
  </si>
  <si>
    <t>INVMAEUIK0219927</t>
  </si>
  <si>
    <t>HLCUTS12608DMRK6</t>
  </si>
  <si>
    <t>GCXU5305010</t>
  </si>
  <si>
    <t>030TSOS10000133183</t>
  </si>
  <si>
    <t>5.87232</t>
  </si>
  <si>
    <t>6.141345</t>
  </si>
  <si>
    <t>HLK7227004</t>
  </si>
  <si>
    <t>INVHLCUTS12608DMRK6</t>
  </si>
  <si>
    <t>MAEUIK0217393</t>
  </si>
  <si>
    <t>MSKU5573016</t>
  </si>
  <si>
    <t>041TSOS10000271328</t>
  </si>
  <si>
    <t>25.320104</t>
  </si>
  <si>
    <t>26.918582</t>
  </si>
  <si>
    <t>ID1208046</t>
  </si>
  <si>
    <t>JULIUS-S.</t>
  </si>
  <si>
    <t>633N</t>
  </si>
  <si>
    <t>INVMAEUIK0217393</t>
  </si>
  <si>
    <t>MAEUIK0217531</t>
  </si>
  <si>
    <t>MRKU5077884</t>
  </si>
  <si>
    <t>037TSOS10000674260</t>
  </si>
  <si>
    <t>5.337426</t>
  </si>
  <si>
    <t>5.991607</t>
  </si>
  <si>
    <t>CN6300269</t>
  </si>
  <si>
    <t>NING YUAN TOU MEN</t>
  </si>
  <si>
    <t>069S</t>
  </si>
  <si>
    <t>INVMAEUIK0217531</t>
  </si>
  <si>
    <t>MAEUIK0218546</t>
  </si>
  <si>
    <t>MRKU3842201</t>
  </si>
  <si>
    <t>037TSOS10000679463</t>
  </si>
  <si>
    <t>5.703841</t>
  </si>
  <si>
    <t>6.082756</t>
  </si>
  <si>
    <t>CN9148117</t>
  </si>
  <si>
    <t>635E</t>
  </si>
  <si>
    <t>INVMAEUIK0218546</t>
  </si>
  <si>
    <t>MAEUIK0218853</t>
  </si>
  <si>
    <t>MRKU6188033</t>
  </si>
  <si>
    <t>037TSOS10000680809</t>
  </si>
  <si>
    <t>JOHUA31</t>
  </si>
  <si>
    <t>1.98246</t>
  </si>
  <si>
    <t>2.113797</t>
  </si>
  <si>
    <t>CN9150822</t>
  </si>
  <si>
    <t>INVMAEUIK0218853</t>
  </si>
  <si>
    <t>MAEUIK0219167</t>
  </si>
  <si>
    <t>MRKU2247652</t>
  </si>
  <si>
    <t>037TSOS10000682164</t>
  </si>
  <si>
    <t>9.446886</t>
  </si>
  <si>
    <t>10.050411</t>
  </si>
  <si>
    <t>CN9057966</t>
  </si>
  <si>
    <t>INVMAEUIK0219167</t>
  </si>
  <si>
    <t>MAEUIK0218825</t>
  </si>
  <si>
    <t>HASU5055609</t>
  </si>
  <si>
    <t>258DTS10000199217</t>
  </si>
  <si>
    <t>50.019805</t>
  </si>
  <si>
    <t>53.96037415</t>
  </si>
  <si>
    <t>CN7978834</t>
  </si>
  <si>
    <t>INVMAEUIK0218825</t>
  </si>
  <si>
    <t>5.215098</t>
  </si>
  <si>
    <t>5.589599</t>
  </si>
  <si>
    <t>MAEUIK0216929</t>
  </si>
  <si>
    <t>TCKU1227936</t>
  </si>
  <si>
    <t>041TSOS10000270516</t>
  </si>
  <si>
    <t>25.37796</t>
  </si>
  <si>
    <t>26.990716</t>
  </si>
  <si>
    <t>ID1737614</t>
  </si>
  <si>
    <t>MERATUS JAYAWIJAYA</t>
  </si>
  <si>
    <t>INVMAEUIK0216929</t>
  </si>
  <si>
    <t>MAEUIK0218077</t>
  </si>
  <si>
    <t>MIEU3918816</t>
  </si>
  <si>
    <t>258DTS10000198535</t>
  </si>
  <si>
    <t>48.140406</t>
  </si>
  <si>
    <t>52.11062281</t>
  </si>
  <si>
    <t>CN7878795</t>
  </si>
  <si>
    <t>INVMAEUIK0218077</t>
  </si>
  <si>
    <t>7.108263</t>
  </si>
  <si>
    <t>7.70474842</t>
  </si>
  <si>
    <t>MAEUIK0218529</t>
  </si>
  <si>
    <t>MRKU3058273</t>
  </si>
  <si>
    <t>037TSOS10000679232</t>
  </si>
  <si>
    <t>0.870816</t>
  </si>
  <si>
    <t>0.96606</t>
  </si>
  <si>
    <t>CN8003325</t>
  </si>
  <si>
    <t>INVMAEUIK0218529</t>
  </si>
  <si>
    <t>6.12414</t>
  </si>
  <si>
    <t>6.664744</t>
  </si>
  <si>
    <t>7.382088</t>
  </si>
  <si>
    <t>8.009823</t>
  </si>
  <si>
    <t>MAEUIK0216866</t>
  </si>
  <si>
    <t>TCKU7795764</t>
  </si>
  <si>
    <t>037TSOS10000671058</t>
  </si>
  <si>
    <t>0.709392</t>
  </si>
  <si>
    <t>0.8154</t>
  </si>
  <si>
    <t>CN7884065</t>
  </si>
  <si>
    <t>INVMAEUIK0216866</t>
  </si>
  <si>
    <t>2.80516</t>
  </si>
  <si>
    <t>3.009737</t>
  </si>
  <si>
    <t>MAEUIK0217902</t>
  </si>
  <si>
    <t>TLLU6909322</t>
  </si>
  <si>
    <t>037TSOS10000676315</t>
  </si>
  <si>
    <t>7.358204</t>
  </si>
  <si>
    <t>7.835089</t>
  </si>
  <si>
    <t>CN9064830</t>
  </si>
  <si>
    <t>CORCOVADO</t>
  </si>
  <si>
    <t>634E</t>
  </si>
  <si>
    <t>INVMAEUIK0217902</t>
  </si>
  <si>
    <t>MAEUIK0216671</t>
  </si>
  <si>
    <t>MRSU6640737</t>
  </si>
  <si>
    <t>037TSOS10000670319</t>
  </si>
  <si>
    <t>16.809982</t>
  </si>
  <si>
    <t>18.055491</t>
  </si>
  <si>
    <t>CN8094901</t>
  </si>
  <si>
    <t>INVMAEUIK0216671</t>
  </si>
  <si>
    <t>MAEUIK0217736</t>
  </si>
  <si>
    <t>MSKU1949888</t>
  </si>
  <si>
    <t>258DTS10000198176</t>
  </si>
  <si>
    <t>40.544247</t>
  </si>
  <si>
    <t>43.629357</t>
  </si>
  <si>
    <t>CN7983916</t>
  </si>
  <si>
    <t>INVMAEUIK0217736</t>
  </si>
  <si>
    <t>13.686214</t>
  </si>
  <si>
    <t>14.817705</t>
  </si>
  <si>
    <t>MAEUIK0217373</t>
  </si>
  <si>
    <t>MRSU9433857</t>
  </si>
  <si>
    <t>258DTS10000197771</t>
  </si>
  <si>
    <t>53.877866</t>
  </si>
  <si>
    <t>58.07817</t>
  </si>
  <si>
    <t>CN7937041</t>
  </si>
  <si>
    <t>INVMAEUIK0217373</t>
  </si>
  <si>
    <t>MAEUIK0219759</t>
  </si>
  <si>
    <t>MIEU3971370</t>
  </si>
  <si>
    <t>258DTS10000200200</t>
  </si>
  <si>
    <t>11.251925</t>
  </si>
  <si>
    <t>12.10210754</t>
  </si>
  <si>
    <t>CN8003063</t>
  </si>
  <si>
    <t>INVMAEUIK0219759</t>
  </si>
  <si>
    <t>37.123434</t>
  </si>
  <si>
    <t>40.03551122</t>
  </si>
  <si>
    <t>MAEUIK0220243</t>
  </si>
  <si>
    <t>MRKU2715244</t>
  </si>
  <si>
    <t>258DTS10000200714</t>
  </si>
  <si>
    <t>8.376329</t>
  </si>
  <si>
    <t>9.02188479</t>
  </si>
  <si>
    <t>CN4421593</t>
  </si>
  <si>
    <t>INVMAEUIK0220243</t>
  </si>
  <si>
    <t>39.821279</t>
  </si>
  <si>
    <t>43.02983345</t>
  </si>
  <si>
    <t>MAEUIK0220276</t>
  </si>
  <si>
    <t>MRSU2805377</t>
  </si>
  <si>
    <t>258DTS10000200778</t>
  </si>
  <si>
    <t>46.062759</t>
  </si>
  <si>
    <t>49.8495584</t>
  </si>
  <si>
    <t>CN4909050</t>
  </si>
  <si>
    <t>INVMAEUIK0220276</t>
  </si>
  <si>
    <t>8.71888</t>
  </si>
  <si>
    <t>9.364472</t>
  </si>
  <si>
    <t>MAEUIK0220690</t>
  </si>
  <si>
    <t>MRSU2811261</t>
  </si>
  <si>
    <t>258DTS10000201120</t>
  </si>
  <si>
    <t>51.513104</t>
  </si>
  <si>
    <t>55.43145853</t>
  </si>
  <si>
    <t>CN4909048</t>
  </si>
  <si>
    <t>INVMAEUIK0220690</t>
  </si>
  <si>
    <t>3.97058</t>
  </si>
  <si>
    <t>4.260117</t>
  </si>
  <si>
    <t>PLISH7H42760</t>
  </si>
  <si>
    <t>KMTU9470169</t>
  </si>
  <si>
    <t>258DTS10000197672</t>
  </si>
  <si>
    <t>17.096277</t>
  </si>
  <si>
    <t>18.357057</t>
  </si>
  <si>
    <t>CF962273</t>
  </si>
  <si>
    <t>2623N</t>
  </si>
  <si>
    <t>INVPLISH7H42760</t>
  </si>
  <si>
    <t>30.99967</t>
  </si>
  <si>
    <t>33.43900945</t>
  </si>
  <si>
    <t>EGLV003601021369</t>
  </si>
  <si>
    <t>EMCU6403994</t>
  </si>
  <si>
    <t>012TSOS10000393420</t>
  </si>
  <si>
    <t>SHLIU93</t>
  </si>
  <si>
    <t>5.548624</t>
  </si>
  <si>
    <t>5.989842</t>
  </si>
  <si>
    <t>EMCCTD7575</t>
  </si>
  <si>
    <t>0297-022N</t>
  </si>
  <si>
    <t>INVEGLV003601021369</t>
  </si>
  <si>
    <t>MAEUIK0217106</t>
  </si>
  <si>
    <t>MRSU1278991</t>
  </si>
  <si>
    <t>258DTS10000197548</t>
  </si>
  <si>
    <t>11.530792</t>
  </si>
  <si>
    <t>12.46323696</t>
  </si>
  <si>
    <t>CN7969022</t>
  </si>
  <si>
    <t>634N</t>
  </si>
  <si>
    <t>INVMAEUIK0217106</t>
  </si>
  <si>
    <t>9.354069</t>
  </si>
  <si>
    <t>10.10751533</t>
  </si>
  <si>
    <t>F/C PLANT</t>
  </si>
  <si>
    <t>0.378726</t>
  </si>
  <si>
    <t>0.41460268</t>
  </si>
  <si>
    <t>MAEUIK0217716</t>
  </si>
  <si>
    <t>GCXU2525290</t>
  </si>
  <si>
    <t>258DTS10000198131</t>
  </si>
  <si>
    <t>9.548765</t>
  </si>
  <si>
    <t>10.35479581</t>
  </si>
  <si>
    <t>CN8037308</t>
  </si>
  <si>
    <t>INVMAEUIK0217716</t>
  </si>
  <si>
    <t>11.600902</t>
  </si>
  <si>
    <t>12.62153741</t>
  </si>
  <si>
    <t>MAEUIK0218280</t>
  </si>
  <si>
    <t>FFAU7339088</t>
  </si>
  <si>
    <t>258DTS10000198714</t>
  </si>
  <si>
    <t>17.273731</t>
  </si>
  <si>
    <t>18.54632792</t>
  </si>
  <si>
    <t>CN4420679</t>
  </si>
  <si>
    <t>INVMAEUIK0218280</t>
  </si>
  <si>
    <t>31.015887</t>
  </si>
  <si>
    <t>33.38117431</t>
  </si>
  <si>
    <t>MAEUIK0218852</t>
  </si>
  <si>
    <t>MRKU3265012</t>
  </si>
  <si>
    <t>037TSOS10000680803</t>
  </si>
  <si>
    <t>5.53553</t>
  </si>
  <si>
    <t>5.95966</t>
  </si>
  <si>
    <t>CN7965636</t>
  </si>
  <si>
    <t>INVMAEUIK0218852</t>
  </si>
  <si>
    <t>MAEUIK0219009</t>
  </si>
  <si>
    <t>UETU6954950</t>
  </si>
  <si>
    <t>258DTS10000199376</t>
  </si>
  <si>
    <t>9.166185</t>
  </si>
  <si>
    <t>9.87366746</t>
  </si>
  <si>
    <t>CN8097639</t>
  </si>
  <si>
    <t>INVMAEUIK0219009</t>
  </si>
  <si>
    <t>39.368702</t>
  </si>
  <si>
    <t>42.41234091</t>
  </si>
  <si>
    <t>MAEUIK0219223</t>
  </si>
  <si>
    <t>MRSU0374959</t>
  </si>
  <si>
    <t>258DTS10000199632</t>
  </si>
  <si>
    <t>7.940101</t>
  </si>
  <si>
    <t>8.60600785</t>
  </si>
  <si>
    <t>CN9769825</t>
  </si>
  <si>
    <t>INVMAEUIK0219223</t>
  </si>
  <si>
    <t>13.3342</t>
  </si>
  <si>
    <t>14.41738818</t>
  </si>
  <si>
    <t>MAEUIK0219226</t>
  </si>
  <si>
    <t>MIEU3960396</t>
  </si>
  <si>
    <t>258DTS10000199628</t>
  </si>
  <si>
    <t>9.164313</t>
  </si>
  <si>
    <t>9.88173986</t>
  </si>
  <si>
    <t>CN3563790</t>
  </si>
  <si>
    <t>INVMAEUIK0219226</t>
  </si>
  <si>
    <t>1.2234</t>
  </si>
  <si>
    <t>1.308678</t>
  </si>
  <si>
    <t>36.068296</t>
  </si>
  <si>
    <t>38.8146807</t>
  </si>
  <si>
    <t>1.89879</t>
  </si>
  <si>
    <t>2.042838</t>
  </si>
  <si>
    <t>MAEUIK0219823</t>
  </si>
  <si>
    <t>TCKU7855708</t>
  </si>
  <si>
    <t>258DTS10000200289</t>
  </si>
  <si>
    <t>21.731729</t>
  </si>
  <si>
    <t>23.46848301</t>
  </si>
  <si>
    <t>CN7971754</t>
  </si>
  <si>
    <t>INVMAEUIK0219823</t>
  </si>
  <si>
    <t>33.504735</t>
  </si>
  <si>
    <t>36.258891</t>
  </si>
  <si>
    <t>MAEUIK0220175</t>
  </si>
  <si>
    <t>MIEU3988290</t>
  </si>
  <si>
    <t>258DTS10000200573</t>
  </si>
  <si>
    <t>46.722256</t>
  </si>
  <si>
    <t>50.54288183</t>
  </si>
  <si>
    <t>CN8052735</t>
  </si>
  <si>
    <t>INVMAEUIK0220175</t>
  </si>
  <si>
    <t>7.96284</t>
  </si>
  <si>
    <t>8.58535291</t>
  </si>
  <si>
    <t>MAEUIK0220176</t>
  </si>
  <si>
    <t>MRKU6406726</t>
  </si>
  <si>
    <t>258DTS10000200567</t>
  </si>
  <si>
    <t>52.148217</t>
  </si>
  <si>
    <t>56.03377001</t>
  </si>
  <si>
    <t>CN7979020</t>
  </si>
  <si>
    <t>INVMAEUIK0220176</t>
  </si>
  <si>
    <t>2.787966</t>
  </si>
  <si>
    <t>3.03599811</t>
  </si>
  <si>
    <t>PLANT LAW</t>
  </si>
  <si>
    <t>MAEUIK0216687</t>
  </si>
  <si>
    <t>CAAU9159728</t>
  </si>
  <si>
    <t>258DTS10000197135</t>
  </si>
  <si>
    <t>16.509344</t>
  </si>
  <si>
    <t>17.71126953</t>
  </si>
  <si>
    <t>CN8105684</t>
  </si>
  <si>
    <t>INVMAEUIK0216687</t>
  </si>
  <si>
    <t>31.648939</t>
  </si>
  <si>
    <t>34.16246511</t>
  </si>
  <si>
    <t>MAEUIK0217256</t>
  </si>
  <si>
    <t>MRSU8702519</t>
  </si>
  <si>
    <t>258DTS10000197671</t>
  </si>
  <si>
    <t>17.273796</t>
  </si>
  <si>
    <t>18.49569254</t>
  </si>
  <si>
    <t>CN7937256</t>
  </si>
  <si>
    <t>INVMAEUIK0217256</t>
  </si>
  <si>
    <t>30.97551</t>
  </si>
  <si>
    <t>33.22749214</t>
  </si>
  <si>
    <t>MAEUIK0217554</t>
  </si>
  <si>
    <t>CAAU5954551</t>
  </si>
  <si>
    <t>258DTS10000197907</t>
  </si>
  <si>
    <t>47.310726</t>
  </si>
  <si>
    <t>51.07891817</t>
  </si>
  <si>
    <t>CN7980572</t>
  </si>
  <si>
    <t>INVMAEUIK0217554</t>
  </si>
  <si>
    <t>8.338744</t>
  </si>
  <si>
    <t>9.001931</t>
  </si>
  <si>
    <t>MAEUIK0217623</t>
  </si>
  <si>
    <t>SEKU4719552</t>
  </si>
  <si>
    <t>258DTS10000198026</t>
  </si>
  <si>
    <t>6.194589</t>
  </si>
  <si>
    <t>6.63919459</t>
  </si>
  <si>
    <t>CN7790488</t>
  </si>
  <si>
    <t>INVMAEUIK0217623</t>
  </si>
  <si>
    <t>41.897583</t>
  </si>
  <si>
    <t>45.18529847</t>
  </si>
  <si>
    <t>MAEUIK0220627</t>
  </si>
  <si>
    <t>MRSU9465052</t>
  </si>
  <si>
    <t>012TSOS10000399542</t>
  </si>
  <si>
    <t>58.121408</t>
  </si>
  <si>
    <t>62.493032</t>
  </si>
  <si>
    <t>CN8674947</t>
  </si>
  <si>
    <t>636N</t>
  </si>
  <si>
    <t>373-STO-S10000031020</t>
  </si>
  <si>
    <t>MAEUIK0220275</t>
  </si>
  <si>
    <t>MIEU3004750</t>
  </si>
  <si>
    <t>258DTS10000200776</t>
  </si>
  <si>
    <t>50.52465</t>
  </si>
  <si>
    <t>54.56145729</t>
  </si>
  <si>
    <t>CN8041361</t>
  </si>
  <si>
    <t>3.9398</t>
  </si>
  <si>
    <t>4.22062533</t>
  </si>
  <si>
    <t>MAEUIK0220867</t>
  </si>
  <si>
    <t>MIEU3882117</t>
  </si>
  <si>
    <t>258DTS10000201351</t>
  </si>
  <si>
    <t>51.799106</t>
  </si>
  <si>
    <t>55.5815554</t>
  </si>
  <si>
    <t>CN8041072</t>
  </si>
  <si>
    <t>3.520036</t>
  </si>
  <si>
    <t>3.78476467</t>
  </si>
  <si>
    <t>373-STO-S10000031023</t>
  </si>
  <si>
    <t>21072SUPECIS76085</t>
  </si>
  <si>
    <t>40483077</t>
  </si>
  <si>
    <t>OMAR shelv ut 60x25x40 galvanised AP</t>
  </si>
  <si>
    <t>80294961</t>
  </si>
  <si>
    <t>SATSUMAS plant stand 70 bamboo/white AP CN</t>
  </si>
  <si>
    <t>60581982</t>
  </si>
  <si>
    <t>MAMMUT children's chair in/outdoor/light blue AP</t>
  </si>
  <si>
    <t>40610914</t>
  </si>
  <si>
    <t>SOLFIBBLA dc/2pwc 200x230/50x80 grey whi/stripe AP</t>
  </si>
  <si>
    <t>20481017</t>
  </si>
  <si>
    <t>TOFTLUND rug 55x85 grey AP</t>
  </si>
  <si>
    <t>00528515</t>
  </si>
  <si>
    <t>SKOSTALL shoe org 11x19x27 black AP</t>
  </si>
  <si>
    <t>80515868</t>
  </si>
  <si>
    <t>SINNERLIG pend lmp 27 bamboo/handmade KR</t>
  </si>
  <si>
    <t>10573625</t>
  </si>
  <si>
    <t>GULDVÄVARE quilt blank 105 green/beige striped AP</t>
  </si>
  <si>
    <t>70621614</t>
  </si>
  <si>
    <t>BANDKNIPPE NEW dc/2pwc 240x220/50x80 whi/green AP</t>
  </si>
  <si>
    <t>10599734</t>
  </si>
  <si>
    <t>SCHERSMIN dc/2pwc 200x230/50x80 white AP</t>
  </si>
  <si>
    <t>70334934</t>
  </si>
  <si>
    <t>KUNGSFORS rail 56 stainless steel AP</t>
  </si>
  <si>
    <t>40360533</t>
  </si>
  <si>
    <t>DVALA N fitt sheet 80x200 white AP</t>
  </si>
  <si>
    <t>60488187</t>
  </si>
  <si>
    <t>SESAMFRÖN plant mister 25 cl clear glass AP</t>
  </si>
  <si>
    <t>90396780</t>
  </si>
  <si>
    <t>DVALA N fitt sheet 120x200 black AP</t>
  </si>
  <si>
    <t>00569134</t>
  </si>
  <si>
    <t>STARREKLINTE rug flatwov 120x180 natural/black AP</t>
  </si>
  <si>
    <t>90622090</t>
  </si>
  <si>
    <t>FRÖTORP cff tbl 88 whi chrome-plated/whi glass AP</t>
  </si>
  <si>
    <t>10573753</t>
  </si>
  <si>
    <t>GULDVÄVARE bib green/white 2-p AP</t>
  </si>
  <si>
    <t>20618242</t>
  </si>
  <si>
    <t>EKOLN toil brsh dark yellow AP</t>
  </si>
  <si>
    <t>40348065</t>
  </si>
  <si>
    <t>SMARRA box w lid 30x30x23 natural AP</t>
  </si>
  <si>
    <t>30614955</t>
  </si>
  <si>
    <t>GULDSPETT art flower 50 paper/Rose white AP</t>
  </si>
  <si>
    <t>00349024</t>
  </si>
  <si>
    <t>UNDVIKA corner bumper white 8-p AP</t>
  </si>
  <si>
    <t>80652520</t>
  </si>
  <si>
    <t>TRÄNNÖ stool black/pine AP</t>
  </si>
  <si>
    <t>40590794</t>
  </si>
  <si>
    <t>SAMLA N clip lock f box 55/130 l black 4-p AP</t>
  </si>
  <si>
    <t>10167867</t>
  </si>
  <si>
    <t>PYSSLA N bead shape s4 mixed colours AP CN</t>
  </si>
  <si>
    <t>30293723</t>
  </si>
  <si>
    <t>LOTE chest/3 drw 55x36x62 white AP JP</t>
  </si>
  <si>
    <t>10581989</t>
  </si>
  <si>
    <t>MAMMUT children's chair in/outdoor/lilac AP</t>
  </si>
  <si>
    <t>60615227</t>
  </si>
  <si>
    <t>FEJKA N artifi ptt plant 12 in/out hanging/fern AP</t>
  </si>
  <si>
    <t>20334620</t>
  </si>
  <si>
    <t>EKET connection fitt 12-p AP</t>
  </si>
  <si>
    <t>10598975</t>
  </si>
  <si>
    <t>GREJSIMOJS children's stool wood/orange AP</t>
  </si>
  <si>
    <t>10504566</t>
  </si>
  <si>
    <t>BARLAST table lamp 31 black/white KR</t>
  </si>
  <si>
    <t>80618569</t>
  </si>
  <si>
    <t>RÖDSPÄTTA tea towel 45x60 white 10-p AP</t>
  </si>
  <si>
    <t>40290371</t>
  </si>
  <si>
    <t>SKUBB box 31x55x33 white 3-p AP CN</t>
  </si>
  <si>
    <t>30581993</t>
  </si>
  <si>
    <t>MAMMUT children's table 77x55 in/outdoor/bgreen AP</t>
  </si>
  <si>
    <t>10219282</t>
  </si>
  <si>
    <t>DRÖNA box 33x38x33 black AP CN</t>
  </si>
  <si>
    <t>90572410</t>
  </si>
  <si>
    <t>GRÖNFINK bib green/yellow 2-p AP</t>
  </si>
  <si>
    <t>40383817</t>
  </si>
  <si>
    <t>NORDLI N top+plnth 40x47 white AP</t>
  </si>
  <si>
    <t>70541325</t>
  </si>
  <si>
    <t>ORMANÄS lghtng strp 4m smart wrlss dim CWS KR</t>
  </si>
  <si>
    <t>80585427</t>
  </si>
  <si>
    <t>EKTANDVINGE dc/pwc 150x200/50x80 gry-grn wh/chk AP</t>
  </si>
  <si>
    <t>50614285</t>
  </si>
  <si>
    <t>DVÄRGHÖK sc cn gls lid 50hr Fig leaf blue/lye JPKR</t>
  </si>
  <si>
    <t>60556690</t>
  </si>
  <si>
    <t>TRIXIG tool s15 AP</t>
  </si>
  <si>
    <t>70631929</t>
  </si>
  <si>
    <t>HÖSTAGILLE 2026 place mat 45x35 patterned/multi AP</t>
  </si>
  <si>
    <t>10550110</t>
  </si>
  <si>
    <t>RÖDALM frame 61x91 birch effect AP</t>
  </si>
  <si>
    <t>20579698</t>
  </si>
  <si>
    <t>GULVIAL hand towel 40x70 turquoise AP</t>
  </si>
  <si>
    <t>70625891</t>
  </si>
  <si>
    <t>SANELA N cushion cvr 40x58 dark blue AP</t>
  </si>
  <si>
    <t>80604708</t>
  </si>
  <si>
    <t>SVARTPOPPEL cushion cvr 65x65 anthracite AP</t>
  </si>
  <si>
    <t>30486415</t>
  </si>
  <si>
    <t>UPPDATERA cutlery tray 52x50 light bamboo AP</t>
  </si>
  <si>
    <t>20600586</t>
  </si>
  <si>
    <t>DOFTAKLEJA dc/2pwc 200x230/50x80 dblue/lbrn AP</t>
  </si>
  <si>
    <t>10318654</t>
  </si>
  <si>
    <t>ÄNGSLILJA dc/2pwc 200x230/50x80 grey AP JP</t>
  </si>
  <si>
    <t>22121SUPUE068160</t>
  </si>
  <si>
    <t>22121SUPUE068159</t>
  </si>
  <si>
    <t>30609807</t>
  </si>
  <si>
    <t>FÄRGKLAR plate 26 matt light grey AP</t>
  </si>
  <si>
    <t>60600749</t>
  </si>
  <si>
    <t>GLADELIG bowl 11 grey AP</t>
  </si>
  <si>
    <t>30323305</t>
  </si>
  <si>
    <t>VARDAGEN meas jug 0.5 l glass AP JP</t>
  </si>
  <si>
    <t>40511527</t>
  </si>
  <si>
    <t>ENVÄLDIG insulated travel mug 35 cl stnls/blk AP</t>
  </si>
  <si>
    <t>40555192</t>
  </si>
  <si>
    <t>FINMAT cooking tweezers 32 stainless steel AP</t>
  </si>
  <si>
    <t>MAEUIK0220583</t>
  </si>
  <si>
    <t>MRSU6552180</t>
  </si>
  <si>
    <t>037TSOS10000690205</t>
  </si>
  <si>
    <t>5.441181</t>
  </si>
  <si>
    <t>5.792897</t>
  </si>
  <si>
    <t>CN6555120</t>
  </si>
  <si>
    <t>637E</t>
  </si>
  <si>
    <t>MAEUIK0220980</t>
  </si>
  <si>
    <t>CAAU5980289</t>
  </si>
  <si>
    <t>037TSOS10000692070</t>
  </si>
  <si>
    <t>6.568349</t>
  </si>
  <si>
    <t>6.98245</t>
  </si>
  <si>
    <t>CN6570542</t>
  </si>
  <si>
    <t>MAEUIK0221175</t>
  </si>
  <si>
    <t>MRSU9544784</t>
  </si>
  <si>
    <t>037TSOS10000692821</t>
  </si>
  <si>
    <t>7.554486</t>
  </si>
  <si>
    <t>8.050364</t>
  </si>
  <si>
    <t>INVMAEUIK0220627</t>
  </si>
  <si>
    <t>MAEUIK0221074</t>
  </si>
  <si>
    <t>MIEU4007795</t>
  </si>
  <si>
    <t>258DT260828726987</t>
  </si>
  <si>
    <t>258DTS10000201496</t>
  </si>
  <si>
    <t>50.572844</t>
  </si>
  <si>
    <t>54.43206636</t>
  </si>
  <si>
    <t>CN7995161</t>
  </si>
  <si>
    <t>637N</t>
  </si>
  <si>
    <t>277DT260828726988</t>
  </si>
  <si>
    <t>5.032128</t>
  </si>
  <si>
    <t>5.433269</t>
  </si>
  <si>
    <t>MAEUIK0221457</t>
  </si>
  <si>
    <t>MRSU3821583</t>
  </si>
  <si>
    <t>258DT260901726139</t>
  </si>
  <si>
    <t>258DTS10000201881</t>
  </si>
  <si>
    <t>42.048568</t>
  </si>
  <si>
    <t>45.52277501</t>
  </si>
  <si>
    <t>CN8093612</t>
  </si>
  <si>
    <t>277DT260901726140</t>
  </si>
  <si>
    <t>12.864091</t>
  </si>
  <si>
    <t>13.866124</t>
  </si>
  <si>
    <t>INVMAEUIK0220275</t>
  </si>
  <si>
    <t>INVMAEUIK0220867</t>
  </si>
  <si>
    <t>00597071</t>
  </si>
  <si>
    <t>VIGGSÖ lounge chr out foldable dark grey AP</t>
  </si>
  <si>
    <t>30494142</t>
  </si>
  <si>
    <t>RUNNEN N edging strip out floor deck dgrey 4-p AP</t>
  </si>
  <si>
    <t>30621828</t>
  </si>
  <si>
    <t>SANDKÖRSBÄR plant pot 19 in/outdoor/beige AP</t>
  </si>
  <si>
    <t>10342630</t>
  </si>
  <si>
    <t>LILLREVET sngl-spray handshwr white AP</t>
  </si>
  <si>
    <t>30357786</t>
  </si>
  <si>
    <t>UTTER children's stool in/outdoor/white AP</t>
  </si>
  <si>
    <t>10564485</t>
  </si>
  <si>
    <t>SANDBI play mat 100x100 Scandinavian nature/mlt AP</t>
  </si>
  <si>
    <t>20460406</t>
  </si>
  <si>
    <t>LOBERGET seat shll f jr chr white AP</t>
  </si>
  <si>
    <t>90354271</t>
  </si>
  <si>
    <t>MICKE add-on unit high 105x65 white AP</t>
  </si>
  <si>
    <t>50618561</t>
  </si>
  <si>
    <t>IKEA PS 2026 vase 22 glass/green/white AP</t>
  </si>
  <si>
    <t>90584620</t>
  </si>
  <si>
    <t>FRIDANS blck-out rllr blnd 200x195 white KR</t>
  </si>
  <si>
    <t>20419983</t>
  </si>
  <si>
    <t>ALEFJÄLL office chr Grann golden-brown AP</t>
  </si>
  <si>
    <t>70357275</t>
  </si>
  <si>
    <t>DVALA N fitt sheet 150x200 black AP</t>
  </si>
  <si>
    <t>50591137</t>
  </si>
  <si>
    <t>SANELA NN cushion cvr 65x65 light beige AP</t>
  </si>
  <si>
    <t>30608742</t>
  </si>
  <si>
    <t>HÖKGÖK scntd cndl in glss 12hr Pink fl pl pnk JPKR</t>
  </si>
  <si>
    <t>10431315</t>
  </si>
  <si>
    <t>JONAXEL shelv ut 25x51x70 white AP</t>
  </si>
  <si>
    <t>10577647</t>
  </si>
  <si>
    <t>HOTELLRUM rug high pile 133x195 blue/green yel AP</t>
  </si>
  <si>
    <t>80343706</t>
  </si>
  <si>
    <t>NATTJASMIN fitt sheet 150x200 white AP</t>
  </si>
  <si>
    <t>50597498</t>
  </si>
  <si>
    <t>HUSET N dollhouse furntr a figrs lvrm/ktchn mlt AP</t>
  </si>
  <si>
    <t>80531359</t>
  </si>
  <si>
    <t>VALLASÅN hand towel 40x70 light green AP</t>
  </si>
  <si>
    <t>50632859</t>
  </si>
  <si>
    <t>SLÅNHÖSTMAL dc/2pwc 200x230/50x80 lpi dred/stri AP</t>
  </si>
  <si>
    <t>00474536</t>
  </si>
  <si>
    <t>FÖRUT pend/ceil lamp hook AP</t>
  </si>
  <si>
    <t>70597708</t>
  </si>
  <si>
    <t>STENFRÖ sheer curtain 1 pc 300x250 whi/ht AP</t>
  </si>
  <si>
    <t>70499350</t>
  </si>
  <si>
    <t>NOLLÅTTA alarm clock white AP</t>
  </si>
  <si>
    <t>80482052</t>
  </si>
  <si>
    <t>OLSERÖD side tbl 53x50 anthracite/bi eff dyel AP</t>
  </si>
  <si>
    <t>17596SUPECIS43000</t>
  </si>
  <si>
    <t>10608823</t>
  </si>
  <si>
    <t>SPELBREDD seat shell w hgh bck Gunnared beige AP</t>
  </si>
  <si>
    <t>90576738</t>
  </si>
  <si>
    <t>ISRANUNKEL ergo pllw multi position 41x71 AP</t>
  </si>
  <si>
    <t>20531654</t>
  </si>
  <si>
    <t>BERGLÄRKA ufrm f tbl top 100 AP</t>
  </si>
  <si>
    <t>50186091</t>
  </si>
  <si>
    <t>PRICKIG microwave lid 26 grey AP JP</t>
  </si>
  <si>
    <t>40174215</t>
  </si>
  <si>
    <t>FANTASTISK paper napkin 40x40 white 100-p AP JP</t>
  </si>
  <si>
    <t>INVMAEUIK0220583</t>
  </si>
  <si>
    <t>INVMAEUIK0220980</t>
  </si>
  <si>
    <t>INVMAEUIK0221175</t>
  </si>
  <si>
    <t>INVMAEUIK0221074</t>
  </si>
  <si>
    <t>INVMAEUIK0221457</t>
  </si>
  <si>
    <t>80488068</t>
  </si>
  <si>
    <t>FÖRNUFTIG air purifier 31x45 black KR</t>
  </si>
  <si>
    <t>50577645</t>
  </si>
  <si>
    <t>HOTELLRUM rug high pile 160x230 blue/green yel AP</t>
  </si>
  <si>
    <t>70636903</t>
  </si>
  <si>
    <t>SPJUTSÖ umbrella with cover/multicolour AP</t>
  </si>
  <si>
    <t>50629772</t>
  </si>
  <si>
    <t>ÄNGSFRÄKEN N chr pad 36 black/in/outdoor AP</t>
  </si>
  <si>
    <t>80569521</t>
  </si>
  <si>
    <t>BLÅSKATA rug 105x160 black/grey AP</t>
  </si>
  <si>
    <t>80580811</t>
  </si>
  <si>
    <t>DRÖNA N box 33x38x33 blue AP</t>
  </si>
  <si>
    <t>20614989</t>
  </si>
  <si>
    <t>GULLSTRÅLE bdsprd 150x250 grey-green AP</t>
  </si>
  <si>
    <t>40424790</t>
  </si>
  <si>
    <t>NYMÅNE ceil spot w 1 spot white KR</t>
  </si>
  <si>
    <t>00605429</t>
  </si>
  <si>
    <t>SANDSBERG chr red-brown AP</t>
  </si>
  <si>
    <t>30631219</t>
  </si>
  <si>
    <t>FEJKA 2026 art pt pl 12 in/out/heather lilac AP</t>
  </si>
  <si>
    <t>70179886</t>
  </si>
  <si>
    <t>SKUBB stor w 9 comp 22x34x120 white AP CN</t>
  </si>
  <si>
    <t>60290624</t>
  </si>
  <si>
    <t>HOPPVALS cellular blind 100x155 white AP JP</t>
  </si>
  <si>
    <t>20612787</t>
  </si>
  <si>
    <t>SKATGÅS LED tealight kit w charg tray whi 12-p KR</t>
  </si>
  <si>
    <t>50476364</t>
  </si>
  <si>
    <t>RINNIG oven glove grey AP</t>
  </si>
  <si>
    <t>60621431</t>
  </si>
  <si>
    <t>PÄRLSLINKE waste bin 3 l black AP</t>
  </si>
  <si>
    <t>80611940</t>
  </si>
  <si>
    <t>DOFTRIPS vase s3 mixed colours AP</t>
  </si>
  <si>
    <t>10632494</t>
  </si>
  <si>
    <t>ÄNGSLILJA dc/pwc 150x200/50x80 light brown AP</t>
  </si>
  <si>
    <t>10621612</t>
  </si>
  <si>
    <t>BANDKNIPPE NEW dc/2pwc 200x230/50x80 whi/green AP</t>
  </si>
  <si>
    <t>20623941</t>
  </si>
  <si>
    <t>DUNFLÄTA magn crtn tieb off-white/tassel 2-p AP</t>
  </si>
  <si>
    <t>00544233</t>
  </si>
  <si>
    <t>SOLFÅGEL coloured pencil mixed colours 24-p AP</t>
  </si>
  <si>
    <t>60613695</t>
  </si>
  <si>
    <t>LUDDHAGTORN N show curtain 180x200 pink AP</t>
  </si>
  <si>
    <t>20428652</t>
  </si>
  <si>
    <t>NYMÅNE wll lmp dbl wired-in white KR</t>
  </si>
  <si>
    <t>10342748</t>
  </si>
  <si>
    <t>ULLVIDE pwc 50x80 white AP JP</t>
  </si>
  <si>
    <t>20603245</t>
  </si>
  <si>
    <t>SANDLÖPARE dvt cvr+pwc 150x200/50x80 ye/savanna AP</t>
  </si>
  <si>
    <t>30499130</t>
  </si>
  <si>
    <t>NOLLNING clock/thermo/alarm 18x8 white LVM AP</t>
  </si>
  <si>
    <t>22075SUP2600118866</t>
  </si>
  <si>
    <t>23273SUP3647962</t>
  </si>
  <si>
    <t>60452640</t>
  </si>
  <si>
    <t>VARDAGEN jar w tap 5.0 l AP</t>
  </si>
  <si>
    <t>80602479</t>
  </si>
  <si>
    <t>VARDAGEN cook's knife 20 stainless steel/walnut AP</t>
  </si>
  <si>
    <t>90582094</t>
  </si>
  <si>
    <t>TROFAST N stor box 20x30x10 white AP</t>
  </si>
  <si>
    <t>30534398</t>
  </si>
  <si>
    <t>HÖVAGN box with lid 8x12x7 2-p AP</t>
  </si>
  <si>
    <t>50534383</t>
  </si>
  <si>
    <t>KACKLA extndbl box 25-38x9 white AP</t>
  </si>
  <si>
    <t>CN6570450</t>
  </si>
  <si>
    <t>373-STO-S10000031036</t>
  </si>
  <si>
    <t>MAEUIK0220463</t>
  </si>
  <si>
    <t>MRSU1256009</t>
  </si>
  <si>
    <t>294DT260825726436</t>
  </si>
  <si>
    <t>258DTS10000200883</t>
  </si>
  <si>
    <t>9.7952</t>
  </si>
  <si>
    <t>10.57484006</t>
  </si>
  <si>
    <t>CN8120629</t>
  </si>
  <si>
    <t>319DT260825726437</t>
  </si>
  <si>
    <t>11.264752</t>
  </si>
  <si>
    <t>12.235586</t>
  </si>
  <si>
    <t>373-STO-S10000031032</t>
  </si>
  <si>
    <t>373-STO-S10000031041</t>
  </si>
  <si>
    <t>90461681</t>
  </si>
  <si>
    <t>LUDDROS pillow protector 50x80 AP</t>
  </si>
  <si>
    <t>50387141</t>
  </si>
  <si>
    <t>KNOPPÄNG frame 50x70 black AP</t>
  </si>
  <si>
    <t>00622787</t>
  </si>
  <si>
    <t>IKEA PS 2026 table clock 38 red LVM AP</t>
  </si>
  <si>
    <t>60630336</t>
  </si>
  <si>
    <t>GULDSPETT art flower 50 paper/marigold orange AP</t>
  </si>
  <si>
    <t>30591015</t>
  </si>
  <si>
    <t>BAGIS NN coat-hanger child mixed colours 8-p AP</t>
  </si>
  <si>
    <t>00586609</t>
  </si>
  <si>
    <t>MAMMUT children's stool in/outdoor/light green AP</t>
  </si>
  <si>
    <t>00550101</t>
  </si>
  <si>
    <t>RÖDALM frame 40x50 walnut effect AP</t>
  </si>
  <si>
    <t>40572422</t>
  </si>
  <si>
    <t>ÅSVEIG cushion cvr 40x58 grey-brown AP</t>
  </si>
  <si>
    <t>70561016</t>
  </si>
  <si>
    <t>HAVSTOBIS food cntnr w lid s5 transp/multi AP</t>
  </si>
  <si>
    <t>30613017</t>
  </si>
  <si>
    <t>FINFÖRDELA bendablechoppbrd28x36dgrn/greytur 2p AP</t>
  </si>
  <si>
    <t>PLISH7H45731</t>
  </si>
  <si>
    <t>SKHU6551370</t>
  </si>
  <si>
    <t>037TSOS10000677475</t>
  </si>
  <si>
    <t>4.026587</t>
  </si>
  <si>
    <t>4.278408</t>
  </si>
  <si>
    <t>SAWASDEE SIRIUS</t>
  </si>
  <si>
    <t>2624E</t>
  </si>
  <si>
    <t>INVMAEUIK0220463</t>
  </si>
  <si>
    <t>373-STO-S10000031050</t>
  </si>
  <si>
    <t>373-STO-S10000031063</t>
  </si>
  <si>
    <t>373-STO-S10000031062</t>
  </si>
  <si>
    <t>373-STO-S10000031051</t>
  </si>
  <si>
    <t>157차 FOOD CONTACT /전량수리-26.09.10</t>
  </si>
  <si>
    <t>21072SUPECIS76215</t>
  </si>
  <si>
    <t>00550097</t>
  </si>
  <si>
    <t>RÖDALM frame 40x50 black AP</t>
  </si>
  <si>
    <t>70621826</t>
  </si>
  <si>
    <t>SANDKÖRSBÄR plant pot 12 in/outdoor/beige AP</t>
  </si>
  <si>
    <t>20624356</t>
  </si>
  <si>
    <t>DAKSJUS plant stand 28 bamboo AP</t>
  </si>
  <si>
    <t>10610958</t>
  </si>
  <si>
    <t>SOLFIBBLA dc/pwc 150x200/50x80 whi bei/stripe AP</t>
  </si>
  <si>
    <t>70636564</t>
  </si>
  <si>
    <t>TANDLUNDFLY duo roller blind 100x250 AP</t>
  </si>
  <si>
    <t>10632093</t>
  </si>
  <si>
    <t>STEGESUND toil roll stnd light bamboo AP</t>
  </si>
  <si>
    <t>00595487</t>
  </si>
  <si>
    <t>SPELBREDD star base w 5 lgs+cstrs white AP</t>
  </si>
  <si>
    <t>60498389</t>
  </si>
  <si>
    <t>LÅNESPELARE gaming mouse pad 90x40 black AP</t>
  </si>
  <si>
    <t>20641346</t>
  </si>
  <si>
    <t>HONUNGSPALM N plant pot 19 in/outdoor/green AP</t>
  </si>
  <si>
    <t>10595793</t>
  </si>
  <si>
    <t>HONUNGSPALM plant pot 9 in/outdoor/beige AP</t>
  </si>
  <si>
    <t>70577630</t>
  </si>
  <si>
    <t>RÖKFRI ceil spot w 1 spot aluminium-colour KR</t>
  </si>
  <si>
    <t>10567733</t>
  </si>
  <si>
    <t>SLIBB hang clths peg green 8-p AP</t>
  </si>
  <si>
    <t>90439322</t>
  </si>
  <si>
    <t>ALSTERN bath mat 40x60 white AP</t>
  </si>
  <si>
    <t>30471027</t>
  </si>
  <si>
    <t>LÖNSÅS mirror 21x30 AP</t>
  </si>
  <si>
    <t>22715SUPECIS75024</t>
  </si>
  <si>
    <t>70429946</t>
  </si>
  <si>
    <t>OFTAST rice bowl 11 white AP</t>
  </si>
  <si>
    <t>30582737</t>
  </si>
  <si>
    <t>IKEA 365+ frying pan 28 stainless steel AP</t>
  </si>
  <si>
    <t>00597523</t>
  </si>
  <si>
    <t>SKEDSTÖR mug 30 cl mix col yellow/blk 2-p AP</t>
  </si>
  <si>
    <t>22280SUP264272601CP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</si>
  <si>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</si>
  <si>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</si>
  <si>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</si>
  <si>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</si>
  <si>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</si>
  <si>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</si>
  <si>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</si>
  <si>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</si>
  <si>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</si>
  <si>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</si>
  <si>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</si>
  <si>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</si>
  <si>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</si>
  <si>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</si>
  <si>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</si>
  <si>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</si>
  <si>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</si>
  <si>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</si>
  <si>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</si>
  <si>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</si>
  <si>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</si>
  <si>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</si>
  <si>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</si>
  <si>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</si>
  <si>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</si>
  <si>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</si>
  <si>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</si>
  <si>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</si>
  <si>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</si>
  <si>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</si>
  <si>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</si>
  <si>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</si>
  <si>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</si>
  <si>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</si>
  <si>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MAEUIK0221730</t>
  </si>
  <si>
    <t>MIEU4055031</t>
  </si>
  <si>
    <t>037TSOS10000696475</t>
  </si>
  <si>
    <t>5.917482</t>
  </si>
  <si>
    <t>6.312573</t>
  </si>
  <si>
    <t>CN9083167</t>
  </si>
  <si>
    <t>638E</t>
  </si>
  <si>
    <t>MAEUIK0222136</t>
  </si>
  <si>
    <t>GATU8481853</t>
  </si>
  <si>
    <t>037TSOS10000698570</t>
  </si>
  <si>
    <t>4.539972</t>
  </si>
  <si>
    <t>4.841639</t>
  </si>
  <si>
    <t>CN8989674</t>
  </si>
  <si>
    <t>137376</t>
  </si>
  <si>
    <t>INVPLISH7H45731</t>
  </si>
  <si>
    <t>373-STO-S10000031087</t>
  </si>
  <si>
    <t>373-STO-S10000031119</t>
  </si>
  <si>
    <t>373-STO-S10000031081</t>
  </si>
  <si>
    <t>검사</t>
  </si>
  <si>
    <t>373-STO-S10000031100</t>
  </si>
  <si>
    <t>373-STO-S10000031101</t>
  </si>
  <si>
    <t>373-STO-S10000031067</t>
  </si>
  <si>
    <t>70583400</t>
  </si>
  <si>
    <t>VILDPERSILJA crt 1pr 145x250 whi mlti/flrl p/ht AP</t>
  </si>
  <si>
    <t>30585967</t>
  </si>
  <si>
    <t>VECKLARFLY ven blind 120x155 aluminium AP</t>
  </si>
  <si>
    <t>00486426</t>
  </si>
  <si>
    <t>UPPDATERA cutlery caddy 12x12 anthracite AP</t>
  </si>
  <si>
    <t>80493668</t>
  </si>
  <si>
    <t>MÅLA modelling dough mixed colours 6-p AP</t>
  </si>
  <si>
    <t>30429566</t>
  </si>
  <si>
    <t>NEREBY container natural AP</t>
  </si>
  <si>
    <t>10603217</t>
  </si>
  <si>
    <t>SANDLÖPARE storage trunk 50x35x15 light brown AP</t>
  </si>
  <si>
    <t>00575564</t>
  </si>
  <si>
    <t>SUNDSÖ table 65x65 off-white outdoor AP</t>
  </si>
  <si>
    <t>60590793</t>
  </si>
  <si>
    <t>SAMLA N clip lock f box 45/65 l black 4-p AP</t>
  </si>
  <si>
    <t>90623947</t>
  </si>
  <si>
    <t>TRUBBRYUM magn crtn tieb beige/beech 2-p AP</t>
  </si>
  <si>
    <t>90489538</t>
  </si>
  <si>
    <t>BEKRÄFTA curtain rod set 120-210 cm 19 mm black AP</t>
  </si>
  <si>
    <t>60503885</t>
  </si>
  <si>
    <t>YUPPIENALLE hldr f mbl phn grey AP</t>
  </si>
  <si>
    <t>50501052</t>
  </si>
  <si>
    <t>ULLERSLEV sheepskin 85 off-white AP</t>
  </si>
  <si>
    <t>50632091</t>
  </si>
  <si>
    <t>STEGESUND sp disp light bamboo AP</t>
  </si>
  <si>
    <t>40568547</t>
  </si>
  <si>
    <t>KUGGIS lid 13x18 white AP</t>
  </si>
  <si>
    <t>60607326</t>
  </si>
  <si>
    <t>IKEA 365+ food storage bskt 30x20x11 met/whi JPKR</t>
  </si>
  <si>
    <t>30569929</t>
  </si>
  <si>
    <t>SKÅDIS elastic cord black 3-p AP</t>
  </si>
  <si>
    <t>10540480</t>
  </si>
  <si>
    <t>DEKAD alarm clock 10 black LVM AP</t>
  </si>
  <si>
    <t>80300448</t>
  </si>
  <si>
    <t>FISKBO frame 13x18 black AP CN</t>
  </si>
  <si>
    <t>60625132</t>
  </si>
  <si>
    <t>LEN fitt sheet cot 60x120 whi bear pattern 2-p AP</t>
  </si>
  <si>
    <t>80297422</t>
  </si>
  <si>
    <t>FISKBO frame 13x18 white AP CN</t>
  </si>
  <si>
    <t>10382433</t>
  </si>
  <si>
    <t>JAKOBSBYN pend lampshade 30 clear glass AP CN</t>
  </si>
  <si>
    <t>10561991</t>
  </si>
  <si>
    <t>VATTENKRASSE plant mister 35 cl ivory/gld-col AP</t>
  </si>
  <si>
    <t>10612066</t>
  </si>
  <si>
    <t>BROKGLIM bath towel 70x140 pink AP</t>
  </si>
  <si>
    <t>60623406</t>
  </si>
  <si>
    <t>PÄRLHÄGG vase 22 beige AP</t>
  </si>
  <si>
    <t>00614792</t>
  </si>
  <si>
    <t>LUNNOM N3 E26 150 lm globe clear KR</t>
  </si>
  <si>
    <t>10619082</t>
  </si>
  <si>
    <t>KAJPLATS GU10 575 lm smart WS KR</t>
  </si>
  <si>
    <t>00612043</t>
  </si>
  <si>
    <t>BROKGLIM wshclth 30x30 white AP</t>
  </si>
  <si>
    <t>40638593</t>
  </si>
  <si>
    <t>LEN dvt cvr 1 pwcs f ct 110x125/35x55 w yl/strp AP</t>
  </si>
  <si>
    <t>20607031</t>
  </si>
  <si>
    <t>BLADFÅGEL tealt hldr 3 clear glass AP</t>
  </si>
  <si>
    <t>60632095</t>
  </si>
  <si>
    <t>STEGESUND tthb hldr light bamboo AP</t>
  </si>
  <si>
    <t>10641525</t>
  </si>
  <si>
    <t>BILRESA remote control white smart/scroll wheel KR</t>
  </si>
  <si>
    <t>10637670</t>
  </si>
  <si>
    <t>SMYCKA artgarl 1.5 m in/out/Baby’s breath gn/wh AP</t>
  </si>
  <si>
    <t>70536461</t>
  </si>
  <si>
    <t>LÄKTRA LED work lamp dimmable white WS KR</t>
  </si>
  <si>
    <t>40644283</t>
  </si>
  <si>
    <t>UPPSNOFSAD lid 35x25 transparent white AP</t>
  </si>
  <si>
    <t>10282947</t>
  </si>
  <si>
    <t>IKEA 365+ coaster 10 cork 2-p AP JP</t>
  </si>
  <si>
    <t>80614972</t>
  </si>
  <si>
    <t>GULDSPETT art flower 35 pap/Ranunculus asst col AP</t>
  </si>
  <si>
    <t>20582714</t>
  </si>
  <si>
    <t>RÖDFLIK desk lamp grey-green KR</t>
  </si>
  <si>
    <t>80420243</t>
  </si>
  <si>
    <t>TOFTLUND rug 55x85 white AP</t>
  </si>
  <si>
    <t>20582752</t>
  </si>
  <si>
    <t>RÖDFLIK pend lmp grey-green KR</t>
  </si>
  <si>
    <t>80526876</t>
  </si>
  <si>
    <t>KUGGIS stor box w lid 32x32x32 white AP</t>
  </si>
  <si>
    <t>10609083</t>
  </si>
  <si>
    <t>TURTURDUVA candle dish 45x17 off-white AP</t>
  </si>
  <si>
    <t>70483882</t>
  </si>
  <si>
    <t>BAGGEBO cabinet w door 50x30x80 white AP</t>
  </si>
  <si>
    <t>80503912</t>
  </si>
  <si>
    <t>HEMMAFIXARE storage c 34x51x28 fab stri/wht/gry AP</t>
  </si>
  <si>
    <t>70493956</t>
  </si>
  <si>
    <t>TORALD desk 65x40 white AP</t>
  </si>
  <si>
    <t>70622798</t>
  </si>
  <si>
    <t>IKEA PS 2026 wall deco 25 green AP</t>
  </si>
  <si>
    <t>70493517</t>
  </si>
  <si>
    <t>TILLREDA prtble induction hob 1 zone white KR</t>
  </si>
  <si>
    <t>70637610</t>
  </si>
  <si>
    <t>TVÅLSJÖN bthr s3 blue AP</t>
  </si>
  <si>
    <t>70526570</t>
  </si>
  <si>
    <t>BLÅVINGAD LED wll lmp turtle/green KR</t>
  </si>
  <si>
    <t>70638841</t>
  </si>
  <si>
    <t>IKEA PS 1995 clock 14 black LVM AP</t>
  </si>
  <si>
    <t>10577690</t>
  </si>
  <si>
    <t>TÄRNABY table lamp 25 dimmable dark yellow KR</t>
  </si>
  <si>
    <t>30400308</t>
  </si>
  <si>
    <t>TISKEN crnr shlf ut w suction cup white AP</t>
  </si>
  <si>
    <t>10355439</t>
  </si>
  <si>
    <t>TERTIAL work lamp dark grey KR</t>
  </si>
  <si>
    <t>90600875</t>
  </si>
  <si>
    <t>FEJKA N artifi pttd plant 19 in/out eucal AP</t>
  </si>
  <si>
    <t>60631350</t>
  </si>
  <si>
    <t>KUSTFYR 2026 throw 130x170 ghost pattern bk/wh AP</t>
  </si>
  <si>
    <t>80633268</t>
  </si>
  <si>
    <t>STRÅLA 2026 LED lighting chain bop leaf/gld-col KR</t>
  </si>
  <si>
    <t>22121SUPUE068623</t>
  </si>
  <si>
    <t>19720SUPECIS214232</t>
  </si>
  <si>
    <t>10359201</t>
  </si>
  <si>
    <t>IKEA 365+ food cntnr 1.0 l rectangular/glass AP</t>
  </si>
  <si>
    <t>90592427</t>
  </si>
  <si>
    <t>STOCKHOLM 2025 serv bowl 34 beige AP</t>
  </si>
  <si>
    <t>60561352</t>
  </si>
  <si>
    <t>BÄCKRÖDING spatula s2 wood/dark grey-green AP</t>
  </si>
  <si>
    <t>60177661</t>
  </si>
  <si>
    <t>DRAGON coffee spoon 11 stainless steel 6-p AP JP</t>
  </si>
  <si>
    <t>00633088</t>
  </si>
  <si>
    <t>BAKTIDER kitchen utensil s4 wood/pale pink AP</t>
  </si>
  <si>
    <t>20623111</t>
  </si>
  <si>
    <t>POKAL glass 35 cl grey AP</t>
  </si>
  <si>
    <t>20484110</t>
  </si>
  <si>
    <t>TYNGDLÖS tray w 3 bwls bamboo/white AP</t>
  </si>
  <si>
    <t>10305500</t>
  </si>
  <si>
    <t>SKOGSTA chopping board 35x20 acacia AP JP</t>
  </si>
  <si>
    <t>20618336</t>
  </si>
  <si>
    <t>GULDMOLLY glass 26 cl clear glass AP</t>
  </si>
  <si>
    <t>00607051</t>
  </si>
  <si>
    <t>GREJSIMOJS soft toy 38 bear/off-white AP</t>
  </si>
  <si>
    <t>MAEUIK0220874</t>
  </si>
  <si>
    <t>TCKU6478195</t>
  </si>
  <si>
    <t>037TSOS10000691649</t>
  </si>
  <si>
    <t>2.347926</t>
  </si>
  <si>
    <t>2.747745</t>
  </si>
  <si>
    <t>CN9108304</t>
  </si>
  <si>
    <t>INVMAEUIK0221730</t>
  </si>
  <si>
    <t>INVMAEUIK0222136</t>
  </si>
  <si>
    <t>373-STO-S10000031144</t>
  </si>
  <si>
    <t>373-STO-S10000031137</t>
  </si>
  <si>
    <t>20342267</t>
  </si>
  <si>
    <t>SPATHIPHYLLUM potted plant 10 Peace lily KR</t>
  </si>
  <si>
    <t>21072SUPECIS76314</t>
  </si>
  <si>
    <t>90614938</t>
  </si>
  <si>
    <t>LENDA N crtns w tieb 1pr 140x250 lpink/ht AP</t>
  </si>
  <si>
    <t>90513897</t>
  </si>
  <si>
    <t>UPPSTÅ toddler walker green AP</t>
  </si>
  <si>
    <t>10625889</t>
  </si>
  <si>
    <t>SANELA N cushion cvr 50x50 dark blue AP</t>
  </si>
  <si>
    <t>70583928</t>
  </si>
  <si>
    <t>SOLHETTA N2 E26 806lm dimmable/globe oplwhi 2-p KR</t>
  </si>
  <si>
    <t>50573355</t>
  </si>
  <si>
    <t>SAMBORD floor/read lamp black/white KR</t>
  </si>
  <si>
    <t>60614567</t>
  </si>
  <si>
    <t>FLISAT N book display AP</t>
  </si>
  <si>
    <t>20618572</t>
  </si>
  <si>
    <t>NÅLBLECKA corner shelf met/bamb f kitch cntrtop AP</t>
  </si>
  <si>
    <t>40617939</t>
  </si>
  <si>
    <t>DAGGKAPRIFOL picture ledge 49 white AP</t>
  </si>
  <si>
    <t>60619720</t>
  </si>
  <si>
    <t>KAJPLATS E26 806 lm 95mm smart WS/clr/glb KR</t>
  </si>
  <si>
    <t>10515602</t>
  </si>
  <si>
    <t>MITTZON laptop tbl w cstrs 66x50 white AP</t>
  </si>
  <si>
    <t>30629971</t>
  </si>
  <si>
    <t>ENUDDEN towel stnd w 2 rls 47x85 white AP</t>
  </si>
  <si>
    <t>20224099</t>
  </si>
  <si>
    <t>SYRLIG crtn ring w clip+hook 25mm white 10-p AP CN</t>
  </si>
  <si>
    <t>10489684</t>
  </si>
  <si>
    <t>BEKRÄFTA curtain rod set 120-210 cm 28 mm black AP</t>
  </si>
  <si>
    <t>70590207</t>
  </si>
  <si>
    <t>ULLVIDE fitt sheet 180x200 grey-beige AP</t>
  </si>
  <si>
    <t>70609985</t>
  </si>
  <si>
    <t>RINNIG tea towel 45x60 red/beige striped 4-p AP</t>
  </si>
  <si>
    <t>20612075</t>
  </si>
  <si>
    <t>BROKGLIM wshclth 30x30 pink AP</t>
  </si>
  <si>
    <t>30628820</t>
  </si>
  <si>
    <t>KOMPISHÄNG side tbl 50 red pine AP</t>
  </si>
  <si>
    <t>60594871</t>
  </si>
  <si>
    <t>SANDGRÄSMAL duvet, light warm 150x200 AP JP</t>
  </si>
  <si>
    <t>30531291</t>
  </si>
  <si>
    <t>SOTNÄTFJÄRIL waterpr matt protec 180x200 AP</t>
  </si>
  <si>
    <t>90321389</t>
  </si>
  <si>
    <t>ÅRSTID wll lmp brass/white KR</t>
  </si>
  <si>
    <t>00532635</t>
  </si>
  <si>
    <t>RÖNNVECKMAL fitt sheet 180x200 white AP</t>
  </si>
  <si>
    <t>40562499</t>
  </si>
  <si>
    <t>APTITLIG lazy susan 28 organizer bamboo AP</t>
  </si>
  <si>
    <t>80547223</t>
  </si>
  <si>
    <t>KUDDARNA chr cushion, out 36x32 ligreybei AP</t>
  </si>
  <si>
    <t>40442708</t>
  </si>
  <si>
    <t>NATTJASMIN pwc 50x80 dark grey AP</t>
  </si>
  <si>
    <t>70611506</t>
  </si>
  <si>
    <t>FACELIOR cushion cvr 50x50 whi/embroid dorange AP</t>
  </si>
  <si>
    <t>40535769</t>
  </si>
  <si>
    <t>DVALA bolster case 38x110 grey AP</t>
  </si>
  <si>
    <t>60603998</t>
  </si>
  <si>
    <t>BLÅMUNKAR cushion cvr 50x50 yel/wh/dot pattern AP</t>
  </si>
  <si>
    <t>30590964</t>
  </si>
  <si>
    <t>BACKSTÖRN LED pndnt lmp 108 dimmable/matt alum KR</t>
  </si>
  <si>
    <t>50595847</t>
  </si>
  <si>
    <t>KRANSALG pend lmp w 5 lamps 113 black KR</t>
  </si>
  <si>
    <t>40602042</t>
  </si>
  <si>
    <t>GREJSIMOJS LED deco lght flr giraffe/yel bat-op KR</t>
  </si>
  <si>
    <t>40636320</t>
  </si>
  <si>
    <t>VINTERFINT 2026 cush cvr 50x50 Santa Cl patt gr AP</t>
  </si>
  <si>
    <t>00307482</t>
  </si>
  <si>
    <t>LOHALS rug flatwoven 80x150 natural AP JP</t>
  </si>
  <si>
    <t>70441024</t>
  </si>
  <si>
    <t>MISTERHULT pend lmp 45 bamboo/handmade KR</t>
  </si>
  <si>
    <t>10601001</t>
  </si>
  <si>
    <t>STOCKHOLM 2025 shr crtn 1 pc 300x250 off-whi/ht AP</t>
  </si>
  <si>
    <t>00623904</t>
  </si>
  <si>
    <t>VÄGOMRÅDE rug flatwoven 80x150 li or-pnk AP</t>
  </si>
  <si>
    <t>20637349</t>
  </si>
  <si>
    <t>VINTERFINT 2026 tree ornament 11 hot dog AP</t>
  </si>
  <si>
    <t>30548220</t>
  </si>
  <si>
    <t>GULKAVLE N pllw low stomach 50x80 KR</t>
  </si>
  <si>
    <t>20623267</t>
  </si>
  <si>
    <t>STILREN vase 22 dark grey-beige AP</t>
  </si>
  <si>
    <t>30501270</t>
  </si>
  <si>
    <t>VARMFRONT pwr bank 5200 mAh blue AP</t>
  </si>
  <si>
    <t>20569944</t>
  </si>
  <si>
    <t>SKÅDIS stor basket s3 black AP</t>
  </si>
  <si>
    <t>00550115</t>
  </si>
  <si>
    <t>RÖDALM frame 61x91 walnut effect AP</t>
  </si>
  <si>
    <t>30575157</t>
  </si>
  <si>
    <t>SKOGSRÖR napkin holder 13x12 light grey-brown AP</t>
  </si>
  <si>
    <t>50590982</t>
  </si>
  <si>
    <t>DYTÅG cushion cvr 65x65 white AP</t>
  </si>
  <si>
    <t>00619450</t>
  </si>
  <si>
    <t>MYGGSPRAY Matter wrlss mtn sensor smart AP</t>
  </si>
  <si>
    <t>80619154</t>
  </si>
  <si>
    <t>KAJPLATS starter kit GU10 smart white spectrum KR</t>
  </si>
  <si>
    <t>60477631</t>
  </si>
  <si>
    <t>MÅLA whitebrd pen mixed colours 4-p AP</t>
  </si>
  <si>
    <t>22715SUPECIS75102</t>
  </si>
  <si>
    <t>22075SUP2600119204</t>
  </si>
  <si>
    <t>21072SUPECIS76330</t>
  </si>
  <si>
    <t>21985SUPECIS43133</t>
  </si>
  <si>
    <t>90553218</t>
  </si>
  <si>
    <t>CITRONHAJ spice jar 35 cl cl gls/stnls 4-p AP</t>
  </si>
  <si>
    <t>80625329</t>
  </si>
  <si>
    <t>IKEA 365+ saucepan/lid 1 l stainless steel AP</t>
  </si>
  <si>
    <t>90590466</t>
  </si>
  <si>
    <t>STOCKHOLM 2025 bowl 34 dark blue-turquoise AP</t>
  </si>
  <si>
    <t>50616915</t>
  </si>
  <si>
    <t>KAPTENSFISK lunch box 23x13x6 yellow AP</t>
  </si>
  <si>
    <t>80523463</t>
  </si>
  <si>
    <t>HALVTOM bottle w pour spout 19 glass/brown AP</t>
  </si>
  <si>
    <t>90346832</t>
  </si>
  <si>
    <t>JÄMFÖRA block/3 knives black AP JP</t>
  </si>
  <si>
    <t>30158659</t>
  </si>
  <si>
    <t>POÄNG frm ach birch veneer AP JP</t>
  </si>
  <si>
    <t>PLISH7H46431</t>
  </si>
  <si>
    <t>PKEU2505537</t>
  </si>
  <si>
    <t>037TSOS10000686932</t>
  </si>
  <si>
    <t>3.058804</t>
  </si>
  <si>
    <t>3.359778</t>
  </si>
  <si>
    <t>25H0417055</t>
  </si>
  <si>
    <t>0021E</t>
  </si>
  <si>
    <t>0.752528</t>
  </si>
  <si>
    <t>0.795454</t>
  </si>
  <si>
    <t>8.95575</t>
  </si>
  <si>
    <t>9.58865</t>
  </si>
  <si>
    <t>4.103532</t>
  </si>
  <si>
    <t>4.394079</t>
  </si>
  <si>
    <t>4.543746</t>
  </si>
  <si>
    <t>4.876912</t>
  </si>
  <si>
    <t>5.563816</t>
  </si>
  <si>
    <t>5.96914</t>
  </si>
  <si>
    <t>12.035036</t>
  </si>
  <si>
    <t>13.062518</t>
  </si>
  <si>
    <t>9.067368</t>
  </si>
  <si>
    <t>9.857557</t>
  </si>
  <si>
    <t>INVMAEUIK0220874</t>
  </si>
  <si>
    <t>373-STO-S10000031162</t>
  </si>
  <si>
    <t>373-STO-S10000031155</t>
  </si>
  <si>
    <t>INVPLISH7H46431</t>
  </si>
  <si>
    <t>373-STO-S10000031178</t>
  </si>
  <si>
    <t>70477598</t>
  </si>
  <si>
    <t>MÅLA N coloured pencil mixed colours 10-p AP</t>
  </si>
  <si>
    <t>20477628</t>
  </si>
  <si>
    <t>MÅLA watercolour box w 14 colours mixed colours AP</t>
  </si>
  <si>
    <t>00503911</t>
  </si>
  <si>
    <t>HEMMAFIXARE storage c 44x51x19 fab stri/wht/gry AP</t>
  </si>
  <si>
    <t>90614820</t>
  </si>
  <si>
    <t>BRUDKRUSBÄR dc/pwc 150x200/50x80 blk mlti/flr p AP</t>
  </si>
  <si>
    <t>90579789</t>
  </si>
  <si>
    <t>STRANDLUMMER dc/2pwc 200x230/50x80 multi/flrl p AP</t>
  </si>
  <si>
    <t>00506759</t>
  </si>
  <si>
    <t>SPARKA NNN soft toy football mini/blue red AP</t>
  </si>
  <si>
    <t>20581899</t>
  </si>
  <si>
    <t>MAJBAGGE monocular green/orange AP</t>
  </si>
  <si>
    <t>30641708</t>
  </si>
  <si>
    <t>HÖVLIG chld tent red-brown AP</t>
  </si>
  <si>
    <t>50302646</t>
  </si>
  <si>
    <t>SPARKA soft toy football/green AP CN</t>
  </si>
  <si>
    <t>40409313</t>
  </si>
  <si>
    <t>take-away box for glasses AP</t>
  </si>
  <si>
    <t>20570565</t>
  </si>
  <si>
    <t>STRIMSÄV LED spotlight white KR</t>
  </si>
  <si>
    <t>40587174</t>
  </si>
  <si>
    <t>SMYCKA art flower 30 in/outdoor/Dahlia pink AP</t>
  </si>
  <si>
    <t>50580704</t>
  </si>
  <si>
    <t>IKEA 365+ NN frying pan 28 stnls/non-stick AP</t>
  </si>
  <si>
    <t>HDMUSHAA75080000</t>
  </si>
  <si>
    <t>HMMU4749785</t>
  </si>
  <si>
    <t>258DT260902726207</t>
  </si>
  <si>
    <t>258DTS10000202331</t>
  </si>
  <si>
    <t>44.367776</t>
  </si>
  <si>
    <t>47.6469915</t>
  </si>
  <si>
    <t>26H0386999</t>
  </si>
  <si>
    <t>0012E</t>
  </si>
  <si>
    <t>277DT260902726208</t>
  </si>
  <si>
    <t>11.072354</t>
  </si>
  <si>
    <t>11.88376054</t>
  </si>
  <si>
    <t>MAEUIK0221909</t>
  </si>
  <si>
    <t>MIEU4017725</t>
  </si>
  <si>
    <t>037TSOS10000697376</t>
  </si>
  <si>
    <t>17.536918</t>
  </si>
  <si>
    <t>18.716401</t>
  </si>
  <si>
    <t>638W</t>
  </si>
  <si>
    <t>MAEUIK0222290</t>
  </si>
  <si>
    <t>MRKU6578047</t>
  </si>
  <si>
    <t>041TSOS10000280938</t>
  </si>
  <si>
    <t>25.306768</t>
  </si>
  <si>
    <t>26.900483</t>
  </si>
  <si>
    <t>373-STO-S10000031191</t>
  </si>
  <si>
    <t>60578673</t>
  </si>
  <si>
    <t>SKOGSDUVA mask s2 badger/lynx multicolour AP</t>
  </si>
  <si>
    <t>70530398</t>
  </si>
  <si>
    <t>RISATORP basket w comp 33x24x23 white CNJP</t>
  </si>
  <si>
    <t>10569925</t>
  </si>
  <si>
    <t>SKÅDIS container black AP</t>
  </si>
  <si>
    <t>10289086</t>
  </si>
  <si>
    <t>KLIPSK bed tray white AP JP</t>
  </si>
  <si>
    <t>10297963</t>
  </si>
  <si>
    <t>FISKBO frame 50x70 black AP CN</t>
  </si>
  <si>
    <t>10594897</t>
  </si>
  <si>
    <t>STENFRÖ sheer crtn 1 pair 145x250 turq/ht AP</t>
  </si>
  <si>
    <t>90382844</t>
  </si>
  <si>
    <t>ALFTA adhesive hook f frm white 2-p AP</t>
  </si>
  <si>
    <t>20606098</t>
  </si>
  <si>
    <t>DJUNGELSKOG N soft toy 13 mini/lion AP</t>
  </si>
  <si>
    <t>20606116</t>
  </si>
  <si>
    <t>DJUNGELSKOG N soft toy 13 mini/tiger AP</t>
  </si>
  <si>
    <t>10596801</t>
  </si>
  <si>
    <t>DRÖNJÖNS laptop support white AP</t>
  </si>
  <si>
    <t>30522102</t>
  </si>
  <si>
    <t>BLÅVINGAD soft toy 44 turtle/green AP</t>
  </si>
  <si>
    <t>60612709</t>
  </si>
  <si>
    <t>SANDLÖPARE stor bag multicolour/savannah AP</t>
  </si>
  <si>
    <t>00632951</t>
  </si>
  <si>
    <t>HÖSTAGILLE 2026 deco s3 mushroom AP</t>
  </si>
  <si>
    <t>90639948</t>
  </si>
  <si>
    <t>STRÅLA 2026 lampshade 90 paper star/green white AP</t>
  </si>
  <si>
    <t>80573575</t>
  </si>
  <si>
    <t>STORSEGEL table lamp ash/white KR</t>
  </si>
  <si>
    <t>90639953</t>
  </si>
  <si>
    <t>STRÅLA 2026 lampshade 90 paper star/lace white AP</t>
  </si>
  <si>
    <t>50462791</t>
  </si>
  <si>
    <t>ANNAKAJSA room dark crtns 1 pr 145x250 bei/ht AP</t>
  </si>
  <si>
    <t>258DT260904726357</t>
  </si>
  <si>
    <t>319DT260826726665</t>
  </si>
  <si>
    <t>319DT260826726668</t>
  </si>
  <si>
    <t>294DT260826726664</t>
  </si>
  <si>
    <t>294DT260828726913</t>
  </si>
  <si>
    <t>258DT260901726134</t>
  </si>
  <si>
    <t>319DT260828726914</t>
  </si>
  <si>
    <t>294DT260826726667</t>
  </si>
  <si>
    <t>277DT260901726137</t>
  </si>
  <si>
    <t>277DT260904726358</t>
  </si>
  <si>
    <t>258DT260901726136</t>
  </si>
  <si>
    <t>294DT260902726408</t>
  </si>
  <si>
    <t>319DT260902726409</t>
  </si>
  <si>
    <t>40581983</t>
  </si>
  <si>
    <t>MAMMUT children's chair in/outdoor/bright green AP</t>
  </si>
  <si>
    <t>60550103</t>
  </si>
  <si>
    <t>RÖDALM frame 50x70 birch effect AP</t>
  </si>
  <si>
    <t>90334438</t>
  </si>
  <si>
    <t>CISSAN napkin holder 23x23 water hyacinth AP JP</t>
  </si>
  <si>
    <t>70649665</t>
  </si>
  <si>
    <t>LUDDHAGTORN show curtain 180x200 light beige AP</t>
  </si>
  <si>
    <t>50332747</t>
  </si>
  <si>
    <t>STRÅLA table lamp base white KR</t>
  </si>
  <si>
    <t>90612034</t>
  </si>
  <si>
    <t>BROKGLIM bath towel 70x140 white AP</t>
  </si>
  <si>
    <t>80612039</t>
  </si>
  <si>
    <t>BROKGLIM hand towel 40x70 white AP</t>
  </si>
  <si>
    <t>30382371</t>
  </si>
  <si>
    <t>GRUMLAN stool 36 white AP</t>
  </si>
  <si>
    <t>90484282</t>
  </si>
  <si>
    <t>GULLIGAST rattle grey/blue AP</t>
  </si>
  <si>
    <t>60626419</t>
  </si>
  <si>
    <t>ÅSVEIG cushion cvr 50x50 grey-brown AP</t>
  </si>
  <si>
    <t>80581995</t>
  </si>
  <si>
    <t>MAMMUT children's table 85 in/outdoor/lblue AP</t>
  </si>
  <si>
    <t>10637000</t>
  </si>
  <si>
    <t>STRANDMOLKE pllw high side/back 50x80 AP</t>
  </si>
  <si>
    <t>20595325</t>
  </si>
  <si>
    <t>NATTHÄGER rug low pile 83x125 blu orange/toucan AP</t>
  </si>
  <si>
    <t>40606083</t>
  </si>
  <si>
    <t>SMYCKA art flower 66 in/outdoor Dahlia/dpink AP</t>
  </si>
  <si>
    <t>00615230</t>
  </si>
  <si>
    <t>FEJKA N artifi pttd plant 12 in/out/hanging Ivy AP</t>
  </si>
  <si>
    <t>00583719</t>
  </si>
  <si>
    <t>KÄLLARHALS vase 26 orange AP</t>
  </si>
  <si>
    <t>30221397</t>
  </si>
  <si>
    <t>RÄCKA curtain rod 70-120 white AP CN</t>
  </si>
  <si>
    <t>90625041</t>
  </si>
  <si>
    <t>LEN dvt cvr 1 pwcs f ct 110x125/35x55 wh be/dot AP</t>
  </si>
  <si>
    <t>50642801</t>
  </si>
  <si>
    <t>TOFTLUND N rug 55x85 pink AP</t>
  </si>
  <si>
    <t>40334935</t>
  </si>
  <si>
    <t>KUNGSFORS shelf 60 stainless steel AP</t>
  </si>
  <si>
    <t>80631882</t>
  </si>
  <si>
    <t>LILLÅKRE basket 20x20 braided/blue multicolour AP</t>
  </si>
  <si>
    <t>10637161</t>
  </si>
  <si>
    <t>MATILDA café curtain 1 p 145x50 pnk/tab top AP</t>
  </si>
  <si>
    <t>80615090</t>
  </si>
  <si>
    <t>LILLABO N rug 75x133 green AP</t>
  </si>
  <si>
    <t>20582530</t>
  </si>
  <si>
    <t>VÄGSKYLT door mat 40x60 pink/orange AP</t>
  </si>
  <si>
    <t>60610890</t>
  </si>
  <si>
    <t>RAKLEV rug flatwoven 170x240 handw/nat multi AP</t>
  </si>
  <si>
    <t>40600967</t>
  </si>
  <si>
    <t>RIDSTIG rug flatwoven 133x195 off-white/green AP</t>
  </si>
  <si>
    <t>80623537</t>
  </si>
  <si>
    <t>BARNDRÖM dvt cvr+pwc 150x200/50x80 whi yel/dot AP</t>
  </si>
  <si>
    <t>10622942</t>
  </si>
  <si>
    <t>KONSTRUNDA rug 155x220 multicolour AP</t>
  </si>
  <si>
    <t>80625112</t>
  </si>
  <si>
    <t>LEN baby towel w hood 60x125 beige/bunny-shaped AP</t>
  </si>
  <si>
    <t>80611577</t>
  </si>
  <si>
    <t>PÄRLHÖNA sc cn cer jar 20hr Rose&amp;carnation ye JPKR</t>
  </si>
  <si>
    <t>10632253</t>
  </si>
  <si>
    <t>VINTERFINT 2026 Paperbag hdls 30x38 brn/heart-p AP</t>
  </si>
  <si>
    <t>60543612</t>
  </si>
  <si>
    <t>KEJSAROLVON mattr protector 150x200 beige/blue AP</t>
  </si>
  <si>
    <t>80592734</t>
  </si>
  <si>
    <t>VIHALS chr white AP</t>
  </si>
  <si>
    <t>80434278</t>
  </si>
  <si>
    <t>MÖJLIGHET headset/tblt stnd black AP</t>
  </si>
  <si>
    <t>10637095</t>
  </si>
  <si>
    <t>VINTERFINT 2026 tree orn s6 pap striped/mix col AP</t>
  </si>
  <si>
    <t>50637220</t>
  </si>
  <si>
    <t>VINTERFINT 2026 tree ornament s20 pink/silv-col AP</t>
  </si>
  <si>
    <t>60636692</t>
  </si>
  <si>
    <t>VINTERFINT 2026 top star 25 gold-colour AP</t>
  </si>
  <si>
    <t>60638356</t>
  </si>
  <si>
    <t>VINTERFINT 2026 tree ornament 11.5 ice cream AP</t>
  </si>
  <si>
    <t>80328678</t>
  </si>
  <si>
    <t>LIXHULT cabinet 60x35 metal/grey AP CN</t>
  </si>
  <si>
    <t>10637222</t>
  </si>
  <si>
    <t>VINTERFINT 2026 tree ornament paper/off-whi 6-p AP</t>
  </si>
  <si>
    <t>80621543</t>
  </si>
  <si>
    <t>STUK stor case 71x51x18 white/black AP</t>
  </si>
  <si>
    <t>80431307</t>
  </si>
  <si>
    <t>JONAXEL frame 50x51x70 white AP</t>
  </si>
  <si>
    <t>00606061</t>
  </si>
  <si>
    <t>SMYCKA art flower 65 in/outdoor Dahlia/pink AP</t>
  </si>
  <si>
    <t>50631280</t>
  </si>
  <si>
    <t>SMYCKA 2026 art bouquet 40 in/outdoor pink AP</t>
  </si>
  <si>
    <t>00624036</t>
  </si>
  <si>
    <t>SATSUMAS plant stand 36 bamboo/white AP</t>
  </si>
  <si>
    <t>70587040</t>
  </si>
  <si>
    <t>GANSJÖN N bthr s3 black AP</t>
  </si>
  <si>
    <t>70642584</t>
  </si>
  <si>
    <t>SAMMETSSYREN plant pot 9 in/outdoor/turquoise AP</t>
  </si>
  <si>
    <t>60279037</t>
  </si>
  <si>
    <t>EKIPERA ctlry stnd tray black AP JP</t>
  </si>
  <si>
    <t>70495352</t>
  </si>
  <si>
    <t>MÅLA cardbrd town templ s10 AP</t>
  </si>
  <si>
    <t>40513890</t>
  </si>
  <si>
    <t>UPPSTÅ toy hammering block multicolour AP</t>
  </si>
  <si>
    <t>30364372</t>
  </si>
  <si>
    <t>KLUNKA laundry bag 60 l white/black AP</t>
  </si>
  <si>
    <t>70567004</t>
  </si>
  <si>
    <t>FARMARKVAST bin w lid f organicwaste 4l gry-grn AP</t>
  </si>
  <si>
    <t>20582078</t>
  </si>
  <si>
    <t>TROFAST N lid 20x28 white AP</t>
  </si>
  <si>
    <t>20522089</t>
  </si>
  <si>
    <t>SOCKERBIT stor box w lid 38x76x30 white AP</t>
  </si>
  <si>
    <t>40641524</t>
  </si>
  <si>
    <t>BILRESA remote control white smart/dual button KR</t>
  </si>
  <si>
    <t>40637701</t>
  </si>
  <si>
    <t>HEAT pot stand 19 cork patterned/lturq AP</t>
  </si>
  <si>
    <t>30503924</t>
  </si>
  <si>
    <t>HEMMAFIXARE storage c 34x51x19 fab stri/wht/gry AP</t>
  </si>
  <si>
    <t>90619950</t>
  </si>
  <si>
    <t>VALASJÖN hook self-adh 3-p AP</t>
  </si>
  <si>
    <t>20550096</t>
  </si>
  <si>
    <t>RÖDALM frame 40x50 birch effect AP</t>
  </si>
  <si>
    <t>80597246</t>
  </si>
  <si>
    <t>SMÅSNÖRE LED deco light dim adj color CS KR</t>
  </si>
  <si>
    <t>00612774</t>
  </si>
  <si>
    <t>FNISS N waste bin 6.8 l turquoise AP</t>
  </si>
  <si>
    <t>50611041</t>
  </si>
  <si>
    <t>BERGKÖRSBÄR vase 20 glass/green AP</t>
  </si>
  <si>
    <t>30613362</t>
  </si>
  <si>
    <t>MOLNART N5 E26 200lm 185mm tube-shpd blk/cl gls KR</t>
  </si>
  <si>
    <t>10197261</t>
  </si>
  <si>
    <t>ENUDDEN toil brsh white AP CN</t>
  </si>
  <si>
    <t>30443812</t>
  </si>
  <si>
    <t>UNDVIKA corner bumper dark brown 8-p AP</t>
  </si>
  <si>
    <t>50612724</t>
  </si>
  <si>
    <t>SLIBB laund bskt 38 l white AP</t>
  </si>
  <si>
    <t>80633937</t>
  </si>
  <si>
    <t>LINDBYN mirror 80x80 gold-colour AP</t>
  </si>
  <si>
    <t>50334930</t>
  </si>
  <si>
    <t>KUNGSFORS wall grid stainless steel AP</t>
  </si>
  <si>
    <t>40632096</t>
  </si>
  <si>
    <t>STEGESUND container w lid 17x12x14 whi/lght bam AP</t>
  </si>
  <si>
    <t>00290599</t>
  </si>
  <si>
    <t>TJUSIG hanger 78 white AP CN</t>
  </si>
  <si>
    <t>20423414</t>
  </si>
  <si>
    <t>VILBORG room dark crtns 1 pr 145x250 grey/ht AP</t>
  </si>
  <si>
    <t>10629321</t>
  </si>
  <si>
    <t>MATILDA N sheer crtn 1 pr 145x250 pl pnk/w eyel AP</t>
  </si>
  <si>
    <t>22121SUPUE068881</t>
  </si>
  <si>
    <t>22121SUPUE069012</t>
  </si>
  <si>
    <t>10507348</t>
  </si>
  <si>
    <t>KVARNVEN ergo pllw side/back sleeper 39x69 AP</t>
  </si>
  <si>
    <t>22075SUP2600119395</t>
  </si>
  <si>
    <t>20169074</t>
  </si>
  <si>
    <t>ANTILOP highchair tray white AP JP</t>
  </si>
  <si>
    <t>70301165</t>
  </si>
  <si>
    <t>PRODUKT milk-frother black AP JP</t>
  </si>
  <si>
    <t>20627623</t>
  </si>
  <si>
    <t>IVRIG glass 45 cl grey AP</t>
  </si>
  <si>
    <t>30630535</t>
  </si>
  <si>
    <t>HÖSTAGILLE 2026 bowl w lid 19 brown AP</t>
  </si>
  <si>
    <t>90621359</t>
  </si>
  <si>
    <t>IKEA 365+ N service s18 white AP</t>
  </si>
  <si>
    <t>80607405</t>
  </si>
  <si>
    <t>HAVSGÄDDA side plate 21 stripe pattern/pink AP</t>
  </si>
  <si>
    <t>10613792</t>
  </si>
  <si>
    <t>HARMYNTA bowl 18 white AP</t>
  </si>
  <si>
    <t>10323306</t>
  </si>
  <si>
    <t>VARDAGEN meas jug 1.0 l glass AP JP</t>
  </si>
  <si>
    <t>90613788</t>
  </si>
  <si>
    <t>HARMYNTA deep plate 22 white AP</t>
  </si>
  <si>
    <t>OOLU2173640490</t>
  </si>
  <si>
    <t>CSNU7283900</t>
  </si>
  <si>
    <t>030TSOS10000134256</t>
  </si>
  <si>
    <t>2.030178</t>
  </si>
  <si>
    <t>2.119852</t>
  </si>
  <si>
    <t>073W</t>
  </si>
  <si>
    <t>INVHDMUSHAA75080000</t>
  </si>
  <si>
    <t>INVMAEUIK0221909</t>
  </si>
  <si>
    <t>INVMAEUIK0222290</t>
  </si>
  <si>
    <t>373-STO-S10000031222</t>
  </si>
  <si>
    <t>373-STO-S10000031237</t>
  </si>
  <si>
    <t>373-STO-S10000031223</t>
  </si>
  <si>
    <t>MAEUIK0220495</t>
  </si>
  <si>
    <t>MIEU4025274</t>
  </si>
  <si>
    <t>037TSOS10000689650</t>
  </si>
  <si>
    <t>13.652022</t>
  </si>
  <si>
    <t>14.587563</t>
  </si>
  <si>
    <t>MAEUIK0222640</t>
  </si>
  <si>
    <t>MIEU4026136</t>
  </si>
  <si>
    <t>037TSOS10000701591</t>
  </si>
  <si>
    <t>5.51538</t>
  </si>
  <si>
    <t>5.913997</t>
  </si>
  <si>
    <t>MAEUIK0222641</t>
  </si>
  <si>
    <t>MIEU4250531</t>
  </si>
  <si>
    <t>037TSOS10000701589</t>
  </si>
  <si>
    <t>18.975908</t>
  </si>
  <si>
    <t>20.261386</t>
  </si>
  <si>
    <t>INVOOLU2173640490</t>
  </si>
  <si>
    <t>373-STO-S10000031304</t>
  </si>
  <si>
    <t>373-STO-S10000031292</t>
  </si>
  <si>
    <t>373-STO-S10000031289</t>
  </si>
  <si>
    <t>373-STO-S10000031288</t>
  </si>
  <si>
    <t>373-STO-S10000031267</t>
  </si>
  <si>
    <t>PLISH7H48044</t>
  </si>
  <si>
    <t>KMTU7452850</t>
  </si>
  <si>
    <t>258DTS10000202086</t>
  </si>
  <si>
    <t>6.800467</t>
  </si>
  <si>
    <t>7.36884544</t>
  </si>
  <si>
    <t>2625N</t>
  </si>
  <si>
    <t>14.314873</t>
  </si>
  <si>
    <t>15.52580118</t>
  </si>
  <si>
    <t>INVMAEUIK0220495</t>
  </si>
  <si>
    <t>INVMAEUIK0222640</t>
  </si>
  <si>
    <t>INVMAEUIK0222641</t>
  </si>
  <si>
    <t>373-STO-S10000031305</t>
  </si>
  <si>
    <t>373-STO-S10000031306</t>
  </si>
  <si>
    <t>373-STO-S10000031270</t>
  </si>
  <si>
    <t>30556696</t>
  </si>
  <si>
    <t>TRIXIG screw and plug s175 AP</t>
  </si>
  <si>
    <t>60215333</t>
  </si>
  <si>
    <t>VITTSJÖ nest tables s2 90x50 black-brown/gls AP JP</t>
  </si>
  <si>
    <t>40518487</t>
  </si>
  <si>
    <t>RUNNEN floor deck, out 0.81 m² acacia 9-p AP</t>
  </si>
  <si>
    <t>00411426</t>
  </si>
  <si>
    <t>STACKHOLMEN stool, out 48x35x43 lbrwn stnd AP</t>
  </si>
  <si>
    <t>20625167</t>
  </si>
  <si>
    <t>ALPTALL towel w hood 70x140 red panda AP</t>
  </si>
  <si>
    <t>00625187</t>
  </si>
  <si>
    <t>ALPTALL deco stickers, s3 mlt/Hmlya anml a plts AP</t>
  </si>
  <si>
    <t>40357738</t>
  </si>
  <si>
    <t>UTTER children's table in/outdoor/white AP</t>
  </si>
  <si>
    <t>90382325</t>
  </si>
  <si>
    <t>MAMMUT N children's stool in/outdoor/yellow AP</t>
  </si>
  <si>
    <t>40618811</t>
  </si>
  <si>
    <t>AKTERSPRING floor lamp 162 opalwhi gls/brs-plt KR</t>
  </si>
  <si>
    <t>00591776</t>
  </si>
  <si>
    <t>NORRÅVA lid 36x26 bamboo AP</t>
  </si>
  <si>
    <t>10582088</t>
  </si>
  <si>
    <t>TROFAST NN stor box 42x30x36 white AP</t>
  </si>
  <si>
    <t>60603187</t>
  </si>
  <si>
    <t>SANDLÖPARE fitt sheet 90x200 lbrn/cheetah AP</t>
  </si>
  <si>
    <t>60636381</t>
  </si>
  <si>
    <t>VINTERFINT 2026 art x-mas tree 210 in/out green AP</t>
  </si>
  <si>
    <t>30628844</t>
  </si>
  <si>
    <t>ÄRENDE rug high pile 120x180 yellow AP</t>
  </si>
  <si>
    <t>60623449</t>
  </si>
  <si>
    <t>PJÄTTERYD pict 90x90 striped leaf AP</t>
  </si>
  <si>
    <t>60637031</t>
  </si>
  <si>
    <t>VINTERFINT 2026 garland s5 paper/mixed colours AP</t>
  </si>
  <si>
    <t>40635429</t>
  </si>
  <si>
    <t>VINTERFINT 2026 tree ornament s3 gold-colour AP</t>
  </si>
  <si>
    <t>80282944</t>
  </si>
  <si>
    <t>IKEA 365+ coaster 9 cork 2-p AP JP</t>
  </si>
  <si>
    <t>00651039</t>
  </si>
  <si>
    <t>RAGGSTRÄFSE display shlf 20 white AP</t>
  </si>
  <si>
    <t>50597144</t>
  </si>
  <si>
    <t>KORGMOTT blck-out crtns 1 pr 145x250 whi/ht AP</t>
  </si>
  <si>
    <t>80506963</t>
  </si>
  <si>
    <t>KUSTFLY cushion cvr 50x50 beige/black AP</t>
  </si>
  <si>
    <t>20539061</t>
  </si>
  <si>
    <t>ROSENMANDEL room dark crtn 1 pr 135x250 dblu/ht AP</t>
  </si>
  <si>
    <t>90485578</t>
  </si>
  <si>
    <t>HEDSÄV cushion cvr 50x50 off-white AP</t>
  </si>
  <si>
    <t>40636565</t>
  </si>
  <si>
    <t>TANDLUNDFLY duo roller blind 140x250 AP</t>
  </si>
  <si>
    <t>30486340</t>
  </si>
  <si>
    <t>LINDBYN table mirror 14x27 black AP</t>
  </si>
  <si>
    <t>21072SUPECIS76473</t>
  </si>
  <si>
    <t>60393132</t>
  </si>
  <si>
    <t>IKEA 365+ food cntnr 3.1 l large rect/glass AP</t>
  </si>
  <si>
    <t>50428491</t>
  </si>
  <si>
    <t>FÖRNUFT spoon 19 stainless steel 4-p AP</t>
  </si>
  <si>
    <t>50166050</t>
  </si>
  <si>
    <t>BLANDA BLANK serv bowl 12 stainless steel AP JP</t>
  </si>
  <si>
    <t>80614298</t>
  </si>
  <si>
    <t>OLIVTRAST glass 29 cl light brown AP</t>
  </si>
  <si>
    <t>30301898</t>
  </si>
  <si>
    <t>INTRESSANT spice mill 27 acacia AP JP</t>
  </si>
  <si>
    <t>PLISH7H47909</t>
  </si>
  <si>
    <t>SKHU6613322</t>
  </si>
  <si>
    <t>037TSOS10000699980</t>
  </si>
  <si>
    <t>1.784768</t>
  </si>
  <si>
    <t>1.912174</t>
  </si>
  <si>
    <t>HAL04594</t>
  </si>
  <si>
    <t>LAEM CHABANG VOYAGER</t>
  </si>
  <si>
    <t>2606N</t>
  </si>
  <si>
    <t>INVPLISH7H47909</t>
  </si>
  <si>
    <t>6.938862</t>
  </si>
  <si>
    <t>7.429361</t>
  </si>
  <si>
    <t>13.653748</t>
  </si>
  <si>
    <t>14.871159</t>
  </si>
  <si>
    <t>2.858864</t>
  </si>
  <si>
    <t>3.095531</t>
  </si>
  <si>
    <t>373-STO-S10000031359</t>
  </si>
  <si>
    <t>ID1188776</t>
  </si>
  <si>
    <t>OOLLGT8733</t>
  </si>
  <si>
    <t>373-STO-S10000031331</t>
  </si>
  <si>
    <t>373-STO-S10000031332</t>
  </si>
  <si>
    <t>373-STO-S10000031348</t>
  </si>
  <si>
    <t>CN7970775</t>
  </si>
  <si>
    <t>373-STO-S10000031315</t>
  </si>
  <si>
    <t>373-STO-S10000031316</t>
  </si>
  <si>
    <t>CN8118384</t>
  </si>
  <si>
    <t>CN8118336</t>
  </si>
  <si>
    <t>CN8117812</t>
  </si>
  <si>
    <t>CF948368</t>
  </si>
  <si>
    <t>INVPLISH7H48044</t>
  </si>
  <si>
    <t>60636512</t>
  </si>
  <si>
    <t>VINTERFINT 2026 art bouquet 35 in/outdoor/red AP</t>
  </si>
  <si>
    <t>30599158</t>
  </si>
  <si>
    <t>KUGGIS box 18x26x15 light grey AP</t>
  </si>
  <si>
    <t>80553723</t>
  </si>
  <si>
    <t>RÖDALM frame f 3pict 55x28 black AP</t>
  </si>
  <si>
    <t>80556316</t>
  </si>
  <si>
    <t>FIKONTRÄD frame 10x15 white AP</t>
  </si>
  <si>
    <t>30567647</t>
  </si>
  <si>
    <t>PEPPRIG microfibre pad f flat mop 12x37 grey AP</t>
  </si>
  <si>
    <t>60641523</t>
  </si>
  <si>
    <t>BILRESA remote control kit scroll wheel/mix col KR</t>
  </si>
  <si>
    <t>50477622</t>
  </si>
  <si>
    <t>MÅLA wax crayon mixed colours 12-p AP</t>
  </si>
  <si>
    <t>80566886</t>
  </si>
  <si>
    <t>EKGULDMAL cushion cvr 50x50 geometric natural AP</t>
  </si>
  <si>
    <t>50628715</t>
  </si>
  <si>
    <t>KORVSNÖRE LED wll lmp dimmable/green KR</t>
  </si>
  <si>
    <t>30626406</t>
  </si>
  <si>
    <t>SVARTPOPPEL cushion cvr 40x58 off-white AP</t>
  </si>
  <si>
    <t>00483003</t>
  </si>
  <si>
    <t>VIDGA N glider/hook white 24-p AP</t>
  </si>
  <si>
    <t>90598189</t>
  </si>
  <si>
    <t>ANTILOP supporting cushion and cvr blue/wh stri AP</t>
  </si>
  <si>
    <t>20339868</t>
  </si>
  <si>
    <t>UNDVIKA multi latch white 2-p AP</t>
  </si>
  <si>
    <t>80531284</t>
  </si>
  <si>
    <t>SOTNÄTFJÄRIL waterpr matt protec 120x200 AP</t>
  </si>
  <si>
    <t>70632090</t>
  </si>
  <si>
    <t>STEGESUND soap dish light bamboo AP</t>
  </si>
  <si>
    <t>20562037</t>
  </si>
  <si>
    <t>SANDBRODD throw 130x170 off-white AP</t>
  </si>
  <si>
    <t>30635203</t>
  </si>
  <si>
    <t>STRÅLA 2026 LED cndl battery-operated/wood gree KR</t>
  </si>
  <si>
    <t>80618244</t>
  </si>
  <si>
    <t>EKOLN waste bin 3 l dark yellow AP</t>
  </si>
  <si>
    <t>50531313</t>
  </si>
  <si>
    <t>SOTNÄTFJÄRIL pillow protector 50x80 AP</t>
  </si>
  <si>
    <t>50603258</t>
  </si>
  <si>
    <t>SANDLÖPARE towel w hood 70x140 lbrn/cheetah pat AP</t>
  </si>
  <si>
    <t>20629877</t>
  </si>
  <si>
    <t>LEN baby towel w hood 80x80 whi blue/stripe AP</t>
  </si>
  <si>
    <t>90383476</t>
  </si>
  <si>
    <t>NORDLI N top+plnth 120x47 white AP</t>
  </si>
  <si>
    <t>70570407</t>
  </si>
  <si>
    <t>GUNDE folding stool black AP</t>
  </si>
  <si>
    <t>10291287</t>
  </si>
  <si>
    <t>GLANSNÄVA NN crtn liners 1 pr 143x240 lgrey AP JP</t>
  </si>
  <si>
    <t>40431309</t>
  </si>
  <si>
    <t>JONAXEL mesh bskt 25x51x15 white AP</t>
  </si>
  <si>
    <t>30376723</t>
  </si>
  <si>
    <t>OSTBIT N tray 20x28 bamboo AP CN</t>
  </si>
  <si>
    <t>30620452</t>
  </si>
  <si>
    <t>FLODKRÄFTA clock 8x15x4 cork white LVM AP</t>
  </si>
  <si>
    <t>80300815</t>
  </si>
  <si>
    <t>TOPPKLOCKA child apron w chef hat white/yell AP JP</t>
  </si>
  <si>
    <t>80484051</t>
  </si>
  <si>
    <t>HILDEGUN oven glove AP</t>
  </si>
  <si>
    <t>10334927</t>
  </si>
  <si>
    <t>KUNGSFORS magnet knife rack stainless steel AP</t>
  </si>
  <si>
    <t>60528131</t>
  </si>
  <si>
    <t>GRUSNARV N waterpr matt protec 120x200 AP</t>
  </si>
  <si>
    <t>70590764</t>
  </si>
  <si>
    <t>FODERTRÅG organiser for desk/wall 25x18x15 byel AP</t>
  </si>
  <si>
    <t>40482445</t>
  </si>
  <si>
    <t>DVALA fitt sheet 120x200 grey AP</t>
  </si>
  <si>
    <t>10600884</t>
  </si>
  <si>
    <t>FEJKA artifi pttd plant 12 in/outdoor Croton AP</t>
  </si>
  <si>
    <t>70621553</t>
  </si>
  <si>
    <t>VÄSTMÄRKE wrlss chrgr w lghtng AP</t>
  </si>
  <si>
    <t>00632258</t>
  </si>
  <si>
    <t>PÄRKLA laundry bag 70 l white AP</t>
  </si>
  <si>
    <t>50635184</t>
  </si>
  <si>
    <t>PÄRLGLADA vase 18 clear glass AP</t>
  </si>
  <si>
    <t>70602984</t>
  </si>
  <si>
    <t>NISSAFORS trolley 50.5x19x67 white AP</t>
  </si>
  <si>
    <t>90402837</t>
  </si>
  <si>
    <t>DJUNGELSKOG soft toy lion cub AP</t>
  </si>
  <si>
    <t>20629962</t>
  </si>
  <si>
    <t>ENUDDEN hook white 2-p AP</t>
  </si>
  <si>
    <t>80426805</t>
  </si>
  <si>
    <t>STOENSE rug low pile 130 off-white AP</t>
  </si>
  <si>
    <t>40342775</t>
  </si>
  <si>
    <t>ULLVIDE fitt sheet 90x200 dark blue AP JP</t>
  </si>
  <si>
    <t>90638294</t>
  </si>
  <si>
    <t>KRONBUSKE fitt sheet 90x200 lbeige/flrl patt AP</t>
  </si>
  <si>
    <t>10318550</t>
  </si>
  <si>
    <t>ÄNGSLILJA dc/2pwc 200x230/50x80 white AP JP</t>
  </si>
  <si>
    <t>60427306</t>
  </si>
  <si>
    <t>KNOPPÄNG frame 50x70 white AP</t>
  </si>
  <si>
    <t>50550491</t>
  </si>
  <si>
    <t>SOLHETTA E14 806lm 45mm dimm/globe opalwhi 2-p KR</t>
  </si>
  <si>
    <t>20493256</t>
  </si>
  <si>
    <t>GLIMMA unscntd tealt 4 hr 100-p KR</t>
  </si>
  <si>
    <t>00615824</t>
  </si>
  <si>
    <t>SOLFIBBLA pwc 50x80 white green/stripe AP</t>
  </si>
  <si>
    <t>00587883</t>
  </si>
  <si>
    <t>SANDVIVA oven glove silicone/dark grey AP</t>
  </si>
  <si>
    <t>20600888</t>
  </si>
  <si>
    <t>FEJKA artifi pttd plant 9 in/outdoor Pilea AP</t>
  </si>
  <si>
    <t>30625218</t>
  </si>
  <si>
    <t>LILLHULT N3 USB-A to USB-C 1.5 m blue/orange AP</t>
  </si>
  <si>
    <t>40556498</t>
  </si>
  <si>
    <t>HÅRSLINGA floor lamp black KR</t>
  </si>
  <si>
    <t>10617506</t>
  </si>
  <si>
    <t>IKEA PS 2026 pre-cut fabr 150x300 wh/mul lrg pa AP</t>
  </si>
  <si>
    <t>80569936</t>
  </si>
  <si>
    <t>SKÅDIS hook rack black AP</t>
  </si>
  <si>
    <t>30309205</t>
  </si>
  <si>
    <t>VIDJA N floor lamp 138 white KR</t>
  </si>
  <si>
    <t>70232332</t>
  </si>
  <si>
    <t>TERESIA sheer crtn 1 pr 145x250 whi/rod pock AP JP</t>
  </si>
  <si>
    <t>40621724</t>
  </si>
  <si>
    <t>SNÖRUTA crtns 1pr 145x250 ligreybei whi/flrl ht AP</t>
  </si>
  <si>
    <t>40610730</t>
  </si>
  <si>
    <t>TEMPELFLY crtns 1pr 145x250 wh/bk/heading tape AP</t>
  </si>
  <si>
    <t>60570988</t>
  </si>
  <si>
    <t>IDALINNEA cushion cvr 50x50 dark grey-blue AP</t>
  </si>
  <si>
    <t>50457775</t>
  </si>
  <si>
    <t>BERÄKNA N vase 15 clear glass AP</t>
  </si>
  <si>
    <t>20617582</t>
  </si>
  <si>
    <t>IKEA PS 2026 pre-cut fabr 150x300 wh/mul sma pa AP</t>
  </si>
  <si>
    <t>50503923</t>
  </si>
  <si>
    <t>HEMMAFIXARE shoe box 23x34x19 fa st/wh/gry 2-p AP</t>
  </si>
  <si>
    <t>60442038</t>
  </si>
  <si>
    <t>STILREN vase 22 white AP</t>
  </si>
  <si>
    <t>40582336</t>
  </si>
  <si>
    <t>VILDPERSILJA csh cvr 50x50 blk-grn mult/flr pat AP</t>
  </si>
  <si>
    <t>90601224</t>
  </si>
  <si>
    <t>VARPTROSS floor lamp 118 bamboo KR</t>
  </si>
  <si>
    <t>30617497</t>
  </si>
  <si>
    <t>IKEA PS 2026 cushion cvr 50x50 multicolour AP</t>
  </si>
  <si>
    <t>10625648</t>
  </si>
  <si>
    <t>LAGERPOPPEL cushion cvr 65x65 blue-grey AP</t>
  </si>
  <si>
    <t>60512984</t>
  </si>
  <si>
    <t>SKOVELSJÖN slippers L/XL beige AP</t>
  </si>
  <si>
    <t>10632286</t>
  </si>
  <si>
    <t>HOLMÖARNA mirror 30x18 cloud-shaped AP</t>
  </si>
  <si>
    <t>20561943</t>
  </si>
  <si>
    <t>RÖDFLIK floor/read lamp light beige KR</t>
  </si>
  <si>
    <t>30606333</t>
  </si>
  <si>
    <t>SOLSKYDD Bluetooth speaker 45 white KR</t>
  </si>
  <si>
    <t>70617768</t>
  </si>
  <si>
    <t>KLIPPBOK Matter water leak sensor smart AP</t>
  </si>
  <si>
    <t>40536245</t>
  </si>
  <si>
    <t>ROSENMANDEL blck-out crtns 1 pr 135x250 grey/ht AP</t>
  </si>
  <si>
    <t>10513599</t>
  </si>
  <si>
    <t>HOLMVI throw 120x160 grey AP</t>
  </si>
  <si>
    <t>10599461</t>
  </si>
  <si>
    <t>KÄRRNOCKA ceil lmp 37 white KR</t>
  </si>
  <si>
    <t>00624404</t>
  </si>
  <si>
    <t>SKÅDIS acc s7 multicolour AP</t>
  </si>
  <si>
    <t>90641159</t>
  </si>
  <si>
    <t>ROMELSÖN carrier bag 27x18x27 cmx13 l whale pat AP</t>
  </si>
  <si>
    <t>20561882</t>
  </si>
  <si>
    <t>TIDTABELL rug flatwoven 80x200 beige AP</t>
  </si>
  <si>
    <t>10625097</t>
  </si>
  <si>
    <t>LEN blanket 70x90 pink/knitted AP</t>
  </si>
  <si>
    <t>00357311</t>
  </si>
  <si>
    <t>DVALA N fitt sheet 120x200 white AP</t>
  </si>
  <si>
    <t>00607145</t>
  </si>
  <si>
    <t>KLADDIG bib yellow/white AP</t>
  </si>
  <si>
    <t>80635413</t>
  </si>
  <si>
    <t>VINTERFINT 2026 candlestick 7 Santa boot re/wh AP</t>
  </si>
  <si>
    <t>00626752</t>
  </si>
  <si>
    <t>VATTENKRASSE water can 2.0 l black/gold-colour AP</t>
  </si>
  <si>
    <t>90612779</t>
  </si>
  <si>
    <t>SKATGÅS LED tealight kit w charg tray whi 4-p KR</t>
  </si>
  <si>
    <t>80620336</t>
  </si>
  <si>
    <t>KRONSÅNGARE sc cnd gls 2w 50hr Vanilla/swi wh JPKR</t>
  </si>
  <si>
    <t>50286482</t>
  </si>
  <si>
    <t>GRUMLAN wash-tub white AP JP</t>
  </si>
  <si>
    <t>10637745</t>
  </si>
  <si>
    <t>STJÄRNLUDD vase 12 green AP</t>
  </si>
  <si>
    <t>10468120</t>
  </si>
  <si>
    <t>VARDAGEN stnd f jar w tap dark grey AP</t>
  </si>
  <si>
    <t>30591586</t>
  </si>
  <si>
    <t>STOCKHOLM mirror 60 oak veneer AP</t>
  </si>
  <si>
    <t>80478125</t>
  </si>
  <si>
    <t>PILSKOTT LED flr lamp smart black WW KR</t>
  </si>
  <si>
    <t>10504236</t>
  </si>
  <si>
    <t>SPORTSLIG ball storage/goal AP</t>
  </si>
  <si>
    <t>20633803</t>
  </si>
  <si>
    <t>VINTERFINT 2026 children's hat striped red AP</t>
  </si>
  <si>
    <t>60637093</t>
  </si>
  <si>
    <t>VINTERFINT 2026 tree orn 8 baub gls/mix col 6-p AP</t>
  </si>
  <si>
    <t>50612050</t>
  </si>
  <si>
    <t>BROKGLIM hand towel 40x70 dark blue AP</t>
  </si>
  <si>
    <t>00532126</t>
  </si>
  <si>
    <t>SVINDINGE rug 55x85 beige AP</t>
  </si>
  <si>
    <t>90633395</t>
  </si>
  <si>
    <t>VINTERFINT 2026 deco hanger metal gld-col 50-p AP</t>
  </si>
  <si>
    <t>20609879</t>
  </si>
  <si>
    <t>NYPONBUSKE mirror 65x65 grey-beige AP</t>
  </si>
  <si>
    <t>30313325</t>
  </si>
  <si>
    <t>OSTBIT mug stand bamboo AP CN</t>
  </si>
  <si>
    <t>70629083</t>
  </si>
  <si>
    <t>ÄNGSKORN N mattr protector 150x200 AP</t>
  </si>
  <si>
    <t>70633358</t>
  </si>
  <si>
    <t>VINTERFINT 2026 tree or s32 ba mix sh/wh/goldc AP</t>
  </si>
  <si>
    <t>80522128</t>
  </si>
  <si>
    <t>GRUSNARV N waterpr matt protec 150x200 AP</t>
  </si>
  <si>
    <t>20616318</t>
  </si>
  <si>
    <t>VECKLARFLY ven blind 60x155 bamboo AP</t>
  </si>
  <si>
    <t>70625155</t>
  </si>
  <si>
    <t>ALPTALL dvt cvr+pwc 150x200/50x80 bl/Himalayan AP</t>
  </si>
  <si>
    <t>90633847</t>
  </si>
  <si>
    <t>VINTERFINT 2026 lantern pllr cndl, in/out 44 r AP</t>
  </si>
  <si>
    <t>10485351</t>
  </si>
  <si>
    <t>MÅLA NN apron w long sleeves yellow AP JP</t>
  </si>
  <si>
    <t>10633399</t>
  </si>
  <si>
    <t>VINTERFINT 2026 garland 2.2 m bauble red AP</t>
  </si>
  <si>
    <t>90342551</t>
  </si>
  <si>
    <t>BROGRUND 5-spray handshwr chrome-plated AP</t>
  </si>
  <si>
    <t>70636516</t>
  </si>
  <si>
    <t>VINTERFINT 2026 art flwr 60 in/out Amaryllis/rd AP</t>
  </si>
  <si>
    <t>20636590</t>
  </si>
  <si>
    <t>VINTERFINT 2026 art wreath 60 in/outdoor green AP</t>
  </si>
  <si>
    <t>20563579</t>
  </si>
  <si>
    <t>RÖDFLIK floor/read lamp grey-green KR</t>
  </si>
  <si>
    <t>70614576</t>
  </si>
  <si>
    <t>FLISAT wall stor 70x9x16 green AP</t>
  </si>
  <si>
    <t>20633681</t>
  </si>
  <si>
    <t>VINTERFINT 2026 slippers L/XL grey AP</t>
  </si>
  <si>
    <t>30640346</t>
  </si>
  <si>
    <t>VINTERFINT 2026 tree ornament s3 bauble animals AP</t>
  </si>
  <si>
    <t>90569219</t>
  </si>
  <si>
    <t>ÄNGSFRYLE sheer curtain 1 pc 300x250 whi/ht AP</t>
  </si>
  <si>
    <t>50559726</t>
  </si>
  <si>
    <t>MADONNALILJA chr pad 32 beige AP</t>
  </si>
  <si>
    <t>10636883</t>
  </si>
  <si>
    <t>VINTERFINT 2026 x-mas stocking striped multi AP</t>
  </si>
  <si>
    <t>70638643</t>
  </si>
  <si>
    <t>STRÅLA 2026 LED tbl deco red KR</t>
  </si>
  <si>
    <t>80639920</t>
  </si>
  <si>
    <t>STRÅLA 2026 lampshade 70 pap st/with ho pat whi AP</t>
  </si>
  <si>
    <t>90633215</t>
  </si>
  <si>
    <t>STRÅLA 2026 LED light chain 2.2 m spark/bat-op KR</t>
  </si>
  <si>
    <t>90633239</t>
  </si>
  <si>
    <t>STRÅLA 2026 LED lighting chain battery-op star KR</t>
  </si>
  <si>
    <t>70636385</t>
  </si>
  <si>
    <t>VINTERFINT 2026 art pttdpl 12 in/out Poins/rd AP</t>
  </si>
  <si>
    <t>20636378</t>
  </si>
  <si>
    <t>VINTERFINT 2026 art x-mas tree 180 in/out green AP</t>
  </si>
  <si>
    <t>00616404</t>
  </si>
  <si>
    <t>SOLFIBBLA fitt sheet 150x200 grey white/stripe AP</t>
  </si>
  <si>
    <t>50353688</t>
  </si>
  <si>
    <t>SNABBAKAT sponge pink/orange AP</t>
  </si>
  <si>
    <t>90612133</t>
  </si>
  <si>
    <t>JÄTTEFRÄKEN dc/2pwc 200x230/50x80 whi/dgrey AP</t>
  </si>
  <si>
    <t>90612816</t>
  </si>
  <si>
    <t>SMÅLOM LED taper candle battery-op whi 2-p KR</t>
  </si>
  <si>
    <t>60314309</t>
  </si>
  <si>
    <t>LOMVIKEN frame 50x70 black AP</t>
  </si>
  <si>
    <t>30492299</t>
  </si>
  <si>
    <t>FÖRNUFTIG filter f part removal AP</t>
  </si>
  <si>
    <t>20638607</t>
  </si>
  <si>
    <t>VINTERFINT 2026 tealt hldr/cndle hldr 22 wh/red AP</t>
  </si>
  <si>
    <t>30553589</t>
  </si>
  <si>
    <t>SANNAHED frame 50x50 birch effect AP</t>
  </si>
  <si>
    <t>00628949</t>
  </si>
  <si>
    <t>STRANDMON ftst w stor Talliden beige/brown AP</t>
  </si>
  <si>
    <t>10483880</t>
  </si>
  <si>
    <t>BAGGEBO bookcs 50x25x160 white AP</t>
  </si>
  <si>
    <t>00639957</t>
  </si>
  <si>
    <t>STRÅLA 2026 lampshade 90 paper star/whi gld-col AP</t>
  </si>
  <si>
    <t>10639928</t>
  </si>
  <si>
    <t>STRÅLA 2026 lampshade 70 paper star/green white AP</t>
  </si>
  <si>
    <t>10639966</t>
  </si>
  <si>
    <t>STRÅLA 2026 lampshade 90 paper star/white red AP</t>
  </si>
  <si>
    <t>20635213</t>
  </si>
  <si>
    <t>STRÅLA 2026 LED cndelbr wood leaf/red KR</t>
  </si>
  <si>
    <t>20635369</t>
  </si>
  <si>
    <t>STRÅLA 2026 LED l chain 2.80 m mstltoe bop/gre KR</t>
  </si>
  <si>
    <t>20639904</t>
  </si>
  <si>
    <t>STRÅLA 2026 lampshade 55 paper pleated/star whi AP</t>
  </si>
  <si>
    <t>50635363</t>
  </si>
  <si>
    <t>STRÅLA 2026 LED light chain 2.80 m enve bop/red KR</t>
  </si>
  <si>
    <t>60633231</t>
  </si>
  <si>
    <t>STRÅLA 2026 LED lighting chain battery-op flowe KR</t>
  </si>
  <si>
    <t>60633472</t>
  </si>
  <si>
    <t>STRÅLA 2026 LED lighting chain micro multi KR</t>
  </si>
  <si>
    <t>60639916</t>
  </si>
  <si>
    <t>STRÅLA 2026 lampshade 70 linen star AP</t>
  </si>
  <si>
    <t>60639940</t>
  </si>
  <si>
    <t>STRÅLA 2026 lampshade 70 paper star/white green AP</t>
  </si>
  <si>
    <t>70635357</t>
  </si>
  <si>
    <t>STRÅLA 2026 LED light chain 2.8 m candy bop/red KR</t>
  </si>
  <si>
    <t>80440806</t>
  </si>
  <si>
    <t>UPPLYST LED wll lmp heart pink KR</t>
  </si>
  <si>
    <t>90442678</t>
  </si>
  <si>
    <t>NATTJASMIN fitt sheet 180x200 dark grey AP</t>
  </si>
  <si>
    <t>00605250</t>
  </si>
  <si>
    <t>MARIUS stool 45 red-brown AP</t>
  </si>
  <si>
    <t>90601988</t>
  </si>
  <si>
    <t>BILD poster 40x50 strawberry rabbit AP</t>
  </si>
  <si>
    <t>90342773</t>
  </si>
  <si>
    <t>ULLVIDE fitt sheet 180x200 dark blue AP JP</t>
  </si>
  <si>
    <t>00615273</t>
  </si>
  <si>
    <t>FEJKA NN artifi pttd plant 15 in/out eucal AP</t>
  </si>
  <si>
    <t>00476521</t>
  </si>
  <si>
    <t>LIXHULT cabinet 35x60 metal/anthracite AP</t>
  </si>
  <si>
    <t>70580072</t>
  </si>
  <si>
    <t>ZEBRASÄV pend lmp 46 white/plastic KR</t>
  </si>
  <si>
    <t>20592256</t>
  </si>
  <si>
    <t>TRÖSKNING bin w lid 25 l light grey-blue AP</t>
  </si>
  <si>
    <t>30623865</t>
  </si>
  <si>
    <t>BILD poster 21x30 Nordic landscape 3-p AP</t>
  </si>
  <si>
    <t>90567734</t>
  </si>
  <si>
    <t>SLIBB N washing bag white/grey AP</t>
  </si>
  <si>
    <t>22121SUPUE069197</t>
  </si>
  <si>
    <t>10641002</t>
  </si>
  <si>
    <t>KONCIS turner 29 stainless steel dark grey AP</t>
  </si>
  <si>
    <t>30289245</t>
  </si>
  <si>
    <t>VÖRDA vegetable knife 16 black AP JP</t>
  </si>
  <si>
    <t>00614570</t>
  </si>
  <si>
    <t>SJUGÄLSHAJ cutlery s24 stainless steel AP</t>
  </si>
  <si>
    <t>90623891</t>
  </si>
  <si>
    <t>NATTKLOT cutlery s24 gold-colour AP</t>
  </si>
  <si>
    <t>90634333</t>
  </si>
  <si>
    <t>UPPFYLLD peeler black-grey AP</t>
  </si>
  <si>
    <t>80625414</t>
  </si>
  <si>
    <t>FRUKTDUVA goblet 27 cl clear glass AP</t>
  </si>
  <si>
    <t>60607406</t>
  </si>
  <si>
    <t>HAVSGÄDDA bowl 12 stripe pattern/pink AP</t>
  </si>
  <si>
    <t>60565699</t>
  </si>
  <si>
    <t>SILVERSIDA bowl 11 patterned/blue 3-p AP</t>
  </si>
  <si>
    <t>10581499</t>
  </si>
  <si>
    <t>VARDAGEN skimmer 32 stainless steel/beech AP</t>
  </si>
  <si>
    <t>80523444</t>
  </si>
  <si>
    <t>HALVTOM salt/pepper shakers 12 glass/brown 2-p AP</t>
  </si>
  <si>
    <t>10603057</t>
  </si>
  <si>
    <t>SANDLÖPARE soft toy 45 giraffe calf/brown AP</t>
  </si>
  <si>
    <t>258DT260904726418</t>
  </si>
  <si>
    <t>258DT260909726619</t>
  </si>
  <si>
    <t>277DT260909726620</t>
  </si>
  <si>
    <t>319DT260909726422</t>
  </si>
  <si>
    <t>294DT260909726421</t>
  </si>
  <si>
    <t>23273SUP3650820</t>
  </si>
  <si>
    <t>50534038</t>
  </si>
  <si>
    <t>JÄNKIG wll clock 30 copper-colour LVM AP</t>
  </si>
  <si>
    <t>00632135</t>
  </si>
  <si>
    <t>DRÖNA box 18x25x15 black 3-p AP</t>
  </si>
  <si>
    <t>00169070</t>
  </si>
  <si>
    <t>LEN N duvet f cot 110x125 white AP JP</t>
  </si>
  <si>
    <t>60340049</t>
  </si>
  <si>
    <t>EKET susp rl 35 AP</t>
  </si>
  <si>
    <t>50609236</t>
  </si>
  <si>
    <t>IKEA PS LÖMSK slipcvr f child swi armc blu/shrk AP</t>
  </si>
  <si>
    <t>50615336</t>
  </si>
  <si>
    <t>FEJKA N artifi pttd plant 9 Orchid white AP</t>
  </si>
  <si>
    <t>70609235</t>
  </si>
  <si>
    <t>IKEA PS LÖMSK child swivel armchair whi bei/red AP</t>
  </si>
  <si>
    <t>50606087</t>
  </si>
  <si>
    <t>SMYCKA N art flower 60 in/out Lisianthus/whi AP</t>
  </si>
  <si>
    <t>10567771</t>
  </si>
  <si>
    <t>SLIBB large peg blue/green 2-p AP</t>
  </si>
  <si>
    <t>40603254</t>
  </si>
  <si>
    <t>SANDLÖPARE dvt cvr+pwc 150x200/50x80 mlt/savann AP</t>
  </si>
  <si>
    <t>30604895</t>
  </si>
  <si>
    <t>OMTRENT hanger conn grey 10-p AP</t>
  </si>
  <si>
    <t>50625463</t>
  </si>
  <si>
    <t>DYTÅG cushion cvr 50x50 pink AP</t>
  </si>
  <si>
    <t>00652430</t>
  </si>
  <si>
    <t>STIG bar stool/backr 63 contr hght whi/whi AP JP</t>
  </si>
  <si>
    <t>40624751</t>
  </si>
  <si>
    <t>ÄNGSFRÄKEN chr pad 36 dark beige/in/outdoor AP</t>
  </si>
  <si>
    <t>80628691</t>
  </si>
  <si>
    <t>ÅRSJÖN hanger f dr/wll black AP</t>
  </si>
  <si>
    <t>20622951</t>
  </si>
  <si>
    <t>KONSTRUNDA vase 28 black AP</t>
  </si>
  <si>
    <t>30622719</t>
  </si>
  <si>
    <t>BARNDRÖM fitt sheet 90x200 whi/vehicles 1-p AP</t>
  </si>
  <si>
    <t>10383480</t>
  </si>
  <si>
    <t>NORDLI N top+plnth 160x47 white AP</t>
  </si>
  <si>
    <t>70365176</t>
  </si>
  <si>
    <t>MAMMUT N children's table 77x55 in/outdoor whi AP</t>
  </si>
  <si>
    <t>90561765</t>
  </si>
  <si>
    <t>GULLABERG bds table 38x40x75 w 1 drwr w door/wh AP</t>
  </si>
  <si>
    <t>21985SUPECIS43326</t>
  </si>
  <si>
    <t>60376482</t>
  </si>
  <si>
    <t>SOPPROT pull-out stor 17x46x20.5 transp whit AP CN</t>
  </si>
  <si>
    <t>HLCUTS12609CESE3</t>
  </si>
  <si>
    <t>HAMU4368269</t>
  </si>
  <si>
    <t>030TSOS10000136019</t>
  </si>
  <si>
    <t>4.092924</t>
  </si>
  <si>
    <t>4.302985</t>
  </si>
  <si>
    <t>HLK7232702</t>
  </si>
  <si>
    <t>MAERSK CAMDEN</t>
  </si>
  <si>
    <t>639E</t>
  </si>
  <si>
    <t>MAEUIK0221971</t>
  </si>
  <si>
    <t>MRSU8925955</t>
  </si>
  <si>
    <t>037TSOS10000697558</t>
  </si>
  <si>
    <t>3.150468</t>
  </si>
  <si>
    <t>3.612943</t>
  </si>
  <si>
    <t>CN9114017</t>
  </si>
  <si>
    <t>640E</t>
  </si>
  <si>
    <t>MAEUIK0222989</t>
  </si>
  <si>
    <t>MRSU4757956</t>
  </si>
  <si>
    <t>037TSOS10000702946</t>
  </si>
  <si>
    <t>2.850017</t>
  </si>
  <si>
    <t>3.039572</t>
  </si>
  <si>
    <t>CN9162044</t>
  </si>
  <si>
    <t>MAEUIK0223295</t>
  </si>
  <si>
    <t>TCNU5314437</t>
  </si>
  <si>
    <t>012TSOS10000407873</t>
  </si>
  <si>
    <t>56.914439</t>
  </si>
  <si>
    <t>61.256584</t>
  </si>
  <si>
    <t>CN8689338</t>
  </si>
  <si>
    <t>MAERSK NANSHA</t>
  </si>
  <si>
    <t>638N</t>
  </si>
  <si>
    <t>MAEUIK0223462</t>
  </si>
  <si>
    <t>MRKU5372869</t>
  </si>
  <si>
    <t>037TSOS10000705144</t>
  </si>
  <si>
    <t>STCHE41</t>
  </si>
  <si>
    <t>4.860378</t>
  </si>
  <si>
    <t>5.169508</t>
  </si>
  <si>
    <t>CN9165179</t>
  </si>
  <si>
    <t>GRETE MAERSK</t>
  </si>
  <si>
    <t>MAEUIK0223705</t>
  </si>
  <si>
    <t>SEKU4693020</t>
  </si>
  <si>
    <t>037TSOS10000706357</t>
  </si>
  <si>
    <t>3.210258</t>
  </si>
  <si>
    <t>3.416365</t>
  </si>
  <si>
    <t>CN9221895</t>
  </si>
  <si>
    <t>OOLU2173978340</t>
  </si>
  <si>
    <t>OOLU9923069</t>
  </si>
  <si>
    <t>030TSOS10000135318</t>
  </si>
  <si>
    <t>2.13408</t>
  </si>
  <si>
    <t>2.227652</t>
  </si>
  <si>
    <t>OOLLGT8613</t>
  </si>
  <si>
    <t>373-STO-S10000031366</t>
  </si>
  <si>
    <t>373-STO-S10000031367</t>
  </si>
  <si>
    <t>MAEUIK0220633</t>
  </si>
  <si>
    <t>MIEU4026408</t>
  </si>
  <si>
    <t>258DTS10000201056</t>
  </si>
  <si>
    <t>5.167979</t>
  </si>
  <si>
    <t>5.57277518</t>
  </si>
  <si>
    <t>CN7277908</t>
  </si>
  <si>
    <t>43.098395</t>
  </si>
  <si>
    <t>46.33617804</t>
  </si>
  <si>
    <t>MAEUIK0220641</t>
  </si>
  <si>
    <t>MIEU4024977</t>
  </si>
  <si>
    <t>258DTS10000201064</t>
  </si>
  <si>
    <t>7.235952</t>
  </si>
  <si>
    <t>7.84381039</t>
  </si>
  <si>
    <t>CN7277998</t>
  </si>
  <si>
    <t>40.904855</t>
  </si>
  <si>
    <t>44.13954984</t>
  </si>
  <si>
    <t>MAEUIK0221076</t>
  </si>
  <si>
    <t>MIEU3937673</t>
  </si>
  <si>
    <t>258DTS10000201515</t>
  </si>
  <si>
    <t>15.890792</t>
  </si>
  <si>
    <t>17.13080399</t>
  </si>
  <si>
    <t>CN7277991</t>
  </si>
  <si>
    <t>32.237779</t>
  </si>
  <si>
    <t>34.78955881</t>
  </si>
  <si>
    <t>MAEUIK0221456</t>
  </si>
  <si>
    <t>MRKU5905253</t>
  </si>
  <si>
    <t>258DTS10000201885</t>
  </si>
  <si>
    <t>52.9611</t>
  </si>
  <si>
    <t>56.90923493</t>
  </si>
  <si>
    <t>CN8117899</t>
  </si>
  <si>
    <t>2.79726</t>
  </si>
  <si>
    <t>2.985278</t>
  </si>
  <si>
    <t>0.524288</t>
  </si>
  <si>
    <t>0.556875</t>
  </si>
  <si>
    <t>MAEUIK0222031</t>
  </si>
  <si>
    <t>MIEU4248386</t>
  </si>
  <si>
    <t>258DTS10000202574</t>
  </si>
  <si>
    <t>55.448337</t>
  </si>
  <si>
    <t>60.24409681</t>
  </si>
  <si>
    <t>CN8245186</t>
  </si>
  <si>
    <t>MAEUIK0222039</t>
  </si>
  <si>
    <t>MRKU4820043</t>
  </si>
  <si>
    <t>258DTS10000202591</t>
  </si>
  <si>
    <t>51.132604</t>
  </si>
  <si>
    <t>54.87575878</t>
  </si>
  <si>
    <t>CN8163314</t>
  </si>
  <si>
    <t>4.413674</t>
  </si>
  <si>
    <t>4.713329</t>
  </si>
  <si>
    <t>MAEUIK0222603</t>
  </si>
  <si>
    <t>CAJU5753527</t>
  </si>
  <si>
    <t>258DTS10000203144</t>
  </si>
  <si>
    <t>48.972276</t>
  </si>
  <si>
    <t>52.63371671</t>
  </si>
  <si>
    <t>CN8245126</t>
  </si>
  <si>
    <t>6.940198</t>
  </si>
  <si>
    <t>7.441753</t>
  </si>
  <si>
    <t>MAEUIK0222710</t>
  </si>
  <si>
    <t>MRSU1022546</t>
  </si>
  <si>
    <t>258DTS10000203337</t>
  </si>
  <si>
    <t>6.149453</t>
  </si>
  <si>
    <t>6.65149144</t>
  </si>
  <si>
    <t>CN7985705</t>
  </si>
  <si>
    <t>14.877858</t>
  </si>
  <si>
    <t>16.06395881</t>
  </si>
  <si>
    <t>MAEUIK0222834</t>
  </si>
  <si>
    <t>MIEU4249438</t>
  </si>
  <si>
    <t>037TSOS10000702465</t>
  </si>
  <si>
    <t>5.067238</t>
  </si>
  <si>
    <t>5.435276</t>
  </si>
  <si>
    <t>CN8245167</t>
  </si>
  <si>
    <t>MAEUIK0223461</t>
  </si>
  <si>
    <t>TIIU8681482</t>
  </si>
  <si>
    <t>037TSOS10000705057</t>
  </si>
  <si>
    <t>9.975374</t>
  </si>
  <si>
    <t>10.633009</t>
  </si>
  <si>
    <t>CN8050045</t>
  </si>
  <si>
    <t>258DT260914726883</t>
  </si>
  <si>
    <t>277DT260914726884</t>
  </si>
  <si>
    <t>50339918</t>
  </si>
  <si>
    <t>FITTONIA potted plant 10 mosaic plant/assorted KR</t>
  </si>
  <si>
    <t>22715SUPECIS75417</t>
  </si>
  <si>
    <t>60615048</t>
  </si>
  <si>
    <t>GULLSTRÅLE bdsprd 150x250 light beige AP</t>
  </si>
  <si>
    <t>60633801</t>
  </si>
  <si>
    <t>VINTERFINT 2026 apron child 4-7 striped red AP</t>
  </si>
  <si>
    <t>70584089</t>
  </si>
  <si>
    <t>SOLHETTA N2 GU10 230lm 3-p KR</t>
  </si>
  <si>
    <t>20608399</t>
  </si>
  <si>
    <t>LOTSFÅGEL scntd cndl in gl 40hr Citrus flo lyel KR</t>
  </si>
  <si>
    <t>40608690</t>
  </si>
  <si>
    <t>LOTSFÅGEL scnt tealt 3.5 hr Fresh linen whi 30p KR</t>
  </si>
  <si>
    <t>60608694</t>
  </si>
  <si>
    <t>LOTSFÅGEL scnt tealt 3.5 hr Citrus fl lyel 30-p KR</t>
  </si>
  <si>
    <t>10633945</t>
  </si>
  <si>
    <t>VINTERFINT 2026 tray 43 multicolour AP</t>
  </si>
  <si>
    <t>80608462</t>
  </si>
  <si>
    <t>LOTSFÅGEL scntd cndl in gl 20hr Sn/ptcho brn JPKR</t>
  </si>
  <si>
    <t>00598216</t>
  </si>
  <si>
    <t>ISMANTORP ach met ligreybei/Tibbleby lbeige AP</t>
  </si>
  <si>
    <t>00629680</t>
  </si>
  <si>
    <t>KJUGE pouffe w stor Vissle deep green AP</t>
  </si>
  <si>
    <t>21072SUPECIS76672</t>
  </si>
  <si>
    <t>10610996</t>
  </si>
  <si>
    <t>KLIPPKAKTUS storage box f fridge s3 transparent AP</t>
  </si>
  <si>
    <t>HDMUSHAA76297500</t>
  </si>
  <si>
    <t>HMMU6402820</t>
  </si>
  <si>
    <t>258DT260910726707</t>
  </si>
  <si>
    <t>258DTS10000203479</t>
  </si>
  <si>
    <t>51.017335</t>
  </si>
  <si>
    <t>54.77982433</t>
  </si>
  <si>
    <t>26H0550620</t>
  </si>
  <si>
    <t>HMM DAON</t>
  </si>
  <si>
    <t>0023E</t>
  </si>
  <si>
    <t>277DT260910726708</t>
  </si>
  <si>
    <t>4.080723</t>
  </si>
  <si>
    <t>4.382969</t>
  </si>
  <si>
    <t>INVHLCUTS12609CESE3</t>
  </si>
  <si>
    <t>INVMAEUIK0221971</t>
  </si>
  <si>
    <t>INVMAEUIK0222989</t>
  </si>
  <si>
    <t>INVMAEUIK0223295</t>
  </si>
  <si>
    <t>INVMAEUIK0223462</t>
  </si>
  <si>
    <t>INVMAEUIK0223705</t>
  </si>
  <si>
    <t>INVOOLU2173978340</t>
  </si>
  <si>
    <t>373-STO-S10000031396</t>
  </si>
  <si>
    <t>373-STO-S10000031399</t>
  </si>
  <si>
    <t>MAEUIK0223255</t>
  </si>
  <si>
    <t>TIIU8412930</t>
  </si>
  <si>
    <t>258DTS10000203910</t>
  </si>
  <si>
    <t>51.709412</t>
  </si>
  <si>
    <t>55.7052354</t>
  </si>
  <si>
    <t>CN8244905</t>
  </si>
  <si>
    <t>INVMAEUIK0223255</t>
  </si>
  <si>
    <t>3.659762</t>
  </si>
  <si>
    <t>3.94948725</t>
  </si>
  <si>
    <t>INVMAEUIK0220633</t>
  </si>
  <si>
    <t>INVMAEUIK0220641</t>
  </si>
  <si>
    <t>INVMAEUIK0221076</t>
  </si>
  <si>
    <t>INVMAEUIK0221456</t>
  </si>
  <si>
    <t>INVMAEUIK0222031</t>
  </si>
  <si>
    <t>INVMAEUIK0222039</t>
  </si>
  <si>
    <t>INVMAEUIK0222603</t>
  </si>
  <si>
    <t>INVMAEUIK0222710</t>
  </si>
  <si>
    <t>INVMAEUIK0222834</t>
  </si>
  <si>
    <t>INVMAEUIK0223461</t>
  </si>
  <si>
    <t>FEJKA artifi pttd plnts3in/outSucculent/off-whi AP</t>
  </si>
  <si>
    <t>10524550</t>
  </si>
  <si>
    <t>KÖRSBÄRSTRÄD candle snuffer 33 black AP</t>
  </si>
  <si>
    <t>60638304</t>
  </si>
  <si>
    <t>KRONBUSKE fitt sheet 180x200 lbeige/flrl patt AP</t>
  </si>
  <si>
    <t>10571527</t>
  </si>
  <si>
    <t>LÅNESPELARE mug holder ash veneer AP</t>
  </si>
  <si>
    <t>10621443</t>
  </si>
  <si>
    <t>BÄRGLIM fitt sheet 180x200 grey AP</t>
  </si>
  <si>
    <t>60461630</t>
  </si>
  <si>
    <t>LUDDROS mattr protector 120x200 AP</t>
  </si>
  <si>
    <t>70624797</t>
  </si>
  <si>
    <t>LILLHULT N3 USB-A to lightning 1.5 m drk rbr AP</t>
  </si>
  <si>
    <t>50637606</t>
  </si>
  <si>
    <t>STILREN vase 12 light pink AP</t>
  </si>
  <si>
    <t>80208671</t>
  </si>
  <si>
    <t>TORKAD kitchen roll holder silver-colour AP JP</t>
  </si>
  <si>
    <t>19720SUPECIS214865</t>
  </si>
  <si>
    <t>80359207</t>
  </si>
  <si>
    <t>IKEA 365+ food cntnr 600 ml square/glass AP</t>
  </si>
  <si>
    <t>80463708</t>
  </si>
  <si>
    <t>MIDDAGSMAT pot w lid 5 l cl gls/stnls AP</t>
  </si>
  <si>
    <t>30534384</t>
  </si>
  <si>
    <t>KACKLA extndbl box 25-38x19 white AP</t>
  </si>
  <si>
    <t>INVHDMUSHAA76297500</t>
  </si>
  <si>
    <t>373-STO-S10000031429</t>
  </si>
  <si>
    <t>373-STO-S10000031428</t>
  </si>
  <si>
    <t>373-STO-S10000031430</t>
  </si>
  <si>
    <t>161차 FOOD CONTACT/10-01전량통관완료</t>
  </si>
  <si>
    <t>60611861</t>
  </si>
  <si>
    <t>TOFTBO N bath mat 40x60 light green AP</t>
  </si>
  <si>
    <t>90565853</t>
  </si>
  <si>
    <t>RINNIG clean glvs M bright yellow/off-white AP</t>
  </si>
  <si>
    <t>90618371</t>
  </si>
  <si>
    <t>HAVSBRAXEN tray 43 patterned multicolour AP</t>
  </si>
  <si>
    <t>70630048</t>
  </si>
  <si>
    <t>FEJKA artifi pttd plant kangaroo AP</t>
  </si>
  <si>
    <t>90632447</t>
  </si>
  <si>
    <t>ÄNGSLILJA dc/2pwc 240x220/50x80 pale grey-green AP</t>
  </si>
  <si>
    <t>90486648</t>
  </si>
  <si>
    <t>OLIVBLAD plant stand 58 in/outdoor black AP</t>
  </si>
  <si>
    <t>90486653</t>
  </si>
  <si>
    <t>OLIVBLAD plant stand 35 in/outdoor black AP</t>
  </si>
  <si>
    <t>80607033</t>
  </si>
  <si>
    <t>BLADFÅGEL tealt hldr 3 pink AP</t>
  </si>
  <si>
    <t>90610916</t>
  </si>
  <si>
    <t>SOLFIBBLA dc/2pwc 240x220/50x80 grey whi/stripe AP</t>
  </si>
  <si>
    <t>40494783</t>
  </si>
  <si>
    <t>HÅRGÄNGEL ergo pllw side/back sleeper 41x71 lbl AP</t>
  </si>
  <si>
    <t>70612186</t>
  </si>
  <si>
    <t>SOLFIBBLA dc/2pwc 240x220/50x80 whi blue/stripe AP</t>
  </si>
  <si>
    <t>10337167</t>
  </si>
  <si>
    <t>NATTJASMIN dc/2pwc 240x220/50x80 white AP</t>
  </si>
  <si>
    <t>30636472</t>
  </si>
  <si>
    <t>VINTERFINT 2026 tea to 45x60 striped red/tur 2p AP</t>
  </si>
  <si>
    <t>50591175</t>
  </si>
  <si>
    <t>BJÖRKGRÅMAL dc/2pwc 240x220/50x80 blk whi/dott AP</t>
  </si>
  <si>
    <t>50318553</t>
  </si>
  <si>
    <t>ÄNGSLILJA dc/2pwc 240x220/50x80 white AP JP</t>
  </si>
  <si>
    <t>60584023</t>
  </si>
  <si>
    <t>SOLHETTA N2 E14 470 lm chandelier/opalwhi 2-p KR</t>
  </si>
  <si>
    <t>40610947</t>
  </si>
  <si>
    <t>SOLFIBBLA dc/2pwc 240x220/50x80 whi bei/stripe AP</t>
  </si>
  <si>
    <t>20611453</t>
  </si>
  <si>
    <t>VÄXELFEL rug low pile 160x230 off-white AP</t>
  </si>
  <si>
    <t>40501321</t>
  </si>
  <si>
    <t>PERJOHAN stool w storage pine AP</t>
  </si>
  <si>
    <t>90619139</t>
  </si>
  <si>
    <t>HÄRMHÖK lavender bag 7 g white/lilac AP</t>
  </si>
  <si>
    <t>70544871</t>
  </si>
  <si>
    <t>SKOGSTA N chr acacia AP</t>
  </si>
  <si>
    <t>00614495</t>
  </si>
  <si>
    <t>GULLDYNA hand towel 40x70 beige AP</t>
  </si>
  <si>
    <t>60336778</t>
  </si>
  <si>
    <t>NYMÅNE floor/read lamp white KR</t>
  </si>
  <si>
    <t>40637739</t>
  </si>
  <si>
    <t>FRÖVÄXT vase 10 pink AP</t>
  </si>
  <si>
    <t>40601995</t>
  </si>
  <si>
    <t>BILD poster 50x70 various vegetables AP</t>
  </si>
  <si>
    <t>60618004</t>
  </si>
  <si>
    <t>VÄLVÅRDAD tea towel 45x60 blue/white 2-p AP</t>
  </si>
  <si>
    <t>70637728</t>
  </si>
  <si>
    <t>BLODBJÖRK vase 25 beige AP</t>
  </si>
  <si>
    <t>30563705</t>
  </si>
  <si>
    <t>TIPPVAGN hook self-adh house/white 2-p AP</t>
  </si>
  <si>
    <t>60545852</t>
  </si>
  <si>
    <t>VÅRARV place mat 35x45 dark grey/natural AP</t>
  </si>
  <si>
    <t>60636908</t>
  </si>
  <si>
    <t>TJASSIE chr pad 40x39x7 blue whi/check pattern AP</t>
  </si>
  <si>
    <t>20597485</t>
  </si>
  <si>
    <t>ALEX drawer insert 52x30 grey AP</t>
  </si>
  <si>
    <t>10637726</t>
  </si>
  <si>
    <t>PÄRLHÄGG vase 14 light pink AP</t>
  </si>
  <si>
    <t>50634373</t>
  </si>
  <si>
    <t>VINTERFINT 2026 cushion cvr 50x50 check patt re AP</t>
  </si>
  <si>
    <t>80528502</t>
  </si>
  <si>
    <t>BERGLÄRKA desk top/shelf 100x70 white AP</t>
  </si>
  <si>
    <t>00515495</t>
  </si>
  <si>
    <t>DRÖNJÖNS stor box 33x37x33 white AP</t>
  </si>
  <si>
    <t>10342729</t>
  </si>
  <si>
    <t>ULLVIDE fitt sheet 90x200 white AP JP</t>
  </si>
  <si>
    <t>40579089</t>
  </si>
  <si>
    <t>PILTANDVINGE dc/2pwc 200x230/50x80 grey AP</t>
  </si>
  <si>
    <t>80320804</t>
  </si>
  <si>
    <t>SKÅDIS pgbrd 36x56 white AP CN</t>
  </si>
  <si>
    <t>21072SUPECIS76737</t>
  </si>
  <si>
    <t>90569988</t>
  </si>
  <si>
    <t>VALEVÅG pckt spr matt 120x200 super firm/lblue AP</t>
  </si>
  <si>
    <t>30607709</t>
  </si>
  <si>
    <t>HAVSBRAXEN paper napkin 33x33 patt multi 30-p AP</t>
  </si>
  <si>
    <t>20615521</t>
  </si>
  <si>
    <t>LUNGROT chopsticks w spoon f cooking, 1 pr AP</t>
  </si>
  <si>
    <t>40631474</t>
  </si>
  <si>
    <t>FJÄLLRÖDING nakiri knife 18 damascus steel/blk AP</t>
  </si>
  <si>
    <t>30609812</t>
  </si>
  <si>
    <t>FÄRGKLAR bowl 12 matt light grey AP</t>
  </si>
  <si>
    <t>60609801</t>
  </si>
  <si>
    <t>FÄRGKLAR bowl 16 matt light grey AP</t>
  </si>
  <si>
    <t>MAEUIK0221781</t>
  </si>
  <si>
    <t>MRSU8207201</t>
  </si>
  <si>
    <t>037TSOS10000696885</t>
  </si>
  <si>
    <t>1.654892</t>
  </si>
  <si>
    <t>1.816962</t>
  </si>
  <si>
    <t>641W</t>
  </si>
  <si>
    <t>5.38544</t>
  </si>
  <si>
    <t>5.778072</t>
  </si>
  <si>
    <t>5.450924</t>
  </si>
  <si>
    <t>5.964042</t>
  </si>
  <si>
    <t>7.162512</t>
  </si>
  <si>
    <t>7.840485</t>
  </si>
  <si>
    <t>PLISH7H50874</t>
  </si>
  <si>
    <t>HLHU8363061</t>
  </si>
  <si>
    <t>037TSOS10000709772</t>
  </si>
  <si>
    <t>5.768894</t>
  </si>
  <si>
    <t>6.136606</t>
  </si>
  <si>
    <t>123123</t>
  </si>
  <si>
    <t>2626E</t>
  </si>
  <si>
    <t>373-STO-S10000031465</t>
  </si>
  <si>
    <t>373-STO-S10000031466</t>
  </si>
  <si>
    <t>373-STO-S10000031446</t>
  </si>
  <si>
    <t>MAEUIK0223577</t>
  </si>
  <si>
    <t>MRSU5757550</t>
  </si>
  <si>
    <t>294DT260915726855</t>
  </si>
  <si>
    <t>258DTS10000204304</t>
  </si>
  <si>
    <t>19.32211</t>
  </si>
  <si>
    <t>20.8353857</t>
  </si>
  <si>
    <t>CN8156664</t>
  </si>
  <si>
    <t>641N</t>
  </si>
  <si>
    <t>319DT260915726856</t>
  </si>
  <si>
    <t>28.816277</t>
  </si>
  <si>
    <t>31.0254344</t>
  </si>
  <si>
    <t>258DT260930726823</t>
  </si>
  <si>
    <t>60339908</t>
  </si>
  <si>
    <t>KALANCHOE potted plant 10 Flaming Katy assorted KR</t>
  </si>
  <si>
    <t>258DT260921726283</t>
  </si>
  <si>
    <t>90636596</t>
  </si>
  <si>
    <t>VINTERFINT 2026 art garland 3 m in/out/wntr AP</t>
  </si>
  <si>
    <t>90620449</t>
  </si>
  <si>
    <t>FLODKRÄFTA clock 8x15x4 green/pink LVM AP</t>
  </si>
  <si>
    <t>90605142</t>
  </si>
  <si>
    <t>FLORSJÖN wll shlf w 3 hooks 40x7 beige AP</t>
  </si>
  <si>
    <t>00619290</t>
  </si>
  <si>
    <t>LILLHULT N3 USB-C to USB-C 1.5 m orange/lilac AP</t>
  </si>
  <si>
    <t>60636277</t>
  </si>
  <si>
    <t>VINTERFINT 2026 place mat 45x35 red AP</t>
  </si>
  <si>
    <t>90637058</t>
  </si>
  <si>
    <t>ARENBOK dc/pwc 150x200/50x80 dblue/flrl patt AP</t>
  </si>
  <si>
    <t>90614735</t>
  </si>
  <si>
    <t>BRUDKRUSBÄR dc/2pwc 200x230/50x80 whi mli/flr p AP</t>
  </si>
  <si>
    <t>00615466</t>
  </si>
  <si>
    <t>DVALA N pwc 50x80 blue 2-p AP</t>
  </si>
  <si>
    <t>80474783</t>
  </si>
  <si>
    <t>ELLOVEN monitor stand with drawer white AP</t>
  </si>
  <si>
    <t>90632616</t>
  </si>
  <si>
    <t>VIDEOXBÄR dc/2pwc 200x230/50x80 whi/multi AP</t>
  </si>
  <si>
    <t>10551044</t>
  </si>
  <si>
    <t>UPPDATERA drawer mat 50x48 grey AP</t>
  </si>
  <si>
    <t>00442673</t>
  </si>
  <si>
    <t>NATTJASMIN fitt sheet 150x200 dark grey AP</t>
  </si>
  <si>
    <t>10594623</t>
  </si>
  <si>
    <t>KINNASJÖ waste bin 4 l with lid self-adh/green AP</t>
  </si>
  <si>
    <t>60609410</t>
  </si>
  <si>
    <t>GETKÅL LED lght chain 14.6m adjust color out CS KR</t>
  </si>
  <si>
    <t>60621445</t>
  </si>
  <si>
    <t>BÄRGLIM fitt sheet 90x200 grey AP</t>
  </si>
  <si>
    <t>20550039</t>
  </si>
  <si>
    <t>RÖDALM frame 13x18 walnut effect AP</t>
  </si>
  <si>
    <t>00165128</t>
  </si>
  <si>
    <t>TÄRNÖ chair out foldable blk/lbrwn stnd AP JP</t>
  </si>
  <si>
    <t>40635194</t>
  </si>
  <si>
    <t>STRÅLA 2026 LED cndl battery-operated/wood blac KR</t>
  </si>
  <si>
    <t>70342769</t>
  </si>
  <si>
    <t>ULLVIDE fitt sheet 150x200 dark blue AP</t>
  </si>
  <si>
    <t>80424383</t>
  </si>
  <si>
    <t>TJÄRBLOMSTER bdsprd 150x210 grey AP</t>
  </si>
  <si>
    <t>90604864</t>
  </si>
  <si>
    <t>FLORSJÖN hook beige 2-p AP</t>
  </si>
  <si>
    <t>40530267</t>
  </si>
  <si>
    <t>STÄLL N shoe cab 4 comp 96x17x90 white AP</t>
  </si>
  <si>
    <t>40587881</t>
  </si>
  <si>
    <t>SANDVIVA apron 69x85 dark grey AP</t>
  </si>
  <si>
    <t>80415595</t>
  </si>
  <si>
    <t>EKRAR hat/coat stand 169 white AP</t>
  </si>
  <si>
    <t>60595837</t>
  </si>
  <si>
    <t>NATTJASMIN dc/pwc 150x200/50x80 blue-green AP</t>
  </si>
  <si>
    <t>40357248</t>
  </si>
  <si>
    <t>DVALA N pwc 50x80 black 2-p AP</t>
  </si>
  <si>
    <t>20484011</t>
  </si>
  <si>
    <t>HILDEGUN tea towel 45x60 red AP</t>
  </si>
  <si>
    <t>80618098</t>
  </si>
  <si>
    <t>UPPDATERA N utensil tray 10x50 bamboo AP</t>
  </si>
  <si>
    <t>20337181</t>
  </si>
  <si>
    <t>NATTJASMIN dc/pwc 150x200/50x80 white AP</t>
  </si>
  <si>
    <t>10623357</t>
  </si>
  <si>
    <t>BILD poster 40x50 Nordic flowers AP</t>
  </si>
  <si>
    <t>90388394</t>
  </si>
  <si>
    <t>SIGFINN monitor stand fixed height bamboo ven APCN</t>
  </si>
  <si>
    <t>90601083</t>
  </si>
  <si>
    <t>KOSINGEN box 33x38x33 light grey AP</t>
  </si>
  <si>
    <t>20613447</t>
  </si>
  <si>
    <t>TROTTEN N tbl tp 120x70 white AP</t>
  </si>
  <si>
    <t>40626420</t>
  </si>
  <si>
    <t>ÅSVEIG cushion cvr 50x50 light beige AP</t>
  </si>
  <si>
    <t>70371224</t>
  </si>
  <si>
    <t>KUNGSFORS shelf 60 ash veneer AP</t>
  </si>
  <si>
    <t>30623422</t>
  </si>
  <si>
    <t>GURLI N floor cushion 45x45x10 blue AP</t>
  </si>
  <si>
    <t>40628240</t>
  </si>
  <si>
    <t>LÖVNATURSKOG cushion cvr 50x50 multicolour AP</t>
  </si>
  <si>
    <t>00636322</t>
  </si>
  <si>
    <t>VINTERFINT 2026 cushion cvr 50x50 Xmas tree red AP</t>
  </si>
  <si>
    <t>70635526</t>
  </si>
  <si>
    <t>KORALLBUSKE pre-cut fabr 150x300 dblu/re str pa AP</t>
  </si>
  <si>
    <t>90583710</t>
  </si>
  <si>
    <t>VECKLARFLY ven blind 80x155 white AP</t>
  </si>
  <si>
    <t>90292358</t>
  </si>
  <si>
    <t>KNAGGLIG box 46x31x25 pine AP CN</t>
  </si>
  <si>
    <t>40522050</t>
  </si>
  <si>
    <t>FYLLEN NN laund bskt 79 l white AP CN</t>
  </si>
  <si>
    <t>00548293</t>
  </si>
  <si>
    <t>IDALINNEA cushion cvr 50x50 anthracite AP</t>
  </si>
  <si>
    <t>60470045</t>
  </si>
  <si>
    <t>TIPHEDE rug flatwoven 155x220 black/natural AP</t>
  </si>
  <si>
    <t>70625650</t>
  </si>
  <si>
    <t>LAGERPOPPEL cushion cvr 65x65 light pink AP</t>
  </si>
  <si>
    <t>00456759</t>
  </si>
  <si>
    <t>TIPHEDE rug flatwoven 120x180 natural/black AP</t>
  </si>
  <si>
    <t>10482135</t>
  </si>
  <si>
    <t>TVERSTED rug low pile 133x195 beige AP</t>
  </si>
  <si>
    <t>60624241</t>
  </si>
  <si>
    <t>JÄRNVÄG rug low pile 133x195 ornmet pat bei/dbe AP</t>
  </si>
  <si>
    <t>80502941</t>
  </si>
  <si>
    <t>RÖDEBY N armrest tray black AP</t>
  </si>
  <si>
    <t>40534227</t>
  </si>
  <si>
    <t>ANTAGEN dish-washing brush bright green AP</t>
  </si>
  <si>
    <t>40601349</t>
  </si>
  <si>
    <t>RINNIG dsh drnr dbl-sided 40x31 white AP</t>
  </si>
  <si>
    <t>80318943</t>
  </si>
  <si>
    <t>MEDELVÅG bottle brush white AP CN</t>
  </si>
  <si>
    <t>70450240</t>
  </si>
  <si>
    <t>SIBBHULT bracket 18x18 white AP</t>
  </si>
  <si>
    <t>90595435</t>
  </si>
  <si>
    <t>VÄLVÅRDAD sp disp brown AP</t>
  </si>
  <si>
    <t>10497721</t>
  </si>
  <si>
    <t>AVSTEG ktchn cntrtop organiser 40x21 bamboo/whi AP</t>
  </si>
  <si>
    <t>50172305</t>
  </si>
  <si>
    <t>TRAMPA door mat 60x90 natural AP JP</t>
  </si>
  <si>
    <t>30493977</t>
  </si>
  <si>
    <t>SILVERLÖNN sheer crtn 1 pair 145x250 bei/hte AP</t>
  </si>
  <si>
    <t>10642799</t>
  </si>
  <si>
    <t>TOFTLUND N rug 55x85 blue AP</t>
  </si>
  <si>
    <t>00641093</t>
  </si>
  <si>
    <t>MAISTANGG crt 1pr 145x250 of-wh dgrey/stripe/ht AP</t>
  </si>
  <si>
    <t>30626388</t>
  </si>
  <si>
    <t>NORDRÖNN show curtain 180x200 white AP</t>
  </si>
  <si>
    <t>20592826</t>
  </si>
  <si>
    <t>TIPHEDE rug flatwoven 50x80 natural/black AP</t>
  </si>
  <si>
    <t>30439363</t>
  </si>
  <si>
    <t>ALSTERN bath mat 40x60 dark grey AP</t>
  </si>
  <si>
    <t>10522117</t>
  </si>
  <si>
    <t>BLÅVINGAD soft toy s5 ocean animals/mix col AP</t>
  </si>
  <si>
    <t>30640351</t>
  </si>
  <si>
    <t>VINTERFINT 2026 tree ornam 6 mix patt/re/wh 6-p AP</t>
  </si>
  <si>
    <t>60640255</t>
  </si>
  <si>
    <t>NÄVLINGE LED clmp sptlght red KR</t>
  </si>
  <si>
    <t>10603081</t>
  </si>
  <si>
    <t>SANDLÖPARE soft toy 32 chimpanzee/black AP</t>
  </si>
  <si>
    <t>40446155</t>
  </si>
  <si>
    <t>HÄNGIG mirror 26 white/round AP</t>
  </si>
  <si>
    <t>40618566</t>
  </si>
  <si>
    <t>SKÅJARE box 26x37x26 black/sprinkles AP</t>
  </si>
  <si>
    <t>80532938</t>
  </si>
  <si>
    <t>REGNBROMS box 33x38x33 heart pattern/pink AP</t>
  </si>
  <si>
    <t>80465830</t>
  </si>
  <si>
    <t>NATTAPA guard rail white AP</t>
  </si>
  <si>
    <t>90615235</t>
  </si>
  <si>
    <t>FEJKA N artifi pttd plant 12 Orchid white AP</t>
  </si>
  <si>
    <t>50583991</t>
  </si>
  <si>
    <t>SOLHETTA N2 E14 250lm globe opalwhi 2-p KR</t>
  </si>
  <si>
    <t>80595983</t>
  </si>
  <si>
    <t>RUNDHULT N3 USB-C to USB-C 1.5 m/100 W bk/wh AP</t>
  </si>
  <si>
    <t>90409768</t>
  </si>
  <si>
    <t>SMYCKA art flower 65 cosmos/dark red AP</t>
  </si>
  <si>
    <t>30526398</t>
  </si>
  <si>
    <t>DRÖMSLOTT box s2 AP</t>
  </si>
  <si>
    <t>30634454</t>
  </si>
  <si>
    <t>KUNGSTÄRNA lantern f tealt 25 cl gls/gld-col AP</t>
  </si>
  <si>
    <t>70625099</t>
  </si>
  <si>
    <t>LEN blanket 80x100 whi bei/dot pattern muslin AP</t>
  </si>
  <si>
    <t>90603204</t>
  </si>
  <si>
    <t>SANDLÖPARE dvt cvr+pwc 150x200/50x80 wh dblu/sa AP</t>
  </si>
  <si>
    <t>60633943</t>
  </si>
  <si>
    <t>VINTERFINT 2026 tray 37x28 heart patt whi/red AP</t>
  </si>
  <si>
    <t>00614971</t>
  </si>
  <si>
    <t>GULDSPETT art flower 50 paper/Rose pink AP</t>
  </si>
  <si>
    <t>00550035</t>
  </si>
  <si>
    <t>RÖDALM frame 13x18 black AP</t>
  </si>
  <si>
    <t>40568217</t>
  </si>
  <si>
    <t>HÖGVIND table lamp nickel-plated/grey glass KR</t>
  </si>
  <si>
    <t>30320095</t>
  </si>
  <si>
    <t>LILLABO N train s3 AP</t>
  </si>
  <si>
    <t>10620580</t>
  </si>
  <si>
    <t>KRYLBO chr Tibbleby dark red AP</t>
  </si>
  <si>
    <t>10444469</t>
  </si>
  <si>
    <t>RESGODS bed tray bamboo AP</t>
  </si>
  <si>
    <t>30539206</t>
  </si>
  <si>
    <t>VINDKAST table lamp 26 white KR</t>
  </si>
  <si>
    <t>60630609</t>
  </si>
  <si>
    <t>SAMLA box with lid 14x18x10 cm/1 l transp 2-p AP</t>
  </si>
  <si>
    <t>60409939</t>
  </si>
  <si>
    <t>KALLAX shelving unit 112x147 white AP</t>
  </si>
  <si>
    <t>40442609</t>
  </si>
  <si>
    <t>NATTJASMIN dc/2pwc 240x220/50x80 light beige AP</t>
  </si>
  <si>
    <t>10497226</t>
  </si>
  <si>
    <t>FLADDRIG lunch bag 25x16x27 patterned grey AP</t>
  </si>
  <si>
    <t>20620928</t>
  </si>
  <si>
    <t>SPJUTLILJA tea towel 35x50 multi/patterned 2-p AP</t>
  </si>
  <si>
    <t>00558215</t>
  </si>
  <si>
    <t>BRUKSVARA clothes rack 78x147 blue AP</t>
  </si>
  <si>
    <t>60485099</t>
  </si>
  <si>
    <t>TROTTEN drawer ut/3drw/cstrs white AP</t>
  </si>
  <si>
    <t>90436979</t>
  </si>
  <si>
    <t>LÄTTHET hook and clip AP</t>
  </si>
  <si>
    <t>10296954</t>
  </si>
  <si>
    <t>KRONILL heading tape 8.5x310 white AP JP</t>
  </si>
  <si>
    <t>90595440</t>
  </si>
  <si>
    <t>SVAMPIG sponge grey-green 3-p AP</t>
  </si>
  <si>
    <t>50592783</t>
  </si>
  <si>
    <t>ÄNGSLILJA dc/2pwc 240x220/50x80 natural AP</t>
  </si>
  <si>
    <t>70636012</t>
  </si>
  <si>
    <t>SANELA N cushion cvr 40x58 light blue AP</t>
  </si>
  <si>
    <t>10538118</t>
  </si>
  <si>
    <t>ÄLVGRÄSMAL chr pad 32.6/31.3x33x3 grey AP</t>
  </si>
  <si>
    <t>30625652</t>
  </si>
  <si>
    <t>LAGERPOPPEL cushion cvr 65x65 off-white AP</t>
  </si>
  <si>
    <t>80420040</t>
  </si>
  <si>
    <t>KYRRE stool birch AP</t>
  </si>
  <si>
    <t>50594555</t>
  </si>
  <si>
    <t>VIHALS tbl tp 74x74 white AP</t>
  </si>
  <si>
    <t>40550104</t>
  </si>
  <si>
    <t>RÖDALM frame 50x70 black AP</t>
  </si>
  <si>
    <t>30579688</t>
  </si>
  <si>
    <t>GULVIAL hand towel 40x70 beige AP</t>
  </si>
  <si>
    <t>50619688</t>
  </si>
  <si>
    <t>FRÖSKELÅS storage unit 63x35x141 white AP</t>
  </si>
  <si>
    <t>30619689</t>
  </si>
  <si>
    <t>FRÖSKELÅS gaming desk 144x71 white AP</t>
  </si>
  <si>
    <t>90567649</t>
  </si>
  <si>
    <t>PEPPRIG scrubbing brush s2 green AP</t>
  </si>
  <si>
    <t>00428950</t>
  </si>
  <si>
    <t>RAMSTA LED minilmp battery-operated white KR</t>
  </si>
  <si>
    <t>20632035</t>
  </si>
  <si>
    <t>DRÖNA lid 39x34 white textile AP</t>
  </si>
  <si>
    <t>40366945</t>
  </si>
  <si>
    <t>STRÅLA cord set 4 m white KR</t>
  </si>
  <si>
    <t>70632028</t>
  </si>
  <si>
    <t>DRÖNA divider f storage box 33x33 white AP</t>
  </si>
  <si>
    <t>60459892</t>
  </si>
  <si>
    <t>MÅLA prtbl drawing case 35x27 red AP</t>
  </si>
  <si>
    <t>50632133</t>
  </si>
  <si>
    <t>DRÖNA box 18x25x15 white 3-p AP</t>
  </si>
  <si>
    <t>10657979</t>
  </si>
  <si>
    <t>GULDSMED slippers S/M white AP</t>
  </si>
  <si>
    <t>50639912</t>
  </si>
  <si>
    <t>STRÅLA 2026 lampshade 56 paper star/red AP</t>
  </si>
  <si>
    <t>60630157</t>
  </si>
  <si>
    <t>FEJKA artifi plant s3 w wall hlder/in/out green AP</t>
  </si>
  <si>
    <t>20291418</t>
  </si>
  <si>
    <t>STAJLIG hanger in/out white 5-p AP CN</t>
  </si>
  <si>
    <t>90601262</t>
  </si>
  <si>
    <t>HALGATT table lamp 49 dimmable bei/brown cer KR</t>
  </si>
  <si>
    <t>50632128</t>
  </si>
  <si>
    <t>DRÖNA box 25x35x25 dark grey AP</t>
  </si>
  <si>
    <t>10271227</t>
  </si>
  <si>
    <t>VARIERA drawer mat 150 white AP CN</t>
  </si>
  <si>
    <t>30635953</t>
  </si>
  <si>
    <t>KANARIEPALM rug low pile 160x230 off-white AP</t>
  </si>
  <si>
    <t>20620462</t>
  </si>
  <si>
    <t>KORTLINJE alarm clock w hygro-/therm 18x6x7 red AP</t>
  </si>
  <si>
    <t>00611289</t>
  </si>
  <si>
    <t>SOLFIBBLA dc/pwc 150x200/50x80 whi green/stripe AP</t>
  </si>
  <si>
    <t>40579230</t>
  </si>
  <si>
    <t>SKOGHALL N hook self-adh black 3-p AP</t>
  </si>
  <si>
    <t>80638299</t>
  </si>
  <si>
    <t>KRONBUSKE fitt sheet 150x200 lbeige/flrl patt AP</t>
  </si>
  <si>
    <t>90447529</t>
  </si>
  <si>
    <t>VÅRVIAL fitt sheet f day-bd 80x200 white AP</t>
  </si>
  <si>
    <t>70321615</t>
  </si>
  <si>
    <t>SKÅDIS clip white 2-p AP CN</t>
  </si>
  <si>
    <t>60635777</t>
  </si>
  <si>
    <t>HÖSTAGILLE2026 tablclth 145x240 re whi/flrlpatt AP</t>
  </si>
  <si>
    <t>90550026</t>
  </si>
  <si>
    <t>RÖDALM frame 10x15 birch effect AP</t>
  </si>
  <si>
    <t>70621765</t>
  </si>
  <si>
    <t>IKEA PS 2026 bds table 30x30x50 pi/flipdwn door AP</t>
  </si>
  <si>
    <t>40632157</t>
  </si>
  <si>
    <t>DAGGBJÖRNBÄR dc/pwc 150x200/50x80 dgrn/flrl pat AP</t>
  </si>
  <si>
    <t>90467070</t>
  </si>
  <si>
    <t>DRÖNA box 25x35x25 white AP</t>
  </si>
  <si>
    <t>80602002</t>
  </si>
  <si>
    <t>GREJSIMOJS rug, high pile 153x215 green AP</t>
  </si>
  <si>
    <t>60493952</t>
  </si>
  <si>
    <t>GLADHÖJDEN desk sit/stand 100x60 white AP</t>
  </si>
  <si>
    <t>80550055</t>
  </si>
  <si>
    <t>RÖDALM frame 30x40 birch effect AP</t>
  </si>
  <si>
    <t>50608133</t>
  </si>
  <si>
    <t>KYRRE stool off-white AP</t>
  </si>
  <si>
    <t>30474790</t>
  </si>
  <si>
    <t>TROTTEN tbl tp 140x80 white AP</t>
  </si>
  <si>
    <t>50488970</t>
  </si>
  <si>
    <t>MÅLA N paper roll holder w storage AP CN</t>
  </si>
  <si>
    <t>21985SUPECIS43455</t>
  </si>
  <si>
    <t>40279726</t>
  </si>
  <si>
    <t>IKEA 365+ mug 36 cl clear glass AP JP</t>
  </si>
  <si>
    <t>90637850</t>
  </si>
  <si>
    <t>TJÄRLEK 2027 bowl w lid 22 rabbit/light pink AP</t>
  </si>
  <si>
    <t>40335911</t>
  </si>
  <si>
    <t>SKÅDIS container w lid white 3-p AP CN</t>
  </si>
  <si>
    <t>70596817</t>
  </si>
  <si>
    <t>BÖRJA feeding spoon+baby spoon white/blue AP</t>
  </si>
  <si>
    <t>50429438</t>
  </si>
  <si>
    <t>MEDHJÄLPARE chopsticks 10 pairs bamboo AP</t>
  </si>
  <si>
    <t>50622643</t>
  </si>
  <si>
    <t>FORELLTETRA bowl 15 white AP</t>
  </si>
  <si>
    <t>00638463</t>
  </si>
  <si>
    <t>TJÄRLEK 2027 side plate 20 patterned multi 4-p AP</t>
  </si>
  <si>
    <t>HDMUSHAA59734500</t>
  </si>
  <si>
    <t>DRYU9714758</t>
  </si>
  <si>
    <t>258DTS10000205247</t>
  </si>
  <si>
    <t>54.51868</t>
  </si>
  <si>
    <t>58.92846941</t>
  </si>
  <si>
    <t>25H1005263</t>
  </si>
  <si>
    <t>MAEUIK0225592</t>
  </si>
  <si>
    <t>TIIU8418223</t>
  </si>
  <si>
    <t>258DTS10000206973</t>
  </si>
  <si>
    <t>55.014954</t>
  </si>
  <si>
    <t>59.32219893</t>
  </si>
  <si>
    <t>CN8215670</t>
  </si>
  <si>
    <t>MAERSK VIGO</t>
  </si>
  <si>
    <t>639N</t>
  </si>
  <si>
    <t>CN0128528</t>
  </si>
  <si>
    <t>INVPLISH7H50874</t>
  </si>
  <si>
    <t>373-STO-S10000031492</t>
  </si>
  <si>
    <t>373-STO-S10000031493</t>
  </si>
  <si>
    <t>373-STO-S10000031503</t>
  </si>
  <si>
    <t>373-STO-S10000031497</t>
  </si>
  <si>
    <t>373-STO-S10000031498</t>
  </si>
  <si>
    <t>INVMAEUIK0223577</t>
  </si>
  <si>
    <t>373-STO-S10000031533</t>
  </si>
  <si>
    <t>164차 FOOD CONTACT/10-01분할수리/10-06분할잔량수리</t>
  </si>
  <si>
    <t>373-STO-S10000031532</t>
  </si>
  <si>
    <t>171차 FOOD CONTACT/분할신고완료/10-06분할잔량 수리</t>
  </si>
  <si>
    <t>373-STO-S10000031511</t>
  </si>
  <si>
    <t>373-STO-S10000031531</t>
  </si>
  <si>
    <t>INVHDMUSHAA59734500</t>
  </si>
  <si>
    <t>INVMAEUIK0225592</t>
  </si>
  <si>
    <t>INVMAEUIK0221781</t>
  </si>
  <si>
    <t>373-STO-S10000031571</t>
  </si>
  <si>
    <t>172차 FOOD CONTACT/10-07 전량 수리</t>
  </si>
  <si>
    <t>EGLV003601232700</t>
  </si>
  <si>
    <t>EGSU2400975</t>
  </si>
  <si>
    <t>012TSOS10000411204</t>
  </si>
  <si>
    <t>7.421112</t>
  </si>
  <si>
    <t>8.020413</t>
  </si>
  <si>
    <t>EVER CONFORM</t>
  </si>
  <si>
    <t>0173-090N</t>
  </si>
  <si>
    <t>3.559504</t>
  </si>
  <si>
    <t>3.878283</t>
  </si>
  <si>
    <t>373-STO-S10000031553</t>
  </si>
  <si>
    <t>373-STO-S10000031572</t>
  </si>
  <si>
    <t>373-STO-S10000031558</t>
  </si>
  <si>
    <t>21072SUPECIS76821</t>
  </si>
  <si>
    <t>00562298</t>
  </si>
  <si>
    <t>TILLGÅNG tray 37x29 pale green AP</t>
  </si>
  <si>
    <t>50431323</t>
  </si>
  <si>
    <t>JONAXEL top shlf f frm 50x51 white AP</t>
  </si>
  <si>
    <t>60407153</t>
  </si>
  <si>
    <t>NYMÅNE N pend lmp 40 anthracite KR</t>
  </si>
  <si>
    <t>40602730</t>
  </si>
  <si>
    <t>KNORRHAJ pot stand 18 light green AP</t>
  </si>
  <si>
    <t>20636892</t>
  </si>
  <si>
    <t>VINTERFINT 2026 deco 30 Santa Claus red AP</t>
  </si>
  <si>
    <t>60542995</t>
  </si>
  <si>
    <t>SVARTPOPPEL cushion cvr 50x50 light pink AP</t>
  </si>
  <si>
    <t>30549644</t>
  </si>
  <si>
    <t>DVALA fitt sheet 90x200 grey-green AP</t>
  </si>
  <si>
    <t>80637737</t>
  </si>
  <si>
    <t>FRÖVÄXT vase 14 yellow AP</t>
  </si>
  <si>
    <t>40612135</t>
  </si>
  <si>
    <t>JÄTTEFRÄKEN dc/2pwc 240x220/50x80 whi/dgrey AP</t>
  </si>
  <si>
    <t>90636308</t>
  </si>
  <si>
    <t>VINTERFINT 2026 cushion cvr 50x50 red AP</t>
  </si>
  <si>
    <t>80621576</t>
  </si>
  <si>
    <t>BACKMÅRA bath mat 40x60 black AP</t>
  </si>
  <si>
    <t>00625272</t>
  </si>
  <si>
    <t>SYRENBUSKE cushion 38 turquoise AP</t>
  </si>
  <si>
    <t>50556073</t>
  </si>
  <si>
    <t>LOHALS door mat in 40x60 natural AP</t>
  </si>
  <si>
    <t>20246157</t>
  </si>
  <si>
    <t>RISSLA desk pad black AP CN</t>
  </si>
  <si>
    <t>00454005</t>
  </si>
  <si>
    <t>KROKFJORDEN crnr shlf ut w s-cup 20x11 znc pltd AP</t>
  </si>
  <si>
    <t>00614810</t>
  </si>
  <si>
    <t>BRUDKRUSBÄR dc/2pwc 240x220/50x80 blk ml/flr pa AP</t>
  </si>
  <si>
    <t>30598205</t>
  </si>
  <si>
    <t>UPPSNOFSAD stor box 35x25x14 cm/9 l black AP</t>
  </si>
  <si>
    <t>22121SUPUE069584</t>
  </si>
  <si>
    <t>22715SUPECIS75555</t>
  </si>
  <si>
    <t>40174588</t>
  </si>
  <si>
    <t>GODIS glass 23 cl clear glass 6-p AP CN</t>
  </si>
  <si>
    <t>80648444</t>
  </si>
  <si>
    <t>IKEA 365+ N food cntnr 1.0 l nesting/rect gls AP</t>
  </si>
  <si>
    <t>50634330</t>
  </si>
  <si>
    <t>UPPFYLLD paring knife s2 mixed colours AP</t>
  </si>
  <si>
    <t>50648445</t>
  </si>
  <si>
    <t>IKEA 365+ food cntnr 600 ml nesting shp/sq gls AP</t>
  </si>
  <si>
    <t>30642312</t>
  </si>
  <si>
    <t>GRILLTIDER BBQ spatula 33 wide/stnls blk AP</t>
  </si>
  <si>
    <t>50642288</t>
  </si>
  <si>
    <t>GRILLTIDER skewer 31 stainless steel 6-p 2701 AP</t>
  </si>
  <si>
    <t>40637763</t>
  </si>
  <si>
    <t>STRUTSALLAT plate 27 light pink AP</t>
  </si>
  <si>
    <t>40642284</t>
  </si>
  <si>
    <t>GRILLTIDER serving basket bright red 2701 AP</t>
  </si>
  <si>
    <t>80649740</t>
  </si>
  <si>
    <t>IKEA 365+ food cont w lid 600 ml nesti/sqgls 3p AP</t>
  </si>
  <si>
    <t>10641422</t>
  </si>
  <si>
    <t>SMÖRFISK 2027 goblet 30 cl green/yellow AP</t>
  </si>
  <si>
    <t>60634320</t>
  </si>
  <si>
    <t>UPPFYLLD colander 24 light turquoise AP</t>
  </si>
  <si>
    <t>10637439</t>
  </si>
  <si>
    <t>MIDDAGSMAT pot w lid 3 l cl gls/stnls grey-bei AP</t>
  </si>
  <si>
    <t>50637442</t>
  </si>
  <si>
    <t>MIDDAGSMAT pot w lid 5 l cl gls/stnls grey-bei AP</t>
  </si>
  <si>
    <t>10643652</t>
  </si>
  <si>
    <t>MÄVINN sauce bowl w spout 44 cl brown/off-white AP</t>
  </si>
  <si>
    <t>20649738</t>
  </si>
  <si>
    <t>IKEA 365+ food cont w lid 1l nesting/rectgls 3p AP</t>
  </si>
  <si>
    <t>90630033</t>
  </si>
  <si>
    <t>SKUGGSTUBB coffee/tea maker 1 l multi gls/stnls AP</t>
  </si>
  <si>
    <t>70641424</t>
  </si>
  <si>
    <t>SMÖRFISK 2027 goblet 30 cl green/pink AP</t>
  </si>
  <si>
    <t>60637432</t>
  </si>
  <si>
    <t>MIDDAGSMAT frying pan 28 nonstick/stnls greybei AP</t>
  </si>
  <si>
    <t>20643661</t>
  </si>
  <si>
    <t>MÄVINN cup 16 cl brown/off-white AP</t>
  </si>
  <si>
    <t>20637429</t>
  </si>
  <si>
    <t>MIDDAGSMAT frying pan 24 non-stick/stls greybei AP</t>
  </si>
  <si>
    <t>20634322</t>
  </si>
  <si>
    <t>UPPFYLLD N grater w container s4 mixed colours AP</t>
  </si>
  <si>
    <t>10642817</t>
  </si>
  <si>
    <t>TRASTGÖK mug 36 cl patterned 2-p AP</t>
  </si>
  <si>
    <t>30597102</t>
  </si>
  <si>
    <t>PRUTA food cont w lid 70 ml lilac 3-p AP</t>
  </si>
  <si>
    <t>90635530</t>
  </si>
  <si>
    <t>UPPFYLLD apple slicer 16 bright red AP</t>
  </si>
  <si>
    <t>50637456</t>
  </si>
  <si>
    <t>MIDDAGSMAT wok 28 non-stick/stnls grey-bei AP</t>
  </si>
  <si>
    <t>MAEUIK0225564</t>
  </si>
  <si>
    <t>TLLU4707723</t>
  </si>
  <si>
    <t>037TSOS10000714233</t>
  </si>
  <si>
    <t>4.940766</t>
  </si>
  <si>
    <t>5.25636</t>
  </si>
  <si>
    <t>CN9180138</t>
  </si>
  <si>
    <t>642E</t>
  </si>
  <si>
    <t>OOLU2174802540</t>
  </si>
  <si>
    <t>OOCU8697042</t>
  </si>
  <si>
    <t>030TSOS10000137793</t>
  </si>
  <si>
    <t>4.079298</t>
  </si>
  <si>
    <t>4.27595</t>
  </si>
  <si>
    <t>OOLLGT9086</t>
  </si>
  <si>
    <t>094W</t>
  </si>
  <si>
    <t>373-STO-S10000031599</t>
  </si>
  <si>
    <t>373-STO-S10000031592</t>
  </si>
  <si>
    <t>373-STO-S10000031593</t>
  </si>
  <si>
    <t>MAEUIK0222792</t>
  </si>
  <si>
    <t>CAAU8927570</t>
  </si>
  <si>
    <t>294DT260909726254</t>
  </si>
  <si>
    <t>258DTS10000203376</t>
  </si>
  <si>
    <t>10.349116</t>
  </si>
  <si>
    <t>11.08927403</t>
  </si>
  <si>
    <t>CN8198800</t>
  </si>
  <si>
    <t>319DT260909726255</t>
  </si>
  <si>
    <t>37.805388</t>
  </si>
  <si>
    <t>40.60301603</t>
  </si>
  <si>
    <t>MAEUIK0222793</t>
  </si>
  <si>
    <t>CAJU5747904</t>
  </si>
  <si>
    <t>294DT260909726251</t>
  </si>
  <si>
    <t>258DTS10000203378</t>
  </si>
  <si>
    <t>4.310367</t>
  </si>
  <si>
    <t>4.62134466</t>
  </si>
  <si>
    <t>CN8242011</t>
  </si>
  <si>
    <t>319DT260909726252</t>
  </si>
  <si>
    <t>43.688558</t>
  </si>
  <si>
    <t>47.1030194</t>
  </si>
  <si>
    <t>MAEUIK0222889</t>
  </si>
  <si>
    <t>MRSU9558221</t>
  </si>
  <si>
    <t>294DT260902726471</t>
  </si>
  <si>
    <t>258DTS10000203566</t>
  </si>
  <si>
    <t>9.970949</t>
  </si>
  <si>
    <t>10.79053155</t>
  </si>
  <si>
    <t>CN8157354</t>
  </si>
  <si>
    <t>319DT260902726472</t>
  </si>
  <si>
    <t>38.465538</t>
  </si>
  <si>
    <t>41.29880105</t>
  </si>
  <si>
    <t>MAEUIK0222892</t>
  </si>
  <si>
    <t>TRHU5617632</t>
  </si>
  <si>
    <t>294DT260902726467</t>
  </si>
  <si>
    <t>258DTS10000203575</t>
  </si>
  <si>
    <t>15.511823</t>
  </si>
  <si>
    <t>16.72611076</t>
  </si>
  <si>
    <t>CN8157209</t>
  </si>
  <si>
    <t>319DT260902726468</t>
  </si>
  <si>
    <t>33.100796</t>
  </si>
  <si>
    <t>35.60262615</t>
  </si>
  <si>
    <t>MAEUIK0223570</t>
  </si>
  <si>
    <t>MIEU3938216</t>
  </si>
  <si>
    <t>294DT260915726858</t>
  </si>
  <si>
    <t>258DTS10000204281</t>
  </si>
  <si>
    <t>11.145541</t>
  </si>
  <si>
    <t>12.01766714</t>
  </si>
  <si>
    <t>CN8242306</t>
  </si>
  <si>
    <t>319DT260915726859</t>
  </si>
  <si>
    <t>37.124245</t>
  </si>
  <si>
    <t>39.97103811</t>
  </si>
  <si>
    <t>319DT260915726861</t>
  </si>
  <si>
    <t>0.1834</t>
  </si>
  <si>
    <t>0.19812693</t>
  </si>
  <si>
    <t>MAEUIK0223712</t>
  </si>
  <si>
    <t>MRSU2568423</t>
  </si>
  <si>
    <t>294DT260916726232</t>
  </si>
  <si>
    <t>258DTS10000204544</t>
  </si>
  <si>
    <t>11.981734</t>
  </si>
  <si>
    <t>12.88120709</t>
  </si>
  <si>
    <t>CN0167007</t>
  </si>
  <si>
    <t>319DT260916726233</t>
  </si>
  <si>
    <t>36.202942</t>
  </si>
  <si>
    <t>39.00333607</t>
  </si>
  <si>
    <t>MAEUIK0224015</t>
  </si>
  <si>
    <t>FFAU4799198</t>
  </si>
  <si>
    <t>294DT260916726235</t>
  </si>
  <si>
    <t>258DTS10000204940</t>
  </si>
  <si>
    <t>14.925767</t>
  </si>
  <si>
    <t>16.11441961</t>
  </si>
  <si>
    <t>CN8198705</t>
  </si>
  <si>
    <t>319DT260916726236</t>
  </si>
  <si>
    <t>33.372931</t>
  </si>
  <si>
    <t>35.98567759</t>
  </si>
  <si>
    <t>MAEUIK0224017</t>
  </si>
  <si>
    <t>MRKU2338900</t>
  </si>
  <si>
    <t>258DT260918726201</t>
  </si>
  <si>
    <t>258DTS10000204934</t>
  </si>
  <si>
    <t>55.176729</t>
  </si>
  <si>
    <t>59.40889961</t>
  </si>
  <si>
    <t>CN0167143</t>
  </si>
  <si>
    <t>MAEUIK0224077</t>
  </si>
  <si>
    <t>TCNU1707117</t>
  </si>
  <si>
    <t>294DT260917726491</t>
  </si>
  <si>
    <t>258DTS10000205097</t>
  </si>
  <si>
    <t>22.923508</t>
  </si>
  <si>
    <t>24.64020612</t>
  </si>
  <si>
    <t>CN8242257</t>
  </si>
  <si>
    <t>319DT260917726492</t>
  </si>
  <si>
    <t>25.482276</t>
  </si>
  <si>
    <t>27.44165849</t>
  </si>
  <si>
    <t>MAEUIK0225195</t>
  </si>
  <si>
    <t>MRSU6357959</t>
  </si>
  <si>
    <t>258DT260928726674</t>
  </si>
  <si>
    <t>258DTS10000206425</t>
  </si>
  <si>
    <t>55.318827</t>
  </si>
  <si>
    <t>59.65059377</t>
  </si>
  <si>
    <t>CN8208085</t>
  </si>
  <si>
    <t>MAEUIK0225588</t>
  </si>
  <si>
    <t>MIEU4036427</t>
  </si>
  <si>
    <t>258DT260930726825</t>
  </si>
  <si>
    <t>258DTS10000206977</t>
  </si>
  <si>
    <t>54.751079</t>
  </si>
  <si>
    <t>59.20365495</t>
  </si>
  <si>
    <t>CN8062229</t>
  </si>
  <si>
    <t>MAEUIK0225591</t>
  </si>
  <si>
    <t>MIEU3034986</t>
  </si>
  <si>
    <t>258DT260930726853</t>
  </si>
  <si>
    <t>258DTS10000206956</t>
  </si>
  <si>
    <t>55.246621</t>
  </si>
  <si>
    <t>59.56148233</t>
  </si>
  <si>
    <t>CN0167161</t>
  </si>
  <si>
    <t>EMCCRV5815</t>
  </si>
  <si>
    <t>INVEGLV003601232700</t>
  </si>
  <si>
    <t>187차 FOOD CONTACT</t>
  </si>
  <si>
    <t>23273SUP3654140</t>
  </si>
  <si>
    <t>40486410</t>
  </si>
  <si>
    <t>UPPDATERA cutlery tray 32x31 whi AP</t>
  </si>
  <si>
    <t>10608502</t>
  </si>
  <si>
    <t>RÄFFELBJÖRK candle holder 5 pearl col AP</t>
  </si>
  <si>
    <t>40639936</t>
  </si>
  <si>
    <t>STRÅLA 2026 lampshade 70 paper star/whi gld-col AP</t>
  </si>
  <si>
    <t>40585387</t>
  </si>
  <si>
    <t>EKTANDVINGE   dc/2pwc 200x230/50x80 ant whi/chk AP</t>
  </si>
  <si>
    <t>00637604</t>
  </si>
  <si>
    <t>STILREN vase 22 dark blue AP</t>
  </si>
  <si>
    <t>30335544</t>
  </si>
  <si>
    <t>ULLVIDE fitt sheet 180x200 white AP JP</t>
  </si>
  <si>
    <t>20596952</t>
  </si>
  <si>
    <t>GÄRDESGÅRD mini chst/2 drw 16x25 natural AP</t>
  </si>
  <si>
    <t>30615691</t>
  </si>
  <si>
    <t>SOLFIBBLA fitt sheet 180x200 white blue/stripe AP</t>
  </si>
  <si>
    <t>90286772</t>
  </si>
  <si>
    <t>LOMVIKEN frame 21x30 black AP</t>
  </si>
  <si>
    <t>00632630</t>
  </si>
  <si>
    <t>VIDEOXBÄR dc/pwc 150x200/50x80 whi/multi AP</t>
  </si>
  <si>
    <t>10450808</t>
  </si>
  <si>
    <t>VESKEN shelf ut 37x23x101 black AP</t>
  </si>
  <si>
    <t>90404916</t>
  </si>
  <si>
    <t>NÄVLINGE LED work lamp black KR</t>
  </si>
  <si>
    <t>30440333</t>
  </si>
  <si>
    <t>LENAST waterpr matt protec 80x200 AP</t>
  </si>
  <si>
    <t>60510008</t>
  </si>
  <si>
    <t>TONSTAD bds table 40x40x59 off-white AP</t>
  </si>
  <si>
    <t>50472083</t>
  </si>
  <si>
    <t>SKAFTET cord set 1.4 m textile nickel-plated KR</t>
  </si>
  <si>
    <t>90610271</t>
  </si>
  <si>
    <t>TOFTBO N bath mat 40x60 pink AP</t>
  </si>
  <si>
    <t>00407815</t>
  </si>
  <si>
    <t>RINNIG dish-washing brush grey AP</t>
  </si>
  <si>
    <t>00586020</t>
  </si>
  <si>
    <t>MAJGULL rom drk crtn 1 pr 145x250 dgrey-turq/ht AP</t>
  </si>
  <si>
    <t>90608584</t>
  </si>
  <si>
    <t>AVHÅLL LED port lmp 29 batt-op dim/blk outd AP CN</t>
  </si>
  <si>
    <t>60484047</t>
  </si>
  <si>
    <t>HILDEGUN apron 63x84 AP</t>
  </si>
  <si>
    <t>80550041</t>
  </si>
  <si>
    <t>RÖDALM frame 21x30 birch effect AP</t>
  </si>
  <si>
    <t>60627715</t>
  </si>
  <si>
    <t>GEOLOG rug high pile 160x230 off-white AP</t>
  </si>
  <si>
    <t>90513393</t>
  </si>
  <si>
    <t>BEKNA basket 25x35x20 plastic rattan AP</t>
  </si>
  <si>
    <t>00627186</t>
  </si>
  <si>
    <t>TÄRNMÅS plant pot 15 indoor/beige/black AP</t>
  </si>
  <si>
    <t>30633384</t>
  </si>
  <si>
    <t>VINTERFINT 2026 tree ornament s20 bauble red AP</t>
  </si>
  <si>
    <t>30457663</t>
  </si>
  <si>
    <t>SUSIG desk pad 45x65 cork AP</t>
  </si>
  <si>
    <t>00544493</t>
  </si>
  <si>
    <t>SILLTRUT kitchen f children 68x40x100 grey AP</t>
  </si>
  <si>
    <t>50299149</t>
  </si>
  <si>
    <t>VIDGA wll fitt 12 white AP CN</t>
  </si>
  <si>
    <t>50607303</t>
  </si>
  <si>
    <t>BLODBJÖRK vase 16 beige AP</t>
  </si>
  <si>
    <t>90299152</t>
  </si>
  <si>
    <t>VIDGA wll fitt 6 white AP CN</t>
  </si>
  <si>
    <t>50334869</t>
  </si>
  <si>
    <t>KUNGSFORS susp rl 80 stainless steel AP</t>
  </si>
  <si>
    <t>50637164</t>
  </si>
  <si>
    <t>HÄLLEBRÄCKA café curtain 1 p 145x50 lbg/rd pckt AP</t>
  </si>
  <si>
    <t>20652434</t>
  </si>
  <si>
    <t>GULTARP stool green/Tibbleby green AP</t>
  </si>
  <si>
    <t>50601990</t>
  </si>
  <si>
    <t>BILD poster 40x50 les fruits AP</t>
  </si>
  <si>
    <t>80339295</t>
  </si>
  <si>
    <t>FJÄLLBO shelv ut 100x95 black AP</t>
  </si>
  <si>
    <t>00555735</t>
  </si>
  <si>
    <t>KALKSTUFF cable holder, set of 3 white AP CN</t>
  </si>
  <si>
    <t>70506553</t>
  </si>
  <si>
    <t>TRIPPEVALS blck-out cllulr blnd 140x195 white AP</t>
  </si>
  <si>
    <t>50633571</t>
  </si>
  <si>
    <t>SPJUTSÖ carrier bag 22x22x15 cm/7 l blue patt AP</t>
  </si>
  <si>
    <t>70588817</t>
  </si>
  <si>
    <t>TEJSTEFISK chopstick hldr bamboo 2-p AP</t>
  </si>
  <si>
    <t>10598409</t>
  </si>
  <si>
    <t>TROTTEN ufrm si/st f tbl top el 120x70 white KR</t>
  </si>
  <si>
    <t>80602709</t>
  </si>
  <si>
    <t>EKFÄNN tabl mirr w integr lighting dim/blk WS KR</t>
  </si>
  <si>
    <t>00283909</t>
  </si>
  <si>
    <t>FORSÅ N work lamp black KR</t>
  </si>
  <si>
    <t>00618243</t>
  </si>
  <si>
    <t>EKOLN tthb hldr dark yellow AP</t>
  </si>
  <si>
    <t>70171927</t>
  </si>
  <si>
    <t>LILL net crtn 1 pair 280x250 whi/rod pocket AP JP</t>
  </si>
  <si>
    <t>20592807</t>
  </si>
  <si>
    <t>KLOCKIS N clock/thermo/alarm/timer 7x7 blue LVM AP</t>
  </si>
  <si>
    <t>80633051</t>
  </si>
  <si>
    <t>KUSTFYR 2026 LED tbl deco pumpkin/bat-op multi KR</t>
  </si>
  <si>
    <t>30552844</t>
  </si>
  <si>
    <t>PAPEGOJBUSKE ergo pllw side/back sleeper 33x45 AP</t>
  </si>
  <si>
    <t>60640298</t>
  </si>
  <si>
    <t>VINTERFINT 2026 tree orn 8 candy cane/re/wh 3-p AP</t>
  </si>
  <si>
    <t>60640364</t>
  </si>
  <si>
    <t>VINTERFINT 2026 deco s3 Christmas tree green AP</t>
  </si>
  <si>
    <t>40508025</t>
  </si>
  <si>
    <t>NATTSLÄNDA dvt cvr+pwc 150x200/50x80 flrl gr/wh AP</t>
  </si>
  <si>
    <t>30622724</t>
  </si>
  <si>
    <t>BARNDRÖM fitt sheet 90x200 pink/unicorn 1-p AP</t>
  </si>
  <si>
    <t>50564474</t>
  </si>
  <si>
    <t>SANDBI soft toy ball/multicolour AP</t>
  </si>
  <si>
    <t>70239084</t>
  </si>
  <si>
    <t>LEN N pwc cot 35x55 white 2-p AP</t>
  </si>
  <si>
    <t>70530082</t>
  </si>
  <si>
    <t>TROFAST mesh stor box 42x30x23 light green-grey AP</t>
  </si>
  <si>
    <t>80636592</t>
  </si>
  <si>
    <t>VINTERFINT 2026 art wreath 45 in/outdoor green AP</t>
  </si>
  <si>
    <t>70459033</t>
  </si>
  <si>
    <t>FJÄLLARNIKA duvet warm 240x220 KR</t>
  </si>
  <si>
    <t>30531007</t>
  </si>
  <si>
    <t>KRYDDBUSKE cushion cvr 50x50 light beige AP</t>
  </si>
  <si>
    <t>10485638</t>
  </si>
  <si>
    <t>EFTERTRÄDA bag white AP</t>
  </si>
  <si>
    <t>10563594</t>
  </si>
  <si>
    <t>PLANTERING carrier bag 45x36 light brown/red AP</t>
  </si>
  <si>
    <t>20575563</t>
  </si>
  <si>
    <t>SUNDSÖ table 65x65 anthracite outdoor AP</t>
  </si>
  <si>
    <t>70628818</t>
  </si>
  <si>
    <t>LEN dvt cvr 1 pwcs f c 110x125/35x55 be/bny/bea AP</t>
  </si>
  <si>
    <t>70633570</t>
  </si>
  <si>
    <t>SPJUTSÖ carrier bag 18x45x28 cm/22 l blue patt AP</t>
  </si>
  <si>
    <t>90615259</t>
  </si>
  <si>
    <t>FEJKA N artifi pttd plant 9 in/outdoor/hanging AP</t>
  </si>
  <si>
    <t>50489696</t>
  </si>
  <si>
    <t>BEKRÄFTA dbl crtn rod set 120-210 cm 19 mm blk AP</t>
  </si>
  <si>
    <t>60458326</t>
  </si>
  <si>
    <t>FJÄLLHAVRE duvet extra warm 150x200 KR</t>
  </si>
  <si>
    <t>30528364</t>
  </si>
  <si>
    <t>SALTSTEN rain poncho AP</t>
  </si>
  <si>
    <t>60605068</t>
  </si>
  <si>
    <t>GREJSIMOJS prtbl Bluetht spkr mouse/purple KR</t>
  </si>
  <si>
    <t>50593457</t>
  </si>
  <si>
    <t>PLOGSVÄNG stor basket 15x20x10 white AP</t>
  </si>
  <si>
    <t>20493609</t>
  </si>
  <si>
    <t>STARKVIND filter f gas cleaning AP</t>
  </si>
  <si>
    <t>00639702</t>
  </si>
  <si>
    <t>NÄTNÄVA N cushion cvr 48x48 brown AP</t>
  </si>
  <si>
    <t>60541571</t>
  </si>
  <si>
    <t>VATTENKAR desktop shlf 49x15 black AP</t>
  </si>
  <si>
    <t>70177726</t>
  </si>
  <si>
    <t>VARIERA shelf insert 32x13x16 white AP CN</t>
  </si>
  <si>
    <t>80614953</t>
  </si>
  <si>
    <t>GULDSPETT art flower 35 paper/Anemone white AP</t>
  </si>
  <si>
    <t>10630334</t>
  </si>
  <si>
    <t>GULDSPETT art flower 50 paper/eucalyptus green AP</t>
  </si>
  <si>
    <t>90584489</t>
  </si>
  <si>
    <t>SVAMPFLY cushion cvr 50x50 dark blue AP</t>
  </si>
  <si>
    <t>90558433</t>
  </si>
  <si>
    <t>HORNFELS ext cord 1.8 m yellow KR</t>
  </si>
  <si>
    <t>90603157</t>
  </si>
  <si>
    <t>HUMLEMOTT throw 130x170 pale pink AP</t>
  </si>
  <si>
    <t>70625706</t>
  </si>
  <si>
    <t>MARKBLÅMME rug low pile 160x230 multi/check pat AP</t>
  </si>
  <si>
    <t>00541569</t>
  </si>
  <si>
    <t>VATTENKAR desktop shlf 49x15 white AP</t>
  </si>
  <si>
    <t>20380990</t>
  </si>
  <si>
    <t>TRETUR blck-out rllr blnd 120x195 light grey AP</t>
  </si>
  <si>
    <t>20474371</t>
  </si>
  <si>
    <t>BAXNA organiser 26x34x10 grey/white AP</t>
  </si>
  <si>
    <t>90185749</t>
  </si>
  <si>
    <t>DUKTIG vegetables s14 AP CN</t>
  </si>
  <si>
    <t>20457989</t>
  </si>
  <si>
    <t>SMÅSPORRE duvet warm 240x220 AP</t>
  </si>
  <si>
    <t>80517004</t>
  </si>
  <si>
    <t>ÖVNING trolley 54x33 white/grey-green AP</t>
  </si>
  <si>
    <t>20592124</t>
  </si>
  <si>
    <t>TJINGA alarm clock 8x8 pale yellow LVM AP</t>
  </si>
  <si>
    <t>90553586</t>
  </si>
  <si>
    <t>SANNAHED frame 25x25 birch effect AP</t>
  </si>
  <si>
    <t>20623470</t>
  </si>
  <si>
    <t>PJÄTTERYD pict 118x78 big city AP</t>
  </si>
  <si>
    <t>30629933</t>
  </si>
  <si>
    <t>FJÄLLHAVRE N pllw high side/back 50x80 RECY AP</t>
  </si>
  <si>
    <t>60540289</t>
  </si>
  <si>
    <t>RELATERA table top 90x60 white AP</t>
  </si>
  <si>
    <t>40164075</t>
  </si>
  <si>
    <t>VARIERA pot lid org stainless steel AP CN</t>
  </si>
  <si>
    <t>40564196</t>
  </si>
  <si>
    <t>KRUSNATE ceil spot w 4 spots white KR</t>
  </si>
  <si>
    <t>50381276</t>
  </si>
  <si>
    <t>TISKEN hook w suction cup white 2-p AP</t>
  </si>
  <si>
    <t>30528509</t>
  </si>
  <si>
    <t>BÖNSYRSA cleaning set turquoise AP</t>
  </si>
  <si>
    <t>22075SUP2600119757</t>
  </si>
  <si>
    <t>00631471</t>
  </si>
  <si>
    <t>FJÄLLRÖDING santoku knife 16 damascus steel/blk AP</t>
  </si>
  <si>
    <t>50610999</t>
  </si>
  <si>
    <t>KLIPPKAKTUS storage basket ffridge30x19x14transpAP</t>
  </si>
  <si>
    <t>20486859</t>
  </si>
  <si>
    <t>HULDHET wok spatula walnut AP</t>
  </si>
  <si>
    <t>10543394</t>
  </si>
  <si>
    <t>ISTAD resealable bag 0.3 l red/heart 25-p AP</t>
  </si>
  <si>
    <t>30319025</t>
  </si>
  <si>
    <t>OFANTLIGT bowl 13 white AP</t>
  </si>
  <si>
    <t>40319020</t>
  </si>
  <si>
    <t>OFANTLIGT deep plate 24 white AP</t>
  </si>
  <si>
    <t>50480177</t>
  </si>
  <si>
    <t>BAKTRADITION baking mat 41x31 beige AP</t>
  </si>
  <si>
    <t>70623203</t>
  </si>
  <si>
    <t>IKEA PS 2026 easy chr inflat csh/Knäbäck bgreen AP</t>
  </si>
  <si>
    <t>60561012</t>
  </si>
  <si>
    <t>SKYGGFISK dish drainer white/extendable AP</t>
  </si>
  <si>
    <t>10631475</t>
  </si>
  <si>
    <t>FJÄLLRÖDING util knife 14 damascus steel/black AP</t>
  </si>
  <si>
    <t>90609362</t>
  </si>
  <si>
    <t>FLODNEJONÖGA spoon s3 wood AP</t>
  </si>
  <si>
    <t>30476336</t>
  </si>
  <si>
    <t>KORKEN bttle w stppr 15 cl clear glass 3-p AP</t>
  </si>
  <si>
    <t>70622642</t>
  </si>
  <si>
    <t>FORELLTETRA plate 29x25 white AP</t>
  </si>
  <si>
    <t>MAEUIK0226093</t>
  </si>
  <si>
    <t>MRSU8576200</t>
  </si>
  <si>
    <t>012TSOS10000414557</t>
  </si>
  <si>
    <t>20.94066</t>
  </si>
  <si>
    <t>22.477067</t>
  </si>
  <si>
    <t>CN7083805</t>
  </si>
  <si>
    <t>CELSIUS EMMEN</t>
  </si>
  <si>
    <t>643X</t>
  </si>
  <si>
    <t>INVMAEUIK0225564</t>
  </si>
  <si>
    <t>INVOOLU2174802540</t>
  </si>
  <si>
    <t>373-STO-S10000031603</t>
  </si>
  <si>
    <t>INVMAEUIK0222792</t>
  </si>
  <si>
    <t>INVMAEUIK0222793</t>
  </si>
  <si>
    <t>INVMAEUIK0222889</t>
  </si>
  <si>
    <t>INVMAEUIK0222892</t>
  </si>
  <si>
    <t>INVMAEUIK0223570</t>
  </si>
  <si>
    <t>INVMAEUIK0223712</t>
  </si>
  <si>
    <t>INVMAEUIK0224015</t>
  </si>
  <si>
    <t>INVMAEUIK0224017</t>
  </si>
  <si>
    <t>INVMAEUIK0224077</t>
  </si>
  <si>
    <t>INVMAEUIK0225195</t>
  </si>
  <si>
    <t>INVMAEUIK0225588</t>
  </si>
  <si>
    <t>INVMAEUIK0225591</t>
  </si>
  <si>
    <t>373-STO-S10000031617</t>
  </si>
  <si>
    <t>166차 FOOD CONTACT/10-01분할수리/10-12분할잔량수리</t>
  </si>
  <si>
    <t>21072SUPECIS76945</t>
  </si>
  <si>
    <t>40435406</t>
  </si>
  <si>
    <t>LILLNAGGEN squeegee black AP</t>
  </si>
  <si>
    <t>30635482</t>
  </si>
  <si>
    <t>STRÅLA 2026 LED cndelbr metal/bat-operated red KR</t>
  </si>
  <si>
    <t>70572246</t>
  </si>
  <si>
    <t>JÄTTEGRAN cushion cvr 50x50 off-white AP</t>
  </si>
  <si>
    <t>00632036</t>
  </si>
  <si>
    <t>DRÖNA lid 39x34 black textile AP</t>
  </si>
  <si>
    <t>10635435</t>
  </si>
  <si>
    <t>VINTERFINT 2026 tree orn 6 bble gls/mix col 8-p AP</t>
  </si>
  <si>
    <t>60528881</t>
  </si>
  <si>
    <t>TIPHEDE rug flatwoven 80x150 black/natural AP</t>
  </si>
  <si>
    <t>40461645</t>
  </si>
  <si>
    <t>LUDDROS mattr protector 90x200 AP</t>
  </si>
  <si>
    <t>30594556</t>
  </si>
  <si>
    <t>VIHALS tbl tp 107 white AP</t>
  </si>
  <si>
    <t>70570252</t>
  </si>
  <si>
    <t>SÅGMÄSTARE cabinet 83x36x128 light grey-blue AP</t>
  </si>
  <si>
    <t>90603077</t>
  </si>
  <si>
    <t>SANDLÖPARE soft toy 32 vervet monkey w baby/gry AP</t>
  </si>
  <si>
    <t>20610806</t>
  </si>
  <si>
    <t>KRONÖREN open ward 90x49x181 pine AP</t>
  </si>
  <si>
    <t>60606096</t>
  </si>
  <si>
    <t>ÖBONÄS triple hook w suction cup 7x11 grey-bei AP</t>
  </si>
  <si>
    <t>60182040</t>
  </si>
  <si>
    <t>TRENSUM N mirror stls stl AP CN</t>
  </si>
  <si>
    <t>60614478</t>
  </si>
  <si>
    <t>GULLDYNA bath towel 70x140 beige AP</t>
  </si>
  <si>
    <t>80283547</t>
  </si>
  <si>
    <t>ÅRSTID N wll lmp nickel-plated/white KR</t>
  </si>
  <si>
    <t>20455457</t>
  </si>
  <si>
    <t>TORARED pend lampshade 36 sedge/handmade AP CN</t>
  </si>
  <si>
    <t>10621810</t>
  </si>
  <si>
    <t>OFELIA throw 130x170 white AP</t>
  </si>
  <si>
    <t>30560863</t>
  </si>
  <si>
    <t>TVERSTED rug low pile 170x240 beige AP</t>
  </si>
  <si>
    <t>80640400</t>
  </si>
  <si>
    <t>POINSETTIA NNNNNN pottdplnt10Poinsettired 44-52 KR</t>
  </si>
  <si>
    <t>40640402</t>
  </si>
  <si>
    <t>ARDISIA CRENATA pottdplnt10Christmasberry 44-52 KR</t>
  </si>
  <si>
    <t>20640399</t>
  </si>
  <si>
    <t>CUPRESSUS MACROCARPA N pottdplnt15cypress 44-52 KR</t>
  </si>
  <si>
    <t>22121SUPUE069810</t>
  </si>
  <si>
    <t>22121SUPUE069820</t>
  </si>
  <si>
    <t>22280SUP264372601CP</t>
  </si>
  <si>
    <t>22280SUP264572601CP</t>
  </si>
  <si>
    <t>21985SUPECIS43520</t>
  </si>
  <si>
    <t>21985SUPECIS43539</t>
  </si>
  <si>
    <t>22280SUP264672601CP</t>
  </si>
  <si>
    <t>60279688</t>
  </si>
  <si>
    <t>IKEA 365+ bowl 22 rounded sides white AP JP</t>
  </si>
  <si>
    <t>17596SUPECIS43260</t>
  </si>
  <si>
    <t>20643656</t>
  </si>
  <si>
    <t>MÄVINN cup 24 cl brown/off-white AP</t>
  </si>
  <si>
    <t>INVMAEUIK0226093</t>
  </si>
  <si>
    <t>373-STO-S10000031638</t>
  </si>
  <si>
    <t>373-STO-S10000031632</t>
  </si>
  <si>
    <t>MAEUIK0226685</t>
  </si>
  <si>
    <t>TIIU8715509</t>
  </si>
  <si>
    <t>258DT261009726215</t>
  </si>
  <si>
    <t>258DTS10000208214</t>
  </si>
  <si>
    <t>53.713428</t>
  </si>
  <si>
    <t>57.8910978</t>
  </si>
  <si>
    <t>CN0133275</t>
  </si>
  <si>
    <t>HUA XIN 758</t>
  </si>
  <si>
    <t>642N</t>
  </si>
  <si>
    <t>258DT261009726217</t>
  </si>
  <si>
    <t>0.774514</t>
  </si>
  <si>
    <t>0.824356</t>
  </si>
  <si>
    <t>182차 FOOD CONTACT</t>
  </si>
  <si>
    <t>178차 FOOD CONTACT</t>
  </si>
  <si>
    <t>30625765</t>
  </si>
  <si>
    <t>FICUS potted plant 15 KR</t>
  </si>
  <si>
    <t>30588664</t>
  </si>
  <si>
    <t>MONSTERA DELICIOSA pottdplnt15Swisscheese plant KR</t>
  </si>
  <si>
    <t>00342268</t>
  </si>
  <si>
    <t>CACTACEAE potted plant 6 assorted Cactus 3-p KR</t>
  </si>
  <si>
    <t>70625754</t>
  </si>
  <si>
    <t>PODOCARPUS potted plant 10 Yew pine KR</t>
  </si>
  <si>
    <t>80625758</t>
  </si>
  <si>
    <t>AGLAONEMA pottdplnt 15 Chinese evergreen/mixcol KR</t>
  </si>
  <si>
    <t>22715SUPECIS75759</t>
  </si>
  <si>
    <t>50612106</t>
  </si>
  <si>
    <t>BROKGLIM wshclth 30x30 beige AP</t>
  </si>
  <si>
    <t>60334604</t>
  </si>
  <si>
    <t>EKET cabinet 35x35x35 white AP</t>
  </si>
  <si>
    <t>90632174</t>
  </si>
  <si>
    <t>FYRISVIDE dc/2pwc 240x220/50x80 whi/flrl patt AP</t>
  </si>
  <si>
    <t>90605321</t>
  </si>
  <si>
    <t>VÄLVÅRDAD cutlery stand 13 white/galvanised AP</t>
  </si>
  <si>
    <t>40217130</t>
  </si>
  <si>
    <t>HUGAD curtain rod 120-210 white AP CN</t>
  </si>
  <si>
    <t>80519927</t>
  </si>
  <si>
    <t>ROLFSTORP LED lghtng dimmable/white KR</t>
  </si>
  <si>
    <t>80612652</t>
  </si>
  <si>
    <t>TRONNAN repl brsh white 1-p AP</t>
  </si>
  <si>
    <t>50625062</t>
  </si>
  <si>
    <t>LEN blanket 70x90 yellow/knitted AP</t>
  </si>
  <si>
    <t>60621822</t>
  </si>
  <si>
    <t>HASSELBUKETT plant pot 12 in/outdoor/brwn-yel AP</t>
  </si>
  <si>
    <t>00477648</t>
  </si>
  <si>
    <t>SKÅDIS connector for wardrobe white 2-p AP</t>
  </si>
  <si>
    <t>40586099</t>
  </si>
  <si>
    <t>TORNSBORG ach-bd Naggen beige/pine AP</t>
  </si>
  <si>
    <t>90603954</t>
  </si>
  <si>
    <t>KVÄLLSDOPP pend lampshade 72 black AP CN</t>
  </si>
  <si>
    <t>70582783</t>
  </si>
  <si>
    <t>RÖDFLIK pend lmp light beige KR</t>
  </si>
  <si>
    <t>90409315</t>
  </si>
  <si>
    <t>take-away box plates/dinner service AP</t>
  </si>
  <si>
    <t>60629210</t>
  </si>
  <si>
    <t>BARNDRÖM csh 36x45 white/cloud-shaped AP</t>
  </si>
  <si>
    <t>50530399</t>
  </si>
  <si>
    <t>RISATORP basket w comp 33x24x11 white CNJP</t>
  </si>
  <si>
    <t>60566967</t>
  </si>
  <si>
    <t>TRIXIG screwdr li-ion 3.6 V AP</t>
  </si>
  <si>
    <t>60619273</t>
  </si>
  <si>
    <t>KAJPLATS E26 1055 lm smart CWS/globe opalwhi KR</t>
  </si>
  <si>
    <t>50619749</t>
  </si>
  <si>
    <t>KAJPLATS E14 470 lm smart WS/cl gls KR</t>
  </si>
  <si>
    <t>10615159</t>
  </si>
  <si>
    <t>GÖMPYSSLING LED light w snsr 7 whi/bttry-op 2p AP</t>
  </si>
  <si>
    <t>30644354</t>
  </si>
  <si>
    <t>ÅBYÅN body puff light blue/red-orange/beige 3-p AP</t>
  </si>
  <si>
    <t>00553618</t>
  </si>
  <si>
    <t>BAGGEBO sideboard 78x92 white AP</t>
  </si>
  <si>
    <t>90550205</t>
  </si>
  <si>
    <t>STOPP FILT rug underlay w anti-slip 190x280 AP</t>
  </si>
  <si>
    <t>20606734</t>
  </si>
  <si>
    <t>SKOGSKOVALL bdsprd 160x250 blue AP</t>
  </si>
  <si>
    <t>30448070</t>
  </si>
  <si>
    <t>FRAKTA cool bag 38x40 blue AP</t>
  </si>
  <si>
    <t>30636702</t>
  </si>
  <si>
    <t>VINTERFINT 2026 vase 13 dark green AP</t>
  </si>
  <si>
    <t>30608370</t>
  </si>
  <si>
    <t>LOTSFÅGEL scntd cndl in gl 40hr Vanilla pl be JPKR</t>
  </si>
  <si>
    <t>90545855</t>
  </si>
  <si>
    <t>VÅRARV table-runner 35x150 dark grey/natural AP</t>
  </si>
  <si>
    <t>00636020</t>
  </si>
  <si>
    <t>SANELA N cushion cvr 65x65 dark blue AP</t>
  </si>
  <si>
    <t>00637086</t>
  </si>
  <si>
    <t>VINTERFINT 2026 deco 140x93 Santa hat re/wh AP</t>
  </si>
  <si>
    <t>80633560</t>
  </si>
  <si>
    <t>STRÅLA 2026 LED lighting chain bat-op/micro mul KR</t>
  </si>
  <si>
    <t>70486423</t>
  </si>
  <si>
    <t>UPPDATERA plate hldr 19-31 anthracite AP</t>
  </si>
  <si>
    <t>19720SUPECIS215206</t>
  </si>
  <si>
    <t>70448544</t>
  </si>
  <si>
    <t>KALLAX shelving unit 112x112 white AP</t>
  </si>
  <si>
    <t>90624372</t>
  </si>
  <si>
    <t>EKENÄSET ach hi oak eff/Grann/Bomstad gld-brn AP</t>
  </si>
  <si>
    <t>80642319</t>
  </si>
  <si>
    <t>GRILLTIDER BBQ tongs 45 stainless steel/black AP</t>
  </si>
  <si>
    <t>60642278</t>
  </si>
  <si>
    <t>GRILLTIDER BBQ tools s2 stainless steel 2701 AP</t>
  </si>
  <si>
    <t>20638363</t>
  </si>
  <si>
    <t>GRÅRÄV serv bowl 12 multicolour 2-p AP</t>
  </si>
  <si>
    <t>10161592</t>
  </si>
  <si>
    <t>IKEA 365+ HJÄLTE soup ladle stainl steel/bl AP JP</t>
  </si>
  <si>
    <t>90163323</t>
  </si>
  <si>
    <t>IKEA 365+ HJÄLTE potmasher stainl steel/blck AP JP</t>
  </si>
  <si>
    <t>50637767</t>
  </si>
  <si>
    <t>STRUTSALLAT cup/saucer 30 cl light pink AP</t>
  </si>
  <si>
    <t>30202266</t>
  </si>
  <si>
    <t>LEGITIM chopping board 34x24 white AP JP</t>
  </si>
  <si>
    <t>00642281</t>
  </si>
  <si>
    <t>GRILLTIDER bowl f dip sauce 7 stnls 4-p 2701 AP</t>
  </si>
  <si>
    <t>PLISH7H52581</t>
  </si>
  <si>
    <t>BMOU6922551</t>
  </si>
  <si>
    <t>037TSOS10000715132</t>
  </si>
  <si>
    <t>2.305053</t>
  </si>
  <si>
    <t>2.449623</t>
  </si>
  <si>
    <t>STAR CHASER</t>
  </si>
  <si>
    <t>2611E</t>
  </si>
  <si>
    <t>OOLU2175164580</t>
  </si>
  <si>
    <t>FFAU3176568</t>
  </si>
  <si>
    <t>030TSOS10000139244</t>
  </si>
  <si>
    <t>RIHUA11</t>
  </si>
  <si>
    <t>1.770564</t>
  </si>
  <si>
    <t>1.855413</t>
  </si>
  <si>
    <t>OOLLGT6587</t>
  </si>
  <si>
    <t>373-STO-S10000031671</t>
  </si>
  <si>
    <t>373-STO-S10000031673</t>
  </si>
  <si>
    <t>INVMAEUIK0226685</t>
  </si>
  <si>
    <t>373-STO-S10000031672</t>
  </si>
  <si>
    <t>373-STO-S10000031661</t>
  </si>
  <si>
    <t>176차 FOOD CONTACT/26-10-15분할 신고 완료/분할잔량 ART#30587909, 60572807, 60580096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</si>
</sst>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m/dd;@"/>
    <numFmt numFmtId="165" formatCode="[$-412]AM/PM\ h:mm;@"/>
    <numFmt numFmtId="166" formatCode="[$-F400]h:mm:ss\ AM/PM"/>
    <numFmt numFmtId="167" formatCode="00000000"/>
    <numFmt numFmtId="168" formatCode="0000"/>
    <numFmt numFmtId="169" formatCode="m/d/yyyy"/>
  </numFmts>
  <fonts count="12" x14ac:knownFonts="1">
    <font>
      <sz val="10"/>
      <color theme="1"/>
      <name val="Noto IKEA Korean"/>
      <family val="2"/>
      <charset val="129"/>
    </font>
    <font>
      <sz val="10"/>
      <color theme="1" tint="4.9989318521683403E-2"/>
      <name val="Noto IKEA Korean"/>
      <family val="2"/>
      <charset val="129"/>
    </font>
    <font>
      <b/>
      <sz val="10"/>
      <color theme="1"/>
      <name val="Noto IKEA Korean"/>
      <family val="2"/>
    </font>
    <font>
      <sz val="8"/>
      <name val="Noto IKEA Korean"/>
      <family val="2"/>
      <charset val="129"/>
    </font>
    <font>
      <b/>
      <sz val="10"/>
      <color theme="1"/>
      <name val="Noto IKEA Korean"/>
      <family val="2"/>
      <charset val="129"/>
    </font>
    <font>
      <b/>
      <sz val="10"/>
      <color theme="1" tint="4.9989318521683403E-2"/>
      <name val="Noto IKEA Korean"/>
      <family val="2"/>
      <charset val="129"/>
    </font>
    <font>
      <sz val="10"/>
      <color theme="0"/>
      <name val="Noto IKEA Korean"/>
      <family val="2"/>
      <charset val="129"/>
    </font>
    <font>
      <b/>
      <sz val="12"/>
      <color theme="0"/>
      <name val="Noto IKEA Korean"/>
      <family val="2"/>
    </font>
    <font>
      <b/>
      <sz val="11"/>
      <color theme="1"/>
      <name val="Noto IKEA Korean"/>
      <family val="2"/>
    </font>
    <font>
      <b/>
      <sz val="14"/>
      <color theme="1"/>
      <name val="Noto IKEA Korean"/>
      <family val="2"/>
    </font>
    <font>
      <b/>
      <sz val="16"/>
      <color theme="1"/>
      <name val="Noto IKEA Korean"/>
      <family val="2"/>
    </font>
    <font>
      <sz val="10"/>
      <color theme="0"/>
      <name val="Noto IKEA Korean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14" fontId="0" fillId="5" borderId="0" xfId="0" applyNumberFormat="1" applyFill="1" applyAlignment="1">
      <alignment horizontal="center"/>
    </xf>
    <xf numFmtId="14" fontId="5" fillId="5" borderId="0" xfId="0" applyNumberFormat="1" applyFont="1" applyFill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5" fillId="2" borderId="1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4" fontId="4" fillId="4" borderId="11" xfId="0" applyNumberFormat="1" applyFont="1" applyFill="1" applyBorder="1" applyAlignment="1">
      <alignment horizontal="center" vertical="center"/>
    </xf>
    <xf numFmtId="14" fontId="0" fillId="5" borderId="2" xfId="0" applyNumberFormat="1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4" fontId="0" fillId="0" borderId="8" xfId="0" applyNumberFormat="1" applyBorder="1" applyAlignment="1" applyProtection="1">
      <alignment horizontal="center"/>
      <protection locked="0"/>
    </xf>
    <xf numFmtId="0" fontId="2" fillId="2" borderId="11" xfId="0" applyFont="1" applyFill="1" applyBorder="1" applyAlignment="1">
      <alignment horizontal="center" vertical="center"/>
    </xf>
    <xf numFmtId="1" fontId="8" fillId="0" borderId="8" xfId="0" applyNumberFormat="1" applyFont="1" applyBorder="1" applyAlignment="1" applyProtection="1">
      <alignment horizontal="right" indent="1"/>
      <protection locked="0"/>
    </xf>
    <xf numFmtId="14" fontId="0" fillId="5" borderId="6" xfId="0" applyNumberForma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0" fontId="0" fillId="0" borderId="13" xfId="0" applyBorder="1"/>
    <xf numFmtId="0" fontId="0" fillId="0" borderId="14" xfId="0" applyBorder="1"/>
    <xf numFmtId="167" fontId="0" fillId="0" borderId="0" xfId="0" applyNumberFormat="1"/>
    <xf numFmtId="167" fontId="0" fillId="0" borderId="2" xfId="0" applyNumberFormat="1" applyBorder="1" applyAlignment="1" applyProtection="1">
      <alignment horizontal="center"/>
      <protection locked="0"/>
    </xf>
    <xf numFmtId="167" fontId="6" fillId="0" borderId="8" xfId="0" applyNumberFormat="1" applyFont="1" applyBorder="1" applyAlignment="1" applyProtection="1">
      <alignment horizontal="center"/>
      <protection locked="0"/>
    </xf>
    <xf numFmtId="167" fontId="0" fillId="0" borderId="8" xfId="0" applyNumberFormat="1" applyBorder="1" applyAlignment="1" applyProtection="1">
      <alignment horizontal="center"/>
      <protection locked="0"/>
    </xf>
    <xf numFmtId="167" fontId="4" fillId="4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1" fontId="0" fillId="0" borderId="8" xfId="0" applyNumberFormat="1" applyBorder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68" fontId="4" fillId="4" borderId="11" xfId="0" applyNumberFormat="1" applyFont="1" applyFill="1" applyBorder="1" applyAlignment="1">
      <alignment horizontal="center" vertical="center"/>
    </xf>
    <xf numFmtId="168" fontId="0" fillId="0" borderId="2" xfId="0" applyNumberFormat="1" applyBorder="1" applyAlignment="1" applyProtection="1">
      <alignment horizontal="center"/>
      <protection locked="0"/>
    </xf>
    <xf numFmtId="168" fontId="0" fillId="0" borderId="8" xfId="0" applyNumberForma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hidden="1"/>
    </xf>
    <xf numFmtId="168" fontId="0" fillId="0" borderId="0" xfId="0" applyNumberFormat="1" applyAlignment="1">
      <alignment horizontal="center"/>
    </xf>
    <xf numFmtId="168" fontId="0" fillId="0" borderId="10" xfId="0" applyNumberFormat="1" applyBorder="1" applyAlignment="1">
      <alignment horizontal="center"/>
    </xf>
    <xf numFmtId="1" fontId="4" fillId="6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" xfId="0" applyBorder="1"/>
    <xf numFmtId="14" fontId="0" fillId="0" borderId="15" xfId="0" applyNumberFormat="1" applyBorder="1" applyAlignment="1" applyProtection="1">
      <alignment horizontal="center"/>
      <protection locked="0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7" fillId="5" borderId="5" xfId="0" applyFont="1" applyFill="1" applyBorder="1" applyAlignment="1" applyProtection="1">
      <alignment horizontal="center"/>
      <protection locked="0"/>
    </xf>
    <xf numFmtId="0" fontId="11" fillId="0" borderId="2" xfId="0" applyFont="1" applyBorder="1" applyProtection="1">
      <protection locked="0"/>
    </xf>
    <xf numFmtId="14" fontId="11" fillId="0" borderId="8" xfId="0" applyNumberFormat="1" applyFont="1" applyBorder="1" applyAlignment="1" applyProtection="1">
      <alignment horizontal="center"/>
      <protection locked="0"/>
    </xf>
    <xf numFmtId="1" fontId="11" fillId="0" borderId="2" xfId="0" applyNumberFormat="1" applyFont="1" applyBorder="1" applyAlignment="1" applyProtection="1">
      <alignment horizontal="center"/>
      <protection locked="0"/>
    </xf>
    <xf numFmtId="14" fontId="11" fillId="0" borderId="2" xfId="0" applyNumberFormat="1" applyFont="1" applyBorder="1" applyAlignment="1" applyProtection="1">
      <alignment horizontal="center"/>
      <protection locked="0"/>
    </xf>
    <xf numFmtId="1" fontId="11" fillId="0" borderId="6" xfId="0" applyNumberFormat="1" applyFont="1" applyBorder="1" applyAlignment="1" applyProtection="1">
      <alignment horizontal="center"/>
      <protection locked="0"/>
    </xf>
    <xf numFmtId="14" fontId="11" fillId="0" borderId="12" xfId="0" applyNumberFormat="1" applyFont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4" fillId="4" borderId="1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/>
    <xf numFmtId="14" fontId="4" fillId="4" borderId="16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0" fillId="0" borderId="3" xfId="0" applyBorder="1"/>
    <xf numFmtId="166" fontId="0" fillId="0" borderId="5" xfId="0" applyNumberFormat="1" applyBorder="1" applyAlignment="1" applyProtection="1">
      <alignment horizontal="center"/>
      <protection locked="0"/>
    </xf>
    <xf numFmtId="0" fontId="0" fillId="0" borderId="19" xfId="0" applyBorder="1"/>
    <xf numFmtId="164" fontId="0" fillId="0" borderId="19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9" fontId="0" fillId="0" borderId="19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1" fontId="9" fillId="0" borderId="8" xfId="0" applyNumberFormat="1" applyFont="1" applyBorder="1" applyAlignment="1" applyProtection="1">
      <alignment horizontal="center" vertical="center"/>
      <protection locked="0"/>
    </xf>
    <xf numFmtId="1" fontId="9" fillId="0" borderId="1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Noto IKEA Korean"/>
        <family val="2"/>
        <charset val="129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Noto IKEA Korean"/>
        <family val="2"/>
        <charset val="129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168" formatCode="000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412]AM/PM\ 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/mm/dd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5C5"/>
        </patternFill>
      </fill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5C5"/>
      <color rgb="FFA3E7FF"/>
      <color rgb="FFFFFA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</xdr:row>
          <xdr:rowOff>0</xdr:rowOff>
        </xdr:from>
        <xdr:to>
          <xdr:col>6</xdr:col>
          <xdr:colOff>121920</xdr:colOff>
          <xdr:row>2</xdr:row>
          <xdr:rowOff>243840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72B2922-B9D8-4321-872E-CE1A38E0041A}" autoFormatId="16" applyNumberFormats="0" applyBorderFormats="0" applyFontFormats="0" applyPatternFormats="0" applyAlignmentFormats="0" applyWidthHeightFormats="0">
  <queryTableRefresh nextId="67" unboundColumnsRight="1">
    <queryTableFields count="11">
      <queryTableField id="34" name="PA" tableColumnId="2"/>
      <queryTableField id="3" name="ItemNo" tableColumnId="3"/>
      <queryTableField id="35" name="ItemName" tableColumnId="4"/>
      <queryTableField id="38" name="LatestRcvDate" tableColumnId="7"/>
      <queryTableField id="55" name="LatestQty" tableColumnId="14"/>
      <queryTableField id="19" name="CSM id" tableColumnId="19"/>
      <queryTableField id="64" name="SSD" tableColumnId="9"/>
      <queryTableField id="40" name="EDS" tableColumnId="10"/>
      <queryTableField id="42" name="TYPE" tableColumnId="12"/>
      <queryTableField id="58" name="ItemNo1" tableColumnId="1"/>
      <queryTableField id="66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2E6A5FD0-A4F9-4C8B-9ABE-2BCBF4884E14}" autoFormatId="16" applyNumberFormats="0" applyBorderFormats="0" applyFontFormats="0" applyPatternFormats="0" applyAlignmentFormats="0" applyWidthHeightFormats="0">
  <queryTableRefresh nextId="156" unboundColumnsRight="1">
    <queryTableFields count="101">
      <queryTableField id="1" name="TYPE" tableColumnId="1"/>
      <queryTableField id="2" name="TYPE_1" tableColumnId="2"/>
      <queryTableField id="3" name="BL" tableColumnId="3"/>
      <queryTableField id="4" name="Container NO." tableColumnId="4"/>
      <queryTableField id="5" name="Lut Code" tableColumnId="5"/>
      <queryTableField id="6" name="Csm Id" tableColumnId="6"/>
      <queryTableField id="32" name="Planned Logistics Receiving(Date)" tableColumnId="32"/>
      <queryTableField id="33" name="Planned Logistics Receiving(Time)" tableColumnId="33"/>
      <queryTableField id="26" name="Cus. Date" tableColumnId="26"/>
      <queryTableField id="23" name="Customs Inspection Date" tableColumnId="23"/>
      <queryTableField id="22" name="Actual_x000a_Arrival_x000a_Date" tableColumnId="22"/>
      <queryTableField id="34" name="shipment ID" tableColumnId="34"/>
      <queryTableField id="7" name="Csm Stat" tableColumnId="7"/>
      <queryTableField id="8" name="Shp Id" tableColumnId="8"/>
      <queryTableField id="41" name="Shp Stat" tableColumnId="35"/>
      <queryTableField id="9" name="Shp CarContact" tableColumnId="9"/>
      <queryTableField id="42" name="Shp DayCre" tableColumnId="36"/>
      <queryTableField id="10" name="Cnee Code" tableColumnId="10"/>
      <queryTableField id="11" name="Cnee Type" tableColumnId="11"/>
      <queryTableField id="12" name="Total Art Qty (pcs)" tableColumnId="12"/>
      <queryTableField id="13" name="Csm VolNetTot" tableColumnId="13"/>
      <queryTableField id="14" name="Csm VolGroTot" tableColumnId="14"/>
      <queryTableField id="15" name="Csm WeiGroTot" tableColumnId="15"/>
      <queryTableField id="16" name="Csm ArrDayPlan" tableColumnId="16"/>
      <queryTableField id="17" name="ShpRou RecPldArrDate" tableColumnId="17"/>
      <queryTableField id="43" name="LuTrL ActDepDate" tableColumnId="37"/>
      <queryTableField id="44" name="Carrier Code" tableColumnId="38"/>
      <queryTableField id="45" name="Carrier Name" tableColumnId="39"/>
      <queryTableField id="18" name="Seal" tableColumnId="18"/>
      <queryTableField id="46" name="Vessel Name" tableColumnId="40"/>
      <queryTableField id="47" name="Voyage No" tableColumnId="41"/>
      <queryTableField id="48" name="Start Cty" tableColumnId="42"/>
      <queryTableField id="49" name="Start Type" tableColumnId="43"/>
      <queryTableField id="50" name="Start Code" tableColumnId="44"/>
      <queryTableField id="51" name="End Cty" tableColumnId="45"/>
      <queryTableField id="52" name="End Code" tableColumnId="46"/>
      <queryTableField id="53" name="End TG:AEype" tableColumnId="47"/>
      <queryTableField id="54" name="Incoterms" tableColumnId="48"/>
      <queryTableField id="19" name="CGS Declaration No." tableColumnId="19"/>
      <queryTableField id="20" name="BL receiving" tableColumnId="20"/>
      <queryTableField id="21" name="RECEIPTED BY CUSTOMS" tableColumnId="21"/>
      <queryTableField id="24" name="BONDED WAREHOUSE" tableColumnId="24"/>
      <queryTableField id="25" name="SPLIT, LOCATION" tableColumnId="25"/>
      <queryTableField id="27" name="Customs broker COMMENT" tableColumnId="27"/>
      <queryTableField id="28" name="Damage Notice (MS bonded warehouse)" tableColumnId="28"/>
      <queryTableField id="29" name="DEM exp date_x000a_(ATA+14)" tableColumnId="29"/>
      <queryTableField id="30" name="expiration date from Busan Port_x000a_(Cus. Date+75days)" tableColumnId="30"/>
      <queryTableField id="31" name="expiration date from  INCHEON Port (Cus. Date+15days)" tableColumnId="31"/>
      <queryTableField id="55" name="Inland Carrier" tableColumnId="49"/>
      <queryTableField id="56" name="D-day Earliest" tableColumnId="50"/>
      <queryTableField id="57" name="D-day Lasted" tableColumnId="51"/>
      <queryTableField id="58" name="DD best date" tableColumnId="52"/>
      <queryTableField id="59" name="Actual Unloading" tableColumnId="53"/>
      <queryTableField id="60" name="D" tableColumnId="54"/>
      <queryTableField id="61" name="TYPE_2" tableColumnId="55"/>
      <queryTableField id="62" name="TYPE_3" tableColumnId="56"/>
      <queryTableField id="63" name="BL_4" tableColumnId="57"/>
      <queryTableField id="64" name="Container NO._5" tableColumnId="58"/>
      <queryTableField id="65" name="Lut Code_6" tableColumnId="59"/>
      <queryTableField id="66" name="POA Month" tableColumnId="60"/>
      <queryTableField id="67" name="Floor_CSM" tableColumnId="61"/>
      <queryTableField id="68" name="Column62" tableColumnId="62"/>
      <queryTableField id="69" name="LT3.3 OT Early" tableColumnId="63"/>
      <queryTableField id="70" name="LT3.3 OT Late" tableColumnId="64"/>
      <queryTableField id="71" name="OTD Status" tableColumnId="65"/>
      <queryTableField id="72" name="Causing party" tableColumnId="66"/>
      <queryTableField id="122" name="Column67" tableColumnId="67"/>
      <queryTableField id="123" name="Column68" tableColumnId="68"/>
      <queryTableField id="124" name="Column69" tableColumnId="69"/>
      <queryTableField id="125" name="Column70" tableColumnId="70"/>
      <queryTableField id="126" name="Column71" tableColumnId="71"/>
      <queryTableField id="127" name="Column72" tableColumnId="72"/>
      <queryTableField id="128" name="Column73" tableColumnId="73"/>
      <queryTableField id="129" name="Column74" tableColumnId="74"/>
      <queryTableField id="130" name="Column75" tableColumnId="75"/>
      <queryTableField id="131" name="Column76" tableColumnId="76"/>
      <queryTableField id="132" name="Column77" tableColumnId="77"/>
      <queryTableField id="133" name="Column78" tableColumnId="78"/>
      <queryTableField id="134" name="Column79" tableColumnId="79"/>
      <queryTableField id="135" name="Column80" tableColumnId="80"/>
      <queryTableField id="136" name="Column81" tableColumnId="81"/>
      <queryTableField id="137" name="Column82" tableColumnId="82"/>
      <queryTableField id="138" name="Column83" tableColumnId="83"/>
      <queryTableField id="139" name="Column84" tableColumnId="84"/>
      <queryTableField id="140" name="Column85" tableColumnId="85"/>
      <queryTableField id="141" name="Column86" tableColumnId="86"/>
      <queryTableField id="142" name="Column87" tableColumnId="87"/>
      <queryTableField id="143" name="Column88" tableColumnId="88"/>
      <queryTableField id="144" name="Column89" tableColumnId="89"/>
      <queryTableField id="145" name="Column90" tableColumnId="90"/>
      <queryTableField id="146" name="Column91" tableColumnId="91"/>
      <queryTableField id="147" name="Column92" tableColumnId="92"/>
      <queryTableField id="148" name="Column93" tableColumnId="93"/>
      <queryTableField id="149" name="Column94" tableColumnId="94"/>
      <queryTableField id="150" name="Column95" tableColumnId="95"/>
      <queryTableField id="151" name="Column96" tableColumnId="96"/>
      <queryTableField id="152" name="Column97" tableColumnId="97"/>
      <queryTableField id="153" name="Column98" tableColumnId="98"/>
      <queryTableField id="154" name="Column99" tableColumnId="99"/>
      <queryTableField id="155" name="Column100" tableColumnId="100"/>
      <queryTableField id="121" dataBound="0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5924B-B6EB-4E20-AFD5-AF921DB99A77}" name="_2__ROI_Daily_Update" displayName="_2__ROI_Daily_Update" ref="A1:K4878" tableType="queryTable" totalsRowShown="0">
  <autoFilter ref="A1:K4878" xr:uid="{CC25924B-B6EB-4E20-AFD5-AF921DB99A77}"/>
  <tableColumns count="11">
    <tableColumn id="2" xr3:uid="{B1F949D5-41A4-4745-AC56-B03A08CB042C}" uniqueName="2" name="PA" queryTableFieldId="34" dataDxfId="7"/>
    <tableColumn id="3" xr3:uid="{9C86DC27-58DD-493D-9A46-D38B23922D71}" uniqueName="3" name="ItemNo" queryTableFieldId="3" dataDxfId="58"/>
    <tableColumn id="4" xr3:uid="{492D4E39-EA83-4CFC-9489-B3B2549DBE85}" uniqueName="4" name="ItemName" queryTableFieldId="35" dataDxfId="57"/>
    <tableColumn id="7" xr3:uid="{F5B382B0-212F-437D-9822-0B4B262FB59D}" uniqueName="7" name="LatestRcvDate" queryTableFieldId="38" dataDxfId="6"/>
    <tableColumn id="14" xr3:uid="{E5C23255-969F-4250-81C1-396FA727E3D6}" uniqueName="14" name="LatestQty" queryTableFieldId="55" dataDxfId="5"/>
    <tableColumn id="19" xr3:uid="{32910F98-58DE-4C59-B39A-F89821D17DEE}" uniqueName="19" name="CSM id" queryTableFieldId="19" dataDxfId="4"/>
    <tableColumn id="9" xr3:uid="{84D401F9-0C0D-489B-A900-3738C9A1C2CC}" uniqueName="9" name="SSD" queryTableFieldId="64"/>
    <tableColumn id="10" xr3:uid="{21282660-EEF4-4C2A-8FDE-902B174D9F0E}" uniqueName="10" name="EDS" queryTableFieldId="40" dataDxfId="3"/>
    <tableColumn id="12" xr3:uid="{81A78502-4DF9-4475-BAF7-796A8F79DACF}" uniqueName="12" name="TYPE" queryTableFieldId="42" dataDxfId="2"/>
    <tableColumn id="1" xr3:uid="{B068C296-C83D-4C0E-9F42-7D5263B1C391}" uniqueName="1" name="ItemNo1" queryTableFieldId="58" dataDxfId="1"/>
    <tableColumn id="5" xr3:uid="{1C66D755-906D-45CC-A158-FE6673A6C5DD}" uniqueName="5" name="GDGY" queryTableFieldId="66" dataDxfId="0">
      <calculatedColumnFormula>_xlfn.XLOOKUP(_2__ROI_Daily_Update[[#This Row],[CSM id]],SHP!F:F,SHP!EE:EE,"-")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D8319-8458-478C-8D88-C8E0BA5EF6F4}" name="Page1_1" displayName="Page1_1" ref="A1:CW297" tableType="queryTable" totalsRowShown="0" headerRowDxfId="56" headerRowBorderDxfId="55">
  <autoFilter ref="A1:CW297" xr:uid="{4B6D8319-8458-478C-8D88-C8E0BA5EF6F4}"/>
  <sortState xmlns:xlrd2="http://schemas.microsoft.com/office/spreadsheetml/2017/richdata2" ref="A2:CW297">
    <sortCondition descending="1" ref="G1:G266"/>
  </sortState>
  <tableColumns count="101">
    <tableColumn id="1" xr3:uid="{8094377F-AE12-4813-8705-129A46A1376C}" uniqueName="1" name="TYPE" queryTableFieldId="1" dataDxfId="42"/>
    <tableColumn id="2" xr3:uid="{FE835FD2-A80F-43B9-AC87-B4AA5E312955}" uniqueName="2" name="TYPE_1" queryTableFieldId="2" dataDxfId="41"/>
    <tableColumn id="3" xr3:uid="{513AEFF9-2817-4629-9E59-4D8DA398D2C4}" uniqueName="3" name="BL" queryTableFieldId="3" dataDxfId="40"/>
    <tableColumn id="4" xr3:uid="{88FB0C77-0DF1-47B9-87B6-CA99B78FBD2E}" uniqueName="4" name="Container NO." queryTableFieldId="4" dataDxfId="39"/>
    <tableColumn id="5" xr3:uid="{57B7785F-57A1-469F-8605-2C8A9824DEA5}" uniqueName="5" name="Lut Code" queryTableFieldId="5" dataDxfId="38"/>
    <tableColumn id="6" xr3:uid="{6A6E39F0-B3FE-4885-8D1C-551C1FDA3E0C}" uniqueName="6" name="Csm Id" queryTableFieldId="6" dataDxfId="37"/>
    <tableColumn id="32" xr3:uid="{70CCAA27-5A44-4C66-A6BB-51B1A0781809}" uniqueName="32" name="Planned Logistics Receiving(Date)" queryTableFieldId="32" dataDxfId="36"/>
    <tableColumn id="33" xr3:uid="{DC167724-2C84-4FB2-AB54-5EB1EE01CC6F}" uniqueName="33" name="Planned Logistics Receiving(Time)" queryTableFieldId="33" dataDxfId="35"/>
    <tableColumn id="26" xr3:uid="{1E59C912-47EA-4A88-B038-72CC49A841CA}" uniqueName="26" name="Cus. Date" queryTableFieldId="26" dataDxfId="34"/>
    <tableColumn id="23" xr3:uid="{6DEDB776-1D2C-4FBB-AFFB-250849412517}" uniqueName="23" name="Customs Inspection Date" queryTableFieldId="23" dataDxfId="33"/>
    <tableColumn id="22" xr3:uid="{A59A51F0-6BBC-4054-B381-F078563C2E0C}" uniqueName="22" name="Actual_x000a_Arrival_x000a_Date" queryTableFieldId="22" dataDxfId="32"/>
    <tableColumn id="34" xr3:uid="{551E8201-C491-4339-B7D4-8F7D2989A7C9}" uniqueName="34" name="shipment ID" queryTableFieldId="34" dataDxfId="31"/>
    <tableColumn id="7" xr3:uid="{4EB4D075-8845-4165-ACFB-150E7670B838}" uniqueName="7" name="Csm Stat" queryTableFieldId="7" dataDxfId="30"/>
    <tableColumn id="8" xr3:uid="{A52AEC9A-7F48-435A-AFE9-31F974C3C065}" uniqueName="8" name="Shp Id" queryTableFieldId="8" dataDxfId="29"/>
    <tableColumn id="35" xr3:uid="{A71C7B2E-19EE-490E-9948-220A5190DB13}" uniqueName="35" name="Shp Stat" queryTableFieldId="41"/>
    <tableColumn id="9" xr3:uid="{B3964606-B359-4717-A917-02B7B542B7A1}" uniqueName="9" name="Shp CarContact" queryTableFieldId="9" dataDxfId="28"/>
    <tableColumn id="36" xr3:uid="{19E181D7-94B1-49B5-8ABF-D48420F2AD85}" uniqueName="36" name="Shp DayCre" queryTableFieldId="42"/>
    <tableColumn id="10" xr3:uid="{820322D2-3EE4-46B4-BFCE-C44547930330}" uniqueName="10" name="Cnee Code" queryTableFieldId="10" dataDxfId="27"/>
    <tableColumn id="11" xr3:uid="{0B689CE2-4782-43F2-B616-10C306422CD1}" uniqueName="11" name="Cnee Type" queryTableFieldId="11" dataDxfId="26"/>
    <tableColumn id="12" xr3:uid="{3E96A247-BBD5-44B6-A7AC-BBB3F5878E51}" uniqueName="12" name="Total Art Qty (pcs)" queryTableFieldId="12" dataDxfId="25"/>
    <tableColumn id="13" xr3:uid="{D682C0C8-C206-4B33-9834-FD41313814B4}" uniqueName="13" name="Csm VolNetTot" queryTableFieldId="13" dataDxfId="24"/>
    <tableColumn id="14" xr3:uid="{20FA9A0B-C632-400D-9CE4-0C4902409352}" uniqueName="14" name="Csm VolGroTot" queryTableFieldId="14" dataDxfId="23"/>
    <tableColumn id="15" xr3:uid="{E0C2D597-CE96-45A5-8742-7EC877423663}" uniqueName="15" name="Csm WeiGroTot" queryTableFieldId="15" dataDxfId="22"/>
    <tableColumn id="16" xr3:uid="{240EBF95-6244-4B80-BF67-49E449FF3D1A}" uniqueName="16" name="Csm ArrDayPlan" queryTableFieldId="16" dataDxfId="21"/>
    <tableColumn id="17" xr3:uid="{B414E3D5-8D0A-4B56-9446-BE87A6A7462E}" uniqueName="17" name="ShpRou RecPldArrDate" queryTableFieldId="17" dataDxfId="20"/>
    <tableColumn id="37" xr3:uid="{0CDF5BAB-09C9-433F-9118-91DAB1C8EB86}" uniqueName="37" name="LuTrL ActDepDate" queryTableFieldId="43"/>
    <tableColumn id="38" xr3:uid="{DC5F2916-A4DE-4B9D-B53E-315B7C61B283}" uniqueName="38" name="Carrier Code" queryTableFieldId="44"/>
    <tableColumn id="39" xr3:uid="{3AF42C15-FE1E-4D92-828C-A5F93364E67A}" uniqueName="39" name="Carrier Name" queryTableFieldId="45"/>
    <tableColumn id="18" xr3:uid="{75EA465C-122C-4CC5-B023-F77A757486E2}" uniqueName="18" name="Seal" queryTableFieldId="18" dataDxfId="19"/>
    <tableColumn id="40" xr3:uid="{C6C279B3-E7B4-4174-ADC9-2FF6A64AF90D}" uniqueName="40" name="Vessel Name" queryTableFieldId="46"/>
    <tableColumn id="41" xr3:uid="{DC49932E-CE48-41D5-AA55-967828124F69}" uniqueName="41" name="Voyage No" queryTableFieldId="47"/>
    <tableColumn id="42" xr3:uid="{249CAEB6-6B86-4D2E-A9AD-F7A8E023C080}" uniqueName="42" name="Start Cty" queryTableFieldId="48"/>
    <tableColumn id="43" xr3:uid="{54D06F31-2318-4970-A4D9-E3910EA6AD4C}" uniqueName="43" name="Start Type" queryTableFieldId="49"/>
    <tableColumn id="44" xr3:uid="{7DE50691-1289-4740-9E93-AA095DBB5882}" uniqueName="44" name="Start Code" queryTableFieldId="50"/>
    <tableColumn id="45" xr3:uid="{469B5F27-F4D5-4A13-813B-FB5ECB366B0D}" uniqueName="45" name="End Cty" queryTableFieldId="51"/>
    <tableColumn id="46" xr3:uid="{D4260965-A314-40A6-9C7F-76201D977688}" uniqueName="46" name="End Code" queryTableFieldId="52"/>
    <tableColumn id="47" xr3:uid="{310BCADE-E100-4381-A0AC-2EBB73C21C5A}" uniqueName="47" name="End TG:AEype" queryTableFieldId="53"/>
    <tableColumn id="48" xr3:uid="{9A5BD0CD-A16E-4FC2-9A39-B1261AC28CFD}" uniqueName="48" name="Incoterms" queryTableFieldId="54"/>
    <tableColumn id="19" xr3:uid="{E0727892-6540-4751-81D5-28D5B7197779}" uniqueName="19" name="CGS Declaration No." queryTableFieldId="19" dataDxfId="18"/>
    <tableColumn id="20" xr3:uid="{7B1BDBFC-CA2E-4896-84F2-CC3CDBDF2692}" uniqueName="20" name="BL receiving" queryTableFieldId="20" dataDxfId="17"/>
    <tableColumn id="21" xr3:uid="{682D0B48-4829-4C88-86A6-1B736A1D9B40}" uniqueName="21" name="RECEIPTED BY CUSTOMS" queryTableFieldId="21" dataDxfId="16"/>
    <tableColumn id="24" xr3:uid="{EDF32BFB-A320-4797-B792-28A2D5609A21}" uniqueName="24" name="BONDED WAREHOUSE" queryTableFieldId="24" dataDxfId="15"/>
    <tableColumn id="25" xr3:uid="{9884C29A-B18E-40C0-95A1-0B12679F6AC2}" uniqueName="25" name="SPLIT, LOCATION" queryTableFieldId="25" dataDxfId="14"/>
    <tableColumn id="27" xr3:uid="{981413E4-ED8B-4D02-B688-CE9EB0D0779F}" uniqueName="27" name="Customs broker COMMENT" queryTableFieldId="27" dataDxfId="13"/>
    <tableColumn id="28" xr3:uid="{145CC4DC-47EE-43E6-92B9-A3DC6924007C}" uniqueName="28" name="Damage Notice (MS bonded warehouse)" queryTableFieldId="28" dataDxfId="12"/>
    <tableColumn id="29" xr3:uid="{4C4EAE64-46DF-4EC6-98C1-A7821456DCBB}" uniqueName="29" name="DEM exp date_x000a_(ATA+14)" queryTableFieldId="29" dataDxfId="11"/>
    <tableColumn id="30" xr3:uid="{C1C72B43-BF6B-468A-AA56-54A976DE989B}" uniqueName="30" name="expiration date from Busan Port_x000a_(Cus. Date+75days)" queryTableFieldId="30" dataDxfId="10"/>
    <tableColumn id="31" xr3:uid="{45D96F93-4272-4547-9995-91FE4D8B2B47}" uniqueName="31" name="expiration date from  INCHEON Port (Cus. Date+15days)" queryTableFieldId="31" dataDxfId="9"/>
    <tableColumn id="49" xr3:uid="{0C05DF93-1706-46CB-9102-1C5E2F527E0F}" uniqueName="49" name="Inland Carrier" queryTableFieldId="55"/>
    <tableColumn id="50" xr3:uid="{B8C3376F-1839-42E0-BD55-F200D8A4ED89}" uniqueName="50" name="D-day Earliest" queryTableFieldId="56"/>
    <tableColumn id="51" xr3:uid="{E9E93405-4816-4FD6-AE48-2BF43066CF0E}" uniqueName="51" name="D-day Lasted" queryTableFieldId="57"/>
    <tableColumn id="52" xr3:uid="{D0BB2F19-C20A-4B23-9923-EBED66061588}" uniqueName="52" name="DD best date" queryTableFieldId="58"/>
    <tableColumn id="53" xr3:uid="{5247E192-A7CA-436B-9FBB-6F9424061CB7}" uniqueName="53" name="Actual Unloading" queryTableFieldId="59"/>
    <tableColumn id="54" xr3:uid="{2B8ED97A-6ECC-4256-9757-C12E38908F26}" uniqueName="54" name="D" queryTableFieldId="60"/>
    <tableColumn id="55" xr3:uid="{98755FFF-CD70-464D-B367-F8DF07E21805}" uniqueName="55" name="TYPE_2" queryTableFieldId="61"/>
    <tableColumn id="56" xr3:uid="{73EEFDE5-4256-479A-9654-0AA1C215ABE1}" uniqueName="56" name="TYPE_3" queryTableFieldId="62"/>
    <tableColumn id="57" xr3:uid="{DE04E449-A92D-427D-9A33-A18ADBBA0705}" uniqueName="57" name="BL_4" queryTableFieldId="63"/>
    <tableColumn id="58" xr3:uid="{B0732785-EA09-49F0-941B-7B994A3EFA01}" uniqueName="58" name="Container NO._5" queryTableFieldId="64"/>
    <tableColumn id="59" xr3:uid="{48234243-8522-4511-B0F3-F0264B0FD262}" uniqueName="59" name="Lut Code_6" queryTableFieldId="65"/>
    <tableColumn id="60" xr3:uid="{618CE033-E1B2-4D97-BF8D-6E76EE5A374E}" uniqueName="60" name="POA Month" queryTableFieldId="66"/>
    <tableColumn id="61" xr3:uid="{25771F4C-5EF8-4C8A-B7B3-6AAB52B689AB}" uniqueName="61" name="Floor_CSM" queryTableFieldId="67"/>
    <tableColumn id="62" xr3:uid="{B27AA326-50AA-49E4-99A2-AD07B7C1AA35}" uniqueName="62" name="Column62" queryTableFieldId="68"/>
    <tableColumn id="63" xr3:uid="{F6E79DC3-3CF4-41C0-B695-9902C1904359}" uniqueName="63" name="LT3.3 OT Early" queryTableFieldId="69"/>
    <tableColumn id="64" xr3:uid="{AA17767A-308C-4B87-92B7-7191E5315D17}" uniqueName="64" name="LT3.3 OT Late" queryTableFieldId="70"/>
    <tableColumn id="65" xr3:uid="{C4FDE75A-FFA4-4BFD-AAA4-FFAAA45BBAFB}" uniqueName="65" name="OTD Status" queryTableFieldId="71"/>
    <tableColumn id="66" xr3:uid="{9A20A4B4-0340-4291-8AFE-8CD4BADD37FD}" uniqueName="66" name="Causing party" queryTableFieldId="72"/>
    <tableColumn id="67" xr3:uid="{3E9FFB80-9165-4EAC-8BED-07D54A956671}" uniqueName="67" name="Column67" queryTableFieldId="122"/>
    <tableColumn id="68" xr3:uid="{4E1AE752-54BF-4756-96C1-E7950B44202F}" uniqueName="68" name="Column68" queryTableFieldId="123"/>
    <tableColumn id="69" xr3:uid="{D7B163E0-11D9-49F0-9DAF-09D45296D190}" uniqueName="69" name="Column69" queryTableFieldId="124"/>
    <tableColumn id="70" xr3:uid="{38B2B405-7820-46AC-A3B9-56D3DA6EAED6}" uniqueName="70" name="Column70" queryTableFieldId="125"/>
    <tableColumn id="71" xr3:uid="{4F529953-47D9-4035-A4FE-952BEA050086}" uniqueName="71" name="Column71" queryTableFieldId="126"/>
    <tableColumn id="72" xr3:uid="{0B8FDD2E-8B05-49B0-8F28-C25D9B0AC7CE}" uniqueName="72" name="Column72" queryTableFieldId="127"/>
    <tableColumn id="73" xr3:uid="{4AF13B0E-A907-440D-A14E-EC3FB9951245}" uniqueName="73" name="Column73" queryTableFieldId="128"/>
    <tableColumn id="74" xr3:uid="{9368A7F1-6EDE-44A1-AE6E-F9B1F6E62B86}" uniqueName="74" name="Column74" queryTableFieldId="129"/>
    <tableColumn id="75" xr3:uid="{B9D2A60A-3781-47D3-AAB1-1B8BA9743496}" uniqueName="75" name="Column75" queryTableFieldId="130"/>
    <tableColumn id="76" xr3:uid="{7943CF1D-2D5E-47AE-B41B-52F9431474DF}" uniqueName="76" name="Column76" queryTableFieldId="131"/>
    <tableColumn id="77" xr3:uid="{F9DE3B61-99D8-4402-9BDE-306620517F7B}" uniqueName="77" name="Column77" queryTableFieldId="132"/>
    <tableColumn id="78" xr3:uid="{99F8BEF6-2BFE-4332-980E-4E70D9271EE5}" uniqueName="78" name="Column78" queryTableFieldId="133"/>
    <tableColumn id="79" xr3:uid="{D186C407-E041-46CD-9335-14C9C1276477}" uniqueName="79" name="Column79" queryTableFieldId="134"/>
    <tableColumn id="80" xr3:uid="{8E2936B6-40E0-48CC-852E-A5887020DE78}" uniqueName="80" name="Column80" queryTableFieldId="135"/>
    <tableColumn id="81" xr3:uid="{C8196505-6594-4D7A-B621-9125DDECAFDD}" uniqueName="81" name="Column81" queryTableFieldId="136"/>
    <tableColumn id="82" xr3:uid="{C1EF07A2-93CF-4DDE-B1A1-0A9851D71B0E}" uniqueName="82" name="Column82" queryTableFieldId="137"/>
    <tableColumn id="83" xr3:uid="{DB473234-E982-4F3A-8701-E6136449D517}" uniqueName="83" name="Column83" queryTableFieldId="138"/>
    <tableColumn id="84" xr3:uid="{51971256-9894-4CBE-9627-3CC8B95B8547}" uniqueName="84" name="Column84" queryTableFieldId="139"/>
    <tableColumn id="85" xr3:uid="{B91D0AB0-BDBD-4E1B-8C0A-56FC3BDF310E}" uniqueName="85" name="Column85" queryTableFieldId="140"/>
    <tableColumn id="86" xr3:uid="{B4D96BB7-6897-4AFF-B089-8AE513A02DE9}" uniqueName="86" name="Column86" queryTableFieldId="141"/>
    <tableColumn id="87" xr3:uid="{DFDFC9D2-C74B-417E-8FDE-F5F281AA2DEB}" uniqueName="87" name="Column87" queryTableFieldId="142"/>
    <tableColumn id="88" xr3:uid="{4D2311C9-C704-4CD7-AD82-DF3BB472BB2A}" uniqueName="88" name="Column88" queryTableFieldId="143"/>
    <tableColumn id="89" xr3:uid="{E4638BEC-626E-4C63-AA02-EF20236EBB99}" uniqueName="89" name="Column89" queryTableFieldId="144"/>
    <tableColumn id="90" xr3:uid="{2501F08F-4C30-4CEF-B067-9B8AFE24E515}" uniqueName="90" name="Column90" queryTableFieldId="145"/>
    <tableColumn id="91" xr3:uid="{9CA92A01-6DBE-4F95-89DE-6162063037B1}" uniqueName="91" name="Column91" queryTableFieldId="146"/>
    <tableColumn id="92" xr3:uid="{24BB681B-DD65-4F2B-8EFB-0505259C49B6}" uniqueName="92" name="Column92" queryTableFieldId="147"/>
    <tableColumn id="93" xr3:uid="{EEDB51C1-5E93-4D9C-AB31-20D74EE5F197}" uniqueName="93" name="Column93" queryTableFieldId="148"/>
    <tableColumn id="94" xr3:uid="{051C4DC8-BE1C-4F9E-A6B2-89E9055D8FAA}" uniqueName="94" name="Column94" queryTableFieldId="149"/>
    <tableColumn id="95" xr3:uid="{FB193723-CF7A-4AFC-AD4B-AEAC7FE3DC49}" uniqueName="95" name="Column95" queryTableFieldId="150"/>
    <tableColumn id="96" xr3:uid="{5418BE79-C7C0-4C39-A6CE-CEB10121C2B4}" uniqueName="96" name="Column96" queryTableFieldId="151"/>
    <tableColumn id="97" xr3:uid="{46EEB3EE-58A8-4988-BAF7-41FFD95975FF}" uniqueName="97" name="Column97" queryTableFieldId="152"/>
    <tableColumn id="98" xr3:uid="{80FE788B-5CE4-4A4B-A7D6-1E02515A60CB}" uniqueName="98" name="Column98" queryTableFieldId="153"/>
    <tableColumn id="99" xr3:uid="{81CE7899-C02B-4958-8149-6CFA786C3F5B}" uniqueName="99" name="Column99" queryTableFieldId="154"/>
    <tableColumn id="100" xr3:uid="{F17ED3D9-D7D6-4F60-9DC7-EE30D17BE999}" uniqueName="100" name="Column100" queryTableFieldId="155"/>
    <tableColumn id="101" xr3:uid="{0616CEA7-4B3B-4B22-B28D-CCD39C8AEB81}" uniqueName="101" name="Column101" queryTableFieldId="121" dataDxfId="8">
      <calculatedColumnFormula array="1">IFERROR(_xlfn.IFS(H2=TIME(7,0,0),"GY",H2=TIME(7,30,0),"GY",H2=TIME(9,0,0),"GY",H2=TIME(15,0,0),"GY",H2=TIME(8,30,0),"GY",H2=TIME(5,30,0),"GY",H2=TIME(6,0,0),"GD",H2=TIME(6,30,0),"GD",H2=TIME(8,0,0),"GY",H2=TIME(6,15,0),"GD"),"")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6F60-B080-4C58-BA65-23E98653B49C}">
  <sheetPr codeName="Sheet1"/>
  <dimension ref="A1:N300"/>
  <sheetViews>
    <sheetView tabSelected="1" zoomScale="85" zoomScaleNormal="85" workbookViewId="0"/>
  </sheetViews>
  <sheetFormatPr defaultRowHeight="17.399999999999999" x14ac:dyDescent="0.45"/>
  <cols>
    <col min="1" max="1" width="5.296875" customWidth="1"/>
    <col min="2" max="2" width="12.296875" style="11" customWidth="1"/>
    <col min="3" max="3" width="29.296875" style="37" customWidth="1"/>
    <col min="4" max="4" width="2.09765625" style="35" customWidth="1"/>
    <col min="5" max="5" width="10.296875" style="65" customWidth="1"/>
    <col min="6" max="6" width="12.09765625" style="56" customWidth="1"/>
    <col min="7" max="7" width="43.09765625" style="34" customWidth="1"/>
    <col min="8" max="8" width="14.09765625" style="12" customWidth="1"/>
    <col min="9" max="9" width="16.296875" style="59" customWidth="1"/>
    <col min="10" max="10" width="20.09765625" style="12" customWidth="1"/>
    <col min="11" max="11" width="15.09765625" style="81" customWidth="1"/>
    <col min="12" max="12" width="22.59765625" style="12" customWidth="1"/>
    <col min="13" max="13" width="8.69921875" style="85" customWidth="1"/>
    <col min="14" max="14" width="8.8984375" style="86"/>
  </cols>
  <sheetData>
    <row r="1" spans="1:13" ht="24" customHeight="1" x14ac:dyDescent="0.45">
      <c r="A1" s="70"/>
      <c r="B1" s="68"/>
      <c r="C1" s="43"/>
      <c r="D1" s="41"/>
      <c r="E1" s="61"/>
      <c r="F1" s="52" t="s">
        <v>0</v>
      </c>
      <c r="G1" s="75"/>
      <c r="H1" s="76"/>
      <c r="I1" s="77"/>
      <c r="J1" s="43"/>
      <c r="K1" s="82"/>
      <c r="L1" s="94"/>
    </row>
    <row r="2" spans="1:13" ht="27" customHeight="1" x14ac:dyDescent="0.5">
      <c r="A2" s="70"/>
      <c r="B2" s="68"/>
      <c r="C2" s="103" t="s">
        <v>1</v>
      </c>
      <c r="D2" s="47"/>
      <c r="E2" s="61"/>
      <c r="F2" s="53" t="s">
        <v>0</v>
      </c>
      <c r="G2" s="74" t="s">
        <v>0</v>
      </c>
      <c r="H2" s="78" t="s">
        <v>0</v>
      </c>
      <c r="I2" s="79"/>
      <c r="J2" s="44"/>
      <c r="K2" s="83"/>
      <c r="L2" s="71"/>
    </row>
    <row r="3" spans="1:13" ht="20.7" customHeight="1" x14ac:dyDescent="0.5">
      <c r="A3" s="70"/>
      <c r="B3" s="68"/>
      <c r="C3" s="104"/>
      <c r="D3" s="41"/>
      <c r="E3" s="62"/>
      <c r="F3" s="53"/>
      <c r="G3" s="48"/>
      <c r="H3" s="80"/>
      <c r="I3" s="77"/>
      <c r="J3" s="44"/>
      <c r="K3" s="83"/>
      <c r="L3" s="71"/>
    </row>
    <row r="4" spans="1:13" ht="19.8" x14ac:dyDescent="0.5">
      <c r="A4" s="70"/>
      <c r="B4" s="68"/>
      <c r="C4" s="46"/>
      <c r="D4" s="41"/>
      <c r="E4" s="62"/>
      <c r="F4" s="53"/>
      <c r="G4" s="48"/>
      <c r="H4" s="78"/>
      <c r="I4" s="77"/>
      <c r="J4" s="44"/>
      <c r="K4" s="83"/>
      <c r="L4" s="71"/>
    </row>
    <row r="5" spans="1:13" x14ac:dyDescent="0.45">
      <c r="A5" s="70"/>
      <c r="B5" s="69"/>
      <c r="C5" s="44"/>
      <c r="D5" s="41"/>
      <c r="E5" s="62"/>
      <c r="F5" s="54"/>
      <c r="G5" s="42"/>
      <c r="H5" s="44"/>
      <c r="I5" s="58"/>
      <c r="J5" s="44"/>
      <c r="K5" s="83"/>
      <c r="L5" s="71"/>
    </row>
    <row r="6" spans="1:13" ht="34.200000000000003" customHeight="1" x14ac:dyDescent="0.45">
      <c r="B6" s="45" t="s">
        <v>2</v>
      </c>
      <c r="C6" s="38" t="s">
        <v>3</v>
      </c>
      <c r="D6" s="36"/>
      <c r="E6" s="60" t="s">
        <v>4</v>
      </c>
      <c r="F6" s="55" t="s">
        <v>5</v>
      </c>
      <c r="G6" s="39" t="s">
        <v>6</v>
      </c>
      <c r="H6" s="40" t="s">
        <v>7</v>
      </c>
      <c r="I6" s="66" t="s">
        <v>8</v>
      </c>
      <c r="J6" s="40" t="s">
        <v>9</v>
      </c>
      <c r="K6" s="84" t="s">
        <v>10</v>
      </c>
      <c r="L6" s="87" t="s">
        <v>11</v>
      </c>
      <c r="M6" s="88" t="s">
        <v>12</v>
      </c>
    </row>
    <row r="7" spans="1:13" x14ac:dyDescent="0.45">
      <c r="A7" s="11" t="str">
        <f>_xlfn.XLOOKUP(B7,SHP!D:D,SHP!CW:CW,"")</f>
        <v/>
      </c>
      <c r="B7" s="11" t="str">
        <f>IF(
    _xlfn.XLOOKUP(J7,SHP!F:F,SHP!D:D,"")="",
    "",
    _xlfn.XLOOKUP(J7,SHP!F:F,SHP!D:D,"")
)</f>
        <v/>
      </c>
      <c r="C7" s="37" t="str">
        <f>IF(
    _xlfn.XLOOKUP(J7,SHP!F:F,SHP!G:G,"")="",
    "",
    _xlfn.XLOOKUP(J7,SHP!F:F,SHP!G:G,"")
)</f>
        <v/>
      </c>
      <c r="D7" s="49"/>
      <c r="E7" s="63" t="str" cm="1">
        <f t="array" ref="E7">IF(
 H2="",
 "",
 _xlfn._xlws.FILTER(
   _2__ROI_Daily_Update[],
   LEFT(_2__ROI_Daily_Update[ItemNo]&amp;"",LEN(H2&amp;""))=H2&amp;"",
   "검색 결과 없음"
 )
)</f>
        <v/>
      </c>
      <c r="M7" s="90"/>
    </row>
    <row r="8" spans="1:13" x14ac:dyDescent="0.45">
      <c r="A8" s="11" t="str">
        <f>_xlfn.XLOOKUP(B8,SHP!D:D,SHP!CW:CW,"")</f>
        <v/>
      </c>
      <c r="B8" s="11" t="str">
        <f>IF(
    _xlfn.XLOOKUP(J8,SHP!F:F,SHP!D:D,"")="",
    "",
    _xlfn.XLOOKUP(J8,SHP!F:F,SHP!D:D,"")
)</f>
        <v/>
      </c>
      <c r="C8" s="37" t="str">
        <f>IF(
    _xlfn.XLOOKUP(J8,SHP!F:F,SHP!G:G,"")="",
    "",
    _xlfn.XLOOKUP(J8,SHP!F:F,SHP!G:G,"")
)</f>
        <v/>
      </c>
      <c r="D8" s="50"/>
      <c r="E8" s="64"/>
      <c r="M8" s="89"/>
    </row>
    <row r="9" spans="1:13" x14ac:dyDescent="0.45">
      <c r="A9" s="11" t="str">
        <f>_xlfn.XLOOKUP(B9,SHP!D:D,SHP!CW:CW,"")</f>
        <v/>
      </c>
      <c r="B9" s="11" t="str">
        <f>IF(
    _xlfn.XLOOKUP(J9,SHP!F:F,SHP!D:D,"")="",
    "",
    _xlfn.XLOOKUP(J9,SHP!F:F,SHP!D:D,"")
)</f>
        <v/>
      </c>
      <c r="C9" s="37" t="str">
        <f>IF(
    _xlfn.XLOOKUP(J9,SHP!F:F,SHP!G:G,"")="",
    "",
    _xlfn.XLOOKUP(J9,SHP!F:F,SHP!G:G,"")
)</f>
        <v/>
      </c>
      <c r="D9" s="50"/>
      <c r="E9" s="64"/>
      <c r="M9" s="89"/>
    </row>
    <row r="10" spans="1:13" x14ac:dyDescent="0.45">
      <c r="A10" s="11" t="str">
        <f>_xlfn.XLOOKUP(B10,SHP!D:D,SHP!CW:CW,"")</f>
        <v/>
      </c>
      <c r="B10" s="11" t="str">
        <f>IF(
    _xlfn.XLOOKUP(J10,SHP!F:F,SHP!D:D,"")="",
    "",
    _xlfn.XLOOKUP(J10,SHP!F:F,SHP!D:D,"")
)</f>
        <v/>
      </c>
      <c r="C10" s="37" t="str">
        <f>IF(
    _xlfn.XLOOKUP(J10,SHP!F:F,SHP!G:G,"")="",
    "",
    _xlfn.XLOOKUP(J10,SHP!F:F,SHP!G:G,"")
)</f>
        <v/>
      </c>
      <c r="D10" s="50"/>
      <c r="E10" s="64"/>
      <c r="M10" s="89"/>
    </row>
    <row r="11" spans="1:13" x14ac:dyDescent="0.45">
      <c r="A11" s="11" t="str">
        <f>_xlfn.XLOOKUP(B11,SHP!D:D,SHP!CW:CW,"")</f>
        <v/>
      </c>
      <c r="B11" s="11" t="str">
        <f>IF(
    _xlfn.XLOOKUP(J11,SHP!F:F,SHP!D:D,"")="",
    "",
    _xlfn.XLOOKUP(J11,SHP!F:F,SHP!D:D,"")
)</f>
        <v/>
      </c>
      <c r="C11" s="37" t="str">
        <f>IF(
    _xlfn.XLOOKUP(J11,SHP!F:F,SHP!G:G,"")="",
    "",
    _xlfn.XLOOKUP(J11,SHP!F:F,SHP!G:G,"")
)</f>
        <v/>
      </c>
      <c r="D11" s="50"/>
      <c r="E11" s="64"/>
      <c r="M11" s="89"/>
    </row>
    <row r="12" spans="1:13" x14ac:dyDescent="0.45">
      <c r="A12" s="11" t="str">
        <f>_xlfn.XLOOKUP(B12,SHP!D:D,SHP!CW:CW,"")</f>
        <v/>
      </c>
      <c r="B12" s="11" t="str">
        <f>IF(
    _xlfn.XLOOKUP(J12,SHP!F:F,SHP!D:D,"")="",
    "",
    _xlfn.XLOOKUP(J12,SHP!F:F,SHP!D:D,"")
)</f>
        <v/>
      </c>
      <c r="C12" s="37" t="str">
        <f>IF(
    _xlfn.XLOOKUP(J12,SHP!F:F,SHP!G:G,"")="",
    "",
    _xlfn.XLOOKUP(J12,SHP!F:F,SHP!G:G,"")
)</f>
        <v/>
      </c>
      <c r="D12" s="50"/>
      <c r="E12" s="64"/>
      <c r="M12" s="89"/>
    </row>
    <row r="13" spans="1:13" x14ac:dyDescent="0.45">
      <c r="A13" s="11" t="str">
        <f>_xlfn.XLOOKUP(B13,SHP!D:D,SHP!CW:CW,"")</f>
        <v/>
      </c>
      <c r="B13" s="11" t="str">
        <f>IF(
    _xlfn.XLOOKUP(J13,SHP!F:F,SHP!D:D,"")="",
    "",
    _xlfn.XLOOKUP(J13,SHP!F:F,SHP!D:D,"")
)</f>
        <v/>
      </c>
      <c r="C13" s="37" t="str">
        <f>IF(
    _xlfn.XLOOKUP(J13,SHP!F:F,SHP!G:G,"")="",
    "",
    _xlfn.XLOOKUP(J13,SHP!F:F,SHP!G:G,"")
)</f>
        <v/>
      </c>
      <c r="D13" s="50"/>
      <c r="E13" s="64"/>
      <c r="M13" s="89"/>
    </row>
    <row r="14" spans="1:13" x14ac:dyDescent="0.45">
      <c r="A14" s="11" t="str">
        <f>_xlfn.XLOOKUP(B14,SHP!D:D,SHP!CW:CW,"")</f>
        <v/>
      </c>
      <c r="B14" s="11" t="str">
        <f>IF(
    _xlfn.XLOOKUP(J14,SHP!F:F,SHP!D:D,"")="",
    "",
    _xlfn.XLOOKUP(J14,SHP!F:F,SHP!D:D,"")
)</f>
        <v/>
      </c>
      <c r="C14" s="37" t="str">
        <f>IF(
    _xlfn.XLOOKUP(J14,SHP!F:F,SHP!G:G,"")="",
    "",
    _xlfn.XLOOKUP(J14,SHP!F:F,SHP!G:G,"")
)</f>
        <v/>
      </c>
      <c r="D14" s="50"/>
      <c r="E14" s="64"/>
      <c r="M14" s="89"/>
    </row>
    <row r="15" spans="1:13" x14ac:dyDescent="0.45">
      <c r="A15" s="11" t="str">
        <f>_xlfn.XLOOKUP(B15,SHP!D:D,SHP!CW:CW,"")</f>
        <v/>
      </c>
      <c r="B15" s="11" t="str">
        <f>IF(
    _xlfn.XLOOKUP(J15,SHP!F:F,SHP!D:D,"")="",
    "",
    _xlfn.XLOOKUP(J15,SHP!F:F,SHP!D:D,"")
)</f>
        <v/>
      </c>
      <c r="C15" s="37" t="str">
        <f>IF(
    _xlfn.XLOOKUP(J15,SHP!F:F,SHP!G:G,"")="",
    "",
    _xlfn.XLOOKUP(J15,SHP!F:F,SHP!G:G,"")
)</f>
        <v/>
      </c>
      <c r="D15" s="50"/>
      <c r="E15" s="64"/>
      <c r="M15" s="89"/>
    </row>
    <row r="16" spans="1:13" x14ac:dyDescent="0.45">
      <c r="A16" s="11" t="str">
        <f>_xlfn.XLOOKUP(B16,SHP!D:D,SHP!CW:CW,"")</f>
        <v/>
      </c>
      <c r="B16" s="11" t="str">
        <f>IF(
    _xlfn.XLOOKUP(J16,SHP!F:F,SHP!D:D,"")="",
    "",
    _xlfn.XLOOKUP(J16,SHP!F:F,SHP!D:D,"")
)</f>
        <v/>
      </c>
      <c r="C16" s="37" t="str">
        <f>IF(
    _xlfn.XLOOKUP(J16,SHP!F:F,SHP!G:G,"")="",
    "",
    _xlfn.XLOOKUP(J16,SHP!F:F,SHP!G:G,"")
)</f>
        <v/>
      </c>
      <c r="D16" s="50"/>
      <c r="E16" s="64"/>
      <c r="M16" s="89"/>
    </row>
    <row r="17" spans="1:13" x14ac:dyDescent="0.45">
      <c r="A17" s="11" t="str">
        <f>_xlfn.XLOOKUP(B17,SHP!D:D,SHP!CW:CW,"")</f>
        <v/>
      </c>
      <c r="B17" s="11" t="str">
        <f>IF(
    _xlfn.XLOOKUP(J17,SHP!F:F,SHP!D:D,"")="",
    "",
    _xlfn.XLOOKUP(J17,SHP!F:F,SHP!D:D,"")
)</f>
        <v/>
      </c>
      <c r="C17" s="37" t="str">
        <f>IF(
    _xlfn.XLOOKUP(J17,SHP!F:F,SHP!G:G,"")="",
    "",
    _xlfn.XLOOKUP(J17,SHP!F:F,SHP!G:G,"")
)</f>
        <v/>
      </c>
      <c r="M17" s="89"/>
    </row>
    <row r="18" spans="1:13" x14ac:dyDescent="0.45">
      <c r="A18" s="11" t="str">
        <f>_xlfn.XLOOKUP(B18,SHP!D:D,SHP!CW:CW,"")</f>
        <v/>
      </c>
      <c r="B18" s="11" t="str">
        <f>IF(
    _xlfn.XLOOKUP(J18,SHP!F:F,SHP!D:D,"")="",
    "",
    _xlfn.XLOOKUP(J18,SHP!F:F,SHP!D:D,"")
)</f>
        <v/>
      </c>
      <c r="C18" s="37" t="str">
        <f>IF(
    _xlfn.XLOOKUP(J18,SHP!F:F,SHP!G:G,"")="",
    "",
    _xlfn.XLOOKUP(J18,SHP!F:F,SHP!G:G,"")
)</f>
        <v/>
      </c>
      <c r="M18" s="89"/>
    </row>
    <row r="19" spans="1:13" x14ac:dyDescent="0.45">
      <c r="A19" s="11" t="str">
        <f>_xlfn.XLOOKUP(B19,SHP!D:D,SHP!CW:CW,"")</f>
        <v/>
      </c>
      <c r="B19" s="11" t="str">
        <f>IF(
    _xlfn.XLOOKUP(J19,SHP!F:F,SHP!D:D,"")="",
    "",
    _xlfn.XLOOKUP(J19,SHP!F:F,SHP!D:D,"")
)</f>
        <v/>
      </c>
      <c r="C19" s="37" t="str">
        <f>IF(
    _xlfn.XLOOKUP(J19,SHP!F:F,SHP!G:G,"")="",
    "",
    _xlfn.XLOOKUP(J19,SHP!F:F,SHP!G:G,"")
)</f>
        <v/>
      </c>
      <c r="M19" s="89"/>
    </row>
    <row r="20" spans="1:13" x14ac:dyDescent="0.45">
      <c r="A20" s="11" t="str">
        <f>_xlfn.XLOOKUP(B20,SHP!D:D,SHP!CW:CW,"")</f>
        <v/>
      </c>
      <c r="B20" s="11" t="str">
        <f>IF(
    _xlfn.XLOOKUP(J20,SHP!F:F,SHP!D:D,"")="",
    "",
    _xlfn.XLOOKUP(J20,SHP!F:F,SHP!D:D,"")
)</f>
        <v/>
      </c>
      <c r="C20" s="37" t="str">
        <f>IF(
    _xlfn.XLOOKUP(J20,SHP!F:F,SHP!G:G,"")="",
    "",
    _xlfn.XLOOKUP(J20,SHP!F:F,SHP!G:G,"")
)</f>
        <v/>
      </c>
      <c r="M20" s="89"/>
    </row>
    <row r="21" spans="1:13" x14ac:dyDescent="0.45">
      <c r="A21" s="11" t="str">
        <f>_xlfn.XLOOKUP(B21,SHP!D:D,SHP!CW:CW,"")</f>
        <v/>
      </c>
      <c r="B21" s="11" t="str">
        <f>IF(
    _xlfn.XLOOKUP(J21,SHP!F:F,SHP!D:D,"")="",
    "",
    _xlfn.XLOOKUP(J21,SHP!F:F,SHP!D:D,"")
)</f>
        <v/>
      </c>
      <c r="C21" s="37" t="str">
        <f>IF(
    _xlfn.XLOOKUP(J21,SHP!F:F,SHP!G:G,"")="",
    "",
    _xlfn.XLOOKUP(J21,SHP!F:F,SHP!G:G,"")
)</f>
        <v/>
      </c>
      <c r="M21" s="89"/>
    </row>
    <row r="22" spans="1:13" x14ac:dyDescent="0.45">
      <c r="A22" s="11" t="str">
        <f>_xlfn.XLOOKUP(B22,SHP!D:D,SHP!CW:CW,"")</f>
        <v/>
      </c>
      <c r="B22" s="11" t="str">
        <f>IF(
    _xlfn.XLOOKUP(J22,SHP!F:F,SHP!D:D,"")="",
    "",
    _xlfn.XLOOKUP(J22,SHP!F:F,SHP!D:D,"")
)</f>
        <v/>
      </c>
      <c r="C22" s="37" t="str">
        <f>IF(
    _xlfn.XLOOKUP(J22,SHP!F:F,SHP!G:G,"")="",
    "",
    _xlfn.XLOOKUP(J22,SHP!F:F,SHP!G:G,"")
)</f>
        <v/>
      </c>
      <c r="M22" s="89"/>
    </row>
    <row r="23" spans="1:13" x14ac:dyDescent="0.45">
      <c r="A23" s="11" t="str">
        <f>_xlfn.XLOOKUP(B23,SHP!D:D,SHP!CW:CW,"")</f>
        <v/>
      </c>
      <c r="B23" s="11" t="str">
        <f>IF(
    _xlfn.XLOOKUP(J23,SHP!F:F,SHP!D:D,"")="",
    "",
    _xlfn.XLOOKUP(J23,SHP!F:F,SHP!D:D,"")
)</f>
        <v/>
      </c>
      <c r="C23" s="37" t="str">
        <f>IF(
    _xlfn.XLOOKUP(J23,SHP!F:F,SHP!G:G,"")="",
    "",
    _xlfn.XLOOKUP(J23,SHP!F:F,SHP!G:G,"")
)</f>
        <v/>
      </c>
      <c r="M23" s="89"/>
    </row>
    <row r="24" spans="1:13" x14ac:dyDescent="0.45">
      <c r="A24" s="11" t="str">
        <f>_xlfn.XLOOKUP(B24,SHP!D:D,SHP!CW:CW,"")</f>
        <v/>
      </c>
      <c r="B24" s="11" t="str">
        <f>IF(
    _xlfn.XLOOKUP(J24,SHP!F:F,SHP!D:D,"")="",
    "",
    _xlfn.XLOOKUP(J24,SHP!F:F,SHP!D:D,"")
)</f>
        <v/>
      </c>
      <c r="C24" s="37" t="str">
        <f>IF(
    _xlfn.XLOOKUP(J24,SHP!F:F,SHP!G:G,"")="",
    "",
    _xlfn.XLOOKUP(J24,SHP!F:F,SHP!G:G,"")
)</f>
        <v/>
      </c>
      <c r="M24" s="89"/>
    </row>
    <row r="25" spans="1:13" x14ac:dyDescent="0.45">
      <c r="A25" s="11" t="str">
        <f>_xlfn.XLOOKUP(B25,SHP!D:D,SHP!CW:CW,"")</f>
        <v/>
      </c>
      <c r="B25" s="11" t="str">
        <f>IF(
    _xlfn.XLOOKUP(J25,SHP!F:F,SHP!D:D,"")="",
    "",
    _xlfn.XLOOKUP(J25,SHP!F:F,SHP!D:D,"")
)</f>
        <v/>
      </c>
      <c r="C25" s="37" t="str">
        <f>IF(
    _xlfn.XLOOKUP(J25,SHP!F:F,SHP!G:G,"")="",
    "",
    _xlfn.XLOOKUP(J25,SHP!F:F,SHP!G:G,"")
)</f>
        <v/>
      </c>
      <c r="M25" s="89"/>
    </row>
    <row r="26" spans="1:13" x14ac:dyDescent="0.45">
      <c r="A26" s="11" t="str">
        <f>_xlfn.XLOOKUP(B26,SHP!D:D,SHP!CW:CW,"")</f>
        <v/>
      </c>
      <c r="B26" s="11" t="str">
        <f>IF(
    _xlfn.XLOOKUP(J26,SHP!F:F,SHP!D:D,"")="",
    "",
    _xlfn.XLOOKUP(J26,SHP!F:F,SHP!D:D,"")
)</f>
        <v/>
      </c>
      <c r="C26" s="37" t="str">
        <f>IF(
    _xlfn.XLOOKUP(J26,SHP!F:F,SHP!G:G,"")="",
    "",
    _xlfn.XLOOKUP(J26,SHP!F:F,SHP!G:G,"")
)</f>
        <v/>
      </c>
      <c r="M26" s="89"/>
    </row>
    <row r="27" spans="1:13" x14ac:dyDescent="0.45">
      <c r="A27" s="11" t="str">
        <f>_xlfn.XLOOKUP(B27,SHP!D:D,SHP!CW:CW,"")</f>
        <v/>
      </c>
      <c r="B27" s="11" t="str">
        <f>IF(
    _xlfn.XLOOKUP(J27,SHP!F:F,SHP!D:D,"")="",
    "",
    _xlfn.XLOOKUP(J27,SHP!F:F,SHP!D:D,"")
)</f>
        <v/>
      </c>
      <c r="C27" s="37" t="str">
        <f>IF(
    _xlfn.XLOOKUP(J27,SHP!F:F,SHP!G:G,"")="",
    "",
    _xlfn.XLOOKUP(J27,SHP!F:F,SHP!G:G,"")
)</f>
        <v/>
      </c>
      <c r="M27" s="89"/>
    </row>
    <row r="28" spans="1:13" x14ac:dyDescent="0.45">
      <c r="A28" s="11" t="str">
        <f>_xlfn.XLOOKUP(B28,SHP!D:D,SHP!CW:CW,"")</f>
        <v/>
      </c>
      <c r="B28" s="11" t="str">
        <f>IF(
    _xlfn.XLOOKUP(J28,SHP!F:F,SHP!D:D,"")="",
    "",
    _xlfn.XLOOKUP(J28,SHP!F:F,SHP!D:D,"")
)</f>
        <v/>
      </c>
      <c r="C28" s="37" t="str">
        <f>IF(
    _xlfn.XLOOKUP(J28,SHP!F:F,SHP!G:G,"")="",
    "",
    _xlfn.XLOOKUP(J28,SHP!F:F,SHP!G:G,"")
)</f>
        <v/>
      </c>
      <c r="M28" s="89"/>
    </row>
    <row r="29" spans="1:13" x14ac:dyDescent="0.45">
      <c r="A29" s="11" t="str">
        <f>_xlfn.XLOOKUP(B29,SHP!D:D,SHP!CW:CW,"")</f>
        <v/>
      </c>
      <c r="B29" s="11" t="str">
        <f>IF(
    _xlfn.XLOOKUP(J29,SHP!F:F,SHP!D:D,"")="",
    "",
    _xlfn.XLOOKUP(J29,SHP!F:F,SHP!D:D,"")
)</f>
        <v/>
      </c>
      <c r="C29" s="37" t="str">
        <f>IF(
    _xlfn.XLOOKUP(J29,SHP!F:F,SHP!G:G,"")="",
    "",
    _xlfn.XLOOKUP(J29,SHP!F:F,SHP!G:G,"")
)</f>
        <v/>
      </c>
      <c r="M29" s="89"/>
    </row>
    <row r="30" spans="1:13" x14ac:dyDescent="0.45">
      <c r="A30" s="11" t="str">
        <f>_xlfn.XLOOKUP(B30,SHP!D:D,SHP!CW:CW,"")</f>
        <v/>
      </c>
      <c r="B30" s="11" t="str">
        <f>IF(
    _xlfn.XLOOKUP(J30,SHP!F:F,SHP!D:D,"")="",
    "",
    _xlfn.XLOOKUP(J30,SHP!F:F,SHP!D:D,"")
)</f>
        <v/>
      </c>
      <c r="C30" s="37" t="str">
        <f>IF(
    _xlfn.XLOOKUP(J30,SHP!F:F,SHP!G:G,"")="",
    "",
    _xlfn.XLOOKUP(J30,SHP!F:F,SHP!G:G,"")
)</f>
        <v/>
      </c>
      <c r="M30" s="89"/>
    </row>
    <row r="31" spans="1:13" x14ac:dyDescent="0.45">
      <c r="A31" s="11" t="str">
        <f>_xlfn.XLOOKUP(B31,SHP!D:D,SHP!CW:CW,"")</f>
        <v/>
      </c>
      <c r="B31" s="11" t="str">
        <f>IF(
    _xlfn.XLOOKUP(J31,SHP!F:F,SHP!D:D,"")="",
    "",
    _xlfn.XLOOKUP(J31,SHP!F:F,SHP!D:D,"")
)</f>
        <v/>
      </c>
      <c r="C31" s="37" t="str">
        <f>IF(
    _xlfn.XLOOKUP(J31,SHP!F:F,SHP!G:G,"")="",
    "",
    _xlfn.XLOOKUP(J31,SHP!F:F,SHP!G:G,"")
)</f>
        <v/>
      </c>
      <c r="M31" s="89"/>
    </row>
    <row r="32" spans="1:13" x14ac:dyDescent="0.45">
      <c r="A32" s="11" t="str">
        <f>_xlfn.XLOOKUP(B32,SHP!D:D,SHP!CW:CW,"")</f>
        <v/>
      </c>
      <c r="B32" s="11" t="str">
        <f>IF(
    _xlfn.XLOOKUP(J32,SHP!F:F,SHP!D:D,"")="",
    "",
    _xlfn.XLOOKUP(J32,SHP!F:F,SHP!D:D,"")
)</f>
        <v/>
      </c>
      <c r="C32" s="37" t="str">
        <f>IF(
    _xlfn.XLOOKUP(J32,SHP!F:F,SHP!G:G,"")="",
    "",
    _xlfn.XLOOKUP(J32,SHP!F:F,SHP!G:G,"")
)</f>
        <v/>
      </c>
      <c r="M32" s="89"/>
    </row>
    <row r="33" spans="1:13" x14ac:dyDescent="0.45">
      <c r="A33" s="11" t="str">
        <f>_xlfn.XLOOKUP(B33,SHP!D:D,SHP!CW:CW,"")</f>
        <v/>
      </c>
      <c r="B33" s="11" t="str">
        <f>IF(
    _xlfn.XLOOKUP(J33,SHP!F:F,SHP!D:D,"")="",
    "",
    _xlfn.XLOOKUP(J33,SHP!F:F,SHP!D:D,"")
)</f>
        <v/>
      </c>
      <c r="C33" s="37" t="str">
        <f>IF(
    _xlfn.XLOOKUP(J33,SHP!F:F,SHP!G:G,"")="",
    "",
    _xlfn.XLOOKUP(J33,SHP!F:F,SHP!G:G,"")
)</f>
        <v/>
      </c>
      <c r="M33" s="89"/>
    </row>
    <row r="34" spans="1:13" x14ac:dyDescent="0.45">
      <c r="A34" s="11" t="str">
        <f>_xlfn.XLOOKUP(B34,SHP!D:D,SHP!CW:CW,"")</f>
        <v/>
      </c>
      <c r="B34" s="11" t="str">
        <f>IF(
    _xlfn.XLOOKUP(J34,SHP!F:F,SHP!D:D,"")="",
    "",
    _xlfn.XLOOKUP(J34,SHP!F:F,SHP!D:D,"")
)</f>
        <v/>
      </c>
      <c r="C34" s="37" t="str">
        <f>IF(
    _xlfn.XLOOKUP(J34,SHP!F:F,SHP!G:G,"")="",
    "",
    _xlfn.XLOOKUP(J34,SHP!F:F,SHP!G:G,"")
)</f>
        <v/>
      </c>
      <c r="M34" s="89"/>
    </row>
    <row r="35" spans="1:13" x14ac:dyDescent="0.45">
      <c r="A35" s="11" t="str">
        <f>_xlfn.XLOOKUP(B35,SHP!D:D,SHP!CW:CW,"")</f>
        <v/>
      </c>
      <c r="B35" s="11" t="str">
        <f>IF(
    _xlfn.XLOOKUP(J35,SHP!F:F,SHP!D:D,"")="",
    "",
    _xlfn.XLOOKUP(J35,SHP!F:F,SHP!D:D,"")
)</f>
        <v/>
      </c>
      <c r="C35" s="37" t="str">
        <f>IF(
    _xlfn.XLOOKUP(J35,SHP!F:F,SHP!G:G,"")="",
    "",
    _xlfn.XLOOKUP(J35,SHP!F:F,SHP!G:G,"")
)</f>
        <v/>
      </c>
      <c r="M35" s="89"/>
    </row>
    <row r="36" spans="1:13" x14ac:dyDescent="0.45">
      <c r="A36" s="11" t="str">
        <f>_xlfn.XLOOKUP(B36,SHP!D:D,SHP!CW:CW,"")</f>
        <v/>
      </c>
      <c r="B36" s="11" t="str">
        <f>IF(
    _xlfn.XLOOKUP(J36,SHP!F:F,SHP!D:D,"")="",
    "",
    _xlfn.XLOOKUP(J36,SHP!F:F,SHP!D:D,"")
)</f>
        <v/>
      </c>
      <c r="C36" s="37" t="str">
        <f>IF(
    _xlfn.XLOOKUP(J36,SHP!F:F,SHP!G:G,"")="",
    "",
    _xlfn.XLOOKUP(J36,SHP!F:F,SHP!G:G,"")
)</f>
        <v/>
      </c>
      <c r="M36" s="89"/>
    </row>
    <row r="37" spans="1:13" x14ac:dyDescent="0.45">
      <c r="A37" s="11" t="str">
        <f>_xlfn.XLOOKUP(B37,SHP!D:D,SHP!CW:CW,"")</f>
        <v/>
      </c>
      <c r="B37" s="11" t="str">
        <f>IF(
    _xlfn.XLOOKUP(J37,SHP!F:F,SHP!D:D,"")="",
    "",
    _xlfn.XLOOKUP(J37,SHP!F:F,SHP!D:D,"")
)</f>
        <v/>
      </c>
      <c r="C37" s="37" t="str">
        <f>IF(
    _xlfn.XLOOKUP(J37,SHP!F:F,SHP!G:G,"")="",
    "",
    _xlfn.XLOOKUP(J37,SHP!F:F,SHP!G:G,"")
)</f>
        <v/>
      </c>
      <c r="M37" s="89"/>
    </row>
    <row r="38" spans="1:13" x14ac:dyDescent="0.45">
      <c r="A38" s="11" t="str">
        <f>_xlfn.XLOOKUP(B38,SHP!D:D,SHP!CW:CW,"")</f>
        <v/>
      </c>
      <c r="B38" s="11" t="str">
        <f>IF(
    _xlfn.XLOOKUP(J38,SHP!F:F,SHP!D:D,"")="",
    "",
    _xlfn.XLOOKUP(J38,SHP!F:F,SHP!D:D,"")
)</f>
        <v/>
      </c>
      <c r="C38" s="37" t="str">
        <f>IF(
    _xlfn.XLOOKUP(J38,SHP!F:F,SHP!G:G,"")="",
    "",
    _xlfn.XLOOKUP(J38,SHP!F:F,SHP!G:G,"")
)</f>
        <v/>
      </c>
      <c r="M38" s="89"/>
    </row>
    <row r="39" spans="1:13" x14ac:dyDescent="0.45">
      <c r="A39" s="11" t="str">
        <f>_xlfn.XLOOKUP(B39,SHP!D:D,SHP!CW:CW,"")</f>
        <v/>
      </c>
      <c r="B39" s="11" t="str">
        <f>IF(
    _xlfn.XLOOKUP(J39,SHP!F:F,SHP!D:D,"")="",
    "",
    _xlfn.XLOOKUP(J39,SHP!F:F,SHP!D:D,"")
)</f>
        <v/>
      </c>
      <c r="C39" s="37" t="str">
        <f>IF(
    _xlfn.XLOOKUP(J39,SHP!F:F,SHP!G:G,"")="",
    "",
    _xlfn.XLOOKUP(J39,SHP!F:F,SHP!G:G,"")
)</f>
        <v/>
      </c>
      <c r="M39" s="89"/>
    </row>
    <row r="40" spans="1:13" x14ac:dyDescent="0.45">
      <c r="A40" s="11" t="str">
        <f>_xlfn.XLOOKUP(B40,SHP!D:D,SHP!CW:CW,"")</f>
        <v/>
      </c>
      <c r="B40" s="11" t="str">
        <f>IF(
    _xlfn.XLOOKUP(J40,SHP!F:F,SHP!D:D,"")="",
    "",
    _xlfn.XLOOKUP(J40,SHP!F:F,SHP!D:D,"")
)</f>
        <v/>
      </c>
      <c r="C40" s="37" t="str">
        <f>IF(
    _xlfn.XLOOKUP(J40,SHP!F:F,SHP!G:G,"")="",
    "",
    _xlfn.XLOOKUP(J40,SHP!F:F,SHP!G:G,"")
)</f>
        <v/>
      </c>
      <c r="M40" s="89"/>
    </row>
    <row r="41" spans="1:13" x14ac:dyDescent="0.45">
      <c r="A41" s="11" t="str">
        <f>_xlfn.XLOOKUP(B41,SHP!D:D,SHP!CW:CW,"")</f>
        <v/>
      </c>
      <c r="B41" s="11" t="str">
        <f>IF(
    _xlfn.XLOOKUP(J41,SHP!F:F,SHP!D:D,"")="",
    "",
    _xlfn.XLOOKUP(J41,SHP!F:F,SHP!D:D,"")
)</f>
        <v/>
      </c>
      <c r="C41" s="37" t="str">
        <f>IF(
    _xlfn.XLOOKUP(J41,SHP!F:F,SHP!G:G,"")="",
    "",
    _xlfn.XLOOKUP(J41,SHP!F:F,SHP!G:G,"")
)</f>
        <v/>
      </c>
      <c r="M41" s="89"/>
    </row>
    <row r="42" spans="1:13" x14ac:dyDescent="0.45">
      <c r="A42" s="11" t="str">
        <f>_xlfn.XLOOKUP(B42,SHP!D:D,SHP!CW:CW,"")</f>
        <v/>
      </c>
      <c r="B42" s="11" t="str">
        <f>IF(
    _xlfn.XLOOKUP(J42,SHP!F:F,SHP!D:D,"")="",
    "",
    _xlfn.XLOOKUP(J42,SHP!F:F,SHP!D:D,"")
)</f>
        <v/>
      </c>
      <c r="C42" s="37" t="str">
        <f>IF(
    _xlfn.XLOOKUP(J42,SHP!F:F,SHP!G:G,"")="",
    "",
    _xlfn.XLOOKUP(J42,SHP!F:F,SHP!G:G,"")
)</f>
        <v/>
      </c>
      <c r="M42" s="89"/>
    </row>
    <row r="43" spans="1:13" x14ac:dyDescent="0.45">
      <c r="A43" s="11" t="str">
        <f>_xlfn.XLOOKUP(B43,SHP!D:D,SHP!CW:CW,"")</f>
        <v/>
      </c>
      <c r="B43" s="11" t="str">
        <f>IF(
    _xlfn.XLOOKUP(J43,SHP!F:F,SHP!D:D,"")="",
    "",
    _xlfn.XLOOKUP(J43,SHP!F:F,SHP!D:D,"")
)</f>
        <v/>
      </c>
      <c r="C43" s="37" t="str">
        <f>IF(
    _xlfn.XLOOKUP(J43,SHP!F:F,SHP!G:G,"")="",
    "",
    _xlfn.XLOOKUP(J43,SHP!F:F,SHP!G:G,"")
)</f>
        <v/>
      </c>
      <c r="M43" s="89"/>
    </row>
    <row r="44" spans="1:13" x14ac:dyDescent="0.45">
      <c r="A44" s="11" t="str">
        <f>_xlfn.XLOOKUP(B44,SHP!D:D,SHP!CW:CW,"")</f>
        <v/>
      </c>
      <c r="B44" s="11" t="str">
        <f>IF(
    _xlfn.XLOOKUP(J44,SHP!F:F,SHP!D:D,"")="",
    "",
    _xlfn.XLOOKUP(J44,SHP!F:F,SHP!D:D,"")
)</f>
        <v/>
      </c>
      <c r="C44" s="37" t="str">
        <f>IF(
    _xlfn.XLOOKUP(J44,SHP!F:F,SHP!G:G,"")="",
    "",
    _xlfn.XLOOKUP(J44,SHP!F:F,SHP!G:G,"")
)</f>
        <v/>
      </c>
      <c r="M44" s="89"/>
    </row>
    <row r="45" spans="1:13" x14ac:dyDescent="0.45">
      <c r="A45" s="11" t="str">
        <f>_xlfn.XLOOKUP(B45,SHP!D:D,SHP!CW:CW,"")</f>
        <v/>
      </c>
      <c r="B45" s="11" t="str">
        <f>IF(
    _xlfn.XLOOKUP(J45,SHP!F:F,SHP!D:D,"")="",
    "",
    _xlfn.XLOOKUP(J45,SHP!F:F,SHP!D:D,"")
)</f>
        <v/>
      </c>
      <c r="C45" s="37" t="str">
        <f>IF(
    _xlfn.XLOOKUP(J45,SHP!F:F,SHP!G:G,"")="",
    "",
    _xlfn.XLOOKUP(J45,SHP!F:F,SHP!G:G,"")
)</f>
        <v/>
      </c>
      <c r="M45" s="89"/>
    </row>
    <row r="46" spans="1:13" x14ac:dyDescent="0.45">
      <c r="A46" s="11" t="str">
        <f>_xlfn.XLOOKUP(B46,SHP!D:D,SHP!CW:CW,"")</f>
        <v/>
      </c>
      <c r="B46" s="11" t="str">
        <f>IF(
    _xlfn.XLOOKUP(J46,SHP!F:F,SHP!D:D,"")="",
    "",
    _xlfn.XLOOKUP(J46,SHP!F:F,SHP!D:D,"")
)</f>
        <v/>
      </c>
      <c r="C46" s="37" t="str">
        <f>IF(
    _xlfn.XLOOKUP(J46,SHP!F:F,SHP!G:G,"")="",
    "",
    _xlfn.XLOOKUP(J46,SHP!F:F,SHP!G:G,"")
)</f>
        <v/>
      </c>
      <c r="M46" s="89"/>
    </row>
    <row r="47" spans="1:13" x14ac:dyDescent="0.45">
      <c r="A47" s="11" t="str">
        <f>_xlfn.XLOOKUP(B47,SHP!D:D,SHP!CW:CW,"")</f>
        <v/>
      </c>
      <c r="B47" s="11" t="str">
        <f>IF(
    _xlfn.XLOOKUP(J47,SHP!F:F,SHP!D:D,"")="",
    "",
    _xlfn.XLOOKUP(J47,SHP!F:F,SHP!D:D,"")
)</f>
        <v/>
      </c>
      <c r="C47" s="37" t="str">
        <f>IF(
    _xlfn.XLOOKUP(J47,SHP!F:F,SHP!G:G,"")="",
    "",
    _xlfn.XLOOKUP(J47,SHP!F:F,SHP!G:G,"")
)</f>
        <v/>
      </c>
      <c r="M47" s="89"/>
    </row>
    <row r="48" spans="1:13" x14ac:dyDescent="0.45">
      <c r="A48" s="11" t="str">
        <f>_xlfn.XLOOKUP(B48,SHP!D:D,SHP!CW:CW,"")</f>
        <v/>
      </c>
      <c r="B48" s="11" t="str">
        <f>IF(
    _xlfn.XLOOKUP(J48,SHP!F:F,SHP!D:D,"")="",
    "",
    _xlfn.XLOOKUP(J48,SHP!F:F,SHP!D:D,"")
)</f>
        <v/>
      </c>
      <c r="C48" s="37" t="str">
        <f>IF(
    _xlfn.XLOOKUP(J48,SHP!F:F,SHP!G:G,"")="",
    "",
    _xlfn.XLOOKUP(J48,SHP!F:F,SHP!G:G,"")
)</f>
        <v/>
      </c>
      <c r="M48" s="89"/>
    </row>
    <row r="49" spans="1:13" x14ac:dyDescent="0.45">
      <c r="A49" s="11" t="str">
        <f>_xlfn.XLOOKUP(B49,SHP!D:D,SHP!CW:CW,"")</f>
        <v/>
      </c>
      <c r="B49" s="11" t="str">
        <f>IF(
    _xlfn.XLOOKUP(J49,SHP!F:F,SHP!D:D,"")="",
    "",
    _xlfn.XLOOKUP(J49,SHP!F:F,SHP!D:D,"")
)</f>
        <v/>
      </c>
      <c r="C49" s="37" t="str">
        <f>IF(
    _xlfn.XLOOKUP(J49,SHP!F:F,SHP!G:G,"")="",
    "",
    _xlfn.XLOOKUP(J49,SHP!F:F,SHP!G:G,"")
)</f>
        <v/>
      </c>
      <c r="M49" s="89"/>
    </row>
    <row r="50" spans="1:13" x14ac:dyDescent="0.45">
      <c r="A50" s="11" t="str">
        <f>_xlfn.XLOOKUP(B50,SHP!D:D,SHP!CW:CW,"")</f>
        <v/>
      </c>
      <c r="B50" s="11" t="str">
        <f>IF(
    _xlfn.XLOOKUP(J50,SHP!F:F,SHP!D:D,"")="",
    "",
    _xlfn.XLOOKUP(J50,SHP!F:F,SHP!D:D,"")
)</f>
        <v/>
      </c>
      <c r="C50" s="37" t="str">
        <f>IF(
    _xlfn.XLOOKUP(J50,SHP!F:F,SHP!G:G,"")="",
    "",
    _xlfn.XLOOKUP(J50,SHP!F:F,SHP!G:G,"")
)</f>
        <v/>
      </c>
      <c r="M50" s="89"/>
    </row>
    <row r="51" spans="1:13" x14ac:dyDescent="0.45">
      <c r="A51" s="11" t="str">
        <f>_xlfn.XLOOKUP(B51,SHP!D:D,SHP!CW:CW,"")</f>
        <v/>
      </c>
      <c r="B51" s="11" t="str">
        <f>IF(
    _xlfn.XLOOKUP(J51,SHP!F:F,SHP!D:D,"")="",
    "",
    _xlfn.XLOOKUP(J51,SHP!F:F,SHP!D:D,"")
)</f>
        <v/>
      </c>
      <c r="C51" s="37" t="str">
        <f>IF(
    _xlfn.XLOOKUP(J51,SHP!F:F,SHP!G:G,"")="",
    "",
    _xlfn.XLOOKUP(J51,SHP!F:F,SHP!G:G,"")
)</f>
        <v/>
      </c>
      <c r="M51" s="89"/>
    </row>
    <row r="52" spans="1:13" x14ac:dyDescent="0.45">
      <c r="A52" s="11" t="str">
        <f>_xlfn.XLOOKUP(B52,SHP!D:D,SHP!CW:CW,"")</f>
        <v/>
      </c>
      <c r="B52" s="11" t="str">
        <f>IF(
    _xlfn.XLOOKUP(J52,SHP!F:F,SHP!D:D,"")="",
    "",
    _xlfn.XLOOKUP(J52,SHP!F:F,SHP!D:D,"")
)</f>
        <v/>
      </c>
      <c r="C52" s="37" t="str">
        <f>IF(
    _xlfn.XLOOKUP(J52,SHP!F:F,SHP!G:G,"")="",
    "",
    _xlfn.XLOOKUP(J52,SHP!F:F,SHP!G:G,"")
)</f>
        <v/>
      </c>
      <c r="M52" s="89"/>
    </row>
    <row r="53" spans="1:13" x14ac:dyDescent="0.45">
      <c r="A53" s="11" t="str">
        <f>_xlfn.XLOOKUP(B53,SHP!D:D,SHP!CW:CW,"")</f>
        <v/>
      </c>
      <c r="B53" s="11" t="str">
        <f>IF(
    _xlfn.XLOOKUP(J53,SHP!F:F,SHP!D:D,"")="",
    "",
    _xlfn.XLOOKUP(J53,SHP!F:F,SHP!D:D,"")
)</f>
        <v/>
      </c>
      <c r="C53" s="37" t="str">
        <f>IF(
    _xlfn.XLOOKUP(J53,SHP!F:F,SHP!G:G,"")="",
    "",
    _xlfn.XLOOKUP(J53,SHP!F:F,SHP!G:G,"")
)</f>
        <v/>
      </c>
      <c r="M53" s="89"/>
    </row>
    <row r="54" spans="1:13" x14ac:dyDescent="0.45">
      <c r="A54" s="11" t="str">
        <f>_xlfn.XLOOKUP(B54,SHP!D:D,SHP!CW:CW,"")</f>
        <v/>
      </c>
      <c r="B54" s="11" t="str">
        <f>IF(
    _xlfn.XLOOKUP(J54,SHP!F:F,SHP!D:D,"")="",
    "",
    _xlfn.XLOOKUP(J54,SHP!F:F,SHP!D:D,"")
)</f>
        <v/>
      </c>
      <c r="C54" s="37" t="str">
        <f>IF(
    _xlfn.XLOOKUP(J54,SHP!F:F,SHP!G:G,"")="",
    "",
    _xlfn.XLOOKUP(J54,SHP!F:F,SHP!G:G,"")
)</f>
        <v/>
      </c>
      <c r="M54" s="89"/>
    </row>
    <row r="55" spans="1:13" x14ac:dyDescent="0.45">
      <c r="A55" s="11" t="str">
        <f>_xlfn.XLOOKUP(B55,SHP!D:D,SHP!CW:CW,"")</f>
        <v/>
      </c>
      <c r="B55" s="11" t="str">
        <f>IF(
    _xlfn.XLOOKUP(J55,SHP!F:F,SHP!D:D,"")="",
    "",
    _xlfn.XLOOKUP(J55,SHP!F:F,SHP!D:D,"")
)</f>
        <v/>
      </c>
      <c r="C55" s="37" t="str">
        <f>IF(
    _xlfn.XLOOKUP(J55,SHP!F:F,SHP!G:G,"")="",
    "",
    _xlfn.XLOOKUP(J55,SHP!F:F,SHP!G:G,"")
)</f>
        <v/>
      </c>
      <c r="M55" s="89"/>
    </row>
    <row r="56" spans="1:13" x14ac:dyDescent="0.45">
      <c r="A56" s="11" t="str">
        <f>_xlfn.XLOOKUP(B56,SHP!D:D,SHP!CW:CW,"")</f>
        <v/>
      </c>
      <c r="B56" s="11" t="str">
        <f>IF(
    _xlfn.XLOOKUP(J56,SHP!F:F,SHP!D:D,"")="",
    "",
    _xlfn.XLOOKUP(J56,SHP!F:F,SHP!D:D,"")
)</f>
        <v/>
      </c>
      <c r="C56" s="37" t="str">
        <f>IF(
    _xlfn.XLOOKUP(J56,SHP!F:F,SHP!G:G,"")="",
    "",
    _xlfn.XLOOKUP(J56,SHP!F:F,SHP!G:G,"")
)</f>
        <v/>
      </c>
      <c r="M56" s="89"/>
    </row>
    <row r="57" spans="1:13" x14ac:dyDescent="0.45">
      <c r="A57" s="11" t="str">
        <f>_xlfn.XLOOKUP(B57,SHP!D:D,SHP!CW:CW,"")</f>
        <v/>
      </c>
      <c r="B57" s="11" t="str">
        <f>IF(
    _xlfn.XLOOKUP(J57,SHP!F:F,SHP!D:D,"")="",
    "",
    _xlfn.XLOOKUP(J57,SHP!F:F,SHP!D:D,"")
)</f>
        <v/>
      </c>
      <c r="C57" s="37" t="str">
        <f>IF(
    _xlfn.XLOOKUP(J57,SHP!F:F,SHP!G:G,"")="",
    "",
    _xlfn.XLOOKUP(J57,SHP!F:F,SHP!G:G,"")
)</f>
        <v/>
      </c>
      <c r="M57" s="89"/>
    </row>
    <row r="58" spans="1:13" x14ac:dyDescent="0.45">
      <c r="A58" s="11" t="str">
        <f>_xlfn.XLOOKUP(B58,SHP!D:D,SHP!CW:CW,"")</f>
        <v/>
      </c>
      <c r="B58" s="11" t="str">
        <f>IF(
    _xlfn.XLOOKUP(J58,SHP!F:F,SHP!D:D,"")="",
    "",
    _xlfn.XLOOKUP(J58,SHP!F:F,SHP!D:D,"")
)</f>
        <v/>
      </c>
      <c r="C58" s="37" t="str">
        <f>IF(
    _xlfn.XLOOKUP(J58,SHP!F:F,SHP!G:G,"")="",
    "",
    _xlfn.XLOOKUP(J58,SHP!F:F,SHP!G:G,"")
)</f>
        <v/>
      </c>
      <c r="M58" s="89"/>
    </row>
    <row r="59" spans="1:13" x14ac:dyDescent="0.45">
      <c r="A59" s="11" t="str">
        <f>_xlfn.XLOOKUP(B59,SHP!D:D,SHP!CW:CW,"")</f>
        <v/>
      </c>
      <c r="B59" s="11" t="str">
        <f>IF(
    _xlfn.XLOOKUP(J59,SHP!F:F,SHP!D:D,"")="",
    "",
    _xlfn.XLOOKUP(J59,SHP!F:F,SHP!D:D,"")
)</f>
        <v/>
      </c>
      <c r="C59" s="37" t="str">
        <f>IF(
    _xlfn.XLOOKUP(J59,SHP!F:F,SHP!G:G,"")="",
    "",
    _xlfn.XLOOKUP(J59,SHP!F:F,SHP!G:G,"")
)</f>
        <v/>
      </c>
      <c r="M59" s="89"/>
    </row>
    <row r="60" spans="1:13" x14ac:dyDescent="0.45">
      <c r="A60" s="11" t="str">
        <f>_xlfn.XLOOKUP(B60,SHP!D:D,SHP!CW:CW,"")</f>
        <v/>
      </c>
      <c r="B60" s="11" t="str">
        <f>IF(
    _xlfn.XLOOKUP(J60,SHP!F:F,SHP!D:D,"")="",
    "",
    _xlfn.XLOOKUP(J60,SHP!F:F,SHP!D:D,"")
)</f>
        <v/>
      </c>
      <c r="C60" s="37" t="str">
        <f>IF(
    _xlfn.XLOOKUP(J60,SHP!F:F,SHP!G:G,"")="",
    "",
    _xlfn.XLOOKUP(J60,SHP!F:F,SHP!G:G,"")
)</f>
        <v/>
      </c>
      <c r="M60" s="89"/>
    </row>
    <row r="61" spans="1:13" x14ac:dyDescent="0.45">
      <c r="A61" s="11" t="str">
        <f>_xlfn.XLOOKUP(B61,SHP!D:D,SHP!CW:CW,"")</f>
        <v/>
      </c>
      <c r="B61" s="11" t="str">
        <f>IF(
    _xlfn.XLOOKUP(J61,SHP!F:F,SHP!D:D,"")="",
    "",
    _xlfn.XLOOKUP(J61,SHP!F:F,SHP!D:D,"")
)</f>
        <v/>
      </c>
      <c r="C61" s="37" t="str">
        <f>IF(
    _xlfn.XLOOKUP(J61,SHP!F:F,SHP!G:G,"")="",
    "",
    _xlfn.XLOOKUP(J61,SHP!F:F,SHP!G:G,"")
)</f>
        <v/>
      </c>
      <c r="M61" s="89"/>
    </row>
    <row r="62" spans="1:13" x14ac:dyDescent="0.45">
      <c r="A62" s="11" t="str">
        <f>_xlfn.XLOOKUP(B62,SHP!D:D,SHP!CW:CW,"")</f>
        <v/>
      </c>
      <c r="B62" s="11" t="str">
        <f>IF(
    _xlfn.XLOOKUP(J62,SHP!F:F,SHP!D:D,"")="",
    "",
    _xlfn.XLOOKUP(J62,SHP!F:F,SHP!D:D,"")
)</f>
        <v/>
      </c>
      <c r="C62" s="37" t="str">
        <f>IF(
    _xlfn.XLOOKUP(J62,SHP!F:F,SHP!G:G,"")="",
    "",
    _xlfn.XLOOKUP(J62,SHP!F:F,SHP!G:G,"")
)</f>
        <v/>
      </c>
      <c r="M62" s="89"/>
    </row>
    <row r="63" spans="1:13" x14ac:dyDescent="0.45">
      <c r="A63" s="11" t="str">
        <f>_xlfn.XLOOKUP(B63,SHP!D:D,SHP!CW:CW,"")</f>
        <v/>
      </c>
      <c r="B63" s="11" t="str">
        <f>IF(
    _xlfn.XLOOKUP(J63,SHP!F:F,SHP!D:D,"")="",
    "",
    _xlfn.XLOOKUP(J63,SHP!F:F,SHP!D:D,"")
)</f>
        <v/>
      </c>
      <c r="C63" s="37" t="str">
        <f>IF(
    _xlfn.XLOOKUP(J63,SHP!F:F,SHP!G:G,"")="",
    "",
    _xlfn.XLOOKUP(J63,SHP!F:F,SHP!G:G,"")
)</f>
        <v/>
      </c>
      <c r="M63" s="89"/>
    </row>
    <row r="64" spans="1:13" x14ac:dyDescent="0.45">
      <c r="A64" s="11" t="str">
        <f>_xlfn.XLOOKUP(B64,SHP!D:D,SHP!CW:CW,"")</f>
        <v/>
      </c>
      <c r="B64" s="11" t="str">
        <f>IF(
    _xlfn.XLOOKUP(J64,SHP!F:F,SHP!D:D,"")="",
    "",
    _xlfn.XLOOKUP(J64,SHP!F:F,SHP!D:D,"")
)</f>
        <v/>
      </c>
      <c r="C64" s="37" t="str">
        <f>IF(
    _xlfn.XLOOKUP(J64,SHP!F:F,SHP!G:G,"")="",
    "",
    _xlfn.XLOOKUP(J64,SHP!F:F,SHP!G:G,"")
)</f>
        <v/>
      </c>
      <c r="M64" s="89"/>
    </row>
    <row r="65" spans="1:13" x14ac:dyDescent="0.45">
      <c r="A65" s="11" t="str">
        <f>_xlfn.XLOOKUP(B65,SHP!D:D,SHP!CW:CW,"")</f>
        <v/>
      </c>
      <c r="B65" s="11" t="str">
        <f>IF(
    _xlfn.XLOOKUP(J65,SHP!F:F,SHP!D:D,"")="",
    "",
    _xlfn.XLOOKUP(J65,SHP!F:F,SHP!D:D,"")
)</f>
        <v/>
      </c>
      <c r="C65" s="37" t="str">
        <f>IF(
    _xlfn.XLOOKUP(J65,SHP!F:F,SHP!G:G,"")="",
    "",
    _xlfn.XLOOKUP(J65,SHP!F:F,SHP!G:G,"")
)</f>
        <v/>
      </c>
      <c r="M65" s="89"/>
    </row>
    <row r="66" spans="1:13" x14ac:dyDescent="0.45">
      <c r="A66" s="11" t="str">
        <f>_xlfn.XLOOKUP(B66,SHP!D:D,SHP!CW:CW,"")</f>
        <v/>
      </c>
      <c r="B66" s="11" t="str">
        <f>IF(
    _xlfn.XLOOKUP(J66,SHP!F:F,SHP!D:D,"")="",
    "",
    _xlfn.XLOOKUP(J66,SHP!F:F,SHP!D:D,"")
)</f>
        <v/>
      </c>
      <c r="C66" s="37" t="str">
        <f>IF(
    _xlfn.XLOOKUP(J66,SHP!F:F,SHP!G:G,"")="",
    "",
    _xlfn.XLOOKUP(J66,SHP!F:F,SHP!G:G,"")
)</f>
        <v/>
      </c>
      <c r="M66" s="89"/>
    </row>
    <row r="67" spans="1:13" x14ac:dyDescent="0.45">
      <c r="A67" s="11" t="str">
        <f>_xlfn.XLOOKUP(B67,SHP!D:D,SHP!CW:CW,"")</f>
        <v/>
      </c>
      <c r="B67" s="11" t="str">
        <f>IF(
    _xlfn.XLOOKUP(J67,SHP!F:F,SHP!D:D,"")="",
    "",
    _xlfn.XLOOKUP(J67,SHP!F:F,SHP!D:D,"")
)</f>
        <v/>
      </c>
      <c r="C67" s="37" t="str">
        <f>IF(
    _xlfn.XLOOKUP(J67,SHP!F:F,SHP!G:G,"")="",
    "",
    _xlfn.XLOOKUP(J67,SHP!F:F,SHP!G:G,"")
)</f>
        <v/>
      </c>
      <c r="M67" s="89"/>
    </row>
    <row r="68" spans="1:13" x14ac:dyDescent="0.45">
      <c r="A68" s="11" t="str">
        <f>_xlfn.XLOOKUP(B68,SHP!D:D,SHP!CW:CW,"")</f>
        <v/>
      </c>
      <c r="B68" s="11" t="str">
        <f>IF(
    _xlfn.XLOOKUP(J68,SHP!F:F,SHP!D:D,"")="",
    "",
    _xlfn.XLOOKUP(J68,SHP!F:F,SHP!D:D,"")
)</f>
        <v/>
      </c>
      <c r="C68" s="37" t="str">
        <f>IF(
    _xlfn.XLOOKUP(J68,SHP!F:F,SHP!G:G,"")="",
    "",
    _xlfn.XLOOKUP(J68,SHP!F:F,SHP!G:G,"")
)</f>
        <v/>
      </c>
      <c r="M68" s="89"/>
    </row>
    <row r="69" spans="1:13" x14ac:dyDescent="0.45">
      <c r="A69" s="11" t="str">
        <f>_xlfn.XLOOKUP(B69,SHP!D:D,SHP!CW:CW,"")</f>
        <v/>
      </c>
      <c r="B69" s="11" t="str">
        <f>IF(
    _xlfn.XLOOKUP(J69,SHP!F:F,SHP!D:D,"")="",
    "",
    _xlfn.XLOOKUP(J69,SHP!F:F,SHP!D:D,"")
)</f>
        <v/>
      </c>
      <c r="C69" s="37" t="str">
        <f>IF(
    _xlfn.XLOOKUP(J69,SHP!F:F,SHP!G:G,"")="",
    "",
    _xlfn.XLOOKUP(J69,SHP!F:F,SHP!G:G,"")
)</f>
        <v/>
      </c>
      <c r="M69" s="89"/>
    </row>
    <row r="70" spans="1:13" x14ac:dyDescent="0.45">
      <c r="A70" s="11" t="str">
        <f>_xlfn.XLOOKUP(B70,SHP!D:D,SHP!CW:CW,"")</f>
        <v/>
      </c>
      <c r="B70" s="11" t="str">
        <f>IF(
    _xlfn.XLOOKUP(J70,SHP!F:F,SHP!D:D,"")="",
    "",
    _xlfn.XLOOKUP(J70,SHP!F:F,SHP!D:D,"")
)</f>
        <v/>
      </c>
      <c r="C70" s="37" t="str">
        <f>IF(
    _xlfn.XLOOKUP(J70,SHP!F:F,SHP!G:G,"")="",
    "",
    _xlfn.XLOOKUP(J70,SHP!F:F,SHP!G:G,"")
)</f>
        <v/>
      </c>
      <c r="M70" s="89"/>
    </row>
    <row r="71" spans="1:13" x14ac:dyDescent="0.45">
      <c r="A71" s="11" t="str">
        <f>_xlfn.XLOOKUP(B71,SHP!D:D,SHP!CW:CW,"")</f>
        <v/>
      </c>
      <c r="B71" s="11" t="str">
        <f>IF(
    _xlfn.XLOOKUP(J71,SHP!F:F,SHP!D:D,"")="",
    "",
    _xlfn.XLOOKUP(J71,SHP!F:F,SHP!D:D,"")
)</f>
        <v/>
      </c>
      <c r="C71" s="37" t="str">
        <f>IF(
    _xlfn.XLOOKUP(J71,SHP!F:F,SHP!G:G,"")="",
    "",
    _xlfn.XLOOKUP(J71,SHP!F:F,SHP!G:G,"")
)</f>
        <v/>
      </c>
      <c r="M71" s="89"/>
    </row>
    <row r="72" spans="1:13" x14ac:dyDescent="0.45">
      <c r="A72" s="11" t="str">
        <f>_xlfn.XLOOKUP(B72,SHP!D:D,SHP!CW:CW,"")</f>
        <v/>
      </c>
      <c r="B72" s="11" t="str">
        <f>IF(
    _xlfn.XLOOKUP(J72,SHP!F:F,SHP!D:D,"")="",
    "",
    _xlfn.XLOOKUP(J72,SHP!F:F,SHP!D:D,"")
)</f>
        <v/>
      </c>
      <c r="C72" s="37" t="str">
        <f>IF(
    _xlfn.XLOOKUP(J72,SHP!F:F,SHP!G:G,"")="",
    "",
    _xlfn.XLOOKUP(J72,SHP!F:F,SHP!G:G,"")
)</f>
        <v/>
      </c>
      <c r="M72" s="89"/>
    </row>
    <row r="73" spans="1:13" x14ac:dyDescent="0.45">
      <c r="A73" s="11" t="str">
        <f>_xlfn.XLOOKUP(B73,SHP!D:D,SHP!CW:CW,"")</f>
        <v/>
      </c>
      <c r="M73" s="89"/>
    </row>
    <row r="74" spans="1:13" x14ac:dyDescent="0.45">
      <c r="A74" s="11" t="str">
        <f>_xlfn.XLOOKUP(B74,SHP!D:D,SHP!CW:CW,"")</f>
        <v/>
      </c>
      <c r="M74" s="89"/>
    </row>
    <row r="75" spans="1:13" x14ac:dyDescent="0.45">
      <c r="A75" s="11" t="str">
        <f>_xlfn.XLOOKUP(B75,SHP!D:D,SHP!CW:CW,"")</f>
        <v/>
      </c>
      <c r="M75" s="89"/>
    </row>
    <row r="76" spans="1:13" x14ac:dyDescent="0.45">
      <c r="A76" s="11" t="str">
        <f>_xlfn.XLOOKUP(B76,SHP!D:D,SHP!CW:CW,"")</f>
        <v/>
      </c>
      <c r="M76" s="89"/>
    </row>
    <row r="77" spans="1:13" x14ac:dyDescent="0.45">
      <c r="A77" s="11" t="str">
        <f>_xlfn.XLOOKUP(B77,SHP!D:D,SHP!CW:CW,"")</f>
        <v/>
      </c>
      <c r="M77" s="89"/>
    </row>
    <row r="78" spans="1:13" x14ac:dyDescent="0.45">
      <c r="A78" s="11" t="str">
        <f>_xlfn.XLOOKUP(B78,SHP!D:D,SHP!CW:CW,"")</f>
        <v/>
      </c>
      <c r="M78" s="89"/>
    </row>
    <row r="79" spans="1:13" x14ac:dyDescent="0.45">
      <c r="A79" s="11" t="str">
        <f>_xlfn.XLOOKUP(B79,SHP!D:D,SHP!CW:CW,"")</f>
        <v/>
      </c>
      <c r="M79" s="89"/>
    </row>
    <row r="80" spans="1:13" x14ac:dyDescent="0.45">
      <c r="A80" s="11" t="str">
        <f>_xlfn.XLOOKUP(B80,SHP!D:D,SHP!CW:CW,"")</f>
        <v/>
      </c>
      <c r="M80" s="89"/>
    </row>
    <row r="81" spans="1:13" x14ac:dyDescent="0.45">
      <c r="A81" s="11" t="str">
        <f>_xlfn.XLOOKUP(B81,SHP!D:D,SHP!CW:CW,"")</f>
        <v/>
      </c>
      <c r="M81" s="89"/>
    </row>
    <row r="82" spans="1:13" x14ac:dyDescent="0.45">
      <c r="A82" s="11" t="str">
        <f>_xlfn.XLOOKUP(B82,SHP!D:D,SHP!CW:CW,"")</f>
        <v/>
      </c>
      <c r="M82" s="89"/>
    </row>
    <row r="83" spans="1:13" x14ac:dyDescent="0.45">
      <c r="A83" s="11">
        <f>_xlfn.XLOOKUP(B83,SHP!D:D,SHP!CW:CW,"")</f>
        <v>0</v>
      </c>
      <c r="M83" s="89"/>
    </row>
    <row r="84" spans="1:13" x14ac:dyDescent="0.45">
      <c r="A84" s="11">
        <f>_xlfn.XLOOKUP(B84,SHP!D:D,SHP!CW:CW,"")</f>
        <v>0</v>
      </c>
      <c r="M84" s="89"/>
    </row>
    <row r="85" spans="1:13" x14ac:dyDescent="0.45">
      <c r="A85" s="11" t="str">
        <f>_xlfn.XLOOKUP(B85,SHP!D:D,SHP!CW:CW,"")</f>
        <v/>
      </c>
      <c r="M85" s="89"/>
    </row>
    <row r="86" spans="1:13" x14ac:dyDescent="0.45">
      <c r="A86" s="11" t="str">
        <f>_xlfn.XLOOKUP(B86,SHP!D:D,SHP!CW:CW,"")</f>
        <v/>
      </c>
      <c r="M86" s="89"/>
    </row>
    <row r="87" spans="1:13" x14ac:dyDescent="0.45">
      <c r="A87" s="11" t="str">
        <f>_xlfn.XLOOKUP(B87,SHP!D:D,SHP!CW:CW,"")</f>
        <v/>
      </c>
      <c r="M87" s="89"/>
    </row>
    <row r="88" spans="1:13" x14ac:dyDescent="0.45">
      <c r="A88" s="11" t="str">
        <f>_xlfn.XLOOKUP(B88,SHP!D:D,SHP!CW:CW,"")</f>
        <v/>
      </c>
      <c r="M88" s="89"/>
    </row>
    <row r="89" spans="1:13" x14ac:dyDescent="0.45">
      <c r="A89" s="11" t="str">
        <f>_xlfn.XLOOKUP(B89,SHP!D:D,SHP!CW:CW,"")</f>
        <v/>
      </c>
      <c r="M89" s="89"/>
    </row>
    <row r="90" spans="1:13" x14ac:dyDescent="0.45">
      <c r="A90" s="11" t="str">
        <f>_xlfn.XLOOKUP(B90,SHP!D:D,SHP!CW:CW,"")</f>
        <v/>
      </c>
      <c r="M90" s="89"/>
    </row>
    <row r="91" spans="1:13" x14ac:dyDescent="0.45">
      <c r="A91" s="11" t="str">
        <f>_xlfn.XLOOKUP(B91,SHP!D:D,SHP!CW:CW,"")</f>
        <v/>
      </c>
      <c r="M91" s="89"/>
    </row>
    <row r="92" spans="1:13" x14ac:dyDescent="0.45">
      <c r="A92" s="11" t="str">
        <f>_xlfn.XLOOKUP(B92,SHP!D:D,SHP!CW:CW,"")</f>
        <v/>
      </c>
      <c r="M92" s="89"/>
    </row>
    <row r="93" spans="1:13" x14ac:dyDescent="0.45">
      <c r="A93" s="11" t="str">
        <f>_xlfn.XLOOKUP(B93,SHP!D:D,SHP!CW:CW,"")</f>
        <v/>
      </c>
      <c r="M93" s="89"/>
    </row>
    <row r="94" spans="1:13" x14ac:dyDescent="0.45">
      <c r="A94" s="11" t="str">
        <f>_xlfn.XLOOKUP(B94,SHP!D:D,SHP!CW:CW,"")</f>
        <v/>
      </c>
      <c r="M94" s="89"/>
    </row>
    <row r="95" spans="1:13" x14ac:dyDescent="0.45">
      <c r="A95" s="11" t="str">
        <f>_xlfn.XLOOKUP(B95,SHP!D:D,SHP!CW:CW,"")</f>
        <v/>
      </c>
      <c r="M95" s="89"/>
    </row>
    <row r="96" spans="1:13" x14ac:dyDescent="0.45">
      <c r="A96" s="11" t="str">
        <f>_xlfn.XLOOKUP(B96,SHP!D:D,SHP!CW:CW,"")</f>
        <v/>
      </c>
      <c r="M96" s="89"/>
    </row>
    <row r="97" spans="1:13" x14ac:dyDescent="0.45">
      <c r="A97" s="11">
        <f>_xlfn.XLOOKUP(B97,SHP!D:D,SHP!CW:CW,"")</f>
        <v>0</v>
      </c>
      <c r="M97" s="89"/>
    </row>
    <row r="98" spans="1:13" x14ac:dyDescent="0.45">
      <c r="A98" s="11">
        <f>_xlfn.XLOOKUP(B98,SHP!D:D,SHP!CW:CW,"")</f>
        <v>0</v>
      </c>
      <c r="M98" s="89"/>
    </row>
    <row r="99" spans="1:13" x14ac:dyDescent="0.45">
      <c r="A99" s="11" t="str">
        <f>_xlfn.XLOOKUP(B99,SHP!D:D,SHP!CW:CW,"")</f>
        <v/>
      </c>
      <c r="M99" s="89"/>
    </row>
    <row r="100" spans="1:13" x14ac:dyDescent="0.45">
      <c r="A100" s="11" t="str">
        <f>_xlfn.XLOOKUP(B100,SHP!D:D,SHP!CW:CW,"")</f>
        <v/>
      </c>
      <c r="M100" s="89"/>
    </row>
    <row r="101" spans="1:13" x14ac:dyDescent="0.45">
      <c r="A101" s="11" t="str">
        <f>_xlfn.XLOOKUP(B101,SHP!D:D,SHP!CW:CW,"")</f>
        <v/>
      </c>
      <c r="M101" s="89"/>
    </row>
    <row r="102" spans="1:13" x14ac:dyDescent="0.45">
      <c r="A102" s="11" t="str">
        <f>_xlfn.XLOOKUP(B102,SHP!D:D,SHP!CW:CW,"")</f>
        <v/>
      </c>
      <c r="M102" s="89"/>
    </row>
    <row r="103" spans="1:13" x14ac:dyDescent="0.45">
      <c r="A103" s="11" t="str">
        <f>_xlfn.XLOOKUP(B103,SHP!D:D,SHP!CW:CW,"")</f>
        <v/>
      </c>
      <c r="M103" s="89"/>
    </row>
    <row r="104" spans="1:13" x14ac:dyDescent="0.45">
      <c r="A104" s="11" t="str">
        <f>_xlfn.XLOOKUP(B104,SHP!D:D,SHP!CW:CW,"")</f>
        <v/>
      </c>
      <c r="M104" s="89"/>
    </row>
    <row r="105" spans="1:13" x14ac:dyDescent="0.45">
      <c r="A105" s="11" t="str">
        <f>_xlfn.XLOOKUP(B105,SHP!D:D,SHP!CW:CW,"")</f>
        <v/>
      </c>
      <c r="M105" s="89"/>
    </row>
    <row r="106" spans="1:13" x14ac:dyDescent="0.45">
      <c r="A106" s="11" t="str">
        <f>_xlfn.XLOOKUP(B106,SHP!D:D,SHP!CW:CW,"")</f>
        <v/>
      </c>
      <c r="M106" s="89"/>
    </row>
    <row r="107" spans="1:13" x14ac:dyDescent="0.45">
      <c r="A107" s="11" t="str">
        <f>_xlfn.XLOOKUP(B107,SHP!D:D,SHP!CW:CW,"")</f>
        <v/>
      </c>
      <c r="M107" s="89"/>
    </row>
    <row r="108" spans="1:13" x14ac:dyDescent="0.45">
      <c r="A108" s="11" t="str">
        <f>_xlfn.XLOOKUP(B108,SHP!D:D,SHP!CW:CW,"")</f>
        <v/>
      </c>
      <c r="M108" s="89"/>
    </row>
    <row r="109" spans="1:13" x14ac:dyDescent="0.45">
      <c r="A109" s="11" t="str">
        <f>_xlfn.XLOOKUP(B109,SHP!D:D,SHP!CW:CW,"")</f>
        <v/>
      </c>
      <c r="M109" s="89"/>
    </row>
    <row r="110" spans="1:13" x14ac:dyDescent="0.45">
      <c r="A110" s="11" t="str">
        <f>_xlfn.XLOOKUP(B110,SHP!D:D,SHP!CW:CW,"")</f>
        <v/>
      </c>
      <c r="M110" s="89"/>
    </row>
    <row r="111" spans="1:13" x14ac:dyDescent="0.45">
      <c r="A111" s="11">
        <f>_xlfn.XLOOKUP(B111,SHP!D:D,SHP!CW:CW,"")</f>
        <v>0</v>
      </c>
      <c r="M111" s="89"/>
    </row>
    <row r="112" spans="1:13" x14ac:dyDescent="0.45">
      <c r="A112" s="11">
        <f>_xlfn.XLOOKUP(B112,SHP!D:D,SHP!CW:CW,"")</f>
        <v>0</v>
      </c>
      <c r="M112" s="89"/>
    </row>
    <row r="113" spans="1:13" x14ac:dyDescent="0.45">
      <c r="A113" s="11" t="str">
        <f>_xlfn.XLOOKUP(B113,SHP!D:D,SHP!CW:CW,"")</f>
        <v/>
      </c>
      <c r="M113" s="89"/>
    </row>
    <row r="114" spans="1:13" x14ac:dyDescent="0.45">
      <c r="A114" s="11" t="str">
        <f>_xlfn.XLOOKUP(B114,SHP!D:D,SHP!CW:CW,"")</f>
        <v/>
      </c>
      <c r="M114" s="89"/>
    </row>
    <row r="115" spans="1:13" x14ac:dyDescent="0.45">
      <c r="A115" s="11" t="str">
        <f>_xlfn.XLOOKUP(B115,SHP!D:D,SHP!CW:CW,"")</f>
        <v/>
      </c>
      <c r="M115" s="89"/>
    </row>
    <row r="116" spans="1:13" x14ac:dyDescent="0.45">
      <c r="A116" s="11" t="str">
        <f>_xlfn.XLOOKUP(B116,SHP!D:D,SHP!CW:CW,"")</f>
        <v/>
      </c>
      <c r="M116" s="89"/>
    </row>
    <row r="117" spans="1:13" x14ac:dyDescent="0.45">
      <c r="A117" s="11" t="str">
        <f>_xlfn.XLOOKUP(B117,SHP!D:D,SHP!CW:CW,"")</f>
        <v/>
      </c>
      <c r="M117" s="89"/>
    </row>
    <row r="118" spans="1:13" x14ac:dyDescent="0.45">
      <c r="A118" s="11" t="str">
        <f>_xlfn.XLOOKUP(B118,SHP!D:D,SHP!CW:CW,"")</f>
        <v/>
      </c>
      <c r="M118" s="89"/>
    </row>
    <row r="119" spans="1:13" x14ac:dyDescent="0.45">
      <c r="A119" s="11" t="str">
        <f>_xlfn.XLOOKUP(B119,SHP!D:D,SHP!CW:CW,"")</f>
        <v/>
      </c>
      <c r="M119" s="89"/>
    </row>
    <row r="120" spans="1:13" x14ac:dyDescent="0.45">
      <c r="A120" s="11" t="str">
        <f>_xlfn.XLOOKUP(B120,SHP!D:D,SHP!CW:CW,"")</f>
        <v/>
      </c>
      <c r="M120" s="89"/>
    </row>
    <row r="121" spans="1:13" x14ac:dyDescent="0.45">
      <c r="A121" s="11" t="str">
        <f>_xlfn.XLOOKUP(B121,SHP!D:D,SHP!CW:CW,"")</f>
        <v/>
      </c>
      <c r="M121" s="89"/>
    </row>
    <row r="122" spans="1:13" x14ac:dyDescent="0.45">
      <c r="A122" s="11" t="str">
        <f>_xlfn.XLOOKUP(B122,SHP!D:D,SHP!CW:CW,"")</f>
        <v/>
      </c>
      <c r="M122" s="89"/>
    </row>
    <row r="123" spans="1:13" x14ac:dyDescent="0.45">
      <c r="A123" s="11" t="str">
        <f>_xlfn.XLOOKUP(B123,SHP!D:D,SHP!CW:CW,"")</f>
        <v/>
      </c>
      <c r="M123" s="89"/>
    </row>
    <row r="124" spans="1:13" x14ac:dyDescent="0.45">
      <c r="A124" s="11" t="str">
        <f>_xlfn.XLOOKUP(B124,SHP!D:D,SHP!CW:CW,"")</f>
        <v/>
      </c>
      <c r="M124" s="89"/>
    </row>
    <row r="125" spans="1:13" x14ac:dyDescent="0.45">
      <c r="A125" s="11">
        <f>_xlfn.XLOOKUP(B125,SHP!D:D,SHP!CW:CW,"")</f>
        <v>0</v>
      </c>
      <c r="M125" s="89"/>
    </row>
    <row r="126" spans="1:13" x14ac:dyDescent="0.45">
      <c r="A126" s="11">
        <f>_xlfn.XLOOKUP(B126,SHP!D:D,SHP!CW:CW,"")</f>
        <v>0</v>
      </c>
      <c r="M126" s="89"/>
    </row>
    <row r="127" spans="1:13" x14ac:dyDescent="0.45">
      <c r="A127" s="11" t="str">
        <f>_xlfn.XLOOKUP(B127,SHP!D:D,SHP!CW:CW,"")</f>
        <v/>
      </c>
      <c r="M127" s="89"/>
    </row>
    <row r="128" spans="1:13" x14ac:dyDescent="0.45">
      <c r="A128" s="11" t="str">
        <f>_xlfn.XLOOKUP(B128,SHP!D:D,SHP!CW:CW,"")</f>
        <v/>
      </c>
      <c r="M128" s="89"/>
    </row>
    <row r="129" spans="1:13" x14ac:dyDescent="0.45">
      <c r="A129" s="11" t="str">
        <f>_xlfn.XLOOKUP(B129,SHP!D:D,SHP!CW:CW,"")</f>
        <v/>
      </c>
      <c r="M129" s="89"/>
    </row>
    <row r="130" spans="1:13" x14ac:dyDescent="0.45">
      <c r="A130" s="11" t="str">
        <f>_xlfn.XLOOKUP(B130,SHP!D:D,SHP!CW:CW,"")</f>
        <v/>
      </c>
      <c r="M130" s="89"/>
    </row>
    <row r="131" spans="1:13" x14ac:dyDescent="0.45">
      <c r="A131" s="11" t="str">
        <f>_xlfn.XLOOKUP(B131,SHP!D:D,SHP!CW:CW,"")</f>
        <v/>
      </c>
      <c r="M131" s="89"/>
    </row>
    <row r="132" spans="1:13" x14ac:dyDescent="0.45">
      <c r="A132" s="11" t="str">
        <f>_xlfn.XLOOKUP(B132,SHP!D:D,SHP!CW:CW,"")</f>
        <v/>
      </c>
      <c r="M132" s="89"/>
    </row>
    <row r="133" spans="1:13" x14ac:dyDescent="0.45">
      <c r="A133" s="11" t="str">
        <f>_xlfn.XLOOKUP(B133,SHP!D:D,SHP!CW:CW,"")</f>
        <v/>
      </c>
      <c r="M133" s="89"/>
    </row>
    <row r="134" spans="1:13" x14ac:dyDescent="0.45">
      <c r="A134" s="11" t="str">
        <f>_xlfn.XLOOKUP(B134,SHP!D:D,SHP!CW:CW,"")</f>
        <v/>
      </c>
      <c r="M134" s="89"/>
    </row>
    <row r="135" spans="1:13" x14ac:dyDescent="0.45">
      <c r="A135" s="11" t="str">
        <f>_xlfn.XLOOKUP(B135,SHP!D:D,SHP!CW:CW,"")</f>
        <v/>
      </c>
      <c r="M135" s="89"/>
    </row>
    <row r="136" spans="1:13" x14ac:dyDescent="0.45">
      <c r="A136" s="11" t="str">
        <f>_xlfn.XLOOKUP(B136,SHP!D:D,SHP!CW:CW,"")</f>
        <v/>
      </c>
      <c r="M136" s="89"/>
    </row>
    <row r="137" spans="1:13" x14ac:dyDescent="0.45">
      <c r="A137" s="11" t="str">
        <f>_xlfn.XLOOKUP(B137,SHP!D:D,SHP!CW:CW,"")</f>
        <v/>
      </c>
      <c r="M137" s="89"/>
    </row>
    <row r="138" spans="1:13" x14ac:dyDescent="0.45">
      <c r="A138" s="11" t="str">
        <f>_xlfn.XLOOKUP(B138,SHP!D:D,SHP!CW:CW,"")</f>
        <v/>
      </c>
      <c r="M138" s="89"/>
    </row>
    <row r="139" spans="1:13" x14ac:dyDescent="0.45">
      <c r="A139" s="11">
        <f>_xlfn.XLOOKUP(B139,SHP!D:D,SHP!CW:CW,"")</f>
        <v>0</v>
      </c>
      <c r="M139" s="89"/>
    </row>
    <row r="140" spans="1:13" x14ac:dyDescent="0.45">
      <c r="A140" s="11">
        <f>_xlfn.XLOOKUP(B140,SHP!D:D,SHP!CW:CW,"")</f>
        <v>0</v>
      </c>
      <c r="M140" s="89"/>
    </row>
    <row r="141" spans="1:13" x14ac:dyDescent="0.45">
      <c r="A141" s="11" t="str">
        <f>_xlfn.XLOOKUP(B141,SHP!D:D,SHP!CW:CW,"")</f>
        <v/>
      </c>
      <c r="M141" s="89"/>
    </row>
    <row r="142" spans="1:13" x14ac:dyDescent="0.45">
      <c r="A142" s="11" t="str">
        <f>_xlfn.XLOOKUP(B142,SHP!D:D,SHP!CW:CW,"")</f>
        <v/>
      </c>
      <c r="M142" s="89"/>
    </row>
    <row r="143" spans="1:13" x14ac:dyDescent="0.45">
      <c r="A143" s="11" t="str">
        <f>_xlfn.XLOOKUP(B143,SHP!D:D,SHP!CW:CW,"")</f>
        <v/>
      </c>
      <c r="M143" s="89"/>
    </row>
    <row r="144" spans="1:13" x14ac:dyDescent="0.45">
      <c r="A144" s="11" t="str">
        <f>_xlfn.XLOOKUP(B144,SHP!D:D,SHP!CW:CW,"")</f>
        <v/>
      </c>
      <c r="M144" s="89"/>
    </row>
    <row r="145" spans="1:13" x14ac:dyDescent="0.45">
      <c r="A145" s="11" t="str">
        <f>_xlfn.XLOOKUP(B145,SHP!D:D,SHP!CW:CW,"")</f>
        <v/>
      </c>
      <c r="M145" s="89"/>
    </row>
    <row r="146" spans="1:13" x14ac:dyDescent="0.45">
      <c r="A146" s="11" t="str">
        <f>_xlfn.XLOOKUP(B146,SHP!D:D,SHP!CW:CW,"")</f>
        <v/>
      </c>
      <c r="M146" s="89"/>
    </row>
    <row r="147" spans="1:13" x14ac:dyDescent="0.45">
      <c r="A147" s="11" t="str">
        <f>_xlfn.XLOOKUP(B147,SHP!D:D,SHP!CW:CW,"")</f>
        <v/>
      </c>
      <c r="M147" s="89"/>
    </row>
    <row r="148" spans="1:13" x14ac:dyDescent="0.45">
      <c r="A148" s="11" t="str">
        <f>_xlfn.XLOOKUP(B148,SHP!D:D,SHP!CW:CW,"")</f>
        <v/>
      </c>
      <c r="M148" s="89"/>
    </row>
    <row r="149" spans="1:13" x14ac:dyDescent="0.45">
      <c r="A149" s="11" t="str">
        <f>_xlfn.XLOOKUP(B149,SHP!D:D,SHP!CW:CW,"")</f>
        <v/>
      </c>
      <c r="M149" s="89"/>
    </row>
    <row r="150" spans="1:13" x14ac:dyDescent="0.45">
      <c r="A150" s="11" t="str">
        <f>_xlfn.XLOOKUP(B150,SHP!D:D,SHP!CW:CW,"")</f>
        <v/>
      </c>
      <c r="M150" s="89"/>
    </row>
    <row r="151" spans="1:13" x14ac:dyDescent="0.45">
      <c r="A151" s="11" t="str">
        <f>_xlfn.XLOOKUP(B151,SHP!D:D,SHP!CW:CW,"")</f>
        <v/>
      </c>
      <c r="M151" s="89"/>
    </row>
    <row r="152" spans="1:13" x14ac:dyDescent="0.45">
      <c r="A152" s="11" t="str">
        <f>_xlfn.XLOOKUP(B152,SHP!D:D,SHP!CW:CW,"")</f>
        <v/>
      </c>
      <c r="M152" s="89"/>
    </row>
    <row r="153" spans="1:13" x14ac:dyDescent="0.45">
      <c r="A153" s="11">
        <f>_xlfn.XLOOKUP(B153,SHP!D:D,SHP!CW:CW,"")</f>
        <v>0</v>
      </c>
      <c r="M153" s="89"/>
    </row>
    <row r="154" spans="1:13" x14ac:dyDescent="0.45">
      <c r="A154" s="11">
        <f>_xlfn.XLOOKUP(B154,SHP!D:D,SHP!CW:CW,"")</f>
        <v>0</v>
      </c>
      <c r="M154" s="89"/>
    </row>
    <row r="155" spans="1:13" x14ac:dyDescent="0.45">
      <c r="A155" s="11" t="str">
        <f>_xlfn.XLOOKUP(B155,SHP!D:D,SHP!CW:CW,"")</f>
        <v/>
      </c>
      <c r="M155" s="89"/>
    </row>
    <row r="156" spans="1:13" x14ac:dyDescent="0.45">
      <c r="A156" s="11" t="str">
        <f>_xlfn.XLOOKUP(B156,SHP!D:D,SHP!CW:CW,"")</f>
        <v/>
      </c>
      <c r="M156" s="89"/>
    </row>
    <row r="157" spans="1:13" x14ac:dyDescent="0.45">
      <c r="A157" s="11" t="str">
        <f>_xlfn.XLOOKUP(B157,SHP!D:D,SHP!CW:CW,"")</f>
        <v/>
      </c>
      <c r="M157" s="89"/>
    </row>
    <row r="158" spans="1:13" x14ac:dyDescent="0.45">
      <c r="A158" s="11" t="str">
        <f>_xlfn.XLOOKUP(B158,SHP!D:D,SHP!CW:CW,"")</f>
        <v/>
      </c>
      <c r="M158" s="89"/>
    </row>
    <row r="159" spans="1:13" x14ac:dyDescent="0.45">
      <c r="A159" s="11" t="str">
        <f>_xlfn.XLOOKUP(B159,SHP!D:D,SHP!CW:CW,"")</f>
        <v/>
      </c>
      <c r="M159" s="89"/>
    </row>
    <row r="160" spans="1:13" x14ac:dyDescent="0.45">
      <c r="A160" s="11" t="str">
        <f>_xlfn.XLOOKUP(B160,SHP!D:D,SHP!CW:CW,"")</f>
        <v/>
      </c>
      <c r="M160" s="89"/>
    </row>
    <row r="161" spans="1:13" x14ac:dyDescent="0.45">
      <c r="A161" s="11" t="str">
        <f>_xlfn.XLOOKUP(B161,SHP!D:D,SHP!CW:CW,"")</f>
        <v/>
      </c>
      <c r="M161" s="89"/>
    </row>
    <row r="162" spans="1:13" x14ac:dyDescent="0.45">
      <c r="A162" s="11" t="str">
        <f>_xlfn.XLOOKUP(B162,SHP!D:D,SHP!CW:CW,"")</f>
        <v/>
      </c>
      <c r="M162" s="89"/>
    </row>
    <row r="163" spans="1:13" x14ac:dyDescent="0.45">
      <c r="A163" s="11" t="str">
        <f>_xlfn.XLOOKUP(B163,SHP!D:D,SHP!CW:CW,"")</f>
        <v/>
      </c>
      <c r="M163" s="89"/>
    </row>
    <row r="164" spans="1:13" x14ac:dyDescent="0.45">
      <c r="A164" s="11" t="str">
        <f>_xlfn.XLOOKUP(B164,SHP!D:D,SHP!CW:CW,"")</f>
        <v/>
      </c>
      <c r="M164" s="89"/>
    </row>
    <row r="165" spans="1:13" x14ac:dyDescent="0.45">
      <c r="A165" s="11" t="str">
        <f>_xlfn.XLOOKUP(B165,SHP!D:D,SHP!CW:CW,"")</f>
        <v/>
      </c>
      <c r="M165" s="89"/>
    </row>
    <row r="166" spans="1:13" x14ac:dyDescent="0.45">
      <c r="A166" s="11" t="str">
        <f>_xlfn.XLOOKUP(B166,SHP!D:D,SHP!CW:CW,"")</f>
        <v/>
      </c>
      <c r="M166" s="89"/>
    </row>
    <row r="167" spans="1:13" x14ac:dyDescent="0.45">
      <c r="A167" s="11">
        <f>_xlfn.XLOOKUP(B167,SHP!D:D,SHP!CW:CW,"")</f>
        <v>0</v>
      </c>
      <c r="M167" s="89"/>
    </row>
    <row r="168" spans="1:13" x14ac:dyDescent="0.45">
      <c r="A168" s="11">
        <f>_xlfn.XLOOKUP(B168,SHP!D:D,SHP!CW:CW,"")</f>
        <v>0</v>
      </c>
      <c r="M168" s="89"/>
    </row>
    <row r="169" spans="1:13" x14ac:dyDescent="0.45">
      <c r="A169" s="11" t="str">
        <f>_xlfn.XLOOKUP(B169,SHP!D:D,SHP!CW:CW,"")</f>
        <v/>
      </c>
      <c r="M169" s="89"/>
    </row>
    <row r="170" spans="1:13" x14ac:dyDescent="0.45">
      <c r="A170" s="11" t="str">
        <f>_xlfn.XLOOKUP(B170,SHP!D:D,SHP!CW:CW,"")</f>
        <v/>
      </c>
      <c r="M170" s="89"/>
    </row>
    <row r="171" spans="1:13" x14ac:dyDescent="0.45">
      <c r="A171" s="11" t="str">
        <f>_xlfn.XLOOKUP(B171,SHP!D:D,SHP!CW:CW,"")</f>
        <v/>
      </c>
      <c r="M171" s="89"/>
    </row>
    <row r="172" spans="1:13" x14ac:dyDescent="0.45">
      <c r="A172" s="11" t="str">
        <f>_xlfn.XLOOKUP(B172,SHP!D:D,SHP!CW:CW,"")</f>
        <v/>
      </c>
      <c r="M172" s="89"/>
    </row>
    <row r="173" spans="1:13" x14ac:dyDescent="0.45">
      <c r="A173" s="11" t="str">
        <f>_xlfn.XLOOKUP(B173,SHP!D:D,SHP!CW:CW,"")</f>
        <v/>
      </c>
      <c r="M173" s="89"/>
    </row>
    <row r="174" spans="1:13" x14ac:dyDescent="0.45">
      <c r="A174" s="11" t="str">
        <f>_xlfn.XLOOKUP(B174,SHP!D:D,SHP!CW:CW,"")</f>
        <v/>
      </c>
      <c r="M174" s="89"/>
    </row>
    <row r="175" spans="1:13" x14ac:dyDescent="0.45">
      <c r="A175" s="11" t="str">
        <f>_xlfn.XLOOKUP(B175,SHP!D:D,SHP!CW:CW,"")</f>
        <v/>
      </c>
      <c r="M175" s="89"/>
    </row>
    <row r="176" spans="1:13" x14ac:dyDescent="0.45">
      <c r="A176" s="11" t="str">
        <f>_xlfn.XLOOKUP(B176,SHP!D:D,SHP!CW:CW,"")</f>
        <v/>
      </c>
      <c r="M176" s="89"/>
    </row>
    <row r="177" spans="1:13" x14ac:dyDescent="0.45">
      <c r="A177" s="11" t="str">
        <f>_xlfn.XLOOKUP(B177,SHP!D:D,SHP!CW:CW,"")</f>
        <v/>
      </c>
      <c r="M177" s="89"/>
    </row>
    <row r="178" spans="1:13" x14ac:dyDescent="0.45">
      <c r="A178" s="11" t="str">
        <f>_xlfn.XLOOKUP(B178,SHP!D:D,SHP!CW:CW,"")</f>
        <v/>
      </c>
      <c r="M178" s="89"/>
    </row>
    <row r="179" spans="1:13" x14ac:dyDescent="0.45">
      <c r="A179" s="11" t="str">
        <f>_xlfn.XLOOKUP(B179,SHP!D:D,SHP!CW:CW,"")</f>
        <v/>
      </c>
      <c r="M179" s="89"/>
    </row>
    <row r="180" spans="1:13" x14ac:dyDescent="0.45">
      <c r="A180" s="11" t="str">
        <f>_xlfn.XLOOKUP(B180,SHP!D:D,SHP!CW:CW,"")</f>
        <v/>
      </c>
      <c r="M180" s="89"/>
    </row>
    <row r="181" spans="1:13" x14ac:dyDescent="0.45">
      <c r="A181" s="11">
        <f>_xlfn.XLOOKUP(B181,SHP!D:D,SHP!CW:CW,"")</f>
        <v>0</v>
      </c>
      <c r="M181" s="89"/>
    </row>
    <row r="182" spans="1:13" x14ac:dyDescent="0.45">
      <c r="A182" s="11">
        <f>_xlfn.XLOOKUP(B182,SHP!D:D,SHP!CW:CW,"")</f>
        <v>0</v>
      </c>
      <c r="M182" s="89"/>
    </row>
    <row r="183" spans="1:13" x14ac:dyDescent="0.45">
      <c r="A183" s="11" t="str">
        <f>_xlfn.XLOOKUP(B183,SHP!D:D,SHP!CW:CW,"")</f>
        <v/>
      </c>
      <c r="M183" s="89"/>
    </row>
    <row r="184" spans="1:13" x14ac:dyDescent="0.45">
      <c r="A184" s="11" t="str">
        <f>_xlfn.XLOOKUP(B184,SHP!D:D,SHP!CW:CW,"")</f>
        <v/>
      </c>
      <c r="M184" s="89"/>
    </row>
    <row r="185" spans="1:13" x14ac:dyDescent="0.45">
      <c r="A185" s="11" t="str">
        <f>_xlfn.XLOOKUP(B185,SHP!D:D,SHP!CW:CW,"")</f>
        <v/>
      </c>
      <c r="M185" s="89"/>
    </row>
    <row r="186" spans="1:13" x14ac:dyDescent="0.45">
      <c r="A186" s="11" t="str">
        <f>_xlfn.XLOOKUP(B186,SHP!D:D,SHP!CW:CW,"")</f>
        <v/>
      </c>
      <c r="M186" s="89"/>
    </row>
    <row r="187" spans="1:13" x14ac:dyDescent="0.45">
      <c r="A187" s="11" t="str">
        <f>_xlfn.XLOOKUP(B187,SHP!D:D,SHP!CW:CW,"")</f>
        <v/>
      </c>
      <c r="M187" s="89"/>
    </row>
    <row r="188" spans="1:13" x14ac:dyDescent="0.45">
      <c r="A188" s="11" t="str">
        <f>_xlfn.XLOOKUP(B188,SHP!D:D,SHP!CW:CW,"")</f>
        <v/>
      </c>
      <c r="M188" s="89"/>
    </row>
    <row r="189" spans="1:13" x14ac:dyDescent="0.45">
      <c r="A189" s="11" t="str">
        <f>_xlfn.XLOOKUP(B189,SHP!D:D,SHP!CW:CW,"")</f>
        <v/>
      </c>
      <c r="M189" s="89"/>
    </row>
    <row r="190" spans="1:13" x14ac:dyDescent="0.45">
      <c r="A190" s="11" t="str">
        <f>_xlfn.XLOOKUP(B190,SHP!D:D,SHP!CW:CW,"")</f>
        <v/>
      </c>
      <c r="M190" s="89"/>
    </row>
    <row r="191" spans="1:13" x14ac:dyDescent="0.45">
      <c r="A191" s="11" t="str">
        <f>_xlfn.XLOOKUP(B191,SHP!D:D,SHP!CW:CW,"")</f>
        <v/>
      </c>
      <c r="M191" s="89"/>
    </row>
    <row r="192" spans="1:13" x14ac:dyDescent="0.45">
      <c r="A192" s="11" t="str">
        <f>_xlfn.XLOOKUP(B192,SHP!D:D,SHP!CW:CW,"")</f>
        <v/>
      </c>
      <c r="M192" s="89"/>
    </row>
    <row r="193" spans="1:13" x14ac:dyDescent="0.45">
      <c r="A193" s="11" t="str">
        <f>_xlfn.XLOOKUP(B193,SHP!D:D,SHP!CW:CW,"")</f>
        <v/>
      </c>
      <c r="M193" s="89"/>
    </row>
    <row r="194" spans="1:13" x14ac:dyDescent="0.45">
      <c r="A194" s="11" t="str">
        <f>_xlfn.XLOOKUP(B194,SHP!D:D,SHP!CW:CW,"")</f>
        <v/>
      </c>
      <c r="M194" s="89"/>
    </row>
    <row r="195" spans="1:13" x14ac:dyDescent="0.45">
      <c r="A195" s="11">
        <f>_xlfn.XLOOKUP(B195,SHP!D:D,SHP!CW:CW,"")</f>
        <v>0</v>
      </c>
      <c r="M195" s="89"/>
    </row>
    <row r="196" spans="1:13" x14ac:dyDescent="0.45">
      <c r="A196" s="11">
        <f>_xlfn.XLOOKUP(B196,SHP!D:D,SHP!CW:CW,"")</f>
        <v>0</v>
      </c>
      <c r="M196" s="89"/>
    </row>
    <row r="197" spans="1:13" x14ac:dyDescent="0.45">
      <c r="A197" s="11" t="str">
        <f>_xlfn.XLOOKUP(B197,SHP!D:D,SHP!CW:CW,"")</f>
        <v/>
      </c>
      <c r="M197" s="89"/>
    </row>
    <row r="198" spans="1:13" x14ac:dyDescent="0.45">
      <c r="A198" s="11" t="str">
        <f>_xlfn.XLOOKUP(B198,SHP!D:D,SHP!CW:CW,"")</f>
        <v/>
      </c>
      <c r="M198" s="89"/>
    </row>
    <row r="199" spans="1:13" x14ac:dyDescent="0.45">
      <c r="A199" s="11" t="str">
        <f>_xlfn.XLOOKUP(B199,SHP!D:D,SHP!CW:CW,"")</f>
        <v/>
      </c>
      <c r="M199" s="89"/>
    </row>
    <row r="200" spans="1:13" x14ac:dyDescent="0.45">
      <c r="A200" s="11" t="str">
        <f>_xlfn.XLOOKUP(B200,SHP!D:D,SHP!CW:CW,"")</f>
        <v/>
      </c>
      <c r="M200" s="89"/>
    </row>
    <row r="201" spans="1:13" x14ac:dyDescent="0.45">
      <c r="A201" s="11" t="str">
        <f>_xlfn.XLOOKUP(B201,SHP!D:D,SHP!CW:CW,"")</f>
        <v/>
      </c>
      <c r="M201" s="89"/>
    </row>
    <row r="202" spans="1:13" x14ac:dyDescent="0.45">
      <c r="A202" s="11" t="str">
        <f>_xlfn.XLOOKUP(B202,SHP!D:D,SHP!CW:CW,"")</f>
        <v/>
      </c>
      <c r="M202" s="89"/>
    </row>
    <row r="203" spans="1:13" x14ac:dyDescent="0.45">
      <c r="A203" s="11" t="str">
        <f>_xlfn.XLOOKUP(B203,SHP!D:D,SHP!CW:CW,"")</f>
        <v/>
      </c>
      <c r="M203" s="89"/>
    </row>
    <row r="204" spans="1:13" x14ac:dyDescent="0.45">
      <c r="A204" s="11" t="str">
        <f>_xlfn.XLOOKUP(B204,SHP!D:D,SHP!CW:CW,"")</f>
        <v/>
      </c>
      <c r="M204" s="89"/>
    </row>
    <row r="205" spans="1:13" x14ac:dyDescent="0.45">
      <c r="A205" s="11" t="str">
        <f>_xlfn.XLOOKUP(B205,SHP!D:D,SHP!CW:CW,"")</f>
        <v/>
      </c>
      <c r="M205" s="89"/>
    </row>
    <row r="206" spans="1:13" x14ac:dyDescent="0.45">
      <c r="A206" s="11" t="str">
        <f>_xlfn.XLOOKUP(B206,SHP!D:D,SHP!CW:CW,"")</f>
        <v/>
      </c>
      <c r="M206" s="89"/>
    </row>
    <row r="207" spans="1:13" x14ac:dyDescent="0.45">
      <c r="A207" s="11" t="str">
        <f>_xlfn.XLOOKUP(B207,SHP!D:D,SHP!CW:CW,"")</f>
        <v/>
      </c>
      <c r="M207" s="89"/>
    </row>
    <row r="208" spans="1:13" x14ac:dyDescent="0.45">
      <c r="A208" s="11" t="str">
        <f>_xlfn.XLOOKUP(B208,SHP!D:D,SHP!CW:CW,"")</f>
        <v/>
      </c>
      <c r="M208" s="89"/>
    </row>
    <row r="209" spans="1:13" x14ac:dyDescent="0.45">
      <c r="A209" s="11">
        <f>_xlfn.XLOOKUP(B209,SHP!D:D,SHP!CW:CW,"")</f>
        <v>0</v>
      </c>
      <c r="M209" s="89"/>
    </row>
    <row r="210" spans="1:13" x14ac:dyDescent="0.45">
      <c r="A210" s="11">
        <f>_xlfn.XLOOKUP(B210,SHP!D:D,SHP!CW:CW,"")</f>
        <v>0</v>
      </c>
      <c r="M210" s="89"/>
    </row>
    <row r="211" spans="1:13" x14ac:dyDescent="0.45">
      <c r="A211" s="11" t="str">
        <f>_xlfn.XLOOKUP(B211,SHP!D:D,SHP!CW:CW,"")</f>
        <v/>
      </c>
      <c r="M211" s="89"/>
    </row>
    <row r="212" spans="1:13" x14ac:dyDescent="0.45">
      <c r="A212" s="11" t="str">
        <f>_xlfn.XLOOKUP(B212,SHP!D:D,SHP!CW:CW,"")</f>
        <v/>
      </c>
      <c r="M212" s="89"/>
    </row>
    <row r="213" spans="1:13" x14ac:dyDescent="0.45">
      <c r="A213" s="11" t="str">
        <f>_xlfn.XLOOKUP(B213,SHP!D:D,SHP!CW:CW,"")</f>
        <v/>
      </c>
      <c r="M213" s="89"/>
    </row>
    <row r="214" spans="1:13" x14ac:dyDescent="0.45">
      <c r="A214" s="11" t="str">
        <f>_xlfn.XLOOKUP(B214,SHP!D:D,SHP!CW:CW,"")</f>
        <v/>
      </c>
      <c r="M214" s="89"/>
    </row>
    <row r="215" spans="1:13" x14ac:dyDescent="0.45">
      <c r="A215" s="11" t="str">
        <f>_xlfn.XLOOKUP(B215,SHP!D:D,SHP!CW:CW,"")</f>
        <v/>
      </c>
      <c r="M215" s="89"/>
    </row>
    <row r="216" spans="1:13" x14ac:dyDescent="0.45">
      <c r="A216" s="11" t="str">
        <f>_xlfn.XLOOKUP(B216,SHP!D:D,SHP!CW:CW,"")</f>
        <v/>
      </c>
      <c r="M216" s="89"/>
    </row>
    <row r="217" spans="1:13" x14ac:dyDescent="0.45">
      <c r="A217" s="11" t="str">
        <f>_xlfn.XLOOKUP(B217,SHP!D:D,SHP!CW:CW,"")</f>
        <v/>
      </c>
      <c r="M217" s="89"/>
    </row>
    <row r="218" spans="1:13" x14ac:dyDescent="0.45">
      <c r="A218" s="11" t="str">
        <f>_xlfn.XLOOKUP(B218,SHP!D:D,SHP!CW:CW,"")</f>
        <v/>
      </c>
      <c r="M218" s="89"/>
    </row>
    <row r="219" spans="1:13" x14ac:dyDescent="0.45">
      <c r="A219" s="11" t="str">
        <f>_xlfn.XLOOKUP(B219,SHP!D:D,SHP!CW:CW,"")</f>
        <v/>
      </c>
      <c r="M219" s="89"/>
    </row>
    <row r="220" spans="1:13" x14ac:dyDescent="0.45">
      <c r="A220" s="11" t="str">
        <f>_xlfn.XLOOKUP(B220,SHP!D:D,SHP!CW:CW,"")</f>
        <v/>
      </c>
      <c r="M220" s="89"/>
    </row>
    <row r="221" spans="1:13" x14ac:dyDescent="0.45">
      <c r="A221" s="11" t="str">
        <f>_xlfn.XLOOKUP(B221,SHP!D:D,SHP!CW:CW,"")</f>
        <v/>
      </c>
      <c r="M221" s="89"/>
    </row>
    <row r="222" spans="1:13" x14ac:dyDescent="0.45">
      <c r="A222" s="11" t="str">
        <f>_xlfn.XLOOKUP(B222,SHP!D:D,SHP!CW:CW,"")</f>
        <v/>
      </c>
      <c r="M222" s="89"/>
    </row>
    <row r="223" spans="1:13" x14ac:dyDescent="0.45">
      <c r="A223" s="11">
        <f>_xlfn.XLOOKUP(B223,SHP!D:D,SHP!CW:CW,"")</f>
        <v>0</v>
      </c>
      <c r="M223" s="89"/>
    </row>
    <row r="224" spans="1:13" x14ac:dyDescent="0.45">
      <c r="A224" s="11">
        <f>_xlfn.XLOOKUP(B224,SHP!D:D,SHP!CW:CW,"")</f>
        <v>0</v>
      </c>
      <c r="M224" s="89"/>
    </row>
    <row r="225" spans="1:13" x14ac:dyDescent="0.45">
      <c r="A225" s="11" t="str">
        <f>_xlfn.XLOOKUP(B225,SHP!D:D,SHP!CW:CW,"")</f>
        <v/>
      </c>
      <c r="M225" s="89"/>
    </row>
    <row r="226" spans="1:13" x14ac:dyDescent="0.45">
      <c r="A226" s="11" t="str">
        <f>_xlfn.XLOOKUP(B226,SHP!D:D,SHP!CW:CW,"")</f>
        <v/>
      </c>
      <c r="M226" s="89"/>
    </row>
    <row r="227" spans="1:13" x14ac:dyDescent="0.45">
      <c r="A227" s="11" t="str">
        <f>_xlfn.XLOOKUP(B227,SHP!D:D,SHP!CW:CW,"")</f>
        <v/>
      </c>
      <c r="M227" s="89"/>
    </row>
    <row r="228" spans="1:13" x14ac:dyDescent="0.45">
      <c r="A228" s="11" t="str">
        <f>_xlfn.XLOOKUP(B228,SHP!D:D,SHP!CW:CW,"")</f>
        <v/>
      </c>
      <c r="M228" s="89"/>
    </row>
    <row r="229" spans="1:13" x14ac:dyDescent="0.45">
      <c r="A229" s="11" t="str">
        <f>_xlfn.XLOOKUP(B229,SHP!D:D,SHP!CW:CW,"")</f>
        <v/>
      </c>
      <c r="M229" s="89"/>
    </row>
    <row r="230" spans="1:13" x14ac:dyDescent="0.45">
      <c r="A230" s="11" t="str">
        <f>_xlfn.XLOOKUP(B230,SHP!D:D,SHP!CW:CW,"")</f>
        <v/>
      </c>
      <c r="M230" s="89"/>
    </row>
    <row r="231" spans="1:13" x14ac:dyDescent="0.45">
      <c r="A231" s="11" t="str">
        <f>_xlfn.XLOOKUP(B231,SHP!D:D,SHP!CW:CW,"")</f>
        <v/>
      </c>
      <c r="M231" s="89"/>
    </row>
    <row r="232" spans="1:13" x14ac:dyDescent="0.45">
      <c r="A232" s="11" t="str">
        <f>_xlfn.XLOOKUP(B232,SHP!D:D,SHP!CW:CW,"")</f>
        <v/>
      </c>
      <c r="M232" s="89"/>
    </row>
    <row r="233" spans="1:13" x14ac:dyDescent="0.45">
      <c r="A233" s="11" t="str">
        <f>_xlfn.XLOOKUP(B233,SHP!D:D,SHP!CW:CW,"")</f>
        <v/>
      </c>
      <c r="M233" s="89"/>
    </row>
    <row r="234" spans="1:13" x14ac:dyDescent="0.45">
      <c r="A234" s="11" t="str">
        <f>_xlfn.XLOOKUP(B234,SHP!D:D,SHP!CW:CW,"")</f>
        <v/>
      </c>
      <c r="M234" s="89"/>
    </row>
    <row r="235" spans="1:13" x14ac:dyDescent="0.45">
      <c r="A235" s="11" t="str">
        <f>_xlfn.XLOOKUP(B235,SHP!D:D,SHP!CW:CW,"")</f>
        <v/>
      </c>
      <c r="M235" s="89"/>
    </row>
    <row r="236" spans="1:13" x14ac:dyDescent="0.45">
      <c r="A236" s="11" t="str">
        <f>_xlfn.XLOOKUP(B236,SHP!D:D,SHP!CW:CW,"")</f>
        <v/>
      </c>
      <c r="M236" s="89"/>
    </row>
    <row r="237" spans="1:13" x14ac:dyDescent="0.45">
      <c r="A237" s="11" t="str">
        <f>_xlfn.XLOOKUP(B237,SHP!D:D,SHP!CW:CW,"")</f>
        <v/>
      </c>
      <c r="M237" s="89"/>
    </row>
    <row r="238" spans="1:13" x14ac:dyDescent="0.45">
      <c r="A238" s="11" t="str">
        <f>_xlfn.XLOOKUP(B238,SHP!D:D,SHP!CW:CW,"")</f>
        <v/>
      </c>
      <c r="M238" s="89"/>
    </row>
    <row r="239" spans="1:13" x14ac:dyDescent="0.45">
      <c r="A239" s="11" t="str">
        <f>_xlfn.XLOOKUP(B239,SHP!D:D,SHP!CW:CW,"")</f>
        <v/>
      </c>
      <c r="M239" s="89"/>
    </row>
    <row r="240" spans="1:13" x14ac:dyDescent="0.45">
      <c r="A240" s="11" t="str">
        <f>_xlfn.XLOOKUP(B240,SHP!D:D,SHP!CW:CW,"")</f>
        <v/>
      </c>
      <c r="M240" s="89"/>
    </row>
    <row r="241" spans="1:13" x14ac:dyDescent="0.45">
      <c r="A241" s="11" t="str">
        <f>_xlfn.XLOOKUP(B241,SHP!D:D,SHP!CW:CW,"")</f>
        <v/>
      </c>
      <c r="M241" s="89"/>
    </row>
    <row r="242" spans="1:13" x14ac:dyDescent="0.45">
      <c r="A242" s="11" t="str">
        <f>_xlfn.XLOOKUP(B242,SHP!D:D,SHP!CW:CW,"")</f>
        <v/>
      </c>
      <c r="M242" s="89"/>
    </row>
    <row r="243" spans="1:13" x14ac:dyDescent="0.45">
      <c r="A243" s="11" t="str">
        <f>_xlfn.XLOOKUP(B243,SHP!D:D,SHP!CW:CW,"")</f>
        <v/>
      </c>
      <c r="M243" s="89"/>
    </row>
    <row r="244" spans="1:13" x14ac:dyDescent="0.45">
      <c r="A244" s="11" t="str">
        <f>_xlfn.XLOOKUP(B244,SHP!D:D,SHP!CW:CW,"")</f>
        <v/>
      </c>
      <c r="M244" s="89"/>
    </row>
    <row r="245" spans="1:13" x14ac:dyDescent="0.45">
      <c r="A245" s="11" t="str">
        <f>_xlfn.XLOOKUP(B245,SHP!D:D,SHP!CW:CW,"")</f>
        <v/>
      </c>
      <c r="M245" s="89"/>
    </row>
    <row r="246" spans="1:13" x14ac:dyDescent="0.45">
      <c r="A246" s="11" t="str">
        <f>_xlfn.XLOOKUP(B246,SHP!D:D,SHP!CW:CW,"")</f>
        <v/>
      </c>
      <c r="M246" s="89"/>
    </row>
    <row r="247" spans="1:13" x14ac:dyDescent="0.45">
      <c r="A247" s="11" t="str">
        <f>_xlfn.XLOOKUP(B247,SHP!D:D,SHP!CW:CW,"")</f>
        <v/>
      </c>
      <c r="M247" s="89"/>
    </row>
    <row r="248" spans="1:13" x14ac:dyDescent="0.45">
      <c r="A248" s="11" t="str">
        <f>_xlfn.XLOOKUP(B248,SHP!D:D,SHP!CW:CW,"")</f>
        <v/>
      </c>
      <c r="M248" s="89"/>
    </row>
    <row r="249" spans="1:13" x14ac:dyDescent="0.45">
      <c r="A249" s="11" t="str">
        <f>_xlfn.XLOOKUP(B249,SHP!D:D,SHP!CW:CW,"")</f>
        <v/>
      </c>
      <c r="M249" s="89"/>
    </row>
    <row r="250" spans="1:13" x14ac:dyDescent="0.45">
      <c r="A250" s="11" t="str">
        <f>_xlfn.XLOOKUP(B250,SHP!D:D,SHP!CW:CW,"")</f>
        <v/>
      </c>
      <c r="M250" s="89"/>
    </row>
    <row r="251" spans="1:13" x14ac:dyDescent="0.45">
      <c r="A251" s="11" t="str">
        <f>_xlfn.XLOOKUP(B251,SHP!D:D,SHP!CW:CW,"")</f>
        <v/>
      </c>
      <c r="M251" s="89"/>
    </row>
    <row r="252" spans="1:13" x14ac:dyDescent="0.45">
      <c r="A252" s="11" t="str">
        <f>_xlfn.XLOOKUP(B252,SHP!D:D,SHP!CW:CW,"")</f>
        <v/>
      </c>
      <c r="M252" s="89"/>
    </row>
    <row r="253" spans="1:13" x14ac:dyDescent="0.45">
      <c r="A253" s="11" t="str">
        <f>_xlfn.XLOOKUP(B253,SHP!D:D,SHP!CW:CW,"")</f>
        <v/>
      </c>
      <c r="M253" s="89"/>
    </row>
    <row r="254" spans="1:13" x14ac:dyDescent="0.45">
      <c r="A254" s="11" t="str">
        <f>_xlfn.XLOOKUP(B254,SHP!D:D,SHP!CW:CW,"")</f>
        <v/>
      </c>
      <c r="M254" s="89"/>
    </row>
    <row r="255" spans="1:13" x14ac:dyDescent="0.45">
      <c r="A255" s="11" t="str">
        <f>_xlfn.XLOOKUP(B255,SHP!D:D,SHP!CW:CW,"")</f>
        <v/>
      </c>
      <c r="M255" s="89"/>
    </row>
    <row r="256" spans="1:13" x14ac:dyDescent="0.45">
      <c r="A256" s="11" t="str">
        <f>_xlfn.XLOOKUP(B256,SHP!D:D,SHP!CW:CW,"")</f>
        <v/>
      </c>
      <c r="M256" s="89"/>
    </row>
    <row r="257" spans="1:13" x14ac:dyDescent="0.45">
      <c r="A257" s="11" t="str">
        <f>_xlfn.XLOOKUP(B257,SHP!D:D,SHP!CW:CW,"")</f>
        <v/>
      </c>
      <c r="M257" s="89"/>
    </row>
    <row r="258" spans="1:13" x14ac:dyDescent="0.45">
      <c r="A258" s="11" t="str">
        <f>_xlfn.XLOOKUP(B258,SHP!D:D,SHP!CW:CW,"")</f>
        <v/>
      </c>
      <c r="M258" s="89"/>
    </row>
    <row r="259" spans="1:13" x14ac:dyDescent="0.45">
      <c r="A259" s="11" t="str">
        <f>_xlfn.XLOOKUP(B259,SHP!D:D,SHP!CW:CW,"")</f>
        <v/>
      </c>
      <c r="M259" s="89"/>
    </row>
    <row r="260" spans="1:13" x14ac:dyDescent="0.45">
      <c r="A260" s="11" t="str">
        <f>_xlfn.XLOOKUP(B260,SHP!D:D,SHP!CW:CW,"")</f>
        <v/>
      </c>
      <c r="M260" s="89"/>
    </row>
    <row r="261" spans="1:13" x14ac:dyDescent="0.45">
      <c r="A261" s="11" t="str">
        <f>_xlfn.XLOOKUP(B261,SHP!D:D,SHP!CW:CW,"")</f>
        <v/>
      </c>
      <c r="M261" s="89"/>
    </row>
    <row r="262" spans="1:13" x14ac:dyDescent="0.45">
      <c r="A262" s="11" t="str">
        <f>_xlfn.XLOOKUP(B262,SHP!D:D,SHP!CW:CW,"")</f>
        <v/>
      </c>
      <c r="M262" s="89"/>
    </row>
    <row r="263" spans="1:13" x14ac:dyDescent="0.45">
      <c r="A263" s="11" t="str">
        <f>_xlfn.XLOOKUP(B263,SHP!D:D,SHP!CW:CW,"")</f>
        <v/>
      </c>
      <c r="M263" s="89"/>
    </row>
    <row r="264" spans="1:13" x14ac:dyDescent="0.45">
      <c r="A264" s="11" t="str">
        <f>_xlfn.XLOOKUP(B264,SHP!D:D,SHP!CW:CW,"")</f>
        <v/>
      </c>
      <c r="M264" s="89"/>
    </row>
    <row r="265" spans="1:13" x14ac:dyDescent="0.45">
      <c r="A265" s="11" t="str">
        <f>_xlfn.XLOOKUP(B265,SHP!D:D,SHP!CW:CW,"")</f>
        <v/>
      </c>
      <c r="M265" s="89"/>
    </row>
    <row r="266" spans="1:13" x14ac:dyDescent="0.45">
      <c r="A266" s="11" t="str">
        <f>_xlfn.XLOOKUP(B266,SHP!D:D,SHP!CW:CW,"")</f>
        <v/>
      </c>
      <c r="M266" s="89"/>
    </row>
    <row r="267" spans="1:13" x14ac:dyDescent="0.45">
      <c r="A267" s="11" t="str">
        <f>_xlfn.XLOOKUP(B267,SHP!D:D,SHP!CW:CW,"")</f>
        <v/>
      </c>
      <c r="M267" s="89"/>
    </row>
    <row r="268" spans="1:13" x14ac:dyDescent="0.45">
      <c r="A268" s="11" t="str">
        <f>_xlfn.XLOOKUP(B268,SHP!D:D,SHP!CW:CW,"")</f>
        <v/>
      </c>
      <c r="M268" s="89"/>
    </row>
    <row r="269" spans="1:13" x14ac:dyDescent="0.45">
      <c r="A269" s="11" t="str">
        <f>_xlfn.XLOOKUP(B269,SHP!D:D,SHP!CW:CW,"")</f>
        <v/>
      </c>
      <c r="M269" s="89"/>
    </row>
    <row r="270" spans="1:13" x14ac:dyDescent="0.45">
      <c r="A270" s="11" t="str">
        <f>_xlfn.XLOOKUP(B270,SHP!D:D,SHP!CW:CW,"")</f>
        <v/>
      </c>
      <c r="M270" s="89"/>
    </row>
    <row r="271" spans="1:13" x14ac:dyDescent="0.45">
      <c r="A271" s="11" t="str">
        <f>_xlfn.XLOOKUP(B271,SHP!D:D,SHP!CW:CW,"")</f>
        <v/>
      </c>
      <c r="M271" s="89"/>
    </row>
    <row r="272" spans="1:13" x14ac:dyDescent="0.45">
      <c r="A272" s="11" t="str">
        <f>_xlfn.XLOOKUP(B272,SHP!D:D,SHP!CW:CW,"")</f>
        <v/>
      </c>
      <c r="M272" s="89"/>
    </row>
    <row r="273" spans="1:13" x14ac:dyDescent="0.45">
      <c r="A273" s="11" t="str">
        <f>_xlfn.XLOOKUP(B273,SHP!D:D,SHP!CW:CW,"")</f>
        <v/>
      </c>
      <c r="M273" s="89"/>
    </row>
    <row r="274" spans="1:13" x14ac:dyDescent="0.45">
      <c r="A274" s="11" t="str">
        <f>_xlfn.XLOOKUP(B274,SHP!D:D,SHP!CW:CW,"")</f>
        <v/>
      </c>
      <c r="M274" s="89"/>
    </row>
    <row r="275" spans="1:13" x14ac:dyDescent="0.45">
      <c r="A275" s="11" t="str">
        <f>_xlfn.XLOOKUP(B275,SHP!D:D,SHP!CW:CW,"")</f>
        <v/>
      </c>
      <c r="M275" s="89"/>
    </row>
    <row r="276" spans="1:13" x14ac:dyDescent="0.45">
      <c r="A276" s="11" t="str">
        <f>_xlfn.XLOOKUP(B276,SHP!D:D,SHP!CW:CW,"")</f>
        <v/>
      </c>
      <c r="M276" s="89"/>
    </row>
    <row r="277" spans="1:13" x14ac:dyDescent="0.45">
      <c r="A277" s="11" t="str">
        <f>_xlfn.XLOOKUP(B277,SHP!D:D,SHP!CW:CW,"")</f>
        <v/>
      </c>
      <c r="M277" s="89"/>
    </row>
    <row r="278" spans="1:13" x14ac:dyDescent="0.45">
      <c r="A278" s="11" t="str">
        <f>_xlfn.XLOOKUP(B278,SHP!D:D,SHP!CW:CW,"")</f>
        <v/>
      </c>
      <c r="M278" s="89"/>
    </row>
    <row r="279" spans="1:13" x14ac:dyDescent="0.45">
      <c r="A279" s="11" t="str">
        <f>_xlfn.XLOOKUP(B279,SHP!D:D,SHP!CW:CW,"")</f>
        <v/>
      </c>
      <c r="M279" s="89"/>
    </row>
    <row r="280" spans="1:13" x14ac:dyDescent="0.45">
      <c r="A280" s="11" t="str">
        <f>_xlfn.XLOOKUP(B280,SHP!D:D,SHP!CW:CW,"")</f>
        <v/>
      </c>
      <c r="M280" s="89"/>
    </row>
    <row r="281" spans="1:13" x14ac:dyDescent="0.45">
      <c r="A281" s="11" t="str">
        <f>_xlfn.XLOOKUP(B281,SHP!D:D,SHP!CW:CW,"")</f>
        <v/>
      </c>
      <c r="M281" s="89"/>
    </row>
    <row r="282" spans="1:13" x14ac:dyDescent="0.45">
      <c r="A282" s="11" t="str">
        <f>_xlfn.XLOOKUP(B282,SHP!D:D,SHP!CW:CW,"")</f>
        <v/>
      </c>
      <c r="M282" s="89"/>
    </row>
    <row r="283" spans="1:13" x14ac:dyDescent="0.45">
      <c r="A283" s="11" t="str">
        <f>_xlfn.XLOOKUP(B283,SHP!D:D,SHP!CW:CW,"")</f>
        <v/>
      </c>
      <c r="M283" s="89"/>
    </row>
    <row r="284" spans="1:13" x14ac:dyDescent="0.45">
      <c r="A284" s="11" t="str">
        <f>_xlfn.XLOOKUP(B284,SHP!D:D,SHP!CW:CW,"")</f>
        <v/>
      </c>
      <c r="M284" s="89"/>
    </row>
    <row r="285" spans="1:13" x14ac:dyDescent="0.45">
      <c r="A285" s="11" t="str">
        <f>_xlfn.XLOOKUP(B285,SHP!D:D,SHP!CW:CW,"")</f>
        <v/>
      </c>
      <c r="M285" s="89"/>
    </row>
    <row r="286" spans="1:13" x14ac:dyDescent="0.45">
      <c r="A286" s="11" t="str">
        <f>_xlfn.XLOOKUP(B286,SHP!D:D,SHP!CW:CW,"")</f>
        <v/>
      </c>
      <c r="M286" s="89"/>
    </row>
    <row r="287" spans="1:13" x14ac:dyDescent="0.45">
      <c r="A287" s="11" t="str">
        <f>_xlfn.XLOOKUP(B287,SHP!D:D,SHP!CW:CW,"")</f>
        <v/>
      </c>
      <c r="M287" s="89"/>
    </row>
    <row r="288" spans="1:13" x14ac:dyDescent="0.45">
      <c r="A288" s="11" t="str">
        <f>_xlfn.XLOOKUP(B288,SHP!D:D,SHP!CW:CW,"")</f>
        <v/>
      </c>
    </row>
    <row r="289" spans="1:1" x14ac:dyDescent="0.45">
      <c r="A289" s="11" t="str">
        <f>_xlfn.XLOOKUP(B289,SHP!D:D,SHP!CW:CW,"")</f>
        <v/>
      </c>
    </row>
    <row r="290" spans="1:1" x14ac:dyDescent="0.45">
      <c r="A290" s="11" t="str">
        <f>_xlfn.XLOOKUP(B290,SHP!D:D,SHP!CW:CW,"")</f>
        <v/>
      </c>
    </row>
    <row r="291" spans="1:1" x14ac:dyDescent="0.45">
      <c r="A291" s="11" t="str">
        <f>_xlfn.XLOOKUP(B291,SHP!D:D,SHP!CW:CW,"")</f>
        <v/>
      </c>
    </row>
    <row r="292" spans="1:1" x14ac:dyDescent="0.45">
      <c r="A292" s="11" t="str">
        <f>_xlfn.XLOOKUP(B292,SHP!D:D,SHP!CW:CW,"")</f>
        <v/>
      </c>
    </row>
    <row r="293" spans="1:1" x14ac:dyDescent="0.45">
      <c r="A293" s="11" t="str">
        <f>_xlfn.XLOOKUP(B293,SHP!D:D,SHP!CW:CW,"")</f>
        <v/>
      </c>
    </row>
    <row r="294" spans="1:1" x14ac:dyDescent="0.45">
      <c r="A294" s="11" t="str">
        <f>_xlfn.XLOOKUP(B294,SHP!D:D,SHP!CW:CW,"")</f>
        <v/>
      </c>
    </row>
    <row r="295" spans="1:1" x14ac:dyDescent="0.45">
      <c r="A295" s="11" t="str">
        <f>_xlfn.XLOOKUP(B295,SHP!D:D,SHP!CW:CW,"")</f>
        <v/>
      </c>
    </row>
    <row r="296" spans="1:1" x14ac:dyDescent="0.45">
      <c r="A296" s="11" t="str">
        <f>_xlfn.XLOOKUP(B296,SHP!D:D,SHP!CW:CW,"")</f>
        <v/>
      </c>
    </row>
    <row r="297" spans="1:1" x14ac:dyDescent="0.45">
      <c r="A297" s="11" t="str">
        <f>_xlfn.XLOOKUP(B297,SHP!D:D,SHP!CW:CW,"")</f>
        <v/>
      </c>
    </row>
    <row r="298" spans="1:1" x14ac:dyDescent="0.45">
      <c r="A298" s="11" t="str">
        <f>_xlfn.XLOOKUP(B298,SHP!D:D,SHP!CW:CW,"")</f>
        <v/>
      </c>
    </row>
    <row r="299" spans="1:1" x14ac:dyDescent="0.45">
      <c r="A299" s="11" t="str">
        <f>_xlfn.XLOOKUP(B299,SHP!D:D,SHP!CW:CW,"")</f>
        <v/>
      </c>
    </row>
    <row r="300" spans="1:1" x14ac:dyDescent="0.45">
      <c r="A300" s="11" t="str">
        <f>_xlfn.XLOOKUP(B300,SHP!D:D,SHP!CW:CW,"")</f>
        <v/>
      </c>
    </row>
  </sheetData>
  <sheetProtection algorithmName="SHA-512" hashValue="JySW4PhKD6H+ldnOJuNRAkOX4R8Yfd5Da2RwCW7QgtgpU9241H6FcFHRHkVEE2t//QzSAqNzKPt4+1AgtgbIfg==" saltValue="dMFmZdfNNz5onpf7ipcFwg==" spinCount="100000" sheet="1" autoFilter="0" pivotTables="0"/>
  <mergeCells count="1">
    <mergeCell ref="C2:C3"/>
  </mergeCells>
  <phoneticPr fontId="3" type="noConversion"/>
  <conditionalFormatting sqref="A1:A1048576">
    <cfRule type="cellIs" dxfId="54" priority="2" operator="equal">
      <formula>"GY"</formula>
    </cfRule>
  </conditionalFormatting>
  <conditionalFormatting sqref="A7:A300">
    <cfRule type="expression" dxfId="53" priority="3">
      <formula>$A7&lt;&gt;""</formula>
    </cfRule>
  </conditionalFormatting>
  <conditionalFormatting sqref="B7:C72">
    <cfRule type="expression" dxfId="52" priority="11">
      <formula>$C7&lt;&gt;""</formula>
    </cfRule>
  </conditionalFormatting>
  <conditionalFormatting sqref="C6:D6">
    <cfRule type="cellIs" dxfId="51" priority="13" operator="equal">
      <formula>TODAY()+1</formula>
    </cfRule>
  </conditionalFormatting>
  <conditionalFormatting sqref="E7:M200">
    <cfRule type="expression" dxfId="50" priority="8">
      <formula>$E7&lt;&gt;""</formula>
    </cfRule>
  </conditionalFormatting>
  <conditionalFormatting sqref="K1:K1048576">
    <cfRule type="cellIs" dxfId="49" priority="6" operator="equal">
      <formula>$S$1</formula>
    </cfRule>
  </conditionalFormatting>
  <conditionalFormatting sqref="L1:L1048576">
    <cfRule type="cellIs" dxfId="48" priority="1" operator="equal">
      <formula>$M$1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TextBox1">
          <controlPr defaultSize="0" autoLine="0" linkedCell="H2" r:id="rId4">
            <anchor moveWithCells="1">
              <from>
                <xdr:col>4</xdr:col>
                <xdr:colOff>22860</xdr:colOff>
                <xdr:row>1</xdr:row>
                <xdr:rowOff>0</xdr:rowOff>
              </from>
              <to>
                <xdr:col>6</xdr:col>
                <xdr:colOff>121920</xdr:colOff>
                <xdr:row>2</xdr:row>
                <xdr:rowOff>243840</xdr:rowOff>
              </to>
            </anchor>
          </controlPr>
        </control>
      </mc:Choice>
      <mc:Fallback>
        <control shapeId="1025" r:id="rId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1C7E-6BBE-4C98-ACCD-AC6E9C43E387}">
  <sheetPr codeName="Sheet4"/>
  <dimension ref="A1:AA4878"/>
  <sheetViews>
    <sheetView topLeftCell="A4862" zoomScaleNormal="100" workbookViewId="0">
      <selection activeCell="C4889" sqref="C4889"/>
    </sheetView>
  </sheetViews>
  <sheetFormatPr defaultRowHeight="17.399999999999999" x14ac:dyDescent="0.45"/>
  <cols>
    <col min="1" max="1" width="5.19921875" style="57" bestFit="1" customWidth="1"/>
    <col min="2" max="2" width="9.3984375" style="51" bestFit="1" customWidth="1"/>
    <col min="3" max="3" width="48.296875" bestFit="1" customWidth="1"/>
    <col min="4" max="4" width="17.19921875" style="11" bestFit="1" customWidth="1"/>
    <col min="5" max="5" width="13.19921875" style="11" bestFit="1" customWidth="1"/>
    <col min="6" max="6" width="20.296875" style="11" bestFit="1" customWidth="1"/>
    <col min="7" max="7" width="8.8984375" style="12" bestFit="1" customWidth="1"/>
    <col min="8" max="8" width="9.296875" style="12" bestFit="1" customWidth="1"/>
    <col min="9" max="9" width="9.09765625" style="73" bestFit="1" customWidth="1"/>
    <col min="10" max="10" width="10.296875" style="73" bestFit="1" customWidth="1"/>
    <col min="11" max="11" width="9.69921875" style="73" bestFit="1" customWidth="1"/>
    <col min="12" max="12" width="12.09765625" style="73" bestFit="1" customWidth="1"/>
    <col min="13" max="13" width="16.09765625" style="11" bestFit="1" customWidth="1"/>
    <col min="14" max="14" width="19.09765625" style="12" bestFit="1" customWidth="1"/>
    <col min="15" max="15" width="9.09765625" style="11" bestFit="1" customWidth="1"/>
    <col min="16" max="16" width="10.8984375" style="11" bestFit="1" customWidth="1"/>
    <col min="17" max="17" width="9.09765625" style="11" bestFit="1" customWidth="1"/>
    <col min="18" max="18" width="8" bestFit="1" customWidth="1"/>
    <col min="19" max="19" width="8.8984375" bestFit="1" customWidth="1"/>
    <col min="20" max="20" width="10" bestFit="1" customWidth="1"/>
    <col min="21" max="21" width="11.09765625" bestFit="1" customWidth="1"/>
    <col min="22" max="22" width="9.8984375" bestFit="1" customWidth="1"/>
    <col min="23" max="23" width="15.8984375" bestFit="1" customWidth="1"/>
    <col min="24" max="24" width="14.09765625" bestFit="1" customWidth="1"/>
    <col min="25" max="25" width="15.09765625" style="28" bestFit="1" customWidth="1"/>
    <col min="26" max="26" width="13.59765625" bestFit="1" customWidth="1"/>
    <col min="27" max="27" width="19.09765625" style="28" bestFit="1" customWidth="1"/>
    <col min="28" max="28" width="6.09765625" bestFit="1" customWidth="1"/>
    <col min="29" max="30" width="10.8984375" bestFit="1" customWidth="1"/>
    <col min="31" max="32" width="7.09765625" bestFit="1" customWidth="1"/>
    <col min="33" max="33" width="13.296875" bestFit="1" customWidth="1"/>
    <col min="34" max="34" width="19.09765625" bestFit="1" customWidth="1"/>
    <col min="35" max="35" width="5.296875" bestFit="1" customWidth="1"/>
    <col min="36" max="36" width="10.09765625" bestFit="1" customWidth="1"/>
    <col min="37" max="37" width="9.09765625" bestFit="1" customWidth="1"/>
    <col min="38" max="38" width="6.09765625" bestFit="1" customWidth="1"/>
    <col min="39" max="39" width="52" bestFit="1" customWidth="1"/>
    <col min="40" max="40" width="35.69921875" bestFit="1" customWidth="1"/>
    <col min="41" max="41" width="10.8984375" bestFit="1" customWidth="1"/>
    <col min="42" max="42" width="8.296875" bestFit="1" customWidth="1"/>
    <col min="43" max="43" width="10.8984375" bestFit="1" customWidth="1"/>
    <col min="44" max="44" width="12" bestFit="1" customWidth="1"/>
    <col min="45" max="45" width="7.09765625" bestFit="1" customWidth="1"/>
    <col min="46" max="46" width="31.8984375" bestFit="1" customWidth="1"/>
  </cols>
  <sheetData>
    <row r="1" spans="1:27" x14ac:dyDescent="0.45">
      <c r="A1" s="57" t="s">
        <v>4</v>
      </c>
      <c r="B1" s="51" t="s">
        <v>5</v>
      </c>
      <c r="C1" t="s">
        <v>6</v>
      </c>
      <c r="D1" s="11" t="s">
        <v>7</v>
      </c>
      <c r="E1" s="11" t="s">
        <v>8</v>
      </c>
      <c r="F1" s="11" t="s">
        <v>9</v>
      </c>
      <c r="G1" t="s">
        <v>10</v>
      </c>
      <c r="H1" s="12" t="s">
        <v>11</v>
      </c>
      <c r="I1" s="11" t="s">
        <v>12</v>
      </c>
      <c r="J1" s="72" t="s">
        <v>13</v>
      </c>
      <c r="K1" s="11" t="s">
        <v>14</v>
      </c>
      <c r="L1" s="12"/>
      <c r="N1" s="11"/>
      <c r="P1"/>
      <c r="Q1"/>
      <c r="W1" s="28"/>
      <c r="AA1"/>
    </row>
    <row r="2" spans="1:27" x14ac:dyDescent="0.45">
      <c r="A2" s="57">
        <v>431</v>
      </c>
      <c r="B2" t="s">
        <v>459</v>
      </c>
      <c r="C2" t="s">
        <v>460</v>
      </c>
      <c r="D2" s="12">
        <v>46286</v>
      </c>
      <c r="E2" s="11">
        <v>8</v>
      </c>
      <c r="F2" s="11" t="s">
        <v>254</v>
      </c>
      <c r="G2">
        <v>20261001</v>
      </c>
      <c r="I2" s="11" t="s">
        <v>32</v>
      </c>
      <c r="J2" s="72">
        <v>90561119</v>
      </c>
      <c r="K2" s="99">
        <f>_xlfn.XLOOKUP(_2__ROI_Daily_Update[[#This Row],[CSM id]],SHP!F:F,SHP!EE:EE,"-")</f>
        <v>0</v>
      </c>
      <c r="L2" s="12"/>
      <c r="N2" s="11"/>
      <c r="P2"/>
      <c r="Q2"/>
      <c r="W2" s="28"/>
      <c r="AA2"/>
    </row>
    <row r="3" spans="1:27" x14ac:dyDescent="0.45">
      <c r="A3" s="57">
        <v>431</v>
      </c>
      <c r="B3" t="s">
        <v>453</v>
      </c>
      <c r="C3" t="s">
        <v>454</v>
      </c>
      <c r="D3" s="12">
        <v>46286</v>
      </c>
      <c r="E3" s="11">
        <v>6</v>
      </c>
      <c r="F3" s="11" t="s">
        <v>254</v>
      </c>
      <c r="G3">
        <v>20261001</v>
      </c>
      <c r="I3" s="11" t="s">
        <v>32</v>
      </c>
      <c r="J3" s="72">
        <v>50561116</v>
      </c>
      <c r="K3" s="99">
        <f>_xlfn.XLOOKUP(_2__ROI_Daily_Update[[#This Row],[CSM id]],SHP!F:F,SHP!EE:EE,"-")</f>
        <v>0</v>
      </c>
      <c r="L3" s="12"/>
      <c r="N3" s="11"/>
      <c r="P3"/>
      <c r="Q3"/>
      <c r="W3" s="28"/>
      <c r="AA3"/>
    </row>
    <row r="4" spans="1:27" x14ac:dyDescent="0.45">
      <c r="A4" s="57">
        <v>214</v>
      </c>
      <c r="B4" t="s">
        <v>251</v>
      </c>
      <c r="C4" t="s">
        <v>252</v>
      </c>
      <c r="D4" s="12">
        <v>46286</v>
      </c>
      <c r="E4" s="11">
        <v>70</v>
      </c>
      <c r="F4" s="11" t="s">
        <v>254</v>
      </c>
      <c r="G4">
        <v>20140801</v>
      </c>
      <c r="I4" s="11" t="s">
        <v>32</v>
      </c>
      <c r="J4" s="72">
        <v>60275685</v>
      </c>
      <c r="K4" s="99">
        <f>_xlfn.XLOOKUP(_2__ROI_Daily_Update[[#This Row],[CSM id]],SHP!F:F,SHP!EE:EE,"-")</f>
        <v>0</v>
      </c>
      <c r="L4" s="12"/>
      <c r="N4" s="11"/>
      <c r="P4"/>
      <c r="Q4"/>
      <c r="W4" s="28"/>
      <c r="AA4"/>
    </row>
    <row r="5" spans="1:27" x14ac:dyDescent="0.45">
      <c r="A5" s="57">
        <v>431</v>
      </c>
      <c r="B5" t="s">
        <v>457</v>
      </c>
      <c r="C5" t="s">
        <v>458</v>
      </c>
      <c r="D5" s="12">
        <v>46286</v>
      </c>
      <c r="E5" s="11">
        <v>8</v>
      </c>
      <c r="F5" s="11" t="s">
        <v>254</v>
      </c>
      <c r="G5">
        <v>20261001</v>
      </c>
      <c r="I5" s="11" t="s">
        <v>32</v>
      </c>
      <c r="J5" s="72">
        <v>90559282</v>
      </c>
      <c r="K5" s="99">
        <f>_xlfn.XLOOKUP(_2__ROI_Daily_Update[[#This Row],[CSM id]],SHP!F:F,SHP!EE:EE,"-")</f>
        <v>0</v>
      </c>
      <c r="L5" s="12"/>
      <c r="N5" s="11"/>
      <c r="P5"/>
      <c r="Q5"/>
      <c r="W5" s="28"/>
      <c r="AA5"/>
    </row>
    <row r="6" spans="1:27" x14ac:dyDescent="0.45">
      <c r="A6" s="57">
        <v>431</v>
      </c>
      <c r="B6" t="s">
        <v>455</v>
      </c>
      <c r="C6" t="s">
        <v>456</v>
      </c>
      <c r="D6" s="12">
        <v>46286</v>
      </c>
      <c r="E6" s="11">
        <v>8</v>
      </c>
      <c r="F6" s="11" t="s">
        <v>254</v>
      </c>
      <c r="G6">
        <v>20261001</v>
      </c>
      <c r="I6" s="11" t="s">
        <v>32</v>
      </c>
      <c r="J6" s="72">
        <v>80561247</v>
      </c>
      <c r="K6" s="99">
        <f>_xlfn.XLOOKUP(_2__ROI_Daily_Update[[#This Row],[CSM id]],SHP!F:F,SHP!EE:EE,"-")</f>
        <v>0</v>
      </c>
      <c r="L6" s="12"/>
      <c r="N6" s="11"/>
      <c r="P6"/>
      <c r="Q6"/>
      <c r="W6" s="28"/>
      <c r="AA6"/>
    </row>
    <row r="7" spans="1:27" x14ac:dyDescent="0.45">
      <c r="A7" s="57">
        <v>1821</v>
      </c>
      <c r="B7" t="s">
        <v>3556</v>
      </c>
      <c r="C7" t="s">
        <v>3557</v>
      </c>
      <c r="D7" s="12">
        <v>46286</v>
      </c>
      <c r="E7" s="11">
        <v>30</v>
      </c>
      <c r="F7" s="11" t="s">
        <v>254</v>
      </c>
      <c r="G7">
        <v>20180201</v>
      </c>
      <c r="I7" s="11" t="s">
        <v>32</v>
      </c>
      <c r="J7" s="72">
        <v>90321619</v>
      </c>
      <c r="K7" s="99">
        <f>_xlfn.XLOOKUP(_2__ROI_Daily_Update[[#This Row],[CSM id]],SHP!F:F,SHP!EE:EE,"-")</f>
        <v>0</v>
      </c>
      <c r="L7" s="12"/>
      <c r="N7" s="11"/>
      <c r="P7"/>
      <c r="Q7"/>
      <c r="W7" s="28"/>
      <c r="AA7"/>
    </row>
    <row r="8" spans="1:27" x14ac:dyDescent="0.45">
      <c r="A8" s="57">
        <v>1821</v>
      </c>
      <c r="B8" t="s">
        <v>3556</v>
      </c>
      <c r="C8" t="s">
        <v>3557</v>
      </c>
      <c r="D8" s="12">
        <v>46287</v>
      </c>
      <c r="E8" s="11">
        <v>30</v>
      </c>
      <c r="F8" s="11" t="s">
        <v>305</v>
      </c>
      <c r="G8">
        <v>20180201</v>
      </c>
      <c r="I8" s="11" t="s">
        <v>32</v>
      </c>
      <c r="J8" s="72">
        <v>90321619</v>
      </c>
      <c r="K8" s="99">
        <f>_xlfn.XLOOKUP(_2__ROI_Daily_Update[[#This Row],[CSM id]],SHP!F:F,SHP!EE:EE,"-")</f>
        <v>0</v>
      </c>
      <c r="L8" s="12"/>
      <c r="N8" s="11"/>
      <c r="P8"/>
      <c r="Q8"/>
      <c r="W8" s="28"/>
      <c r="AA8"/>
    </row>
    <row r="9" spans="1:27" x14ac:dyDescent="0.45">
      <c r="A9" s="57">
        <v>1821</v>
      </c>
      <c r="B9" t="s">
        <v>3514</v>
      </c>
      <c r="C9" t="s">
        <v>3515</v>
      </c>
      <c r="D9" s="12">
        <v>46287</v>
      </c>
      <c r="E9" s="11">
        <v>30</v>
      </c>
      <c r="F9" s="11" t="s">
        <v>305</v>
      </c>
      <c r="G9">
        <v>20180201</v>
      </c>
      <c r="I9" s="11" t="s">
        <v>32</v>
      </c>
      <c r="J9" s="72">
        <v>30320806</v>
      </c>
      <c r="K9" s="99">
        <f>_xlfn.XLOOKUP(_2__ROI_Daily_Update[[#This Row],[CSM id]],SHP!F:F,SHP!EE:EE,"-")</f>
        <v>0</v>
      </c>
      <c r="L9" s="12"/>
      <c r="N9" s="11"/>
      <c r="P9"/>
      <c r="Q9"/>
      <c r="W9" s="28"/>
      <c r="AA9"/>
    </row>
    <row r="10" spans="1:27" x14ac:dyDescent="0.45">
      <c r="A10" s="57">
        <v>431</v>
      </c>
      <c r="B10" t="s">
        <v>457</v>
      </c>
      <c r="C10" t="s">
        <v>458</v>
      </c>
      <c r="D10" s="12">
        <v>46287</v>
      </c>
      <c r="E10" s="11">
        <v>24</v>
      </c>
      <c r="F10" s="11" t="s">
        <v>305</v>
      </c>
      <c r="G10">
        <v>20261001</v>
      </c>
      <c r="I10" s="11" t="s">
        <v>32</v>
      </c>
      <c r="J10" s="72">
        <v>90559282</v>
      </c>
      <c r="K10" s="99">
        <f>_xlfn.XLOOKUP(_2__ROI_Daily_Update[[#This Row],[CSM id]],SHP!F:F,SHP!EE:EE,"-")</f>
        <v>0</v>
      </c>
      <c r="L10" s="12"/>
      <c r="N10" s="11"/>
      <c r="P10"/>
      <c r="Q10"/>
      <c r="W10" s="28"/>
      <c r="AA10"/>
    </row>
    <row r="11" spans="1:27" x14ac:dyDescent="0.45">
      <c r="A11" s="57">
        <v>217</v>
      </c>
      <c r="B11" t="s">
        <v>303</v>
      </c>
      <c r="C11" t="s">
        <v>304</v>
      </c>
      <c r="D11" s="12">
        <v>46287</v>
      </c>
      <c r="E11" s="11">
        <v>70</v>
      </c>
      <c r="F11" s="11" t="s">
        <v>305</v>
      </c>
      <c r="G11">
        <v>20220701</v>
      </c>
      <c r="I11" s="11" t="s">
        <v>32</v>
      </c>
      <c r="J11" s="72">
        <v>483263</v>
      </c>
      <c r="K11" s="99">
        <f>_xlfn.XLOOKUP(_2__ROI_Daily_Update[[#This Row],[CSM id]],SHP!F:F,SHP!EE:EE,"-")</f>
        <v>0</v>
      </c>
      <c r="L11" s="12"/>
      <c r="N11" s="11"/>
      <c r="P11"/>
      <c r="Q11"/>
      <c r="W11" s="28"/>
      <c r="AA11"/>
    </row>
    <row r="12" spans="1:27" x14ac:dyDescent="0.45">
      <c r="A12" s="57">
        <v>431</v>
      </c>
      <c r="B12" t="s">
        <v>459</v>
      </c>
      <c r="C12" t="s">
        <v>460</v>
      </c>
      <c r="D12" s="12">
        <v>46287</v>
      </c>
      <c r="E12" s="11">
        <v>48</v>
      </c>
      <c r="F12" s="11" t="s">
        <v>305</v>
      </c>
      <c r="G12">
        <v>20261001</v>
      </c>
      <c r="I12" s="11" t="s">
        <v>32</v>
      </c>
      <c r="J12" s="72">
        <v>90561119</v>
      </c>
      <c r="K12" s="99">
        <f>_xlfn.XLOOKUP(_2__ROI_Daily_Update[[#This Row],[CSM id]],SHP!F:F,SHP!EE:EE,"-")</f>
        <v>0</v>
      </c>
      <c r="L12" s="12"/>
      <c r="N12" s="11"/>
      <c r="P12"/>
      <c r="Q12"/>
      <c r="W12" s="28"/>
      <c r="AA12"/>
    </row>
    <row r="13" spans="1:27" x14ac:dyDescent="0.45">
      <c r="A13" s="57">
        <v>431</v>
      </c>
      <c r="B13" t="s">
        <v>453</v>
      </c>
      <c r="C13" t="s">
        <v>454</v>
      </c>
      <c r="D13" s="12">
        <v>46287</v>
      </c>
      <c r="E13" s="11">
        <v>12</v>
      </c>
      <c r="F13" s="11" t="s">
        <v>305</v>
      </c>
      <c r="G13">
        <v>20261001</v>
      </c>
      <c r="I13" s="11" t="s">
        <v>32</v>
      </c>
      <c r="J13" s="72">
        <v>50561116</v>
      </c>
      <c r="K13" s="99">
        <f>_xlfn.XLOOKUP(_2__ROI_Daily_Update[[#This Row],[CSM id]],SHP!F:F,SHP!EE:EE,"-")</f>
        <v>0</v>
      </c>
      <c r="L13" s="12"/>
      <c r="N13" s="11"/>
      <c r="P13"/>
      <c r="Q13"/>
      <c r="W13" s="28"/>
      <c r="AA13"/>
    </row>
    <row r="14" spans="1:27" x14ac:dyDescent="0.45">
      <c r="A14" s="57">
        <v>214</v>
      </c>
      <c r="B14" t="s">
        <v>251</v>
      </c>
      <c r="C14" t="s">
        <v>252</v>
      </c>
      <c r="D14" s="12">
        <v>46287</v>
      </c>
      <c r="E14" s="11">
        <v>70</v>
      </c>
      <c r="F14" s="11" t="s">
        <v>305</v>
      </c>
      <c r="G14">
        <v>20140801</v>
      </c>
      <c r="I14" s="11" t="s">
        <v>32</v>
      </c>
      <c r="J14" s="72">
        <v>60275685</v>
      </c>
      <c r="K14" s="99">
        <f>_xlfn.XLOOKUP(_2__ROI_Daily_Update[[#This Row],[CSM id]],SHP!F:F,SHP!EE:EE,"-")</f>
        <v>0</v>
      </c>
      <c r="L14" s="12"/>
      <c r="N14" s="11"/>
      <c r="P14"/>
      <c r="Q14"/>
      <c r="W14" s="28"/>
      <c r="AA14"/>
    </row>
    <row r="15" spans="1:27" x14ac:dyDescent="0.45">
      <c r="A15" s="57">
        <v>1422</v>
      </c>
      <c r="B15" t="s">
        <v>2227</v>
      </c>
      <c r="C15" t="s">
        <v>2228</v>
      </c>
      <c r="D15" s="12">
        <v>46288</v>
      </c>
      <c r="E15" s="11">
        <v>702</v>
      </c>
      <c r="F15" s="11" t="s">
        <v>975</v>
      </c>
      <c r="G15">
        <v>20221001</v>
      </c>
      <c r="I15" s="11" t="s">
        <v>18</v>
      </c>
      <c r="J15" s="72">
        <v>40521951</v>
      </c>
      <c r="K15" s="99">
        <f>_xlfn.XLOOKUP(_2__ROI_Daily_Update[[#This Row],[CSM id]],SHP!F:F,SHP!EE:EE,"-")</f>
        <v>0</v>
      </c>
      <c r="L15" s="12"/>
      <c r="N15" s="11"/>
      <c r="P15"/>
      <c r="Q15"/>
      <c r="W15" s="28"/>
      <c r="AA15"/>
    </row>
    <row r="16" spans="1:27" x14ac:dyDescent="0.45">
      <c r="A16" s="57">
        <v>1411</v>
      </c>
      <c r="B16" t="s">
        <v>2080</v>
      </c>
      <c r="C16" t="s">
        <v>2081</v>
      </c>
      <c r="D16" s="12">
        <v>46288</v>
      </c>
      <c r="E16" s="11">
        <v>32</v>
      </c>
      <c r="F16" s="11" t="s">
        <v>975</v>
      </c>
      <c r="G16">
        <v>20220401</v>
      </c>
      <c r="I16" s="11" t="s">
        <v>18</v>
      </c>
      <c r="J16" s="72">
        <v>20513160</v>
      </c>
      <c r="K16" s="99">
        <f>_xlfn.XLOOKUP(_2__ROI_Daily_Update[[#This Row],[CSM id]],SHP!F:F,SHP!EE:EE,"-")</f>
        <v>0</v>
      </c>
      <c r="L16" s="12"/>
      <c r="N16" s="11"/>
      <c r="P16"/>
      <c r="Q16"/>
      <c r="W16" s="28"/>
      <c r="AA16"/>
    </row>
    <row r="17" spans="1:27" x14ac:dyDescent="0.45">
      <c r="A17" s="57">
        <v>1431</v>
      </c>
      <c r="B17" t="s">
        <v>2402</v>
      </c>
      <c r="C17" t="s">
        <v>2403</v>
      </c>
      <c r="D17" s="12">
        <v>46288</v>
      </c>
      <c r="E17" s="11">
        <v>144</v>
      </c>
      <c r="F17" s="11" t="s">
        <v>975</v>
      </c>
      <c r="G17">
        <v>20230701</v>
      </c>
      <c r="I17" s="11" t="s">
        <v>18</v>
      </c>
      <c r="J17" s="72">
        <v>50507964</v>
      </c>
      <c r="K17" s="99">
        <f>_xlfn.XLOOKUP(_2__ROI_Daily_Update[[#This Row],[CSM id]],SHP!F:F,SHP!EE:EE,"-")</f>
        <v>0</v>
      </c>
      <c r="L17" s="12"/>
      <c r="N17" s="11"/>
      <c r="P17"/>
      <c r="Q17"/>
      <c r="W17" s="28"/>
      <c r="AA17"/>
    </row>
    <row r="18" spans="1:27" x14ac:dyDescent="0.45">
      <c r="A18" s="57">
        <v>1431</v>
      </c>
      <c r="B18" t="s">
        <v>2412</v>
      </c>
      <c r="C18" t="s">
        <v>2413</v>
      </c>
      <c r="D18" s="12">
        <v>46288</v>
      </c>
      <c r="E18" s="11">
        <v>360</v>
      </c>
      <c r="F18" s="11" t="s">
        <v>975</v>
      </c>
      <c r="G18">
        <v>20250401</v>
      </c>
      <c r="I18" s="11" t="s">
        <v>18</v>
      </c>
      <c r="J18" s="72">
        <v>60597105</v>
      </c>
      <c r="K18" s="99">
        <f>_xlfn.XLOOKUP(_2__ROI_Daily_Update[[#This Row],[CSM id]],SHP!F:F,SHP!EE:EE,"-")</f>
        <v>0</v>
      </c>
      <c r="L18" s="12"/>
      <c r="N18" s="11"/>
      <c r="P18"/>
      <c r="Q18"/>
      <c r="W18" s="28"/>
      <c r="AA18"/>
    </row>
    <row r="19" spans="1:27" x14ac:dyDescent="0.45">
      <c r="A19" s="57">
        <v>1431</v>
      </c>
      <c r="B19" t="s">
        <v>2436</v>
      </c>
      <c r="C19" t="s">
        <v>2437</v>
      </c>
      <c r="D19" s="12">
        <v>46288</v>
      </c>
      <c r="E19" s="11">
        <v>11760</v>
      </c>
      <c r="F19" s="11" t="s">
        <v>975</v>
      </c>
      <c r="G19">
        <v>20260701</v>
      </c>
      <c r="I19" s="11" t="s">
        <v>18</v>
      </c>
      <c r="J19" s="72">
        <v>80628342</v>
      </c>
      <c r="K19" s="99">
        <f>_xlfn.XLOOKUP(_2__ROI_Daily_Update[[#This Row],[CSM id]],SHP!F:F,SHP!EE:EE,"-")</f>
        <v>0</v>
      </c>
      <c r="L19" s="12"/>
      <c r="N19" s="11"/>
      <c r="P19"/>
      <c r="Q19"/>
      <c r="W19" s="28"/>
      <c r="AA19"/>
    </row>
    <row r="20" spans="1:27" x14ac:dyDescent="0.45">
      <c r="A20" s="57">
        <v>1511</v>
      </c>
      <c r="B20" t="s">
        <v>2560</v>
      </c>
      <c r="C20" t="s">
        <v>2561</v>
      </c>
      <c r="D20" s="12">
        <v>46288</v>
      </c>
      <c r="E20" s="11">
        <v>1488</v>
      </c>
      <c r="F20" s="11" t="s">
        <v>975</v>
      </c>
      <c r="G20">
        <v>20160401</v>
      </c>
      <c r="I20" s="11" t="s">
        <v>18</v>
      </c>
      <c r="J20" s="72">
        <v>40318940</v>
      </c>
      <c r="K20" s="99">
        <f>_xlfn.XLOOKUP(_2__ROI_Daily_Update[[#This Row],[CSM id]],SHP!F:F,SHP!EE:EE,"-")</f>
        <v>0</v>
      </c>
      <c r="L20" s="12"/>
      <c r="N20" s="11"/>
      <c r="P20"/>
      <c r="Q20"/>
      <c r="W20" s="28"/>
      <c r="AA20"/>
    </row>
    <row r="21" spans="1:27" x14ac:dyDescent="0.45">
      <c r="A21" s="57">
        <v>1424</v>
      </c>
      <c r="B21" t="s">
        <v>2304</v>
      </c>
      <c r="C21" t="s">
        <v>2305</v>
      </c>
      <c r="D21" s="12">
        <v>46288</v>
      </c>
      <c r="E21" s="11">
        <v>76</v>
      </c>
      <c r="F21" s="11" t="s">
        <v>975</v>
      </c>
      <c r="G21">
        <v>20150401</v>
      </c>
      <c r="I21" s="11" t="s">
        <v>18</v>
      </c>
      <c r="J21" s="72">
        <v>20309828</v>
      </c>
      <c r="K21" s="99">
        <f>_xlfn.XLOOKUP(_2__ROI_Daily_Update[[#This Row],[CSM id]],SHP!F:F,SHP!EE:EE,"-")</f>
        <v>0</v>
      </c>
      <c r="L21" s="12"/>
      <c r="N21" s="11"/>
      <c r="P21"/>
      <c r="Q21"/>
      <c r="W21" s="28"/>
      <c r="AA21"/>
    </row>
    <row r="22" spans="1:27" x14ac:dyDescent="0.45">
      <c r="A22" s="57">
        <v>1431</v>
      </c>
      <c r="B22" t="s">
        <v>2328</v>
      </c>
      <c r="C22" t="s">
        <v>2329</v>
      </c>
      <c r="D22" s="12">
        <v>46288</v>
      </c>
      <c r="E22" s="11">
        <v>800</v>
      </c>
      <c r="F22" s="11" t="s">
        <v>2331</v>
      </c>
      <c r="G22">
        <v>20260701</v>
      </c>
      <c r="I22" s="11" t="s">
        <v>18</v>
      </c>
      <c r="J22" s="72">
        <v>625371</v>
      </c>
      <c r="K22" s="99">
        <f>_xlfn.XLOOKUP(_2__ROI_Daily_Update[[#This Row],[CSM id]],SHP!F:F,SHP!EE:EE,"-")</f>
        <v>0</v>
      </c>
      <c r="L22" s="12"/>
      <c r="N22" s="11"/>
      <c r="P22"/>
      <c r="Q22"/>
      <c r="W22" s="28"/>
      <c r="AA22"/>
    </row>
    <row r="23" spans="1:27" x14ac:dyDescent="0.45">
      <c r="A23" s="57">
        <v>1431</v>
      </c>
      <c r="B23" t="s">
        <v>2448</v>
      </c>
      <c r="C23" t="s">
        <v>2449</v>
      </c>
      <c r="D23" s="12">
        <v>46288</v>
      </c>
      <c r="E23" s="11">
        <v>816</v>
      </c>
      <c r="F23" s="11" t="s">
        <v>2331</v>
      </c>
      <c r="G23">
        <v>20261001</v>
      </c>
      <c r="I23" s="11" t="s">
        <v>18</v>
      </c>
      <c r="J23" s="72">
        <v>90628346</v>
      </c>
      <c r="K23" s="99">
        <f>_xlfn.XLOOKUP(_2__ROI_Daily_Update[[#This Row],[CSM id]],SHP!F:F,SHP!EE:EE,"-")</f>
        <v>0</v>
      </c>
      <c r="L23" s="12"/>
      <c r="N23" s="11"/>
      <c r="P23"/>
      <c r="Q23"/>
      <c r="W23" s="28"/>
      <c r="AA23"/>
    </row>
    <row r="24" spans="1:27" x14ac:dyDescent="0.45">
      <c r="A24" s="57">
        <v>1431</v>
      </c>
      <c r="B24" t="s">
        <v>2386</v>
      </c>
      <c r="C24" t="s">
        <v>2387</v>
      </c>
      <c r="D24" s="12">
        <v>46288</v>
      </c>
      <c r="E24" s="11">
        <v>168</v>
      </c>
      <c r="F24" s="11" t="s">
        <v>975</v>
      </c>
      <c r="G24">
        <v>20200801</v>
      </c>
      <c r="I24" s="11" t="s">
        <v>18</v>
      </c>
      <c r="J24" s="72">
        <v>40444948</v>
      </c>
      <c r="K24" s="99">
        <f>_xlfn.XLOOKUP(_2__ROI_Daily_Update[[#This Row],[CSM id]],SHP!F:F,SHP!EE:EE,"-")</f>
        <v>0</v>
      </c>
      <c r="L24" s="12"/>
      <c r="N24" s="11"/>
      <c r="P24"/>
      <c r="Q24"/>
      <c r="W24" s="28"/>
      <c r="AA24"/>
    </row>
    <row r="25" spans="1:27" x14ac:dyDescent="0.45">
      <c r="A25" s="57">
        <v>1551</v>
      </c>
      <c r="B25" t="s">
        <v>2819</v>
      </c>
      <c r="C25" t="s">
        <v>2820</v>
      </c>
      <c r="D25" s="12">
        <v>46288</v>
      </c>
      <c r="E25" s="11">
        <v>192</v>
      </c>
      <c r="F25" s="11" t="s">
        <v>975</v>
      </c>
      <c r="G25">
        <v>20150401</v>
      </c>
      <c r="I25" s="11" t="s">
        <v>18</v>
      </c>
      <c r="J25" s="72">
        <v>60279725</v>
      </c>
      <c r="K25" s="99">
        <f>_xlfn.XLOOKUP(_2__ROI_Daily_Update[[#This Row],[CSM id]],SHP!F:F,SHP!EE:EE,"-")</f>
        <v>0</v>
      </c>
      <c r="L25" s="12"/>
      <c r="N25" s="11"/>
      <c r="P25"/>
      <c r="Q25"/>
      <c r="W25" s="28"/>
      <c r="AA25"/>
    </row>
    <row r="26" spans="1:27" x14ac:dyDescent="0.45">
      <c r="A26" s="57">
        <v>1511</v>
      </c>
      <c r="B26" t="s">
        <v>2582</v>
      </c>
      <c r="C26" t="s">
        <v>2583</v>
      </c>
      <c r="D26" s="12">
        <v>46295</v>
      </c>
      <c r="E26" s="11">
        <v>42</v>
      </c>
      <c r="F26" s="11" t="s">
        <v>5915</v>
      </c>
      <c r="G26">
        <v>20200601</v>
      </c>
      <c r="H26" s="12">
        <v>46388</v>
      </c>
      <c r="I26" s="11" t="s">
        <v>63</v>
      </c>
      <c r="J26" s="72">
        <v>60321079</v>
      </c>
      <c r="K26" s="99">
        <f>_xlfn.XLOOKUP(_2__ROI_Daily_Update[[#This Row],[CSM id]],SHP!F:F,SHP!EE:EE,"-")</f>
        <v>0</v>
      </c>
      <c r="L26" s="12"/>
      <c r="N26" s="11"/>
      <c r="P26"/>
      <c r="Q26"/>
      <c r="W26" s="28"/>
      <c r="AA26"/>
    </row>
    <row r="27" spans="1:27" x14ac:dyDescent="0.45">
      <c r="A27" s="57">
        <v>1511</v>
      </c>
      <c r="B27" t="s">
        <v>2584</v>
      </c>
      <c r="C27" t="s">
        <v>2585</v>
      </c>
      <c r="D27" s="12">
        <v>46295</v>
      </c>
      <c r="E27" s="11">
        <v>22</v>
      </c>
      <c r="F27" s="11" t="s">
        <v>5915</v>
      </c>
      <c r="G27">
        <v>20250401</v>
      </c>
      <c r="I27" s="11" t="s">
        <v>63</v>
      </c>
      <c r="J27" s="72">
        <v>60592419</v>
      </c>
      <c r="K27" s="99">
        <f>_xlfn.XLOOKUP(_2__ROI_Daily_Update[[#This Row],[CSM id]],SHP!F:F,SHP!EE:EE,"-")</f>
        <v>0</v>
      </c>
      <c r="L27" s="12"/>
      <c r="N27" s="11"/>
      <c r="P27"/>
      <c r="Q27"/>
      <c r="W27" s="28"/>
      <c r="AA27"/>
    </row>
    <row r="28" spans="1:27" x14ac:dyDescent="0.45">
      <c r="A28" s="57">
        <v>1422</v>
      </c>
      <c r="B28" t="s">
        <v>2260</v>
      </c>
      <c r="C28" t="s">
        <v>2261</v>
      </c>
      <c r="D28" s="12">
        <v>46295</v>
      </c>
      <c r="E28" s="11">
        <v>272</v>
      </c>
      <c r="F28" s="11" t="s">
        <v>5916</v>
      </c>
      <c r="G28">
        <v>20240101</v>
      </c>
      <c r="I28" s="11" t="s">
        <v>63</v>
      </c>
      <c r="J28" s="72">
        <v>80563430</v>
      </c>
      <c r="K28" s="99">
        <f>_xlfn.XLOOKUP(_2__ROI_Daily_Update[[#This Row],[CSM id]],SHP!F:F,SHP!EE:EE,"-")</f>
        <v>0</v>
      </c>
      <c r="L28" s="12"/>
      <c r="N28" s="11"/>
      <c r="P28"/>
      <c r="Q28"/>
      <c r="W28" s="28"/>
      <c r="AA28"/>
    </row>
    <row r="29" spans="1:27" x14ac:dyDescent="0.45">
      <c r="A29" s="57">
        <v>1412</v>
      </c>
      <c r="B29" t="s">
        <v>2136</v>
      </c>
      <c r="C29" t="s">
        <v>2137</v>
      </c>
      <c r="D29" s="12">
        <v>46295</v>
      </c>
      <c r="E29" s="11">
        <v>24</v>
      </c>
      <c r="F29" s="11" t="s">
        <v>5916</v>
      </c>
      <c r="G29">
        <v>20160801</v>
      </c>
      <c r="I29" s="11" t="s">
        <v>63</v>
      </c>
      <c r="J29" s="72">
        <v>70324553</v>
      </c>
      <c r="K29" s="99">
        <f>_xlfn.XLOOKUP(_2__ROI_Daily_Update[[#This Row],[CSM id]],SHP!F:F,SHP!EE:EE,"-")</f>
        <v>0</v>
      </c>
      <c r="L29" s="12"/>
      <c r="N29" s="11"/>
      <c r="P29"/>
      <c r="Q29"/>
      <c r="W29" s="28"/>
      <c r="AA29"/>
    </row>
    <row r="30" spans="1:27" x14ac:dyDescent="0.45">
      <c r="A30" s="57">
        <v>1511</v>
      </c>
      <c r="B30" t="s">
        <v>2576</v>
      </c>
      <c r="C30" t="s">
        <v>2577</v>
      </c>
      <c r="D30" s="12">
        <v>46295</v>
      </c>
      <c r="E30" s="11">
        <v>72</v>
      </c>
      <c r="F30" s="11" t="s">
        <v>5915</v>
      </c>
      <c r="G30">
        <v>20261001</v>
      </c>
      <c r="I30" s="11" t="s">
        <v>63</v>
      </c>
      <c r="J30" s="72">
        <v>50636555</v>
      </c>
      <c r="K30" s="99">
        <f>_xlfn.XLOOKUP(_2__ROI_Daily_Update[[#This Row],[CSM id]],SHP!F:F,SHP!EE:EE,"-")</f>
        <v>0</v>
      </c>
      <c r="L30" s="12"/>
      <c r="N30" s="11"/>
      <c r="P30"/>
      <c r="Q30"/>
      <c r="W30" s="28"/>
      <c r="AA30"/>
    </row>
    <row r="31" spans="1:27" x14ac:dyDescent="0.45">
      <c r="A31" s="57">
        <v>1412</v>
      </c>
      <c r="B31" t="s">
        <v>2138</v>
      </c>
      <c r="C31" t="s">
        <v>2139</v>
      </c>
      <c r="D31" s="12">
        <v>46295</v>
      </c>
      <c r="E31" s="11">
        <v>140</v>
      </c>
      <c r="F31" s="11" t="s">
        <v>5916</v>
      </c>
      <c r="G31">
        <v>20240701</v>
      </c>
      <c r="I31" s="11" t="s">
        <v>63</v>
      </c>
      <c r="J31" s="72">
        <v>70580699</v>
      </c>
      <c r="K31" s="99">
        <f>_xlfn.XLOOKUP(_2__ROI_Daily_Update[[#This Row],[CSM id]],SHP!F:F,SHP!EE:EE,"-")</f>
        <v>0</v>
      </c>
      <c r="L31" s="12"/>
      <c r="N31" s="11"/>
      <c r="P31"/>
      <c r="Q31"/>
      <c r="W31" s="28"/>
      <c r="AA31"/>
    </row>
    <row r="32" spans="1:27" x14ac:dyDescent="0.45">
      <c r="A32" s="57">
        <v>1412</v>
      </c>
      <c r="B32" t="s">
        <v>2140</v>
      </c>
      <c r="C32" t="s">
        <v>2141</v>
      </c>
      <c r="D32" s="12">
        <v>46295</v>
      </c>
      <c r="E32" s="11">
        <v>72</v>
      </c>
      <c r="F32" s="11" t="s">
        <v>5916</v>
      </c>
      <c r="G32">
        <v>20250101</v>
      </c>
      <c r="I32" s="11" t="s">
        <v>63</v>
      </c>
      <c r="J32" s="72">
        <v>70587177</v>
      </c>
      <c r="K32" s="99">
        <f>_xlfn.XLOOKUP(_2__ROI_Daily_Update[[#This Row],[CSM id]],SHP!F:F,SHP!EE:EE,"-")</f>
        <v>0</v>
      </c>
      <c r="L32" s="12"/>
      <c r="N32" s="11"/>
      <c r="P32"/>
      <c r="Q32"/>
      <c r="W32" s="28"/>
      <c r="AA32"/>
    </row>
    <row r="33" spans="1:27" x14ac:dyDescent="0.45">
      <c r="A33" s="57">
        <v>1424</v>
      </c>
      <c r="B33" t="s">
        <v>2316</v>
      </c>
      <c r="C33" t="s">
        <v>2317</v>
      </c>
      <c r="D33" s="12">
        <v>46295</v>
      </c>
      <c r="E33" s="11">
        <v>46</v>
      </c>
      <c r="F33" s="11" t="s">
        <v>5916</v>
      </c>
      <c r="G33">
        <v>20160701</v>
      </c>
      <c r="I33" s="11" t="s">
        <v>63</v>
      </c>
      <c r="J33" s="72">
        <v>80313323</v>
      </c>
      <c r="K33" s="99">
        <f>_xlfn.XLOOKUP(_2__ROI_Daily_Update[[#This Row],[CSM id]],SHP!F:F,SHP!EE:EE,"-")</f>
        <v>0</v>
      </c>
      <c r="L33" s="12"/>
      <c r="N33" s="11"/>
      <c r="P33"/>
      <c r="Q33"/>
      <c r="W33" s="28"/>
      <c r="AA33"/>
    </row>
    <row r="34" spans="1:27" x14ac:dyDescent="0.45">
      <c r="A34" s="57">
        <v>1511</v>
      </c>
      <c r="B34" t="s">
        <v>2586</v>
      </c>
      <c r="C34" t="s">
        <v>2587</v>
      </c>
      <c r="D34" s="12">
        <v>46295</v>
      </c>
      <c r="E34" s="11">
        <v>132</v>
      </c>
      <c r="F34" s="11" t="s">
        <v>5916</v>
      </c>
      <c r="G34">
        <v>20260101</v>
      </c>
      <c r="I34" s="11" t="s">
        <v>63</v>
      </c>
      <c r="J34" s="72">
        <v>60600424</v>
      </c>
      <c r="K34" s="99">
        <f>_xlfn.XLOOKUP(_2__ROI_Daily_Update[[#This Row],[CSM id]],SHP!F:F,SHP!EE:EE,"-")</f>
        <v>0</v>
      </c>
      <c r="L34" s="12"/>
      <c r="N34" s="11"/>
      <c r="P34"/>
      <c r="Q34"/>
      <c r="W34" s="28"/>
      <c r="AA34"/>
    </row>
    <row r="35" spans="1:27" x14ac:dyDescent="0.45">
      <c r="A35" s="57">
        <v>1511</v>
      </c>
      <c r="B35" t="s">
        <v>2580</v>
      </c>
      <c r="C35" t="s">
        <v>2581</v>
      </c>
      <c r="D35" s="12">
        <v>46295</v>
      </c>
      <c r="E35" s="11">
        <v>108</v>
      </c>
      <c r="F35" s="11" t="s">
        <v>5915</v>
      </c>
      <c r="G35">
        <v>20150401</v>
      </c>
      <c r="I35" s="11" t="s">
        <v>63</v>
      </c>
      <c r="J35" s="72">
        <v>60282997</v>
      </c>
      <c r="K35" s="99">
        <f>_xlfn.XLOOKUP(_2__ROI_Daily_Update[[#This Row],[CSM id]],SHP!F:F,SHP!EE:EE,"-")</f>
        <v>0</v>
      </c>
      <c r="L35" s="12"/>
      <c r="N35" s="11"/>
      <c r="P35"/>
      <c r="Q35"/>
      <c r="W35" s="28"/>
      <c r="AA35"/>
    </row>
    <row r="36" spans="1:27" x14ac:dyDescent="0.45">
      <c r="A36" s="57">
        <v>1511</v>
      </c>
      <c r="B36" t="s">
        <v>2572</v>
      </c>
      <c r="C36" t="s">
        <v>2573</v>
      </c>
      <c r="D36" s="12">
        <v>46295</v>
      </c>
      <c r="E36" s="11">
        <v>240</v>
      </c>
      <c r="F36" s="11" t="s">
        <v>5916</v>
      </c>
      <c r="G36">
        <v>20251001</v>
      </c>
      <c r="I36" s="11" t="s">
        <v>63</v>
      </c>
      <c r="J36" s="72">
        <v>50607807</v>
      </c>
      <c r="K36" s="99">
        <f>_xlfn.XLOOKUP(_2__ROI_Daily_Update[[#This Row],[CSM id]],SHP!F:F,SHP!EE:EE,"-")</f>
        <v>0</v>
      </c>
      <c r="L36" s="12"/>
      <c r="N36" s="11"/>
      <c r="P36"/>
      <c r="Q36"/>
      <c r="W36" s="28"/>
      <c r="AA36"/>
    </row>
    <row r="37" spans="1:27" x14ac:dyDescent="0.45">
      <c r="A37" s="57">
        <v>1511</v>
      </c>
      <c r="B37" t="s">
        <v>2570</v>
      </c>
      <c r="C37" t="s">
        <v>2571</v>
      </c>
      <c r="D37" s="12">
        <v>46295</v>
      </c>
      <c r="E37" s="11">
        <v>105</v>
      </c>
      <c r="F37" s="11" t="s">
        <v>5916</v>
      </c>
      <c r="G37">
        <v>20250701</v>
      </c>
      <c r="I37" s="11" t="s">
        <v>63</v>
      </c>
      <c r="J37" s="72">
        <v>50600759</v>
      </c>
      <c r="K37" s="99">
        <f>_xlfn.XLOOKUP(_2__ROI_Daily_Update[[#This Row],[CSM id]],SHP!F:F,SHP!EE:EE,"-")</f>
        <v>0</v>
      </c>
      <c r="L37" s="12"/>
      <c r="N37" s="11"/>
      <c r="P37"/>
      <c r="Q37"/>
      <c r="W37" s="28"/>
      <c r="AA37"/>
    </row>
    <row r="38" spans="1:27" x14ac:dyDescent="0.45">
      <c r="A38" s="57">
        <v>1422</v>
      </c>
      <c r="B38" t="s">
        <v>2250</v>
      </c>
      <c r="C38" t="s">
        <v>2251</v>
      </c>
      <c r="D38" s="12">
        <v>46295</v>
      </c>
      <c r="E38" s="11">
        <v>112</v>
      </c>
      <c r="F38" s="11" t="s">
        <v>5916</v>
      </c>
      <c r="G38">
        <v>20241001</v>
      </c>
      <c r="I38" s="11" t="s">
        <v>63</v>
      </c>
      <c r="J38" s="72">
        <v>70581482</v>
      </c>
      <c r="K38" s="99">
        <f>_xlfn.XLOOKUP(_2__ROI_Daily_Update[[#This Row],[CSM id]],SHP!F:F,SHP!EE:EE,"-")</f>
        <v>0</v>
      </c>
      <c r="L38" s="12"/>
      <c r="N38" s="11"/>
      <c r="P38"/>
      <c r="Q38"/>
      <c r="W38" s="28"/>
      <c r="AA38"/>
    </row>
    <row r="39" spans="1:27" x14ac:dyDescent="0.45">
      <c r="A39" s="57">
        <v>1633</v>
      </c>
      <c r="B39" t="s">
        <v>2978</v>
      </c>
      <c r="C39" t="s">
        <v>2979</v>
      </c>
      <c r="D39" s="12">
        <v>46295</v>
      </c>
      <c r="E39" s="11">
        <v>12</v>
      </c>
      <c r="F39" s="11" t="s">
        <v>5916</v>
      </c>
      <c r="G39">
        <v>20261001</v>
      </c>
      <c r="H39" s="12">
        <v>46388</v>
      </c>
      <c r="I39" s="11" t="s">
        <v>63</v>
      </c>
      <c r="J39" s="72">
        <v>10638896</v>
      </c>
      <c r="K39" s="99">
        <f>_xlfn.XLOOKUP(_2__ROI_Daily_Update[[#This Row],[CSM id]],SHP!F:F,SHP!EE:EE,"-")</f>
        <v>0</v>
      </c>
      <c r="L39" s="12"/>
      <c r="N39" s="11"/>
      <c r="P39"/>
      <c r="Q39"/>
      <c r="W39" s="28"/>
      <c r="AA39"/>
    </row>
    <row r="40" spans="1:27" x14ac:dyDescent="0.45">
      <c r="A40" s="57">
        <v>1512</v>
      </c>
      <c r="B40" t="s">
        <v>2646</v>
      </c>
      <c r="C40" t="s">
        <v>2647</v>
      </c>
      <c r="D40" s="12">
        <v>46295</v>
      </c>
      <c r="E40" s="11">
        <v>108</v>
      </c>
      <c r="F40" s="11" t="s">
        <v>5915</v>
      </c>
      <c r="G40">
        <v>20260701</v>
      </c>
      <c r="I40" s="11" t="s">
        <v>63</v>
      </c>
      <c r="J40" s="72">
        <v>603091</v>
      </c>
      <c r="K40" s="99">
        <f>_xlfn.XLOOKUP(_2__ROI_Daily_Update[[#This Row],[CSM id]],SHP!F:F,SHP!EE:EE,"-")</f>
        <v>0</v>
      </c>
      <c r="L40" s="12"/>
      <c r="N40" s="11"/>
      <c r="P40"/>
      <c r="Q40"/>
      <c r="W40" s="28"/>
      <c r="AA40"/>
    </row>
    <row r="41" spans="1:27" x14ac:dyDescent="0.45">
      <c r="A41" s="57">
        <v>1511</v>
      </c>
      <c r="B41" t="s">
        <v>2554</v>
      </c>
      <c r="C41" t="s">
        <v>2555</v>
      </c>
      <c r="D41" s="12">
        <v>46295</v>
      </c>
      <c r="E41" s="11">
        <v>108</v>
      </c>
      <c r="F41" s="11" t="s">
        <v>5916</v>
      </c>
      <c r="G41">
        <v>20260401</v>
      </c>
      <c r="H41" s="12">
        <v>46569</v>
      </c>
      <c r="I41" s="11" t="s">
        <v>63</v>
      </c>
      <c r="J41" s="72">
        <v>30621220</v>
      </c>
      <c r="K41" s="99">
        <f>_xlfn.XLOOKUP(_2__ROI_Daily_Update[[#This Row],[CSM id]],SHP!F:F,SHP!EE:EE,"-")</f>
        <v>0</v>
      </c>
      <c r="L41" s="12"/>
      <c r="N41" s="11"/>
      <c r="P41"/>
      <c r="Q41"/>
      <c r="W41" s="28"/>
      <c r="AA41"/>
    </row>
    <row r="42" spans="1:27" x14ac:dyDescent="0.45">
      <c r="A42" s="57">
        <v>1431</v>
      </c>
      <c r="B42" t="s">
        <v>2340</v>
      </c>
      <c r="C42" t="s">
        <v>2341</v>
      </c>
      <c r="D42" s="12">
        <v>46295</v>
      </c>
      <c r="E42" s="11">
        <v>126</v>
      </c>
      <c r="F42" s="11" t="s">
        <v>5916</v>
      </c>
      <c r="G42">
        <v>20251001</v>
      </c>
      <c r="I42" s="11" t="s">
        <v>63</v>
      </c>
      <c r="J42" s="72">
        <v>10419059</v>
      </c>
      <c r="K42" s="99">
        <f>_xlfn.XLOOKUP(_2__ROI_Daily_Update[[#This Row],[CSM id]],SHP!F:F,SHP!EE:EE,"-")</f>
        <v>0</v>
      </c>
      <c r="L42" s="12"/>
      <c r="N42" s="11"/>
      <c r="P42"/>
      <c r="Q42"/>
      <c r="W42" s="28"/>
      <c r="AA42"/>
    </row>
    <row r="43" spans="1:27" x14ac:dyDescent="0.45">
      <c r="A43" s="57">
        <v>1633</v>
      </c>
      <c r="B43" t="s">
        <v>2976</v>
      </c>
      <c r="C43" t="s">
        <v>2977</v>
      </c>
      <c r="D43" s="12">
        <v>46295</v>
      </c>
      <c r="E43" s="11">
        <v>48</v>
      </c>
      <c r="F43" s="11" t="s">
        <v>5916</v>
      </c>
      <c r="G43">
        <v>20260801</v>
      </c>
      <c r="H43" s="12">
        <v>46388</v>
      </c>
      <c r="I43" s="11" t="s">
        <v>63</v>
      </c>
      <c r="J43" s="72">
        <v>10632936</v>
      </c>
      <c r="K43" s="99">
        <f>_xlfn.XLOOKUP(_2__ROI_Daily_Update[[#This Row],[CSM id]],SHP!F:F,SHP!EE:EE,"-")</f>
        <v>0</v>
      </c>
      <c r="L43" s="12"/>
      <c r="N43" s="11"/>
      <c r="P43"/>
      <c r="Q43"/>
      <c r="W43" s="28"/>
      <c r="AA43"/>
    </row>
    <row r="44" spans="1:27" x14ac:dyDescent="0.45">
      <c r="A44" s="57">
        <v>1541</v>
      </c>
      <c r="B44" t="s">
        <v>2771</v>
      </c>
      <c r="C44" t="s">
        <v>2772</v>
      </c>
      <c r="D44" s="12">
        <v>46295</v>
      </c>
      <c r="E44" s="11">
        <v>280</v>
      </c>
      <c r="F44" s="11" t="s">
        <v>5915</v>
      </c>
      <c r="G44">
        <v>20261001</v>
      </c>
      <c r="H44" s="12">
        <v>46388</v>
      </c>
      <c r="I44" s="11" t="s">
        <v>63</v>
      </c>
      <c r="J44" s="72">
        <v>40642707</v>
      </c>
      <c r="K44" s="99">
        <f>_xlfn.XLOOKUP(_2__ROI_Daily_Update[[#This Row],[CSM id]],SHP!F:F,SHP!EE:EE,"-")</f>
        <v>0</v>
      </c>
      <c r="L44" s="12"/>
      <c r="N44" s="11"/>
      <c r="P44"/>
      <c r="Q44"/>
      <c r="W44" s="28"/>
      <c r="AA44"/>
    </row>
    <row r="45" spans="1:27" x14ac:dyDescent="0.45">
      <c r="A45" s="57">
        <v>1412</v>
      </c>
      <c r="B45" t="s">
        <v>2146</v>
      </c>
      <c r="C45" t="s">
        <v>2147</v>
      </c>
      <c r="D45" s="12">
        <v>46295</v>
      </c>
      <c r="E45" s="11">
        <v>12</v>
      </c>
      <c r="F45" s="11" t="s">
        <v>5916</v>
      </c>
      <c r="G45">
        <v>20160801</v>
      </c>
      <c r="I45" s="11" t="s">
        <v>63</v>
      </c>
      <c r="J45" s="72">
        <v>90324552</v>
      </c>
      <c r="K45" s="99">
        <f>_xlfn.XLOOKUP(_2__ROI_Daily_Update[[#This Row],[CSM id]],SHP!F:F,SHP!EE:EE,"-")</f>
        <v>0</v>
      </c>
      <c r="L45" s="12"/>
      <c r="N45" s="11"/>
      <c r="P45"/>
      <c r="Q45"/>
      <c r="W45" s="28"/>
      <c r="AA45"/>
    </row>
    <row r="46" spans="1:27" x14ac:dyDescent="0.45">
      <c r="A46" s="57">
        <v>1422</v>
      </c>
      <c r="B46" t="s">
        <v>2256</v>
      </c>
      <c r="C46" t="s">
        <v>2257</v>
      </c>
      <c r="D46" s="12">
        <v>46295</v>
      </c>
      <c r="E46" s="11">
        <v>64</v>
      </c>
      <c r="F46" s="11" t="s">
        <v>5916</v>
      </c>
      <c r="G46">
        <v>20191001</v>
      </c>
      <c r="I46" s="11" t="s">
        <v>63</v>
      </c>
      <c r="J46" s="72">
        <v>80422322</v>
      </c>
      <c r="K46" s="99">
        <f>_xlfn.XLOOKUP(_2__ROI_Daily_Update[[#This Row],[CSM id]],SHP!F:F,SHP!EE:EE,"-")</f>
        <v>0</v>
      </c>
      <c r="L46" s="12"/>
      <c r="N46" s="11"/>
      <c r="P46"/>
      <c r="Q46"/>
      <c r="W46" s="28"/>
      <c r="AA46"/>
    </row>
    <row r="47" spans="1:27" x14ac:dyDescent="0.45">
      <c r="A47" s="57">
        <v>1412</v>
      </c>
      <c r="B47" t="s">
        <v>2144</v>
      </c>
      <c r="C47" t="s">
        <v>2145</v>
      </c>
      <c r="D47" s="12">
        <v>46295</v>
      </c>
      <c r="E47" s="11">
        <v>12</v>
      </c>
      <c r="F47" s="11" t="s">
        <v>5916</v>
      </c>
      <c r="G47">
        <v>20220101</v>
      </c>
      <c r="I47" s="11" t="s">
        <v>63</v>
      </c>
      <c r="J47" s="72">
        <v>80484254</v>
      </c>
      <c r="K47" s="99">
        <f>_xlfn.XLOOKUP(_2__ROI_Daily_Update[[#This Row],[CSM id]],SHP!F:F,SHP!EE:EE,"-")</f>
        <v>0</v>
      </c>
      <c r="L47" s="12"/>
      <c r="N47" s="11"/>
      <c r="P47"/>
      <c r="Q47"/>
      <c r="W47" s="28"/>
      <c r="AA47"/>
    </row>
    <row r="48" spans="1:27" x14ac:dyDescent="0.45">
      <c r="A48" s="57">
        <v>1511</v>
      </c>
      <c r="B48" t="s">
        <v>2562</v>
      </c>
      <c r="C48" t="s">
        <v>2563</v>
      </c>
      <c r="D48" s="12">
        <v>46295</v>
      </c>
      <c r="E48" s="11">
        <v>144</v>
      </c>
      <c r="F48" s="11" t="s">
        <v>5915</v>
      </c>
      <c r="G48">
        <v>20251001</v>
      </c>
      <c r="I48" s="11" t="s">
        <v>63</v>
      </c>
      <c r="J48" s="72">
        <v>40609736</v>
      </c>
      <c r="K48" s="99">
        <f>_xlfn.XLOOKUP(_2__ROI_Daily_Update[[#This Row],[CSM id]],SHP!F:F,SHP!EE:EE,"-")</f>
        <v>0</v>
      </c>
      <c r="L48" s="12"/>
      <c r="N48" s="11"/>
      <c r="P48"/>
      <c r="Q48"/>
      <c r="W48" s="28"/>
      <c r="AA48"/>
    </row>
    <row r="49" spans="1:27" x14ac:dyDescent="0.45">
      <c r="A49" s="57">
        <v>1511</v>
      </c>
      <c r="B49" t="s">
        <v>2564</v>
      </c>
      <c r="C49" t="s">
        <v>2565</v>
      </c>
      <c r="D49" s="12">
        <v>46295</v>
      </c>
      <c r="E49" s="11">
        <v>36</v>
      </c>
      <c r="F49" s="11" t="s">
        <v>5916</v>
      </c>
      <c r="G49">
        <v>20260701</v>
      </c>
      <c r="I49" s="11" t="s">
        <v>63</v>
      </c>
      <c r="J49" s="72">
        <v>40631488</v>
      </c>
      <c r="K49" s="99">
        <f>_xlfn.XLOOKUP(_2__ROI_Daily_Update[[#This Row],[CSM id]],SHP!F:F,SHP!EE:EE,"-")</f>
        <v>0</v>
      </c>
      <c r="L49" s="12"/>
      <c r="N49" s="11"/>
      <c r="P49"/>
      <c r="Q49"/>
      <c r="W49" s="28"/>
      <c r="AA49"/>
    </row>
    <row r="50" spans="1:27" x14ac:dyDescent="0.45">
      <c r="A50" s="57">
        <v>1412</v>
      </c>
      <c r="B50" t="s">
        <v>2142</v>
      </c>
      <c r="C50" t="s">
        <v>2143</v>
      </c>
      <c r="D50" s="12">
        <v>46295</v>
      </c>
      <c r="E50" s="11">
        <v>224</v>
      </c>
      <c r="F50" s="11" t="s">
        <v>5916</v>
      </c>
      <c r="G50">
        <v>20260701</v>
      </c>
      <c r="I50" s="11" t="s">
        <v>63</v>
      </c>
      <c r="J50" s="72">
        <v>70609476</v>
      </c>
      <c r="K50" s="99">
        <f>_xlfn.XLOOKUP(_2__ROI_Daily_Update[[#This Row],[CSM id]],SHP!F:F,SHP!EE:EE,"-")</f>
        <v>0</v>
      </c>
      <c r="L50" s="12"/>
      <c r="N50" s="11"/>
      <c r="P50"/>
      <c r="Q50"/>
      <c r="W50" s="28"/>
      <c r="AA50"/>
    </row>
    <row r="51" spans="1:27" x14ac:dyDescent="0.45">
      <c r="A51" s="57">
        <v>1511</v>
      </c>
      <c r="B51" t="s">
        <v>2568</v>
      </c>
      <c r="C51" t="s">
        <v>2569</v>
      </c>
      <c r="D51" s="12">
        <v>46295</v>
      </c>
      <c r="E51" s="11">
        <v>60</v>
      </c>
      <c r="F51" s="11" t="s">
        <v>5916</v>
      </c>
      <c r="G51">
        <v>20250701</v>
      </c>
      <c r="I51" s="11" t="s">
        <v>63</v>
      </c>
      <c r="J51" s="72">
        <v>50600434</v>
      </c>
      <c r="K51" s="99">
        <f>_xlfn.XLOOKUP(_2__ROI_Daily_Update[[#This Row],[CSM id]],SHP!F:F,SHP!EE:EE,"-")</f>
        <v>0</v>
      </c>
      <c r="L51" s="12"/>
      <c r="N51" s="11"/>
      <c r="P51"/>
      <c r="Q51"/>
      <c r="W51" s="28"/>
      <c r="AA51"/>
    </row>
    <row r="52" spans="1:27" x14ac:dyDescent="0.45">
      <c r="A52" s="57">
        <v>1821</v>
      </c>
      <c r="B52" t="s">
        <v>3550</v>
      </c>
      <c r="C52" t="s">
        <v>3551</v>
      </c>
      <c r="D52" s="12">
        <v>46295</v>
      </c>
      <c r="E52" s="11">
        <v>28</v>
      </c>
      <c r="F52" s="11" t="s">
        <v>5915</v>
      </c>
      <c r="G52">
        <v>20240101</v>
      </c>
      <c r="H52" s="12">
        <v>46478</v>
      </c>
      <c r="I52" s="11" t="s">
        <v>63</v>
      </c>
      <c r="J52" s="72">
        <v>70569927</v>
      </c>
      <c r="K52" s="99">
        <f>_xlfn.XLOOKUP(_2__ROI_Daily_Update[[#This Row],[CSM id]],SHP!F:F,SHP!EE:EE,"-")</f>
        <v>0</v>
      </c>
      <c r="L52" s="12"/>
      <c r="N52" s="11"/>
      <c r="P52"/>
      <c r="Q52"/>
      <c r="W52" s="28"/>
      <c r="AA52"/>
    </row>
    <row r="53" spans="1:27" x14ac:dyDescent="0.45">
      <c r="A53" s="57">
        <v>1422</v>
      </c>
      <c r="B53" t="s">
        <v>2266</v>
      </c>
      <c r="C53" t="s">
        <v>2267</v>
      </c>
      <c r="D53" s="12">
        <v>46295</v>
      </c>
      <c r="E53" s="11">
        <v>240</v>
      </c>
      <c r="F53" s="11" t="s">
        <v>5916</v>
      </c>
      <c r="G53">
        <v>20261001</v>
      </c>
      <c r="I53" s="11" t="s">
        <v>63</v>
      </c>
      <c r="J53" s="72">
        <v>90633734</v>
      </c>
      <c r="K53" s="99">
        <f>_xlfn.XLOOKUP(_2__ROI_Daily_Update[[#This Row],[CSM id]],SHP!F:F,SHP!EE:EE,"-")</f>
        <v>0</v>
      </c>
      <c r="L53" s="12"/>
      <c r="N53" s="11"/>
      <c r="P53"/>
      <c r="Q53"/>
      <c r="W53" s="28"/>
      <c r="AA53"/>
    </row>
    <row r="54" spans="1:27" x14ac:dyDescent="0.45">
      <c r="A54" s="57">
        <v>1424</v>
      </c>
      <c r="B54" t="s">
        <v>2318</v>
      </c>
      <c r="C54" t="s">
        <v>2319</v>
      </c>
      <c r="D54" s="12">
        <v>46295</v>
      </c>
      <c r="E54" s="11">
        <v>480</v>
      </c>
      <c r="F54" s="11" t="s">
        <v>5915</v>
      </c>
      <c r="G54">
        <v>20220701</v>
      </c>
      <c r="I54" s="11" t="s">
        <v>63</v>
      </c>
      <c r="J54" s="72">
        <v>90515165</v>
      </c>
      <c r="K54" s="99">
        <f>_xlfn.XLOOKUP(_2__ROI_Daily_Update[[#This Row],[CSM id]],SHP!F:F,SHP!EE:EE,"-")</f>
        <v>0</v>
      </c>
      <c r="L54" s="12"/>
      <c r="N54" s="11"/>
      <c r="P54"/>
      <c r="Q54"/>
      <c r="W54" s="28"/>
      <c r="AA54"/>
    </row>
    <row r="55" spans="1:27" x14ac:dyDescent="0.45">
      <c r="A55" s="57">
        <v>1511</v>
      </c>
      <c r="B55" t="s">
        <v>2550</v>
      </c>
      <c r="C55" t="s">
        <v>2551</v>
      </c>
      <c r="D55" s="12">
        <v>46295</v>
      </c>
      <c r="E55" s="11">
        <v>196</v>
      </c>
      <c r="F55" s="11" t="s">
        <v>5915</v>
      </c>
      <c r="G55">
        <v>20251001</v>
      </c>
      <c r="I55" s="11" t="s">
        <v>63</v>
      </c>
      <c r="J55" s="72">
        <v>30609732</v>
      </c>
      <c r="K55" s="99">
        <f>_xlfn.XLOOKUP(_2__ROI_Daily_Update[[#This Row],[CSM id]],SHP!F:F,SHP!EE:EE,"-")</f>
        <v>0</v>
      </c>
      <c r="L55" s="12"/>
      <c r="N55" s="11"/>
      <c r="P55"/>
      <c r="Q55"/>
      <c r="W55" s="28"/>
      <c r="AA55"/>
    </row>
    <row r="56" spans="1:27" x14ac:dyDescent="0.45">
      <c r="A56" s="57">
        <v>1424</v>
      </c>
      <c r="B56" t="s">
        <v>2310</v>
      </c>
      <c r="C56" t="s">
        <v>2311</v>
      </c>
      <c r="D56" s="12">
        <v>46295</v>
      </c>
      <c r="E56" s="11">
        <v>30</v>
      </c>
      <c r="F56" s="11" t="s">
        <v>5916</v>
      </c>
      <c r="G56">
        <v>20141201</v>
      </c>
      <c r="I56" s="11" t="s">
        <v>63</v>
      </c>
      <c r="J56" s="72">
        <v>40233427</v>
      </c>
      <c r="K56" s="99">
        <f>_xlfn.XLOOKUP(_2__ROI_Daily_Update[[#This Row],[CSM id]],SHP!F:F,SHP!EE:EE,"-")</f>
        <v>0</v>
      </c>
      <c r="L56" s="12"/>
      <c r="N56" s="11"/>
      <c r="P56"/>
      <c r="Q56"/>
      <c r="W56" s="28"/>
      <c r="AA56"/>
    </row>
    <row r="57" spans="1:27" x14ac:dyDescent="0.45">
      <c r="A57" s="57">
        <v>1511</v>
      </c>
      <c r="B57" t="s">
        <v>2640</v>
      </c>
      <c r="C57" t="s">
        <v>2641</v>
      </c>
      <c r="D57" s="12">
        <v>46295</v>
      </c>
      <c r="E57" s="11">
        <v>48</v>
      </c>
      <c r="F57" s="11" t="s">
        <v>5915</v>
      </c>
      <c r="G57">
        <v>20261001</v>
      </c>
      <c r="I57" s="11" t="s">
        <v>63</v>
      </c>
      <c r="J57" s="72">
        <v>90636558</v>
      </c>
      <c r="K57" s="99">
        <f>_xlfn.XLOOKUP(_2__ROI_Daily_Update[[#This Row],[CSM id]],SHP!F:F,SHP!EE:EE,"-")</f>
        <v>0</v>
      </c>
      <c r="L57" s="12"/>
      <c r="N57" s="11"/>
      <c r="P57"/>
      <c r="Q57"/>
      <c r="W57" s="28"/>
      <c r="AA57"/>
    </row>
    <row r="58" spans="1:27" x14ac:dyDescent="0.45">
      <c r="A58" s="57">
        <v>1552</v>
      </c>
      <c r="B58" t="s">
        <v>2841</v>
      </c>
      <c r="C58" t="s">
        <v>2842</v>
      </c>
      <c r="D58" s="12">
        <v>46295</v>
      </c>
      <c r="E58" s="11">
        <v>48</v>
      </c>
      <c r="F58" s="11" t="s">
        <v>5916</v>
      </c>
      <c r="G58">
        <v>20150401</v>
      </c>
      <c r="I58" s="11" t="s">
        <v>63</v>
      </c>
      <c r="J58" s="72">
        <v>60297847</v>
      </c>
      <c r="K58" s="99">
        <f>_xlfn.XLOOKUP(_2__ROI_Daily_Update[[#This Row],[CSM id]],SHP!F:F,SHP!EE:EE,"-")</f>
        <v>0</v>
      </c>
      <c r="L58" s="12"/>
      <c r="N58" s="11"/>
      <c r="P58"/>
      <c r="Q58"/>
      <c r="W58" s="28"/>
      <c r="AA58"/>
    </row>
    <row r="59" spans="1:27" x14ac:dyDescent="0.45">
      <c r="A59" s="57">
        <v>1511</v>
      </c>
      <c r="B59" t="s">
        <v>2616</v>
      </c>
      <c r="C59" t="s">
        <v>2617</v>
      </c>
      <c r="D59" s="12">
        <v>46295</v>
      </c>
      <c r="E59" s="11">
        <v>8</v>
      </c>
      <c r="F59" s="11" t="s">
        <v>5915</v>
      </c>
      <c r="G59">
        <v>20260401</v>
      </c>
      <c r="H59" s="12">
        <v>46478</v>
      </c>
      <c r="I59" s="11" t="s">
        <v>63</v>
      </c>
      <c r="J59" s="72">
        <v>70614294</v>
      </c>
      <c r="K59" s="99">
        <f>_xlfn.XLOOKUP(_2__ROI_Daily_Update[[#This Row],[CSM id]],SHP!F:F,SHP!EE:EE,"-")</f>
        <v>0</v>
      </c>
      <c r="L59" s="12"/>
      <c r="N59" s="11"/>
      <c r="P59"/>
      <c r="Q59"/>
      <c r="W59" s="28"/>
      <c r="AA59"/>
    </row>
    <row r="60" spans="1:27" x14ac:dyDescent="0.45">
      <c r="A60" s="57">
        <v>1511</v>
      </c>
      <c r="B60" t="s">
        <v>2632</v>
      </c>
      <c r="C60" t="s">
        <v>2633</v>
      </c>
      <c r="D60" s="12">
        <v>46295</v>
      </c>
      <c r="E60" s="11">
        <v>238</v>
      </c>
      <c r="F60" s="11" t="s">
        <v>5916</v>
      </c>
      <c r="G60">
        <v>20251001</v>
      </c>
      <c r="I60" s="11" t="s">
        <v>63</v>
      </c>
      <c r="J60" s="72">
        <v>90607805</v>
      </c>
      <c r="K60" s="99">
        <f>_xlfn.XLOOKUP(_2__ROI_Daily_Update[[#This Row],[CSM id]],SHP!F:F,SHP!EE:EE,"-")</f>
        <v>0</v>
      </c>
      <c r="L60" s="12"/>
      <c r="N60" s="11"/>
      <c r="P60"/>
      <c r="Q60"/>
      <c r="W60" s="28"/>
      <c r="AA60"/>
    </row>
    <row r="61" spans="1:27" x14ac:dyDescent="0.45">
      <c r="A61" s="57">
        <v>1423</v>
      </c>
      <c r="B61" t="s">
        <v>2286</v>
      </c>
      <c r="C61" t="s">
        <v>2287</v>
      </c>
      <c r="D61" s="12">
        <v>46295</v>
      </c>
      <c r="E61" s="11">
        <v>88</v>
      </c>
      <c r="F61" s="11" t="s">
        <v>5916</v>
      </c>
      <c r="G61">
        <v>20250701</v>
      </c>
      <c r="I61" s="11" t="s">
        <v>63</v>
      </c>
      <c r="J61" s="72">
        <v>60606652</v>
      </c>
      <c r="K61" s="99">
        <f>_xlfn.XLOOKUP(_2__ROI_Daily_Update[[#This Row],[CSM id]],SHP!F:F,SHP!EE:EE,"-")</f>
        <v>0</v>
      </c>
      <c r="L61" s="12"/>
      <c r="N61" s="11"/>
      <c r="P61"/>
      <c r="Q61"/>
      <c r="W61" s="28"/>
      <c r="AA61"/>
    </row>
    <row r="62" spans="1:27" x14ac:dyDescent="0.45">
      <c r="A62" s="57">
        <v>1552</v>
      </c>
      <c r="B62" t="s">
        <v>2837</v>
      </c>
      <c r="C62" t="s">
        <v>2838</v>
      </c>
      <c r="D62" s="12">
        <v>46295</v>
      </c>
      <c r="E62" s="11">
        <v>48</v>
      </c>
      <c r="F62" s="11" t="s">
        <v>5916</v>
      </c>
      <c r="G62">
        <v>20180401</v>
      </c>
      <c r="I62" s="11" t="s">
        <v>63</v>
      </c>
      <c r="J62" s="72">
        <v>10360233</v>
      </c>
      <c r="K62" s="99">
        <f>_xlfn.XLOOKUP(_2__ROI_Daily_Update[[#This Row],[CSM id]],SHP!F:F,SHP!EE:EE,"-")</f>
        <v>0</v>
      </c>
      <c r="L62" s="12"/>
      <c r="N62" s="11"/>
      <c r="P62"/>
      <c r="Q62"/>
      <c r="W62" s="28"/>
      <c r="AA62"/>
    </row>
    <row r="63" spans="1:27" x14ac:dyDescent="0.45">
      <c r="A63" s="57">
        <v>1551</v>
      </c>
      <c r="B63" t="s">
        <v>2835</v>
      </c>
      <c r="C63" t="s">
        <v>2836</v>
      </c>
      <c r="D63" s="12">
        <v>46295</v>
      </c>
      <c r="E63" s="11">
        <v>80</v>
      </c>
      <c r="F63" s="11" t="s">
        <v>5916</v>
      </c>
      <c r="G63">
        <v>20260101</v>
      </c>
      <c r="H63" s="12">
        <v>46753</v>
      </c>
      <c r="I63" s="11" t="s">
        <v>63</v>
      </c>
      <c r="J63" s="72">
        <v>90615103</v>
      </c>
      <c r="K63" s="99">
        <f>_xlfn.XLOOKUP(_2__ROI_Daily_Update[[#This Row],[CSM id]],SHP!F:F,SHP!EE:EE,"-")</f>
        <v>0</v>
      </c>
      <c r="L63" s="12"/>
      <c r="N63" s="11"/>
      <c r="P63"/>
      <c r="Q63"/>
      <c r="W63" s="28"/>
      <c r="AA63"/>
    </row>
    <row r="64" spans="1:27" x14ac:dyDescent="0.45">
      <c r="A64" s="57">
        <v>1551</v>
      </c>
      <c r="B64" t="s">
        <v>2815</v>
      </c>
      <c r="C64" t="s">
        <v>2816</v>
      </c>
      <c r="D64" s="12">
        <v>46295</v>
      </c>
      <c r="E64" s="11">
        <v>72</v>
      </c>
      <c r="F64" s="11" t="s">
        <v>5916</v>
      </c>
      <c r="G64">
        <v>20260701</v>
      </c>
      <c r="I64" s="11" t="s">
        <v>63</v>
      </c>
      <c r="J64" s="72">
        <v>40635504</v>
      </c>
      <c r="K64" s="99">
        <f>_xlfn.XLOOKUP(_2__ROI_Daily_Update[[#This Row],[CSM id]],SHP!F:F,SHP!EE:EE,"-")</f>
        <v>0</v>
      </c>
      <c r="L64" s="12"/>
      <c r="N64" s="11"/>
      <c r="P64"/>
      <c r="Q64"/>
      <c r="W64" s="28"/>
      <c r="AA64"/>
    </row>
    <row r="65" spans="1:27" x14ac:dyDescent="0.45">
      <c r="A65" s="57">
        <v>1552</v>
      </c>
      <c r="B65" t="s">
        <v>2843</v>
      </c>
      <c r="C65" t="s">
        <v>2844</v>
      </c>
      <c r="D65" s="12">
        <v>46295</v>
      </c>
      <c r="E65" s="11">
        <v>32</v>
      </c>
      <c r="F65" s="11" t="s">
        <v>5916</v>
      </c>
      <c r="G65">
        <v>20141201</v>
      </c>
      <c r="I65" s="11" t="s">
        <v>63</v>
      </c>
      <c r="J65" s="72">
        <v>70163215</v>
      </c>
      <c r="K65" s="99">
        <f>_xlfn.XLOOKUP(_2__ROI_Daily_Update[[#This Row],[CSM id]],SHP!F:F,SHP!EE:EE,"-")</f>
        <v>0</v>
      </c>
      <c r="L65" s="12"/>
      <c r="N65" s="11"/>
      <c r="P65"/>
      <c r="Q65"/>
      <c r="W65" s="28"/>
      <c r="AA65"/>
    </row>
    <row r="66" spans="1:27" x14ac:dyDescent="0.45">
      <c r="A66" s="57">
        <v>1551</v>
      </c>
      <c r="B66" t="s">
        <v>2833</v>
      </c>
      <c r="C66" t="s">
        <v>2834</v>
      </c>
      <c r="D66" s="12">
        <v>46295</v>
      </c>
      <c r="E66" s="11">
        <v>90</v>
      </c>
      <c r="F66" s="11" t="s">
        <v>5916</v>
      </c>
      <c r="G66">
        <v>20251001</v>
      </c>
      <c r="I66" s="11" t="s">
        <v>63</v>
      </c>
      <c r="J66" s="72">
        <v>90603690</v>
      </c>
      <c r="K66" s="99">
        <f>_xlfn.XLOOKUP(_2__ROI_Daily_Update[[#This Row],[CSM id]],SHP!F:F,SHP!EE:EE,"-")</f>
        <v>0</v>
      </c>
      <c r="L66" s="12"/>
      <c r="N66" s="11"/>
      <c r="P66"/>
      <c r="Q66"/>
      <c r="W66" s="28"/>
      <c r="AA66"/>
    </row>
    <row r="67" spans="1:27" x14ac:dyDescent="0.45">
      <c r="A67" s="57">
        <v>1551</v>
      </c>
      <c r="B67" t="s">
        <v>2831</v>
      </c>
      <c r="C67" t="s">
        <v>2832</v>
      </c>
      <c r="D67" s="12">
        <v>46295</v>
      </c>
      <c r="E67" s="11">
        <v>16</v>
      </c>
      <c r="F67" s="11" t="s">
        <v>5915</v>
      </c>
      <c r="G67">
        <v>20261001</v>
      </c>
      <c r="H67" s="12">
        <v>46478</v>
      </c>
      <c r="I67" s="11" t="s">
        <v>63</v>
      </c>
      <c r="J67" s="72">
        <v>80638398</v>
      </c>
      <c r="K67" s="99">
        <f>_xlfn.XLOOKUP(_2__ROI_Daily_Update[[#This Row],[CSM id]],SHP!F:F,SHP!EE:EE,"-")</f>
        <v>0</v>
      </c>
      <c r="L67" s="12"/>
      <c r="N67" s="11"/>
      <c r="P67"/>
      <c r="Q67"/>
      <c r="W67" s="28"/>
      <c r="AA67"/>
    </row>
    <row r="68" spans="1:27" x14ac:dyDescent="0.45">
      <c r="A68" s="57">
        <v>1551</v>
      </c>
      <c r="B68" t="s">
        <v>2829</v>
      </c>
      <c r="C68" t="s">
        <v>2830</v>
      </c>
      <c r="D68" s="12">
        <v>46295</v>
      </c>
      <c r="E68" s="11">
        <v>80</v>
      </c>
      <c r="F68" s="11" t="s">
        <v>5916</v>
      </c>
      <c r="G68">
        <v>20261001</v>
      </c>
      <c r="I68" s="11" t="s">
        <v>63</v>
      </c>
      <c r="J68" s="72">
        <v>80635502</v>
      </c>
      <c r="K68" s="99">
        <f>_xlfn.XLOOKUP(_2__ROI_Daily_Update[[#This Row],[CSM id]],SHP!F:F,SHP!EE:EE,"-")</f>
        <v>0</v>
      </c>
      <c r="L68" s="12"/>
      <c r="N68" s="11"/>
      <c r="P68"/>
      <c r="Q68"/>
      <c r="W68" s="28"/>
      <c r="AA68"/>
    </row>
    <row r="69" spans="1:27" x14ac:dyDescent="0.45">
      <c r="A69" s="57">
        <v>1412</v>
      </c>
      <c r="B69" t="s">
        <v>2118</v>
      </c>
      <c r="C69" t="s">
        <v>2119</v>
      </c>
      <c r="D69" s="12">
        <v>46295</v>
      </c>
      <c r="E69" s="11">
        <v>240</v>
      </c>
      <c r="F69" s="11" t="s">
        <v>5916</v>
      </c>
      <c r="G69">
        <v>20250101</v>
      </c>
      <c r="I69" s="11" t="s">
        <v>63</v>
      </c>
      <c r="J69" s="72">
        <v>10587175</v>
      </c>
      <c r="K69" s="99">
        <f>_xlfn.XLOOKUP(_2__ROI_Daily_Update[[#This Row],[CSM id]],SHP!F:F,SHP!EE:EE,"-")</f>
        <v>0</v>
      </c>
      <c r="L69" s="12"/>
      <c r="N69" s="11"/>
      <c r="P69"/>
      <c r="Q69"/>
      <c r="W69" s="28"/>
      <c r="AA69"/>
    </row>
    <row r="70" spans="1:27" x14ac:dyDescent="0.45">
      <c r="A70" s="57">
        <v>1551</v>
      </c>
      <c r="B70" t="s">
        <v>2825</v>
      </c>
      <c r="C70" t="s">
        <v>2826</v>
      </c>
      <c r="D70" s="12">
        <v>46295</v>
      </c>
      <c r="E70" s="11">
        <v>72</v>
      </c>
      <c r="F70" s="11" t="s">
        <v>5916</v>
      </c>
      <c r="G70">
        <v>20260101</v>
      </c>
      <c r="I70" s="11" t="s">
        <v>63</v>
      </c>
      <c r="J70" s="72">
        <v>70615095</v>
      </c>
      <c r="K70" s="99">
        <f>_xlfn.XLOOKUP(_2__ROI_Daily_Update[[#This Row],[CSM id]],SHP!F:F,SHP!EE:EE,"-")</f>
        <v>0</v>
      </c>
      <c r="L70" s="12"/>
      <c r="N70" s="11"/>
      <c r="P70"/>
      <c r="Q70"/>
      <c r="W70" s="28"/>
      <c r="AA70"/>
    </row>
    <row r="71" spans="1:27" x14ac:dyDescent="0.45">
      <c r="A71" s="57">
        <v>1423</v>
      </c>
      <c r="B71" t="s">
        <v>2272</v>
      </c>
      <c r="C71" t="s">
        <v>2273</v>
      </c>
      <c r="D71" s="12">
        <v>46295</v>
      </c>
      <c r="E71" s="11">
        <v>30</v>
      </c>
      <c r="F71" s="11" t="s">
        <v>5916</v>
      </c>
      <c r="G71">
        <v>20220701</v>
      </c>
      <c r="H71" s="12">
        <v>46388</v>
      </c>
      <c r="I71" s="11" t="s">
        <v>63</v>
      </c>
      <c r="J71" s="72">
        <v>10521943</v>
      </c>
      <c r="K71" s="99">
        <f>_xlfn.XLOOKUP(_2__ROI_Daily_Update[[#This Row],[CSM id]],SHP!F:F,SHP!EE:EE,"-")</f>
        <v>0</v>
      </c>
      <c r="L71" s="12"/>
      <c r="N71" s="11"/>
      <c r="P71"/>
      <c r="Q71"/>
      <c r="W71" s="28"/>
      <c r="AA71"/>
    </row>
    <row r="72" spans="1:27" x14ac:dyDescent="0.45">
      <c r="A72" s="57">
        <v>1551</v>
      </c>
      <c r="B72" t="s">
        <v>2821</v>
      </c>
      <c r="C72" t="s">
        <v>2822</v>
      </c>
      <c r="D72" s="12">
        <v>46295</v>
      </c>
      <c r="E72" s="11">
        <v>72</v>
      </c>
      <c r="F72" s="11" t="s">
        <v>5915</v>
      </c>
      <c r="G72">
        <v>20260801</v>
      </c>
      <c r="H72" s="12">
        <v>46388</v>
      </c>
      <c r="I72" s="11" t="s">
        <v>63</v>
      </c>
      <c r="J72" s="72">
        <v>60632321</v>
      </c>
      <c r="K72" s="99">
        <f>_xlfn.XLOOKUP(_2__ROI_Daily_Update[[#This Row],[CSM id]],SHP!F:F,SHP!EE:EE,"-")</f>
        <v>0</v>
      </c>
      <c r="L72" s="12"/>
      <c r="N72" s="11"/>
      <c r="P72"/>
      <c r="Q72"/>
      <c r="W72" s="28"/>
      <c r="AA72"/>
    </row>
    <row r="73" spans="1:27" x14ac:dyDescent="0.45">
      <c r="A73" s="57">
        <v>1511</v>
      </c>
      <c r="B73" t="s">
        <v>2626</v>
      </c>
      <c r="C73" t="s">
        <v>2627</v>
      </c>
      <c r="D73" s="12">
        <v>46295</v>
      </c>
      <c r="E73" s="11">
        <v>32</v>
      </c>
      <c r="F73" s="11" t="s">
        <v>5916</v>
      </c>
      <c r="G73">
        <v>20260701</v>
      </c>
      <c r="I73" s="11" t="s">
        <v>63</v>
      </c>
      <c r="J73" s="72">
        <v>80609782</v>
      </c>
      <c r="K73" s="99">
        <f>_xlfn.XLOOKUP(_2__ROI_Daily_Update[[#This Row],[CSM id]],SHP!F:F,SHP!EE:EE,"-")</f>
        <v>0</v>
      </c>
      <c r="L73" s="12"/>
      <c r="N73" s="11"/>
      <c r="P73"/>
      <c r="Q73"/>
      <c r="W73" s="28"/>
      <c r="AA73"/>
    </row>
    <row r="74" spans="1:27" x14ac:dyDescent="0.45">
      <c r="A74" s="57">
        <v>1422</v>
      </c>
      <c r="B74" t="s">
        <v>2264</v>
      </c>
      <c r="C74" t="s">
        <v>2265</v>
      </c>
      <c r="D74" s="12">
        <v>46295</v>
      </c>
      <c r="E74" s="11">
        <v>32</v>
      </c>
      <c r="F74" s="11" t="s">
        <v>5916</v>
      </c>
      <c r="G74">
        <v>20231001</v>
      </c>
      <c r="I74" s="11" t="s">
        <v>63</v>
      </c>
      <c r="J74" s="72">
        <v>90561713</v>
      </c>
      <c r="K74" s="99">
        <f>_xlfn.XLOOKUP(_2__ROI_Daily_Update[[#This Row],[CSM id]],SHP!F:F,SHP!EE:EE,"-")</f>
        <v>0</v>
      </c>
      <c r="L74" s="12"/>
      <c r="N74" s="11"/>
      <c r="P74"/>
      <c r="Q74"/>
      <c r="W74" s="28"/>
      <c r="AA74"/>
    </row>
    <row r="75" spans="1:27" x14ac:dyDescent="0.45">
      <c r="A75" s="57">
        <v>1412</v>
      </c>
      <c r="B75" t="s">
        <v>2128</v>
      </c>
      <c r="C75" t="s">
        <v>2129</v>
      </c>
      <c r="D75" s="12">
        <v>46295</v>
      </c>
      <c r="E75" s="11">
        <v>225</v>
      </c>
      <c r="F75" s="11" t="s">
        <v>5916</v>
      </c>
      <c r="G75">
        <v>20241001</v>
      </c>
      <c r="I75" s="11" t="s">
        <v>63</v>
      </c>
      <c r="J75" s="72">
        <v>30587909</v>
      </c>
      <c r="K75" s="99">
        <f>_xlfn.XLOOKUP(_2__ROI_Daily_Update[[#This Row],[CSM id]],SHP!F:F,SHP!EE:EE,"-")</f>
        <v>0</v>
      </c>
      <c r="L75" s="12"/>
      <c r="N75" s="11"/>
      <c r="P75"/>
      <c r="Q75"/>
      <c r="W75" s="28"/>
      <c r="AA75"/>
    </row>
    <row r="76" spans="1:27" x14ac:dyDescent="0.45">
      <c r="A76" s="57">
        <v>1552</v>
      </c>
      <c r="B76" t="s">
        <v>2845</v>
      </c>
      <c r="C76" t="s">
        <v>2846</v>
      </c>
      <c r="D76" s="12">
        <v>46295</v>
      </c>
      <c r="E76" s="11">
        <v>96</v>
      </c>
      <c r="F76" s="11" t="s">
        <v>5916</v>
      </c>
      <c r="G76">
        <v>20141201</v>
      </c>
      <c r="I76" s="11" t="s">
        <v>63</v>
      </c>
      <c r="J76" s="72">
        <v>80241388</v>
      </c>
      <c r="K76" s="99">
        <f>_xlfn.XLOOKUP(_2__ROI_Daily_Update[[#This Row],[CSM id]],SHP!F:F,SHP!EE:EE,"-")</f>
        <v>0</v>
      </c>
      <c r="L76" s="12"/>
      <c r="N76" s="11"/>
      <c r="P76"/>
      <c r="Q76"/>
      <c r="W76" s="28"/>
      <c r="AA76"/>
    </row>
    <row r="77" spans="1:27" x14ac:dyDescent="0.45">
      <c r="A77" s="57">
        <v>1551</v>
      </c>
      <c r="B77" t="s">
        <v>2807</v>
      </c>
      <c r="C77" t="s">
        <v>2808</v>
      </c>
      <c r="D77" s="12">
        <v>46295</v>
      </c>
      <c r="E77" s="11">
        <v>150</v>
      </c>
      <c r="F77" s="11" t="s">
        <v>5916</v>
      </c>
      <c r="G77">
        <v>20260101</v>
      </c>
      <c r="I77" s="11" t="s">
        <v>63</v>
      </c>
      <c r="J77" s="72">
        <v>20603684</v>
      </c>
      <c r="K77" s="99">
        <f>_xlfn.XLOOKUP(_2__ROI_Daily_Update[[#This Row],[CSM id]],SHP!F:F,SHP!EE:EE,"-")</f>
        <v>0</v>
      </c>
      <c r="L77" s="12"/>
      <c r="N77" s="11"/>
      <c r="P77"/>
      <c r="Q77"/>
      <c r="W77" s="28"/>
      <c r="AA77"/>
    </row>
    <row r="78" spans="1:27" x14ac:dyDescent="0.45">
      <c r="A78" s="57">
        <v>1511</v>
      </c>
      <c r="B78" t="s">
        <v>2588</v>
      </c>
      <c r="C78" t="s">
        <v>2589</v>
      </c>
      <c r="D78" s="12">
        <v>46295</v>
      </c>
      <c r="E78" s="11">
        <v>72</v>
      </c>
      <c r="F78" s="11" t="s">
        <v>5915</v>
      </c>
      <c r="G78">
        <v>20251001</v>
      </c>
      <c r="I78" s="11" t="s">
        <v>63</v>
      </c>
      <c r="J78" s="72">
        <v>60608948</v>
      </c>
      <c r="K78" s="99">
        <f>_xlfn.XLOOKUP(_2__ROI_Daily_Update[[#This Row],[CSM id]],SHP!F:F,SHP!EE:EE,"-")</f>
        <v>0</v>
      </c>
      <c r="L78" s="12"/>
      <c r="N78" s="11"/>
      <c r="P78"/>
      <c r="Q78"/>
      <c r="W78" s="28"/>
      <c r="AA78"/>
    </row>
    <row r="79" spans="1:27" x14ac:dyDescent="0.45">
      <c r="A79" s="57">
        <v>1413</v>
      </c>
      <c r="B79" t="s">
        <v>2158</v>
      </c>
      <c r="C79" t="s">
        <v>2159</v>
      </c>
      <c r="D79" s="12">
        <v>46295</v>
      </c>
      <c r="E79" s="11">
        <v>135</v>
      </c>
      <c r="F79" s="11" t="s">
        <v>5916</v>
      </c>
      <c r="G79">
        <v>20141201</v>
      </c>
      <c r="I79" s="11" t="s">
        <v>63</v>
      </c>
      <c r="J79" s="72">
        <v>20174645</v>
      </c>
      <c r="K79" s="99">
        <f>_xlfn.XLOOKUP(_2__ROI_Daily_Update[[#This Row],[CSM id]],SHP!F:F,SHP!EE:EE,"-")</f>
        <v>0</v>
      </c>
      <c r="L79" s="12"/>
      <c r="N79" s="11"/>
      <c r="P79"/>
      <c r="Q79"/>
      <c r="W79" s="28"/>
      <c r="AA79"/>
    </row>
    <row r="80" spans="1:27" x14ac:dyDescent="0.45">
      <c r="A80" s="57">
        <v>1424</v>
      </c>
      <c r="B80" t="s">
        <v>5432</v>
      </c>
      <c r="C80" t="s">
        <v>5433</v>
      </c>
      <c r="D80" s="12">
        <v>46295</v>
      </c>
      <c r="E80" s="11">
        <v>1300</v>
      </c>
      <c r="F80" s="11" t="s">
        <v>5915</v>
      </c>
      <c r="G80">
        <v>20260101</v>
      </c>
      <c r="I80" s="11" t="s">
        <v>63</v>
      </c>
      <c r="J80" s="72">
        <v>30613017</v>
      </c>
      <c r="K80" s="99">
        <f>_xlfn.XLOOKUP(_2__ROI_Daily_Update[[#This Row],[CSM id]],SHP!F:F,SHP!EE:EE,"-")</f>
        <v>0</v>
      </c>
      <c r="L80" s="12"/>
      <c r="N80" s="11"/>
      <c r="P80"/>
      <c r="Q80"/>
      <c r="W80" s="28"/>
      <c r="AA80"/>
    </row>
    <row r="81" spans="1:27" x14ac:dyDescent="0.45">
      <c r="A81" s="57">
        <v>1424</v>
      </c>
      <c r="B81" t="s">
        <v>2308</v>
      </c>
      <c r="C81" t="s">
        <v>2309</v>
      </c>
      <c r="D81" s="12">
        <v>46295</v>
      </c>
      <c r="E81" s="11">
        <v>180</v>
      </c>
      <c r="F81" s="11" t="s">
        <v>5916</v>
      </c>
      <c r="G81">
        <v>20231001</v>
      </c>
      <c r="I81" s="11" t="s">
        <v>63</v>
      </c>
      <c r="J81" s="72">
        <v>20557248</v>
      </c>
      <c r="K81" s="99">
        <f>_xlfn.XLOOKUP(_2__ROI_Daily_Update[[#This Row],[CSM id]],SHP!F:F,SHP!EE:EE,"-")</f>
        <v>0</v>
      </c>
      <c r="L81" s="12"/>
      <c r="N81" s="11"/>
      <c r="P81"/>
      <c r="Q81"/>
      <c r="W81" s="28"/>
      <c r="AA81"/>
    </row>
    <row r="82" spans="1:27" x14ac:dyDescent="0.45">
      <c r="A82" s="57">
        <v>1412</v>
      </c>
      <c r="B82" t="s">
        <v>2134</v>
      </c>
      <c r="C82" t="s">
        <v>2135</v>
      </c>
      <c r="D82" s="12">
        <v>46295</v>
      </c>
      <c r="E82" s="11">
        <v>196</v>
      </c>
      <c r="F82" s="11" t="s">
        <v>5916</v>
      </c>
      <c r="G82">
        <v>20260701</v>
      </c>
      <c r="I82" s="11" t="s">
        <v>63</v>
      </c>
      <c r="J82" s="72">
        <v>60609472</v>
      </c>
      <c r="K82" s="99">
        <f>_xlfn.XLOOKUP(_2__ROI_Daily_Update[[#This Row],[CSM id]],SHP!F:F,SHP!EE:EE,"-")</f>
        <v>0</v>
      </c>
      <c r="L82" s="12"/>
      <c r="N82" s="11"/>
      <c r="P82"/>
      <c r="Q82"/>
      <c r="W82" s="28"/>
      <c r="AA82"/>
    </row>
    <row r="83" spans="1:27" x14ac:dyDescent="0.45">
      <c r="A83" s="57">
        <v>1551</v>
      </c>
      <c r="B83" t="s">
        <v>2799</v>
      </c>
      <c r="C83" t="s">
        <v>2800</v>
      </c>
      <c r="D83" s="12">
        <v>46295</v>
      </c>
      <c r="E83" s="11">
        <v>180</v>
      </c>
      <c r="F83" s="11" t="s">
        <v>5915</v>
      </c>
      <c r="G83">
        <v>20250401</v>
      </c>
      <c r="I83" s="11" t="s">
        <v>63</v>
      </c>
      <c r="J83" s="72">
        <v>601799</v>
      </c>
      <c r="K83" s="99">
        <f>_xlfn.XLOOKUP(_2__ROI_Daily_Update[[#This Row],[CSM id]],SHP!F:F,SHP!EE:EE,"-")</f>
        <v>0</v>
      </c>
      <c r="L83" s="12"/>
      <c r="N83" s="11"/>
      <c r="P83"/>
      <c r="Q83"/>
      <c r="W83" s="28"/>
      <c r="AA83"/>
    </row>
    <row r="84" spans="1:27" x14ac:dyDescent="0.45">
      <c r="A84" s="57">
        <v>1511</v>
      </c>
      <c r="B84" t="s">
        <v>2602</v>
      </c>
      <c r="C84" t="s">
        <v>2603</v>
      </c>
      <c r="D84" s="12">
        <v>46295</v>
      </c>
      <c r="E84" s="11">
        <v>51</v>
      </c>
      <c r="F84" s="11" t="s">
        <v>5916</v>
      </c>
      <c r="G84">
        <v>20260101</v>
      </c>
      <c r="I84" s="11" t="s">
        <v>63</v>
      </c>
      <c r="J84" s="72">
        <v>70600414</v>
      </c>
      <c r="K84" s="99">
        <f>_xlfn.XLOOKUP(_2__ROI_Daily_Update[[#This Row],[CSM id]],SHP!F:F,SHP!EE:EE,"-")</f>
        <v>0</v>
      </c>
      <c r="L84" s="12"/>
      <c r="N84" s="11"/>
      <c r="P84"/>
      <c r="Q84"/>
      <c r="W84" s="28"/>
      <c r="AA84"/>
    </row>
    <row r="85" spans="1:27" x14ac:dyDescent="0.45">
      <c r="A85" s="57">
        <v>1511</v>
      </c>
      <c r="B85" t="s">
        <v>2604</v>
      </c>
      <c r="C85" t="s">
        <v>2605</v>
      </c>
      <c r="D85" s="12">
        <v>46295</v>
      </c>
      <c r="E85" s="11">
        <v>304</v>
      </c>
      <c r="F85" s="11" t="s">
        <v>5916</v>
      </c>
      <c r="G85">
        <v>20251001</v>
      </c>
      <c r="I85" s="11" t="s">
        <v>63</v>
      </c>
      <c r="J85" s="72">
        <v>70607378</v>
      </c>
      <c r="K85" s="99">
        <f>_xlfn.XLOOKUP(_2__ROI_Daily_Update[[#This Row],[CSM id]],SHP!F:F,SHP!EE:EE,"-")</f>
        <v>0</v>
      </c>
      <c r="L85" s="12"/>
      <c r="N85" s="11"/>
      <c r="P85"/>
      <c r="Q85"/>
      <c r="W85" s="28"/>
      <c r="AA85"/>
    </row>
    <row r="86" spans="1:27" x14ac:dyDescent="0.45">
      <c r="A86" s="57">
        <v>1423</v>
      </c>
      <c r="B86" t="s">
        <v>2296</v>
      </c>
      <c r="C86" t="s">
        <v>2297</v>
      </c>
      <c r="D86" s="12">
        <v>46295</v>
      </c>
      <c r="E86" s="11">
        <v>32</v>
      </c>
      <c r="F86" s="11" t="s">
        <v>5916</v>
      </c>
      <c r="G86">
        <v>20250701</v>
      </c>
      <c r="I86" s="11" t="s">
        <v>63</v>
      </c>
      <c r="J86" s="72">
        <v>90602469</v>
      </c>
      <c r="K86" s="99">
        <f>_xlfn.XLOOKUP(_2__ROI_Daily_Update[[#This Row],[CSM id]],SHP!F:F,SHP!EE:EE,"-")</f>
        <v>0</v>
      </c>
      <c r="L86" s="12"/>
      <c r="N86" s="11"/>
      <c r="P86"/>
      <c r="Q86"/>
      <c r="W86" s="28"/>
      <c r="AA86"/>
    </row>
    <row r="87" spans="1:27" x14ac:dyDescent="0.45">
      <c r="A87" s="57">
        <v>1511</v>
      </c>
      <c r="B87" t="s">
        <v>2606</v>
      </c>
      <c r="C87" t="s">
        <v>2607</v>
      </c>
      <c r="D87" s="12">
        <v>46295</v>
      </c>
      <c r="E87" s="11">
        <v>54</v>
      </c>
      <c r="F87" s="11" t="s">
        <v>5915</v>
      </c>
      <c r="G87">
        <v>20251001</v>
      </c>
      <c r="H87" s="12">
        <v>46478</v>
      </c>
      <c r="I87" s="11" t="s">
        <v>63</v>
      </c>
      <c r="J87" s="72">
        <v>70607731</v>
      </c>
      <c r="K87" s="99">
        <f>_xlfn.XLOOKUP(_2__ROI_Daily_Update[[#This Row],[CSM id]],SHP!F:F,SHP!EE:EE,"-")</f>
        <v>0</v>
      </c>
      <c r="L87" s="12"/>
      <c r="N87" s="11"/>
      <c r="P87"/>
      <c r="Q87"/>
      <c r="W87" s="28"/>
      <c r="AA87"/>
    </row>
    <row r="88" spans="1:27" x14ac:dyDescent="0.45">
      <c r="A88" s="57">
        <v>1511</v>
      </c>
      <c r="B88" t="s">
        <v>2608</v>
      </c>
      <c r="C88" t="s">
        <v>2609</v>
      </c>
      <c r="D88" s="12">
        <v>46295</v>
      </c>
      <c r="E88" s="11">
        <v>187</v>
      </c>
      <c r="F88" s="11" t="s">
        <v>5916</v>
      </c>
      <c r="G88">
        <v>20251001</v>
      </c>
      <c r="I88" s="11" t="s">
        <v>63</v>
      </c>
      <c r="J88" s="72">
        <v>70607806</v>
      </c>
      <c r="K88" s="99">
        <f>_xlfn.XLOOKUP(_2__ROI_Daily_Update[[#This Row],[CSM id]],SHP!F:F,SHP!EE:EE,"-")</f>
        <v>0</v>
      </c>
      <c r="L88" s="12"/>
      <c r="N88" s="11"/>
      <c r="P88"/>
      <c r="Q88"/>
      <c r="W88" s="28"/>
      <c r="AA88"/>
    </row>
    <row r="89" spans="1:27" x14ac:dyDescent="0.45">
      <c r="A89" s="57">
        <v>1412</v>
      </c>
      <c r="B89" t="s">
        <v>2132</v>
      </c>
      <c r="C89" t="s">
        <v>2133</v>
      </c>
      <c r="D89" s="12">
        <v>46295</v>
      </c>
      <c r="E89" s="11">
        <v>12</v>
      </c>
      <c r="F89" s="11" t="s">
        <v>5916</v>
      </c>
      <c r="G89">
        <v>20240401</v>
      </c>
      <c r="H89" s="12">
        <v>46569</v>
      </c>
      <c r="I89" s="11" t="s">
        <v>63</v>
      </c>
      <c r="J89" s="72">
        <v>60580096</v>
      </c>
      <c r="K89" s="99">
        <f>_xlfn.XLOOKUP(_2__ROI_Daily_Update[[#This Row],[CSM id]],SHP!F:F,SHP!EE:EE,"-")</f>
        <v>0</v>
      </c>
      <c r="L89" s="12"/>
      <c r="N89" s="11"/>
      <c r="P89"/>
      <c r="Q89"/>
      <c r="W89" s="28"/>
      <c r="AA89"/>
    </row>
    <row r="90" spans="1:27" x14ac:dyDescent="0.45">
      <c r="A90" s="57">
        <v>1511</v>
      </c>
      <c r="B90" t="s">
        <v>2634</v>
      </c>
      <c r="C90" t="s">
        <v>2635</v>
      </c>
      <c r="D90" s="12">
        <v>46295</v>
      </c>
      <c r="E90" s="11">
        <v>51</v>
      </c>
      <c r="F90" s="11" t="s">
        <v>5916</v>
      </c>
      <c r="G90">
        <v>20260701</v>
      </c>
      <c r="I90" s="11" t="s">
        <v>63</v>
      </c>
      <c r="J90" s="72">
        <v>90609791</v>
      </c>
      <c r="K90" s="99">
        <f>_xlfn.XLOOKUP(_2__ROI_Daily_Update[[#This Row],[CSM id]],SHP!F:F,SHP!EE:EE,"-")</f>
        <v>0</v>
      </c>
      <c r="L90" s="12"/>
      <c r="N90" s="11"/>
      <c r="P90"/>
      <c r="Q90"/>
      <c r="W90" s="28"/>
      <c r="AA90"/>
    </row>
    <row r="91" spans="1:27" x14ac:dyDescent="0.45">
      <c r="A91" s="57">
        <v>1423</v>
      </c>
      <c r="B91" t="s">
        <v>2292</v>
      </c>
      <c r="C91" t="s">
        <v>2293</v>
      </c>
      <c r="D91" s="12">
        <v>46295</v>
      </c>
      <c r="E91" s="11">
        <v>40</v>
      </c>
      <c r="F91" s="11" t="s">
        <v>5916</v>
      </c>
      <c r="G91">
        <v>20150401</v>
      </c>
      <c r="I91" s="11" t="s">
        <v>63</v>
      </c>
      <c r="J91" s="72">
        <v>90287936</v>
      </c>
      <c r="K91" s="99">
        <f>_xlfn.XLOOKUP(_2__ROI_Daily_Update[[#This Row],[CSM id]],SHP!F:F,SHP!EE:EE,"-")</f>
        <v>0</v>
      </c>
      <c r="L91" s="12"/>
      <c r="N91" s="11"/>
      <c r="P91"/>
      <c r="Q91"/>
      <c r="W91" s="28"/>
      <c r="AA91"/>
    </row>
    <row r="92" spans="1:27" x14ac:dyDescent="0.45">
      <c r="A92" s="57">
        <v>1511</v>
      </c>
      <c r="B92" t="s">
        <v>2610</v>
      </c>
      <c r="C92" t="s">
        <v>2611</v>
      </c>
      <c r="D92" s="12">
        <v>46295</v>
      </c>
      <c r="E92" s="11">
        <v>336</v>
      </c>
      <c r="F92" s="11" t="s">
        <v>5916</v>
      </c>
      <c r="G92">
        <v>20251001</v>
      </c>
      <c r="I92" s="11" t="s">
        <v>63</v>
      </c>
      <c r="J92" s="72">
        <v>70607811</v>
      </c>
      <c r="K92" s="99">
        <f>_xlfn.XLOOKUP(_2__ROI_Daily_Update[[#This Row],[CSM id]],SHP!F:F,SHP!EE:EE,"-")</f>
        <v>0</v>
      </c>
      <c r="L92" s="12"/>
      <c r="N92" s="11"/>
      <c r="P92"/>
      <c r="Q92"/>
      <c r="W92" s="28"/>
      <c r="AA92"/>
    </row>
    <row r="93" spans="1:27" x14ac:dyDescent="0.45">
      <c r="A93" s="57">
        <v>1411</v>
      </c>
      <c r="B93" t="s">
        <v>2086</v>
      </c>
      <c r="C93" t="s">
        <v>2087</v>
      </c>
      <c r="D93" s="12">
        <v>46295</v>
      </c>
      <c r="E93" s="11">
        <v>44</v>
      </c>
      <c r="F93" s="11" t="s">
        <v>5916</v>
      </c>
      <c r="G93">
        <v>20261001</v>
      </c>
      <c r="I93" s="11" t="s">
        <v>63</v>
      </c>
      <c r="J93" s="72">
        <v>30633751</v>
      </c>
      <c r="K93" s="99">
        <f>_xlfn.XLOOKUP(_2__ROI_Daily_Update[[#This Row],[CSM id]],SHP!F:F,SHP!EE:EE,"-")</f>
        <v>0</v>
      </c>
      <c r="L93" s="12"/>
      <c r="N93" s="11"/>
      <c r="P93"/>
      <c r="Q93"/>
      <c r="W93" s="28"/>
      <c r="AA93"/>
    </row>
    <row r="94" spans="1:27" x14ac:dyDescent="0.45">
      <c r="A94" s="57">
        <v>1552</v>
      </c>
      <c r="B94" t="s">
        <v>2847</v>
      </c>
      <c r="C94" t="s">
        <v>2848</v>
      </c>
      <c r="D94" s="12">
        <v>46295</v>
      </c>
      <c r="E94" s="11">
        <v>32</v>
      </c>
      <c r="F94" s="11" t="s">
        <v>5916</v>
      </c>
      <c r="G94">
        <v>20230401</v>
      </c>
      <c r="I94" s="11" t="s">
        <v>63</v>
      </c>
      <c r="J94" s="72">
        <v>90532725</v>
      </c>
      <c r="K94" s="99">
        <f>_xlfn.XLOOKUP(_2__ROI_Daily_Update[[#This Row],[CSM id]],SHP!F:F,SHP!EE:EE,"-")</f>
        <v>0</v>
      </c>
      <c r="L94" s="12"/>
      <c r="N94" s="11"/>
      <c r="P94"/>
      <c r="Q94"/>
      <c r="W94" s="28"/>
      <c r="AA94"/>
    </row>
    <row r="95" spans="1:27" x14ac:dyDescent="0.45">
      <c r="A95" s="57">
        <v>1424</v>
      </c>
      <c r="B95" t="s">
        <v>2312</v>
      </c>
      <c r="C95" t="s">
        <v>2313</v>
      </c>
      <c r="D95" s="12">
        <v>46295</v>
      </c>
      <c r="E95" s="11">
        <v>360</v>
      </c>
      <c r="F95" s="11" t="s">
        <v>5915</v>
      </c>
      <c r="G95">
        <v>20260101</v>
      </c>
      <c r="I95" s="11" t="s">
        <v>63</v>
      </c>
      <c r="J95" s="72">
        <v>40613007</v>
      </c>
      <c r="K95" s="99">
        <f>_xlfn.XLOOKUP(_2__ROI_Daily_Update[[#This Row],[CSM id]],SHP!F:F,SHP!EE:EE,"-")</f>
        <v>0</v>
      </c>
      <c r="L95" s="12"/>
      <c r="N95" s="11"/>
      <c r="P95"/>
      <c r="Q95"/>
      <c r="W95" s="28"/>
      <c r="AA95"/>
    </row>
    <row r="96" spans="1:27" x14ac:dyDescent="0.45">
      <c r="A96" s="57">
        <v>1633</v>
      </c>
      <c r="B96" t="s">
        <v>2986</v>
      </c>
      <c r="C96" t="s">
        <v>2987</v>
      </c>
      <c r="D96" s="12">
        <v>46295</v>
      </c>
      <c r="E96" s="11">
        <v>36</v>
      </c>
      <c r="F96" s="11" t="s">
        <v>5916</v>
      </c>
      <c r="G96">
        <v>20260801</v>
      </c>
      <c r="H96" s="12">
        <v>46388</v>
      </c>
      <c r="I96" s="11" t="s">
        <v>63</v>
      </c>
      <c r="J96" s="72">
        <v>20630545</v>
      </c>
      <c r="K96" s="99">
        <f>_xlfn.XLOOKUP(_2__ROI_Daily_Update[[#This Row],[CSM id]],SHP!F:F,SHP!EE:EE,"-")</f>
        <v>0</v>
      </c>
      <c r="L96" s="12"/>
      <c r="N96" s="11"/>
      <c r="P96"/>
      <c r="Q96"/>
      <c r="W96" s="28"/>
      <c r="AA96"/>
    </row>
    <row r="97" spans="1:27" x14ac:dyDescent="0.45">
      <c r="A97" s="57">
        <v>1431</v>
      </c>
      <c r="B97" t="s">
        <v>2348</v>
      </c>
      <c r="C97" t="s">
        <v>2349</v>
      </c>
      <c r="D97" s="12">
        <v>46295</v>
      </c>
      <c r="E97" s="11">
        <v>96</v>
      </c>
      <c r="F97" s="11" t="s">
        <v>5916</v>
      </c>
      <c r="G97">
        <v>20250401</v>
      </c>
      <c r="I97" s="11" t="s">
        <v>63</v>
      </c>
      <c r="J97" s="72">
        <v>10595910</v>
      </c>
      <c r="K97" s="99">
        <f>_xlfn.XLOOKUP(_2__ROI_Daily_Update[[#This Row],[CSM id]],SHP!F:F,SHP!EE:EE,"-")</f>
        <v>0</v>
      </c>
      <c r="L97" s="12"/>
      <c r="N97" s="11"/>
      <c r="P97"/>
      <c r="Q97"/>
      <c r="W97" s="28"/>
      <c r="AA97"/>
    </row>
    <row r="98" spans="1:27" x14ac:dyDescent="0.45">
      <c r="A98" s="57">
        <v>1511</v>
      </c>
      <c r="B98" t="s">
        <v>2546</v>
      </c>
      <c r="C98" t="s">
        <v>2547</v>
      </c>
      <c r="D98" s="12">
        <v>46295</v>
      </c>
      <c r="E98" s="11">
        <v>144</v>
      </c>
      <c r="F98" s="11" t="s">
        <v>5916</v>
      </c>
      <c r="G98">
        <v>20251001</v>
      </c>
      <c r="I98" s="11" t="s">
        <v>63</v>
      </c>
      <c r="J98" s="72">
        <v>30607380</v>
      </c>
      <c r="K98" s="99">
        <f>_xlfn.XLOOKUP(_2__ROI_Daily_Update[[#This Row],[CSM id]],SHP!F:F,SHP!EE:EE,"-")</f>
        <v>0</v>
      </c>
      <c r="L98" s="12"/>
      <c r="N98" s="11"/>
      <c r="P98"/>
      <c r="Q98"/>
      <c r="W98" s="28"/>
      <c r="AA98"/>
    </row>
    <row r="99" spans="1:27" x14ac:dyDescent="0.45">
      <c r="A99" s="57">
        <v>1431</v>
      </c>
      <c r="B99" t="s">
        <v>2392</v>
      </c>
      <c r="C99" t="s">
        <v>2393</v>
      </c>
      <c r="D99" s="12">
        <v>46295</v>
      </c>
      <c r="E99" s="11">
        <v>81</v>
      </c>
      <c r="F99" s="11" t="s">
        <v>5916</v>
      </c>
      <c r="G99">
        <v>20251001</v>
      </c>
      <c r="I99" s="11" t="s">
        <v>63</v>
      </c>
      <c r="J99" s="72">
        <v>40605696</v>
      </c>
      <c r="K99" s="99">
        <f>_xlfn.XLOOKUP(_2__ROI_Daily_Update[[#This Row],[CSM id]],SHP!F:F,SHP!EE:EE,"-")</f>
        <v>0</v>
      </c>
      <c r="L99" s="12"/>
      <c r="N99" s="11"/>
      <c r="P99"/>
      <c r="Q99"/>
      <c r="W99" s="28"/>
      <c r="AA99"/>
    </row>
    <row r="100" spans="1:27" x14ac:dyDescent="0.45">
      <c r="A100" s="57">
        <v>1511</v>
      </c>
      <c r="B100" t="s">
        <v>2508</v>
      </c>
      <c r="C100" t="s">
        <v>2509</v>
      </c>
      <c r="D100" s="12">
        <v>46295</v>
      </c>
      <c r="E100" s="11">
        <v>15</v>
      </c>
      <c r="F100" s="11" t="s">
        <v>5915</v>
      </c>
      <c r="G100">
        <v>20260801</v>
      </c>
      <c r="H100" s="12">
        <v>46388</v>
      </c>
      <c r="I100" s="11" t="s">
        <v>63</v>
      </c>
      <c r="J100" s="72">
        <v>631353</v>
      </c>
      <c r="K100" s="99">
        <f>_xlfn.XLOOKUP(_2__ROI_Daily_Update[[#This Row],[CSM id]],SHP!F:F,SHP!EE:EE,"-")</f>
        <v>0</v>
      </c>
      <c r="L100" s="12"/>
      <c r="N100" s="11"/>
      <c r="P100"/>
      <c r="Q100"/>
      <c r="W100" s="28"/>
      <c r="AA100"/>
    </row>
    <row r="101" spans="1:27" x14ac:dyDescent="0.45">
      <c r="A101" s="57">
        <v>1511</v>
      </c>
      <c r="B101" t="s">
        <v>2514</v>
      </c>
      <c r="C101" t="s">
        <v>2515</v>
      </c>
      <c r="D101" s="12">
        <v>46295</v>
      </c>
      <c r="E101" s="11">
        <v>96</v>
      </c>
      <c r="F101" s="11" t="s">
        <v>5916</v>
      </c>
      <c r="G101">
        <v>20240701</v>
      </c>
      <c r="I101" s="11" t="s">
        <v>63</v>
      </c>
      <c r="J101" s="72">
        <v>10588721</v>
      </c>
      <c r="K101" s="99">
        <f>_xlfn.XLOOKUP(_2__ROI_Daily_Update[[#This Row],[CSM id]],SHP!F:F,SHP!EE:EE,"-")</f>
        <v>0</v>
      </c>
      <c r="L101" s="12"/>
      <c r="N101" s="11"/>
      <c r="P101"/>
      <c r="Q101"/>
      <c r="W101" s="28"/>
      <c r="AA101"/>
    </row>
    <row r="102" spans="1:27" x14ac:dyDescent="0.45">
      <c r="A102" s="57">
        <v>983</v>
      </c>
      <c r="B102" t="s">
        <v>968</v>
      </c>
      <c r="C102" t="s">
        <v>969</v>
      </c>
      <c r="D102" s="12">
        <v>46295</v>
      </c>
      <c r="E102" s="11">
        <v>84</v>
      </c>
      <c r="F102" s="11" t="s">
        <v>5916</v>
      </c>
      <c r="G102">
        <v>20141201</v>
      </c>
      <c r="I102" s="11" t="s">
        <v>63</v>
      </c>
      <c r="J102" s="72">
        <v>10158189</v>
      </c>
      <c r="K102" s="99">
        <f>_xlfn.XLOOKUP(_2__ROI_Daily_Update[[#This Row],[CSM id]],SHP!F:F,SHP!EE:EE,"-")</f>
        <v>0</v>
      </c>
      <c r="L102" s="12"/>
      <c r="N102" s="11"/>
      <c r="P102"/>
      <c r="Q102"/>
      <c r="W102" s="28"/>
      <c r="AA102"/>
    </row>
    <row r="103" spans="1:27" x14ac:dyDescent="0.45">
      <c r="A103" s="57">
        <v>1531</v>
      </c>
      <c r="B103" t="s">
        <v>2744</v>
      </c>
      <c r="C103" t="s">
        <v>2745</v>
      </c>
      <c r="D103" s="12">
        <v>46295</v>
      </c>
      <c r="E103" s="11">
        <v>7</v>
      </c>
      <c r="F103" s="11" t="s">
        <v>5916</v>
      </c>
      <c r="G103">
        <v>20251001</v>
      </c>
      <c r="I103" s="11" t="s">
        <v>63</v>
      </c>
      <c r="J103" s="72">
        <v>50609590</v>
      </c>
      <c r="K103" s="99">
        <f>_xlfn.XLOOKUP(_2__ROI_Daily_Update[[#This Row],[CSM id]],SHP!F:F,SHP!EE:EE,"-")</f>
        <v>0</v>
      </c>
      <c r="L103" s="12"/>
      <c r="N103" s="11"/>
      <c r="P103"/>
      <c r="Q103"/>
      <c r="W103" s="28"/>
      <c r="AA103"/>
    </row>
    <row r="104" spans="1:27" x14ac:dyDescent="0.45">
      <c r="A104" s="57">
        <v>1431</v>
      </c>
      <c r="B104" t="s">
        <v>2384</v>
      </c>
      <c r="C104" t="s">
        <v>2385</v>
      </c>
      <c r="D104" s="12">
        <v>46295</v>
      </c>
      <c r="E104" s="11">
        <v>60</v>
      </c>
      <c r="F104" s="11" t="s">
        <v>5916</v>
      </c>
      <c r="G104">
        <v>20261001</v>
      </c>
      <c r="I104" s="11" t="s">
        <v>63</v>
      </c>
      <c r="J104" s="72">
        <v>30638584</v>
      </c>
      <c r="K104" s="99">
        <f>_xlfn.XLOOKUP(_2__ROI_Daily_Update[[#This Row],[CSM id]],SHP!F:F,SHP!EE:EE,"-")</f>
        <v>0</v>
      </c>
      <c r="L104" s="12"/>
      <c r="N104" s="11"/>
      <c r="P104"/>
      <c r="Q104"/>
      <c r="W104" s="28"/>
      <c r="AA104"/>
    </row>
    <row r="105" spans="1:27" x14ac:dyDescent="0.45">
      <c r="A105" s="57">
        <v>1511</v>
      </c>
      <c r="B105" t="s">
        <v>2516</v>
      </c>
      <c r="C105" t="s">
        <v>2517</v>
      </c>
      <c r="D105" s="12">
        <v>46295</v>
      </c>
      <c r="E105" s="11">
        <v>69</v>
      </c>
      <c r="F105" s="11" t="s">
        <v>5915</v>
      </c>
      <c r="G105">
        <v>20250401</v>
      </c>
      <c r="I105" s="11" t="s">
        <v>63</v>
      </c>
      <c r="J105" s="72">
        <v>10592332</v>
      </c>
      <c r="K105" s="99">
        <f>_xlfn.XLOOKUP(_2__ROI_Daily_Update[[#This Row],[CSM id]],SHP!F:F,SHP!EE:EE,"-")</f>
        <v>0</v>
      </c>
      <c r="L105" s="12"/>
      <c r="N105" s="11"/>
      <c r="P105"/>
      <c r="Q105"/>
      <c r="W105" s="28"/>
      <c r="AA105"/>
    </row>
    <row r="106" spans="1:27" x14ac:dyDescent="0.45">
      <c r="A106" s="57">
        <v>1414</v>
      </c>
      <c r="B106" t="s">
        <v>2172</v>
      </c>
      <c r="C106" t="s">
        <v>2173</v>
      </c>
      <c r="D106" s="12">
        <v>46295</v>
      </c>
      <c r="E106" s="11">
        <v>40</v>
      </c>
      <c r="F106" s="11" t="s">
        <v>5916</v>
      </c>
      <c r="G106">
        <v>20241001</v>
      </c>
      <c r="I106" s="11" t="s">
        <v>63</v>
      </c>
      <c r="J106" s="72">
        <v>20586161</v>
      </c>
      <c r="K106" s="99">
        <f>_xlfn.XLOOKUP(_2__ROI_Daily_Update[[#This Row],[CSM id]],SHP!F:F,SHP!EE:EE,"-")</f>
        <v>0</v>
      </c>
      <c r="L106" s="12"/>
      <c r="N106" s="11"/>
      <c r="P106"/>
      <c r="Q106"/>
      <c r="W106" s="28"/>
      <c r="AA106"/>
    </row>
    <row r="107" spans="1:27" x14ac:dyDescent="0.45">
      <c r="A107" s="57">
        <v>1511</v>
      </c>
      <c r="B107" t="s">
        <v>2518</v>
      </c>
      <c r="C107" t="s">
        <v>2519</v>
      </c>
      <c r="D107" s="12">
        <v>46295</v>
      </c>
      <c r="E107" s="11">
        <v>21</v>
      </c>
      <c r="F107" s="11" t="s">
        <v>5915</v>
      </c>
      <c r="G107">
        <v>20250401</v>
      </c>
      <c r="H107" s="12">
        <v>46661</v>
      </c>
      <c r="I107" s="11" t="s">
        <v>63</v>
      </c>
      <c r="J107" s="72">
        <v>10592426</v>
      </c>
      <c r="K107" s="99">
        <f>_xlfn.XLOOKUP(_2__ROI_Daily_Update[[#This Row],[CSM id]],SHP!F:F,SHP!EE:EE,"-")</f>
        <v>0</v>
      </c>
      <c r="L107" s="12"/>
      <c r="N107" s="11"/>
      <c r="P107"/>
      <c r="Q107"/>
      <c r="W107" s="28"/>
      <c r="AA107"/>
    </row>
    <row r="108" spans="1:27" x14ac:dyDescent="0.45">
      <c r="A108" s="57">
        <v>1511</v>
      </c>
      <c r="B108" t="s">
        <v>2520</v>
      </c>
      <c r="C108" t="s">
        <v>2521</v>
      </c>
      <c r="D108" s="12">
        <v>46295</v>
      </c>
      <c r="E108" s="11">
        <v>128</v>
      </c>
      <c r="F108" s="11" t="s">
        <v>5916</v>
      </c>
      <c r="G108">
        <v>20260101</v>
      </c>
      <c r="I108" s="11" t="s">
        <v>63</v>
      </c>
      <c r="J108" s="72">
        <v>10600431</v>
      </c>
      <c r="K108" s="99">
        <f>_xlfn.XLOOKUP(_2__ROI_Daily_Update[[#This Row],[CSM id]],SHP!F:F,SHP!EE:EE,"-")</f>
        <v>0</v>
      </c>
      <c r="L108" s="12"/>
      <c r="N108" s="11"/>
      <c r="P108"/>
      <c r="Q108"/>
      <c r="W108" s="28"/>
      <c r="AA108"/>
    </row>
    <row r="109" spans="1:27" x14ac:dyDescent="0.45">
      <c r="A109" s="57">
        <v>1431</v>
      </c>
      <c r="B109" t="s">
        <v>2382</v>
      </c>
      <c r="C109" t="s">
        <v>2383</v>
      </c>
      <c r="D109" s="12">
        <v>46295</v>
      </c>
      <c r="E109" s="11">
        <v>10</v>
      </c>
      <c r="F109" s="11" t="s">
        <v>5916</v>
      </c>
      <c r="G109">
        <v>20260401</v>
      </c>
      <c r="I109" s="11" t="s">
        <v>63</v>
      </c>
      <c r="J109" s="72">
        <v>30624228</v>
      </c>
      <c r="K109" s="99">
        <f>_xlfn.XLOOKUP(_2__ROI_Daily_Update[[#This Row],[CSM id]],SHP!F:F,SHP!EE:EE,"-")</f>
        <v>0</v>
      </c>
      <c r="L109" s="12"/>
      <c r="N109" s="11"/>
      <c r="P109"/>
      <c r="Q109"/>
      <c r="W109" s="28"/>
      <c r="AA109"/>
    </row>
    <row r="110" spans="1:27" x14ac:dyDescent="0.45">
      <c r="A110" s="57">
        <v>1414</v>
      </c>
      <c r="B110" t="s">
        <v>2170</v>
      </c>
      <c r="C110" t="s">
        <v>2171</v>
      </c>
      <c r="D110" s="12">
        <v>46295</v>
      </c>
      <c r="E110" s="11">
        <v>232</v>
      </c>
      <c r="F110" s="11" t="s">
        <v>5916</v>
      </c>
      <c r="G110">
        <v>20261001</v>
      </c>
      <c r="I110" s="11" t="s">
        <v>63</v>
      </c>
      <c r="J110" s="72">
        <v>20527355</v>
      </c>
      <c r="K110" s="99">
        <f>_xlfn.XLOOKUP(_2__ROI_Daily_Update[[#This Row],[CSM id]],SHP!F:F,SHP!EE:EE,"-")</f>
        <v>0</v>
      </c>
      <c r="L110" s="12"/>
      <c r="N110" s="11"/>
      <c r="P110"/>
      <c r="Q110"/>
      <c r="W110" s="28"/>
      <c r="AA110"/>
    </row>
    <row r="111" spans="1:27" x14ac:dyDescent="0.45">
      <c r="A111" s="57">
        <v>1511</v>
      </c>
      <c r="B111" t="s">
        <v>2522</v>
      </c>
      <c r="C111" t="s">
        <v>2523</v>
      </c>
      <c r="D111" s="12">
        <v>46295</v>
      </c>
      <c r="E111" s="11">
        <v>44</v>
      </c>
      <c r="F111" s="11" t="s">
        <v>5915</v>
      </c>
      <c r="G111">
        <v>20251001</v>
      </c>
      <c r="H111" s="12">
        <v>46478</v>
      </c>
      <c r="I111" s="11" t="s">
        <v>63</v>
      </c>
      <c r="J111" s="72">
        <v>10607734</v>
      </c>
      <c r="K111" s="99">
        <f>_xlfn.XLOOKUP(_2__ROI_Daily_Update[[#This Row],[CSM id]],SHP!F:F,SHP!EE:EE,"-")</f>
        <v>0</v>
      </c>
      <c r="L111" s="12"/>
      <c r="N111" s="11"/>
      <c r="P111"/>
      <c r="Q111"/>
      <c r="W111" s="28"/>
      <c r="AA111"/>
    </row>
    <row r="112" spans="1:27" x14ac:dyDescent="0.45">
      <c r="A112" s="57">
        <v>1511</v>
      </c>
      <c r="B112" t="s">
        <v>2524</v>
      </c>
      <c r="C112" t="s">
        <v>2525</v>
      </c>
      <c r="D112" s="12">
        <v>46295</v>
      </c>
      <c r="E112" s="11">
        <v>144</v>
      </c>
      <c r="F112" s="11" t="s">
        <v>5915</v>
      </c>
      <c r="G112">
        <v>20251001</v>
      </c>
      <c r="I112" s="11" t="s">
        <v>63</v>
      </c>
      <c r="J112" s="72">
        <v>10609733</v>
      </c>
      <c r="K112" s="99">
        <f>_xlfn.XLOOKUP(_2__ROI_Daily_Update[[#This Row],[CSM id]],SHP!F:F,SHP!EE:EE,"-")</f>
        <v>0</v>
      </c>
      <c r="L112" s="12"/>
      <c r="N112" s="11"/>
      <c r="P112"/>
      <c r="Q112"/>
      <c r="W112" s="28"/>
      <c r="AA112"/>
    </row>
    <row r="113" spans="1:27" x14ac:dyDescent="0.45">
      <c r="A113" s="57">
        <v>1511</v>
      </c>
      <c r="B113" t="s">
        <v>2526</v>
      </c>
      <c r="C113" t="s">
        <v>2527</v>
      </c>
      <c r="D113" s="12">
        <v>46295</v>
      </c>
      <c r="E113" s="11">
        <v>3200</v>
      </c>
      <c r="F113" s="11" t="s">
        <v>5915</v>
      </c>
      <c r="G113">
        <v>20260201</v>
      </c>
      <c r="I113" s="11" t="s">
        <v>63</v>
      </c>
      <c r="J113" s="72">
        <v>10613787</v>
      </c>
      <c r="K113" s="99">
        <f>_xlfn.XLOOKUP(_2__ROI_Daily_Update[[#This Row],[CSM id]],SHP!F:F,SHP!EE:EE,"-")</f>
        <v>0</v>
      </c>
      <c r="L113" s="12"/>
      <c r="N113" s="11"/>
      <c r="P113"/>
      <c r="Q113"/>
      <c r="W113" s="28"/>
      <c r="AA113"/>
    </row>
    <row r="114" spans="1:27" x14ac:dyDescent="0.45">
      <c r="A114" s="57">
        <v>1414</v>
      </c>
      <c r="B114" t="s">
        <v>2176</v>
      </c>
      <c r="C114" t="s">
        <v>2177</v>
      </c>
      <c r="D114" s="12">
        <v>46295</v>
      </c>
      <c r="E114" s="11">
        <v>32</v>
      </c>
      <c r="F114" s="11" t="s">
        <v>5916</v>
      </c>
      <c r="G114">
        <v>20161001</v>
      </c>
      <c r="I114" s="11" t="s">
        <v>63</v>
      </c>
      <c r="J114" s="72">
        <v>40324724</v>
      </c>
      <c r="K114" s="99">
        <f>_xlfn.XLOOKUP(_2__ROI_Daily_Update[[#This Row],[CSM id]],SHP!F:F,SHP!EE:EE,"-")</f>
        <v>0</v>
      </c>
      <c r="L114" s="12"/>
      <c r="N114" s="11"/>
      <c r="P114"/>
      <c r="Q114"/>
      <c r="W114" s="28"/>
      <c r="AA114"/>
    </row>
    <row r="115" spans="1:27" x14ac:dyDescent="0.45">
      <c r="A115" s="57">
        <v>1431</v>
      </c>
      <c r="B115" t="s">
        <v>2380</v>
      </c>
      <c r="C115" t="s">
        <v>2381</v>
      </c>
      <c r="D115" s="12">
        <v>46295</v>
      </c>
      <c r="E115" s="11">
        <v>60</v>
      </c>
      <c r="F115" s="11" t="s">
        <v>5916</v>
      </c>
      <c r="G115">
        <v>20260401</v>
      </c>
      <c r="I115" s="11" t="s">
        <v>63</v>
      </c>
      <c r="J115" s="72">
        <v>30623832</v>
      </c>
      <c r="K115" s="99">
        <f>_xlfn.XLOOKUP(_2__ROI_Daily_Update[[#This Row],[CSM id]],SHP!F:F,SHP!EE:EE,"-")</f>
        <v>0</v>
      </c>
      <c r="L115" s="12"/>
      <c r="N115" s="11"/>
      <c r="P115"/>
      <c r="Q115"/>
      <c r="W115" s="28"/>
      <c r="AA115"/>
    </row>
    <row r="116" spans="1:27" x14ac:dyDescent="0.45">
      <c r="A116" s="57">
        <v>1414</v>
      </c>
      <c r="B116" t="s">
        <v>2178</v>
      </c>
      <c r="C116" t="s">
        <v>2179</v>
      </c>
      <c r="D116" s="12">
        <v>46295</v>
      </c>
      <c r="E116" s="11">
        <v>25</v>
      </c>
      <c r="F116" s="11" t="s">
        <v>5916</v>
      </c>
      <c r="G116">
        <v>20210701</v>
      </c>
      <c r="I116" s="11" t="s">
        <v>63</v>
      </c>
      <c r="J116" s="72">
        <v>40480168</v>
      </c>
      <c r="K116" s="99">
        <f>_xlfn.XLOOKUP(_2__ROI_Daily_Update[[#This Row],[CSM id]],SHP!F:F,SHP!EE:EE,"-")</f>
        <v>0</v>
      </c>
      <c r="L116" s="12"/>
      <c r="N116" s="11"/>
      <c r="P116"/>
      <c r="Q116"/>
      <c r="W116" s="28"/>
      <c r="AA116"/>
    </row>
    <row r="117" spans="1:27" x14ac:dyDescent="0.45">
      <c r="A117" s="57">
        <v>1521</v>
      </c>
      <c r="B117" t="s">
        <v>2678</v>
      </c>
      <c r="C117" t="s">
        <v>2679</v>
      </c>
      <c r="D117" s="12">
        <v>46295</v>
      </c>
      <c r="E117" s="11">
        <v>144</v>
      </c>
      <c r="F117" s="11" t="s">
        <v>5915</v>
      </c>
      <c r="G117">
        <v>20260101</v>
      </c>
      <c r="I117" s="11" t="s">
        <v>63</v>
      </c>
      <c r="J117" s="72">
        <v>30619929</v>
      </c>
      <c r="K117" s="99">
        <f>_xlfn.XLOOKUP(_2__ROI_Daily_Update[[#This Row],[CSM id]],SHP!F:F,SHP!EE:EE,"-")</f>
        <v>0</v>
      </c>
      <c r="L117" s="12"/>
      <c r="N117" s="11"/>
      <c r="P117"/>
      <c r="Q117"/>
      <c r="W117" s="28"/>
      <c r="AA117"/>
    </row>
    <row r="118" spans="1:27" x14ac:dyDescent="0.45">
      <c r="A118" s="57">
        <v>1521</v>
      </c>
      <c r="B118" t="s">
        <v>2696</v>
      </c>
      <c r="C118" t="s">
        <v>2697</v>
      </c>
      <c r="D118" s="12">
        <v>46295</v>
      </c>
      <c r="E118" s="11">
        <v>80</v>
      </c>
      <c r="F118" s="11" t="s">
        <v>5915</v>
      </c>
      <c r="G118">
        <v>20191001</v>
      </c>
      <c r="I118" s="11" t="s">
        <v>63</v>
      </c>
      <c r="J118" s="72">
        <v>60396282</v>
      </c>
      <c r="K118" s="99">
        <f>_xlfn.XLOOKUP(_2__ROI_Daily_Update[[#This Row],[CSM id]],SHP!F:F,SHP!EE:EE,"-")</f>
        <v>0</v>
      </c>
      <c r="L118" s="12"/>
      <c r="N118" s="11"/>
      <c r="P118"/>
      <c r="Q118"/>
      <c r="W118" s="28"/>
      <c r="AA118"/>
    </row>
    <row r="119" spans="1:27" x14ac:dyDescent="0.45">
      <c r="A119" s="57">
        <v>1431</v>
      </c>
      <c r="B119" t="s">
        <v>2428</v>
      </c>
      <c r="C119" t="s">
        <v>2429</v>
      </c>
      <c r="D119" s="12">
        <v>46295</v>
      </c>
      <c r="E119" s="11">
        <v>112</v>
      </c>
      <c r="F119" s="11" t="s">
        <v>5916</v>
      </c>
      <c r="G119">
        <v>20240701</v>
      </c>
      <c r="I119" s="11" t="s">
        <v>63</v>
      </c>
      <c r="J119" s="72">
        <v>80580316</v>
      </c>
      <c r="K119" s="99">
        <f>_xlfn.XLOOKUP(_2__ROI_Daily_Update[[#This Row],[CSM id]],SHP!F:F,SHP!EE:EE,"-")</f>
        <v>0</v>
      </c>
      <c r="L119" s="12"/>
      <c r="N119" s="11"/>
      <c r="P119"/>
      <c r="Q119"/>
      <c r="W119" s="28"/>
      <c r="AA119"/>
    </row>
    <row r="120" spans="1:27" x14ac:dyDescent="0.45">
      <c r="A120" s="57">
        <v>1522</v>
      </c>
      <c r="B120" t="s">
        <v>2712</v>
      </c>
      <c r="C120" t="s">
        <v>2713</v>
      </c>
      <c r="D120" s="12">
        <v>46295</v>
      </c>
      <c r="E120" s="11">
        <v>96</v>
      </c>
      <c r="F120" s="11" t="s">
        <v>5916</v>
      </c>
      <c r="G120">
        <v>20261001</v>
      </c>
      <c r="H120" s="12">
        <v>46388</v>
      </c>
      <c r="I120" s="11" t="s">
        <v>63</v>
      </c>
      <c r="J120" s="72">
        <v>30633727</v>
      </c>
      <c r="K120" s="99">
        <f>_xlfn.XLOOKUP(_2__ROI_Daily_Update[[#This Row],[CSM id]],SHP!F:F,SHP!EE:EE,"-")</f>
        <v>0</v>
      </c>
      <c r="L120" s="12"/>
      <c r="N120" s="11"/>
      <c r="P120"/>
      <c r="Q120"/>
      <c r="W120" s="28"/>
      <c r="AA120"/>
    </row>
    <row r="121" spans="1:27" x14ac:dyDescent="0.45">
      <c r="A121" s="57">
        <v>1522</v>
      </c>
      <c r="B121" t="s">
        <v>2714</v>
      </c>
      <c r="C121" t="s">
        <v>2715</v>
      </c>
      <c r="D121" s="12">
        <v>46295</v>
      </c>
      <c r="E121" s="11">
        <v>120</v>
      </c>
      <c r="F121" s="11" t="s">
        <v>5916</v>
      </c>
      <c r="G121">
        <v>20241001</v>
      </c>
      <c r="H121" s="12">
        <v>46569</v>
      </c>
      <c r="I121" s="11" t="s">
        <v>63</v>
      </c>
      <c r="J121" s="72">
        <v>50573317</v>
      </c>
      <c r="K121" s="99">
        <f>_xlfn.XLOOKUP(_2__ROI_Daily_Update[[#This Row],[CSM id]],SHP!F:F,SHP!EE:EE,"-")</f>
        <v>0</v>
      </c>
      <c r="L121" s="12"/>
      <c r="N121" s="11"/>
      <c r="P121"/>
      <c r="Q121"/>
      <c r="W121" s="28"/>
      <c r="AA121"/>
    </row>
    <row r="122" spans="1:27" x14ac:dyDescent="0.45">
      <c r="A122" s="57">
        <v>1431</v>
      </c>
      <c r="B122" t="s">
        <v>2444</v>
      </c>
      <c r="C122" t="s">
        <v>2445</v>
      </c>
      <c r="D122" s="12">
        <v>46295</v>
      </c>
      <c r="E122" s="11">
        <v>420</v>
      </c>
      <c r="F122" s="11" t="s">
        <v>5916</v>
      </c>
      <c r="G122">
        <v>20240701</v>
      </c>
      <c r="I122" s="11" t="s">
        <v>63</v>
      </c>
      <c r="J122" s="72">
        <v>90580325</v>
      </c>
      <c r="K122" s="99">
        <f>_xlfn.XLOOKUP(_2__ROI_Daily_Update[[#This Row],[CSM id]],SHP!F:F,SHP!EE:EE,"-")</f>
        <v>0</v>
      </c>
      <c r="L122" s="12"/>
      <c r="N122" s="11"/>
      <c r="P122"/>
      <c r="Q122"/>
      <c r="W122" s="28"/>
      <c r="AA122"/>
    </row>
    <row r="123" spans="1:27" x14ac:dyDescent="0.45">
      <c r="A123" s="57">
        <v>1422</v>
      </c>
      <c r="B123" t="s">
        <v>2220</v>
      </c>
      <c r="C123" t="s">
        <v>2221</v>
      </c>
      <c r="D123" s="12">
        <v>46295</v>
      </c>
      <c r="E123" s="11">
        <v>216</v>
      </c>
      <c r="F123" s="11" t="s">
        <v>5915</v>
      </c>
      <c r="G123">
        <v>20260401</v>
      </c>
      <c r="I123" s="11" t="s">
        <v>63</v>
      </c>
      <c r="J123" s="72">
        <v>20620339</v>
      </c>
      <c r="K123" s="99">
        <f>_xlfn.XLOOKUP(_2__ROI_Daily_Update[[#This Row],[CSM id]],SHP!F:F,SHP!EE:EE,"-")</f>
        <v>0</v>
      </c>
      <c r="L123" s="12"/>
      <c r="N123" s="11"/>
      <c r="P123"/>
      <c r="Q123"/>
      <c r="W123" s="28"/>
      <c r="AA123"/>
    </row>
    <row r="124" spans="1:27" x14ac:dyDescent="0.45">
      <c r="A124" s="57">
        <v>1421</v>
      </c>
      <c r="B124" t="s">
        <v>2200</v>
      </c>
      <c r="C124" t="s">
        <v>2201</v>
      </c>
      <c r="D124" s="12">
        <v>46295</v>
      </c>
      <c r="E124" s="11">
        <v>64</v>
      </c>
      <c r="F124" s="11" t="s">
        <v>5916</v>
      </c>
      <c r="G124">
        <v>20241001</v>
      </c>
      <c r="I124" s="11" t="s">
        <v>63</v>
      </c>
      <c r="J124" s="72">
        <v>30581506</v>
      </c>
      <c r="K124" s="99">
        <f>_xlfn.XLOOKUP(_2__ROI_Daily_Update[[#This Row],[CSM id]],SHP!F:F,SHP!EE:EE,"-")</f>
        <v>0</v>
      </c>
      <c r="L124" s="12"/>
      <c r="N124" s="11"/>
      <c r="P124"/>
      <c r="Q124"/>
      <c r="W124" s="28"/>
      <c r="AA124"/>
    </row>
    <row r="125" spans="1:27" x14ac:dyDescent="0.45">
      <c r="A125" s="57">
        <v>1421</v>
      </c>
      <c r="B125" t="s">
        <v>2198</v>
      </c>
      <c r="C125" t="s">
        <v>2199</v>
      </c>
      <c r="D125" s="12">
        <v>46295</v>
      </c>
      <c r="E125" s="11">
        <v>60</v>
      </c>
      <c r="F125" s="11" t="s">
        <v>5916</v>
      </c>
      <c r="G125">
        <v>20250401</v>
      </c>
      <c r="I125" s="11" t="s">
        <v>63</v>
      </c>
      <c r="J125" s="72">
        <v>30581484</v>
      </c>
      <c r="K125" s="99">
        <f>_xlfn.XLOOKUP(_2__ROI_Daily_Update[[#This Row],[CSM id]],SHP!F:F,SHP!EE:EE,"-")</f>
        <v>0</v>
      </c>
      <c r="L125" s="12"/>
      <c r="N125" s="11"/>
      <c r="P125"/>
      <c r="Q125"/>
      <c r="W125" s="28"/>
      <c r="AA125"/>
    </row>
    <row r="126" spans="1:27" x14ac:dyDescent="0.45">
      <c r="A126" s="57">
        <v>1431</v>
      </c>
      <c r="B126" t="s">
        <v>2420</v>
      </c>
      <c r="C126" t="s">
        <v>2421</v>
      </c>
      <c r="D126" s="12">
        <v>46295</v>
      </c>
      <c r="E126" s="11">
        <v>560</v>
      </c>
      <c r="F126" s="11" t="s">
        <v>5916</v>
      </c>
      <c r="G126">
        <v>20180401</v>
      </c>
      <c r="I126" s="11" t="s">
        <v>63</v>
      </c>
      <c r="J126" s="72">
        <v>70359180</v>
      </c>
      <c r="K126" s="99">
        <f>_xlfn.XLOOKUP(_2__ROI_Daily_Update[[#This Row],[CSM id]],SHP!F:F,SHP!EE:EE,"-")</f>
        <v>0</v>
      </c>
      <c r="L126" s="12"/>
      <c r="N126" s="11"/>
      <c r="P126"/>
      <c r="Q126"/>
      <c r="W126" s="28"/>
      <c r="AA126"/>
    </row>
    <row r="127" spans="1:27" x14ac:dyDescent="0.45">
      <c r="A127" s="57">
        <v>1531</v>
      </c>
      <c r="B127" t="s">
        <v>2724</v>
      </c>
      <c r="C127" t="s">
        <v>2725</v>
      </c>
      <c r="D127" s="12">
        <v>46295</v>
      </c>
      <c r="E127" s="11">
        <v>144</v>
      </c>
      <c r="F127" s="11" t="s">
        <v>5916</v>
      </c>
      <c r="G127">
        <v>20190801</v>
      </c>
      <c r="I127" s="11" t="s">
        <v>63</v>
      </c>
      <c r="J127" s="72">
        <v>428484</v>
      </c>
      <c r="K127" s="99">
        <f>_xlfn.XLOOKUP(_2__ROI_Daily_Update[[#This Row],[CSM id]],SHP!F:F,SHP!EE:EE,"-")</f>
        <v>0</v>
      </c>
      <c r="L127" s="12"/>
      <c r="N127" s="11"/>
      <c r="P127"/>
      <c r="Q127"/>
      <c r="W127" s="28"/>
      <c r="AA127"/>
    </row>
    <row r="128" spans="1:27" x14ac:dyDescent="0.45">
      <c r="A128" s="57">
        <v>1531</v>
      </c>
      <c r="B128" t="s">
        <v>2726</v>
      </c>
      <c r="C128" t="s">
        <v>2727</v>
      </c>
      <c r="D128" s="12">
        <v>46295</v>
      </c>
      <c r="E128" s="11">
        <v>80</v>
      </c>
      <c r="F128" s="11" t="s">
        <v>5916</v>
      </c>
      <c r="G128">
        <v>20251001</v>
      </c>
      <c r="H128" s="12">
        <v>46388</v>
      </c>
      <c r="I128" s="11" t="s">
        <v>63</v>
      </c>
      <c r="J128" s="72">
        <v>610077</v>
      </c>
      <c r="K128" s="99">
        <f>_xlfn.XLOOKUP(_2__ROI_Daily_Update[[#This Row],[CSM id]],SHP!F:F,SHP!EE:EE,"-")</f>
        <v>0</v>
      </c>
      <c r="L128" s="12"/>
      <c r="N128" s="11"/>
      <c r="P128"/>
      <c r="Q128"/>
      <c r="W128" s="28"/>
      <c r="AA128"/>
    </row>
    <row r="129" spans="1:27" x14ac:dyDescent="0.45">
      <c r="A129" s="57">
        <v>1521</v>
      </c>
      <c r="B129" t="s">
        <v>2680</v>
      </c>
      <c r="C129" t="s">
        <v>2681</v>
      </c>
      <c r="D129" s="12">
        <v>46295</v>
      </c>
      <c r="E129" s="11">
        <v>192</v>
      </c>
      <c r="F129" s="11" t="s">
        <v>5915</v>
      </c>
      <c r="G129">
        <v>20261001</v>
      </c>
      <c r="I129" s="11" t="s">
        <v>63</v>
      </c>
      <c r="J129" s="72">
        <v>30628721</v>
      </c>
      <c r="K129" s="99">
        <f>_xlfn.XLOOKUP(_2__ROI_Daily_Update[[#This Row],[CSM id]],SHP!F:F,SHP!EE:EE,"-")</f>
        <v>0</v>
      </c>
      <c r="L129" s="12"/>
      <c r="N129" s="11"/>
      <c r="P129"/>
      <c r="Q129"/>
      <c r="W129" s="28"/>
      <c r="AA129"/>
    </row>
    <row r="130" spans="1:27" x14ac:dyDescent="0.45">
      <c r="A130" s="57">
        <v>1531</v>
      </c>
      <c r="B130" t="s">
        <v>2738</v>
      </c>
      <c r="C130" t="s">
        <v>2739</v>
      </c>
      <c r="D130" s="12">
        <v>46295</v>
      </c>
      <c r="E130" s="11">
        <v>42</v>
      </c>
      <c r="F130" s="11" t="s">
        <v>5916</v>
      </c>
      <c r="G130">
        <v>20190801</v>
      </c>
      <c r="I130" s="11" t="s">
        <v>63</v>
      </c>
      <c r="J130" s="72">
        <v>50428486</v>
      </c>
      <c r="K130" s="99">
        <f>_xlfn.XLOOKUP(_2__ROI_Daily_Update[[#This Row],[CSM id]],SHP!F:F,SHP!EE:EE,"-")</f>
        <v>0</v>
      </c>
      <c r="L130" s="12"/>
      <c r="N130" s="11"/>
      <c r="P130"/>
      <c r="Q130"/>
      <c r="W130" s="28"/>
      <c r="AA130"/>
    </row>
    <row r="131" spans="1:27" x14ac:dyDescent="0.45">
      <c r="A131" s="57">
        <v>1431</v>
      </c>
      <c r="B131" t="s">
        <v>2400</v>
      </c>
      <c r="C131" t="s">
        <v>2401</v>
      </c>
      <c r="D131" s="12">
        <v>46295</v>
      </c>
      <c r="E131" s="11">
        <v>414</v>
      </c>
      <c r="F131" s="11" t="s">
        <v>5915</v>
      </c>
      <c r="G131">
        <v>20210201</v>
      </c>
      <c r="I131" s="11" t="s">
        <v>63</v>
      </c>
      <c r="J131" s="72">
        <v>50485009</v>
      </c>
      <c r="K131" s="99">
        <f>_xlfn.XLOOKUP(_2__ROI_Daily_Update[[#This Row],[CSM id]],SHP!F:F,SHP!EE:EE,"-")</f>
        <v>0</v>
      </c>
      <c r="L131" s="12"/>
      <c r="N131" s="11"/>
      <c r="P131"/>
      <c r="Q131"/>
      <c r="W131" s="28"/>
      <c r="AA131"/>
    </row>
    <row r="132" spans="1:27" x14ac:dyDescent="0.45">
      <c r="A132" s="57">
        <v>1422</v>
      </c>
      <c r="B132" t="s">
        <v>2235</v>
      </c>
      <c r="C132" t="s">
        <v>2236</v>
      </c>
      <c r="D132" s="12">
        <v>46295</v>
      </c>
      <c r="E132" s="11">
        <v>216</v>
      </c>
      <c r="F132" s="11" t="s">
        <v>5916</v>
      </c>
      <c r="G132">
        <v>20261001</v>
      </c>
      <c r="I132" s="11" t="s">
        <v>63</v>
      </c>
      <c r="J132" s="72">
        <v>40633760</v>
      </c>
      <c r="K132" s="99">
        <f>_xlfn.XLOOKUP(_2__ROI_Daily_Update[[#This Row],[CSM id]],SHP!F:F,SHP!EE:EE,"-")</f>
        <v>0</v>
      </c>
      <c r="L132" s="12"/>
      <c r="N132" s="11"/>
      <c r="P132"/>
      <c r="Q132"/>
      <c r="W132" s="28"/>
      <c r="AA132"/>
    </row>
    <row r="133" spans="1:27" x14ac:dyDescent="0.45">
      <c r="A133" s="57">
        <v>1434</v>
      </c>
      <c r="B133" t="s">
        <v>2494</v>
      </c>
      <c r="C133" t="s">
        <v>2495</v>
      </c>
      <c r="D133" s="12">
        <v>46295</v>
      </c>
      <c r="E133" s="11">
        <v>216</v>
      </c>
      <c r="F133" s="11" t="s">
        <v>5916</v>
      </c>
      <c r="G133">
        <v>20240101</v>
      </c>
      <c r="I133" s="11" t="s">
        <v>63</v>
      </c>
      <c r="J133" s="72">
        <v>60572807</v>
      </c>
      <c r="K133" s="99">
        <f>_xlfn.XLOOKUP(_2__ROI_Daily_Update[[#This Row],[CSM id]],SHP!F:F,SHP!EE:EE,"-")</f>
        <v>0</v>
      </c>
      <c r="L133" s="12"/>
      <c r="N133" s="11"/>
      <c r="P133"/>
      <c r="Q133"/>
      <c r="W133" s="28"/>
      <c r="AA133"/>
    </row>
    <row r="134" spans="1:27" x14ac:dyDescent="0.45">
      <c r="A134" s="57">
        <v>1633</v>
      </c>
      <c r="B134" t="s">
        <v>3018</v>
      </c>
      <c r="C134" t="s">
        <v>3019</v>
      </c>
      <c r="D134" s="12">
        <v>46295</v>
      </c>
      <c r="E134" s="11">
        <v>12</v>
      </c>
      <c r="F134" s="11" t="s">
        <v>5915</v>
      </c>
      <c r="G134">
        <v>20141201</v>
      </c>
      <c r="I134" s="11" t="s">
        <v>63</v>
      </c>
      <c r="J134" s="72">
        <v>90191632</v>
      </c>
      <c r="K134" s="99">
        <f>_xlfn.XLOOKUP(_2__ROI_Daily_Update[[#This Row],[CSM id]],SHP!F:F,SHP!EE:EE,"-")</f>
        <v>0</v>
      </c>
      <c r="L134" s="12"/>
      <c r="N134" s="11"/>
      <c r="P134"/>
      <c r="Q134"/>
      <c r="W134" s="28"/>
      <c r="AA134"/>
    </row>
    <row r="135" spans="1:27" x14ac:dyDescent="0.45">
      <c r="A135" s="57">
        <v>1521</v>
      </c>
      <c r="B135" t="s">
        <v>2672</v>
      </c>
      <c r="C135" t="s">
        <v>2673</v>
      </c>
      <c r="D135" s="12">
        <v>46295</v>
      </c>
      <c r="E135" s="11">
        <v>384</v>
      </c>
      <c r="F135" s="11" t="s">
        <v>5916</v>
      </c>
      <c r="G135">
        <v>20250101</v>
      </c>
      <c r="H135" s="12">
        <v>46569</v>
      </c>
      <c r="I135" s="11" t="s">
        <v>63</v>
      </c>
      <c r="J135" s="72">
        <v>597518</v>
      </c>
      <c r="K135" s="99">
        <f>_xlfn.XLOOKUP(_2__ROI_Daily_Update[[#This Row],[CSM id]],SHP!F:F,SHP!EE:EE,"-")</f>
        <v>0</v>
      </c>
      <c r="L135" s="12"/>
      <c r="N135" s="11"/>
      <c r="P135"/>
      <c r="Q135"/>
      <c r="W135" s="28"/>
      <c r="AA135"/>
    </row>
    <row r="136" spans="1:27" x14ac:dyDescent="0.45">
      <c r="A136" s="57">
        <v>983</v>
      </c>
      <c r="B136" t="s">
        <v>1000</v>
      </c>
      <c r="C136" t="s">
        <v>1001</v>
      </c>
      <c r="D136" s="12">
        <v>46295</v>
      </c>
      <c r="E136" s="11">
        <v>48</v>
      </c>
      <c r="F136" s="11" t="s">
        <v>5916</v>
      </c>
      <c r="G136">
        <v>20211001</v>
      </c>
      <c r="I136" s="11" t="s">
        <v>63</v>
      </c>
      <c r="J136" s="72">
        <v>80517909</v>
      </c>
      <c r="K136" s="99">
        <f>_xlfn.XLOOKUP(_2__ROI_Daily_Update[[#This Row],[CSM id]],SHP!F:F,SHP!EE:EE,"-")</f>
        <v>0</v>
      </c>
      <c r="L136" s="12"/>
      <c r="N136" s="11"/>
      <c r="P136"/>
      <c r="Q136"/>
      <c r="W136" s="28"/>
      <c r="AA136"/>
    </row>
    <row r="137" spans="1:27" x14ac:dyDescent="0.45">
      <c r="A137" s="57">
        <v>1633</v>
      </c>
      <c r="B137" t="s">
        <v>2988</v>
      </c>
      <c r="C137" t="s">
        <v>2989</v>
      </c>
      <c r="D137" s="12">
        <v>46295</v>
      </c>
      <c r="E137" s="11">
        <v>24</v>
      </c>
      <c r="F137" s="11" t="s">
        <v>5916</v>
      </c>
      <c r="G137">
        <v>20261001</v>
      </c>
      <c r="H137" s="12">
        <v>46388</v>
      </c>
      <c r="I137" s="11" t="s">
        <v>63</v>
      </c>
      <c r="J137" s="72">
        <v>20636694</v>
      </c>
      <c r="K137" s="99">
        <f>_xlfn.XLOOKUP(_2__ROI_Daily_Update[[#This Row],[CSM id]],SHP!F:F,SHP!EE:EE,"-")</f>
        <v>0</v>
      </c>
      <c r="L137" s="12"/>
      <c r="N137" s="11"/>
      <c r="P137"/>
      <c r="Q137"/>
      <c r="W137" s="28"/>
      <c r="AA137"/>
    </row>
    <row r="138" spans="1:27" x14ac:dyDescent="0.45">
      <c r="A138" s="57">
        <v>1511</v>
      </c>
      <c r="B138" t="s">
        <v>2544</v>
      </c>
      <c r="C138" t="s">
        <v>2545</v>
      </c>
      <c r="D138" s="12">
        <v>46295</v>
      </c>
      <c r="E138" s="11">
        <v>160</v>
      </c>
      <c r="F138" s="11" t="s">
        <v>5916</v>
      </c>
      <c r="G138">
        <v>20260101</v>
      </c>
      <c r="I138" s="11" t="s">
        <v>63</v>
      </c>
      <c r="J138" s="72">
        <v>30600430</v>
      </c>
      <c r="K138" s="99">
        <f>_xlfn.XLOOKUP(_2__ROI_Daily_Update[[#This Row],[CSM id]],SHP!F:F,SHP!EE:EE,"-")</f>
        <v>0</v>
      </c>
      <c r="L138" s="12"/>
      <c r="N138" s="11"/>
      <c r="P138"/>
      <c r="Q138"/>
      <c r="W138" s="28"/>
      <c r="AA138"/>
    </row>
    <row r="139" spans="1:27" x14ac:dyDescent="0.45">
      <c r="A139" s="57">
        <v>1511</v>
      </c>
      <c r="B139" t="s">
        <v>2542</v>
      </c>
      <c r="C139" t="s">
        <v>2543</v>
      </c>
      <c r="D139" s="12">
        <v>46295</v>
      </c>
      <c r="E139" s="11">
        <v>128</v>
      </c>
      <c r="F139" s="11" t="s">
        <v>5916</v>
      </c>
      <c r="G139">
        <v>20240701</v>
      </c>
      <c r="I139" s="11" t="s">
        <v>63</v>
      </c>
      <c r="J139" s="72">
        <v>30588720</v>
      </c>
      <c r="K139" s="99">
        <f>_xlfn.XLOOKUP(_2__ROI_Daily_Update[[#This Row],[CSM id]],SHP!F:F,SHP!EE:EE,"-")</f>
        <v>0</v>
      </c>
      <c r="L139" s="12"/>
      <c r="N139" s="11"/>
      <c r="P139"/>
      <c r="Q139"/>
      <c r="W139" s="28"/>
      <c r="AA139"/>
    </row>
    <row r="140" spans="1:27" x14ac:dyDescent="0.45">
      <c r="A140" s="57">
        <v>1512</v>
      </c>
      <c r="B140" t="s">
        <v>2656</v>
      </c>
      <c r="C140" t="s">
        <v>2657</v>
      </c>
      <c r="D140" s="12">
        <v>46295</v>
      </c>
      <c r="E140" s="11">
        <v>6</v>
      </c>
      <c r="F140" s="11" t="s">
        <v>5915</v>
      </c>
      <c r="G140">
        <v>20261001</v>
      </c>
      <c r="H140" s="12">
        <v>46478</v>
      </c>
      <c r="I140" s="11" t="s">
        <v>63</v>
      </c>
      <c r="J140" s="72">
        <v>40638282</v>
      </c>
      <c r="K140" s="99">
        <f>_xlfn.XLOOKUP(_2__ROI_Daily_Update[[#This Row],[CSM id]],SHP!F:F,SHP!EE:EE,"-")</f>
        <v>0</v>
      </c>
      <c r="L140" s="12"/>
      <c r="N140" s="11"/>
      <c r="P140"/>
      <c r="Q140"/>
      <c r="W140" s="28"/>
      <c r="AA140"/>
    </row>
    <row r="141" spans="1:27" x14ac:dyDescent="0.45">
      <c r="A141" s="57">
        <v>1531</v>
      </c>
      <c r="B141" t="s">
        <v>2754</v>
      </c>
      <c r="C141" t="s">
        <v>2755</v>
      </c>
      <c r="D141" s="12">
        <v>46295</v>
      </c>
      <c r="E141" s="11">
        <v>75</v>
      </c>
      <c r="F141" s="11" t="s">
        <v>5916</v>
      </c>
      <c r="G141">
        <v>20190801</v>
      </c>
      <c r="I141" s="11" t="s">
        <v>63</v>
      </c>
      <c r="J141" s="72">
        <v>80428480</v>
      </c>
      <c r="K141" s="99">
        <f>_xlfn.XLOOKUP(_2__ROI_Daily_Update[[#This Row],[CSM id]],SHP!F:F,SHP!EE:EE,"-")</f>
        <v>0</v>
      </c>
      <c r="L141" s="12"/>
      <c r="N141" s="11"/>
      <c r="P141"/>
      <c r="Q141"/>
      <c r="W141" s="28"/>
      <c r="AA141"/>
    </row>
    <row r="142" spans="1:27" x14ac:dyDescent="0.45">
      <c r="A142" s="57">
        <v>1633</v>
      </c>
      <c r="B142" t="s">
        <v>3016</v>
      </c>
      <c r="C142" t="s">
        <v>3017</v>
      </c>
      <c r="D142" s="12">
        <v>46295</v>
      </c>
      <c r="E142" s="11">
        <v>36</v>
      </c>
      <c r="F142" s="11" t="s">
        <v>5916</v>
      </c>
      <c r="G142">
        <v>20261001</v>
      </c>
      <c r="H142" s="12">
        <v>46388</v>
      </c>
      <c r="I142" s="11" t="s">
        <v>63</v>
      </c>
      <c r="J142" s="72">
        <v>70646327</v>
      </c>
      <c r="K142" s="99">
        <f>_xlfn.XLOOKUP(_2__ROI_Daily_Update[[#This Row],[CSM id]],SHP!F:F,SHP!EE:EE,"-")</f>
        <v>0</v>
      </c>
      <c r="L142" s="12"/>
      <c r="N142" s="11"/>
      <c r="P142"/>
      <c r="Q142"/>
      <c r="W142" s="28"/>
      <c r="AA142"/>
    </row>
    <row r="143" spans="1:27" x14ac:dyDescent="0.45">
      <c r="A143" s="57">
        <v>1511</v>
      </c>
      <c r="B143" t="s">
        <v>2540</v>
      </c>
      <c r="C143" t="s">
        <v>2541</v>
      </c>
      <c r="D143" s="12">
        <v>46295</v>
      </c>
      <c r="E143" s="11">
        <v>87</v>
      </c>
      <c r="F143" s="11" t="s">
        <v>5915</v>
      </c>
      <c r="G143">
        <v>20261001</v>
      </c>
      <c r="H143" s="12">
        <v>46388</v>
      </c>
      <c r="I143" s="11" t="s">
        <v>63</v>
      </c>
      <c r="J143" s="72">
        <v>20633723</v>
      </c>
      <c r="K143" s="99">
        <f>_xlfn.XLOOKUP(_2__ROI_Daily_Update[[#This Row],[CSM id]],SHP!F:F,SHP!EE:EE,"-")</f>
        <v>0</v>
      </c>
      <c r="L143" s="12"/>
      <c r="N143" s="11"/>
      <c r="P143"/>
      <c r="Q143"/>
      <c r="W143" s="28"/>
      <c r="AA143"/>
    </row>
    <row r="144" spans="1:27" x14ac:dyDescent="0.45">
      <c r="A144" s="57">
        <v>1431</v>
      </c>
      <c r="B144" t="s">
        <v>2364</v>
      </c>
      <c r="C144" t="s">
        <v>2365</v>
      </c>
      <c r="D144" s="12">
        <v>46295</v>
      </c>
      <c r="E144" s="11">
        <v>24</v>
      </c>
      <c r="F144" s="11" t="s">
        <v>5916</v>
      </c>
      <c r="G144">
        <v>20260401</v>
      </c>
      <c r="I144" s="11" t="s">
        <v>63</v>
      </c>
      <c r="J144" s="72">
        <v>20623743</v>
      </c>
      <c r="K144" s="99">
        <f>_xlfn.XLOOKUP(_2__ROI_Daily_Update[[#This Row],[CSM id]],SHP!F:F,SHP!EE:EE,"-")</f>
        <v>0</v>
      </c>
      <c r="L144" s="12"/>
      <c r="N144" s="11"/>
      <c r="P144"/>
      <c r="Q144"/>
      <c r="W144" s="28"/>
      <c r="AA144"/>
    </row>
    <row r="145" spans="1:27" x14ac:dyDescent="0.45">
      <c r="A145" s="57">
        <v>1633</v>
      </c>
      <c r="B145" t="s">
        <v>3004</v>
      </c>
      <c r="C145" t="s">
        <v>3005</v>
      </c>
      <c r="D145" s="12">
        <v>46295</v>
      </c>
      <c r="E145" s="11">
        <v>64</v>
      </c>
      <c r="F145" s="11" t="s">
        <v>5916</v>
      </c>
      <c r="G145">
        <v>20261001</v>
      </c>
      <c r="H145" s="12">
        <v>46388</v>
      </c>
      <c r="I145" s="11" t="s">
        <v>63</v>
      </c>
      <c r="J145" s="72">
        <v>50635419</v>
      </c>
      <c r="K145" s="99">
        <f>_xlfn.XLOOKUP(_2__ROI_Daily_Update[[#This Row],[CSM id]],SHP!F:F,SHP!EE:EE,"-")</f>
        <v>0</v>
      </c>
      <c r="L145" s="12"/>
      <c r="N145" s="11"/>
      <c r="P145"/>
      <c r="Q145"/>
      <c r="W145" s="28"/>
      <c r="AA145"/>
    </row>
    <row r="146" spans="1:27" x14ac:dyDescent="0.45">
      <c r="A146" s="57">
        <v>1633</v>
      </c>
      <c r="B146" t="s">
        <v>3006</v>
      </c>
      <c r="C146" t="s">
        <v>3007</v>
      </c>
      <c r="D146" s="12">
        <v>46295</v>
      </c>
      <c r="E146" s="11">
        <v>24</v>
      </c>
      <c r="F146" s="11" t="s">
        <v>5916</v>
      </c>
      <c r="G146">
        <v>20261001</v>
      </c>
      <c r="H146" s="12">
        <v>46388</v>
      </c>
      <c r="I146" s="11" t="s">
        <v>63</v>
      </c>
      <c r="J146" s="72">
        <v>50636697</v>
      </c>
      <c r="K146" s="99">
        <f>_xlfn.XLOOKUP(_2__ROI_Daily_Update[[#This Row],[CSM id]],SHP!F:F,SHP!EE:EE,"-")</f>
        <v>0</v>
      </c>
      <c r="L146" s="12"/>
      <c r="N146" s="11"/>
      <c r="P146"/>
      <c r="Q146"/>
      <c r="W146" s="28"/>
      <c r="AA146"/>
    </row>
    <row r="147" spans="1:27" x14ac:dyDescent="0.45">
      <c r="A147" s="57">
        <v>1511</v>
      </c>
      <c r="B147" t="s">
        <v>2538</v>
      </c>
      <c r="C147" t="s">
        <v>2539</v>
      </c>
      <c r="D147" s="12">
        <v>46295</v>
      </c>
      <c r="E147" s="11">
        <v>10</v>
      </c>
      <c r="F147" s="11" t="s">
        <v>5915</v>
      </c>
      <c r="G147">
        <v>20260401</v>
      </c>
      <c r="H147" s="12">
        <v>46478</v>
      </c>
      <c r="I147" s="11" t="s">
        <v>63</v>
      </c>
      <c r="J147" s="72">
        <v>20614296</v>
      </c>
      <c r="K147" s="99">
        <f>_xlfn.XLOOKUP(_2__ROI_Daily_Update[[#This Row],[CSM id]],SHP!F:F,SHP!EE:EE,"-")</f>
        <v>0</v>
      </c>
      <c r="L147" s="12"/>
      <c r="N147" s="11"/>
      <c r="P147"/>
      <c r="Q147"/>
      <c r="W147" s="28"/>
      <c r="AA147"/>
    </row>
    <row r="148" spans="1:27" x14ac:dyDescent="0.45">
      <c r="A148" s="57">
        <v>1431</v>
      </c>
      <c r="B148" t="s">
        <v>2366</v>
      </c>
      <c r="C148" t="s">
        <v>2367</v>
      </c>
      <c r="D148" s="12">
        <v>46295</v>
      </c>
      <c r="E148" s="11">
        <v>1080</v>
      </c>
      <c r="F148" s="11" t="s">
        <v>5915</v>
      </c>
      <c r="G148">
        <v>20261001</v>
      </c>
      <c r="H148" s="12">
        <v>46478</v>
      </c>
      <c r="I148" s="11" t="s">
        <v>63</v>
      </c>
      <c r="J148" s="72">
        <v>20649069</v>
      </c>
      <c r="K148" s="99">
        <f>_xlfn.XLOOKUP(_2__ROI_Daily_Update[[#This Row],[CSM id]],SHP!F:F,SHP!EE:EE,"-")</f>
        <v>0</v>
      </c>
      <c r="L148" s="12"/>
      <c r="N148" s="11"/>
      <c r="P148"/>
      <c r="Q148"/>
      <c r="W148" s="28"/>
      <c r="AA148"/>
    </row>
    <row r="149" spans="1:27" x14ac:dyDescent="0.45">
      <c r="A149" s="57">
        <v>1551</v>
      </c>
      <c r="B149" t="s">
        <v>2823</v>
      </c>
      <c r="C149" t="s">
        <v>2824</v>
      </c>
      <c r="D149" s="12">
        <v>46295</v>
      </c>
      <c r="E149" s="11">
        <v>216</v>
      </c>
      <c r="F149" s="11" t="s">
        <v>5915</v>
      </c>
      <c r="G149">
        <v>20261001</v>
      </c>
      <c r="I149" s="11" t="s">
        <v>63</v>
      </c>
      <c r="J149" s="72">
        <v>60636531</v>
      </c>
      <c r="K149" s="99">
        <f>_xlfn.XLOOKUP(_2__ROI_Daily_Update[[#This Row],[CSM id]],SHP!F:F,SHP!EE:EE,"-")</f>
        <v>0</v>
      </c>
      <c r="L149" s="12"/>
      <c r="N149" s="11"/>
      <c r="P149"/>
      <c r="Q149"/>
      <c r="W149" s="28"/>
      <c r="AA149"/>
    </row>
    <row r="150" spans="1:27" x14ac:dyDescent="0.45">
      <c r="A150" s="57">
        <v>1511</v>
      </c>
      <c r="B150" t="s">
        <v>2536</v>
      </c>
      <c r="C150" t="s">
        <v>2537</v>
      </c>
      <c r="D150" s="12">
        <v>46295</v>
      </c>
      <c r="E150" s="11">
        <v>68</v>
      </c>
      <c r="F150" s="11" t="s">
        <v>5915</v>
      </c>
      <c r="G150">
        <v>20251001</v>
      </c>
      <c r="I150" s="11" t="s">
        <v>63</v>
      </c>
      <c r="J150" s="72">
        <v>20608945</v>
      </c>
      <c r="K150" s="99">
        <f>_xlfn.XLOOKUP(_2__ROI_Daily_Update[[#This Row],[CSM id]],SHP!F:F,SHP!EE:EE,"-")</f>
        <v>0</v>
      </c>
      <c r="L150" s="12"/>
      <c r="N150" s="11"/>
      <c r="P150"/>
      <c r="Q150"/>
      <c r="W150" s="28"/>
      <c r="AA150"/>
    </row>
    <row r="151" spans="1:27" x14ac:dyDescent="0.45">
      <c r="A151" s="57">
        <v>1512</v>
      </c>
      <c r="B151" t="s">
        <v>2660</v>
      </c>
      <c r="C151" t="s">
        <v>2661</v>
      </c>
      <c r="D151" s="12">
        <v>46295</v>
      </c>
      <c r="E151" s="11">
        <v>36</v>
      </c>
      <c r="F151" s="11" t="s">
        <v>5916</v>
      </c>
      <c r="G151">
        <v>20141201</v>
      </c>
      <c r="I151" s="11" t="s">
        <v>63</v>
      </c>
      <c r="J151" s="72">
        <v>80222974</v>
      </c>
      <c r="K151" s="99">
        <f>_xlfn.XLOOKUP(_2__ROI_Daily_Update[[#This Row],[CSM id]],SHP!F:F,SHP!EE:EE,"-")</f>
        <v>0</v>
      </c>
      <c r="L151" s="12"/>
      <c r="N151" s="11"/>
      <c r="P151"/>
      <c r="Q151"/>
      <c r="W151" s="28"/>
      <c r="AA151"/>
    </row>
    <row r="152" spans="1:27" x14ac:dyDescent="0.45">
      <c r="A152" s="57">
        <v>1531</v>
      </c>
      <c r="B152" t="s">
        <v>2750</v>
      </c>
      <c r="C152" t="s">
        <v>2751</v>
      </c>
      <c r="D152" s="12">
        <v>46295</v>
      </c>
      <c r="E152" s="11">
        <v>1224</v>
      </c>
      <c r="F152" s="11" t="s">
        <v>5916</v>
      </c>
      <c r="G152">
        <v>20260101</v>
      </c>
      <c r="I152" s="11" t="s">
        <v>63</v>
      </c>
      <c r="J152" s="72">
        <v>70610069</v>
      </c>
      <c r="K152" s="99">
        <f>_xlfn.XLOOKUP(_2__ROI_Daily_Update[[#This Row],[CSM id]],SHP!F:F,SHP!EE:EE,"-")</f>
        <v>0</v>
      </c>
      <c r="L152" s="12"/>
      <c r="N152" s="11"/>
      <c r="P152"/>
      <c r="Q152"/>
      <c r="W152" s="28"/>
      <c r="AA152"/>
    </row>
    <row r="153" spans="1:27" x14ac:dyDescent="0.45">
      <c r="A153" s="57">
        <v>1431</v>
      </c>
      <c r="B153" t="s">
        <v>2378</v>
      </c>
      <c r="C153" t="s">
        <v>2379</v>
      </c>
      <c r="D153" s="12">
        <v>46295</v>
      </c>
      <c r="E153" s="11">
        <v>72</v>
      </c>
      <c r="F153" s="11" t="s">
        <v>5916</v>
      </c>
      <c r="G153">
        <v>20260101</v>
      </c>
      <c r="I153" s="11" t="s">
        <v>63</v>
      </c>
      <c r="J153" s="72">
        <v>30611155</v>
      </c>
      <c r="K153" s="99">
        <f>_xlfn.XLOOKUP(_2__ROI_Daily_Update[[#This Row],[CSM id]],SHP!F:F,SHP!EE:EE,"-")</f>
        <v>0</v>
      </c>
      <c r="L153" s="12"/>
      <c r="N153" s="11"/>
      <c r="P153"/>
      <c r="Q153"/>
      <c r="W153" s="28"/>
      <c r="AA153"/>
    </row>
    <row r="154" spans="1:27" x14ac:dyDescent="0.45">
      <c r="A154" s="57">
        <v>214</v>
      </c>
      <c r="B154" t="s">
        <v>255</v>
      </c>
      <c r="C154" t="s">
        <v>256</v>
      </c>
      <c r="D154" s="12">
        <v>46301</v>
      </c>
      <c r="E154" s="11">
        <v>36</v>
      </c>
      <c r="F154" s="11" t="s">
        <v>166</v>
      </c>
      <c r="G154">
        <v>20230701</v>
      </c>
      <c r="I154" s="11" t="s">
        <v>32</v>
      </c>
      <c r="J154" s="72">
        <v>70522044</v>
      </c>
      <c r="K154" s="99">
        <f>_xlfn.XLOOKUP(_2__ROI_Daily_Update[[#This Row],[CSM id]],SHP!F:F,SHP!EE:EE,"-")</f>
        <v>0</v>
      </c>
      <c r="L154" s="12"/>
      <c r="N154" s="11"/>
      <c r="P154"/>
      <c r="Q154"/>
      <c r="W154" s="28"/>
      <c r="AA154"/>
    </row>
    <row r="155" spans="1:27" x14ac:dyDescent="0.45">
      <c r="A155" s="57">
        <v>214</v>
      </c>
      <c r="B155" t="s">
        <v>240</v>
      </c>
      <c r="C155" t="s">
        <v>241</v>
      </c>
      <c r="D155" s="12">
        <v>46301</v>
      </c>
      <c r="E155" s="11">
        <v>14</v>
      </c>
      <c r="F155" s="11" t="s">
        <v>166</v>
      </c>
      <c r="G155">
        <v>20240401</v>
      </c>
      <c r="I155" s="11" t="s">
        <v>32</v>
      </c>
      <c r="J155" s="72">
        <v>522047</v>
      </c>
      <c r="K155" s="99">
        <f>_xlfn.XLOOKUP(_2__ROI_Daily_Update[[#This Row],[CSM id]],SHP!F:F,SHP!EE:EE,"-")</f>
        <v>0</v>
      </c>
      <c r="L155" s="12"/>
      <c r="N155" s="11"/>
      <c r="P155"/>
      <c r="Q155"/>
      <c r="W155" s="28"/>
      <c r="AA155"/>
    </row>
    <row r="156" spans="1:27" x14ac:dyDescent="0.45">
      <c r="A156" s="57">
        <v>343</v>
      </c>
      <c r="B156" t="s">
        <v>339</v>
      </c>
      <c r="C156" t="s">
        <v>340</v>
      </c>
      <c r="D156" s="12">
        <v>46301</v>
      </c>
      <c r="E156" s="11">
        <v>12</v>
      </c>
      <c r="F156" s="11" t="s">
        <v>166</v>
      </c>
      <c r="G156">
        <v>20170601</v>
      </c>
      <c r="H156" s="12">
        <v>46478</v>
      </c>
      <c r="I156" s="11" t="s">
        <v>32</v>
      </c>
      <c r="J156" s="72">
        <v>40354283</v>
      </c>
      <c r="K156" s="99">
        <f>_xlfn.XLOOKUP(_2__ROI_Daily_Update[[#This Row],[CSM id]],SHP!F:F,SHP!EE:EE,"-")</f>
        <v>0</v>
      </c>
      <c r="L156" s="12"/>
      <c r="N156" s="11"/>
      <c r="P156"/>
      <c r="Q156"/>
      <c r="W156" s="28"/>
      <c r="AA156"/>
    </row>
    <row r="157" spans="1:27" x14ac:dyDescent="0.45">
      <c r="A157" s="57">
        <v>341</v>
      </c>
      <c r="B157" t="s">
        <v>333</v>
      </c>
      <c r="C157" t="s">
        <v>334</v>
      </c>
      <c r="D157" s="12">
        <v>46301</v>
      </c>
      <c r="E157" s="11">
        <v>9</v>
      </c>
      <c r="F157" s="11" t="s">
        <v>166</v>
      </c>
      <c r="G157">
        <v>20170401</v>
      </c>
      <c r="H157" s="12">
        <v>46478</v>
      </c>
      <c r="I157" s="11" t="s">
        <v>32</v>
      </c>
      <c r="J157" s="72">
        <v>80354276</v>
      </c>
      <c r="K157" s="99">
        <f>_xlfn.XLOOKUP(_2__ROI_Daily_Update[[#This Row],[CSM id]],SHP!F:F,SHP!EE:EE,"-")</f>
        <v>0</v>
      </c>
      <c r="L157" s="12"/>
      <c r="N157" s="11"/>
      <c r="P157"/>
      <c r="Q157"/>
      <c r="W157" s="28"/>
      <c r="AA157"/>
    </row>
    <row r="158" spans="1:27" x14ac:dyDescent="0.45">
      <c r="A158" s="57">
        <v>921</v>
      </c>
      <c r="B158" t="s">
        <v>678</v>
      </c>
      <c r="C158" t="s">
        <v>679</v>
      </c>
      <c r="D158" s="12">
        <v>46301</v>
      </c>
      <c r="E158" s="11">
        <v>52</v>
      </c>
      <c r="F158" s="11" t="s">
        <v>166</v>
      </c>
      <c r="G158">
        <v>20170401</v>
      </c>
      <c r="I158" s="11" t="s">
        <v>32</v>
      </c>
      <c r="J158" s="72">
        <v>20351431</v>
      </c>
      <c r="K158" s="99">
        <f>_xlfn.XLOOKUP(_2__ROI_Daily_Update[[#This Row],[CSM id]],SHP!F:F,SHP!EE:EE,"-")</f>
        <v>0</v>
      </c>
      <c r="L158" s="12"/>
      <c r="N158" s="11"/>
      <c r="P158"/>
      <c r="Q158"/>
      <c r="W158" s="28"/>
      <c r="AA158"/>
    </row>
    <row r="159" spans="1:27" x14ac:dyDescent="0.45">
      <c r="A159" s="57">
        <v>131</v>
      </c>
      <c r="B159" t="s">
        <v>164</v>
      </c>
      <c r="C159" t="s">
        <v>165</v>
      </c>
      <c r="D159" s="12">
        <v>46301</v>
      </c>
      <c r="E159" s="11">
        <v>72</v>
      </c>
      <c r="F159" s="11" t="s">
        <v>166</v>
      </c>
      <c r="G159">
        <v>20220401</v>
      </c>
      <c r="I159" s="11" t="s">
        <v>32</v>
      </c>
      <c r="J159" s="72">
        <v>10514792</v>
      </c>
      <c r="K159" s="99">
        <f>_xlfn.XLOOKUP(_2__ROI_Daily_Update[[#This Row],[CSM id]],SHP!F:F,SHP!EE:EE,"-")</f>
        <v>0</v>
      </c>
      <c r="L159" s="12"/>
      <c r="N159" s="11"/>
      <c r="P159"/>
      <c r="Q159"/>
      <c r="W159" s="28"/>
      <c r="AA159"/>
    </row>
    <row r="160" spans="1:27" x14ac:dyDescent="0.45">
      <c r="A160" s="57">
        <v>782</v>
      </c>
      <c r="B160" t="s">
        <v>585</v>
      </c>
      <c r="C160" t="s">
        <v>586</v>
      </c>
      <c r="D160" s="12">
        <v>46303</v>
      </c>
      <c r="E160" s="11">
        <v>94</v>
      </c>
      <c r="F160" s="11" t="s">
        <v>5909</v>
      </c>
      <c r="G160">
        <v>20260401</v>
      </c>
      <c r="I160" s="11" t="s">
        <v>18</v>
      </c>
      <c r="J160" s="72">
        <v>20629721</v>
      </c>
      <c r="K160" s="99">
        <f>_xlfn.XLOOKUP(_2__ROI_Daily_Update[[#This Row],[CSM id]],SHP!F:F,SHP!EE:EE,"-")</f>
        <v>0</v>
      </c>
      <c r="L160" s="12"/>
      <c r="N160" s="11"/>
      <c r="P160"/>
      <c r="Q160"/>
      <c r="W160" s="28"/>
      <c r="AA160"/>
    </row>
    <row r="161" spans="1:27" x14ac:dyDescent="0.45">
      <c r="A161" s="57">
        <v>1422</v>
      </c>
      <c r="B161" t="s">
        <v>2245</v>
      </c>
      <c r="C161" t="s">
        <v>2246</v>
      </c>
      <c r="D161" s="12">
        <v>46303</v>
      </c>
      <c r="E161" s="11">
        <v>84</v>
      </c>
      <c r="F161" s="11" t="s">
        <v>5409</v>
      </c>
      <c r="G161">
        <v>20221001</v>
      </c>
      <c r="H161" s="12">
        <v>46388</v>
      </c>
      <c r="I161" s="11" t="s">
        <v>63</v>
      </c>
      <c r="J161" s="72">
        <v>60529381</v>
      </c>
      <c r="K161" s="99">
        <f>_xlfn.XLOOKUP(_2__ROI_Daily_Update[[#This Row],[CSM id]],SHP!F:F,SHP!EE:EE,"-")</f>
        <v>0</v>
      </c>
      <c r="L161" s="12"/>
      <c r="N161" s="11"/>
      <c r="P161"/>
      <c r="Q161"/>
      <c r="W161" s="28"/>
      <c r="AA161"/>
    </row>
    <row r="162" spans="1:27" x14ac:dyDescent="0.45">
      <c r="A162" s="57">
        <v>1112</v>
      </c>
      <c r="B162" t="s">
        <v>1475</v>
      </c>
      <c r="C162" t="s">
        <v>1476</v>
      </c>
      <c r="D162" s="12">
        <v>46303</v>
      </c>
      <c r="E162" s="11">
        <v>18</v>
      </c>
      <c r="F162" s="11" t="s">
        <v>5907</v>
      </c>
      <c r="G162">
        <v>20261001</v>
      </c>
      <c r="H162" s="12">
        <v>46478</v>
      </c>
      <c r="I162" s="11" t="s">
        <v>63</v>
      </c>
      <c r="J162" s="72">
        <v>20637882</v>
      </c>
      <c r="K162" s="99">
        <f>_xlfn.XLOOKUP(_2__ROI_Daily_Update[[#This Row],[CSM id]],SHP!F:F,SHP!EE:EE,"-")</f>
        <v>0</v>
      </c>
      <c r="L162" s="12"/>
      <c r="N162" s="11"/>
      <c r="P162"/>
      <c r="Q162"/>
      <c r="W162" s="28"/>
      <c r="AA162"/>
    </row>
    <row r="163" spans="1:27" x14ac:dyDescent="0.45">
      <c r="A163" s="57">
        <v>1112</v>
      </c>
      <c r="B163" t="s">
        <v>1487</v>
      </c>
      <c r="C163" t="s">
        <v>1488</v>
      </c>
      <c r="D163" s="12">
        <v>46303</v>
      </c>
      <c r="E163" s="11">
        <v>36</v>
      </c>
      <c r="F163" s="11" t="s">
        <v>5911</v>
      </c>
      <c r="G163">
        <v>20260701</v>
      </c>
      <c r="I163" s="11" t="s">
        <v>63</v>
      </c>
      <c r="J163" s="72">
        <v>30632186</v>
      </c>
      <c r="K163" s="99">
        <f>_xlfn.XLOOKUP(_2__ROI_Daily_Update[[#This Row],[CSM id]],SHP!F:F,SHP!EE:EE,"-")</f>
        <v>0</v>
      </c>
      <c r="L163" s="12"/>
      <c r="N163" s="11"/>
      <c r="P163"/>
      <c r="Q163"/>
      <c r="W163" s="28"/>
      <c r="AA163"/>
    </row>
    <row r="164" spans="1:27" x14ac:dyDescent="0.45">
      <c r="A164" s="57">
        <v>1112</v>
      </c>
      <c r="B164" t="s">
        <v>1495</v>
      </c>
      <c r="C164" t="s">
        <v>1496</v>
      </c>
      <c r="D164" s="12">
        <v>46303</v>
      </c>
      <c r="E164" s="11">
        <v>12</v>
      </c>
      <c r="F164" s="11" t="s">
        <v>5905</v>
      </c>
      <c r="G164">
        <v>20250401</v>
      </c>
      <c r="I164" s="11" t="s">
        <v>63</v>
      </c>
      <c r="J164" s="72">
        <v>40591185</v>
      </c>
      <c r="K164" s="99">
        <f>_xlfn.XLOOKUP(_2__ROI_Daily_Update[[#This Row],[CSM id]],SHP!F:F,SHP!EE:EE,"-")</f>
        <v>0</v>
      </c>
      <c r="L164" s="12"/>
      <c r="N164" s="11"/>
      <c r="P164"/>
      <c r="Q164"/>
      <c r="W164" s="28"/>
      <c r="AA164"/>
    </row>
    <row r="165" spans="1:27" x14ac:dyDescent="0.45">
      <c r="A165" s="57">
        <v>1422</v>
      </c>
      <c r="B165" t="s">
        <v>2254</v>
      </c>
      <c r="C165" t="s">
        <v>2255</v>
      </c>
      <c r="D165" s="12">
        <v>46303</v>
      </c>
      <c r="E165" s="11">
        <v>36</v>
      </c>
      <c r="F165" s="11" t="s">
        <v>5409</v>
      </c>
      <c r="G165">
        <v>20141201</v>
      </c>
      <c r="I165" s="11" t="s">
        <v>63</v>
      </c>
      <c r="J165" s="72">
        <v>80191915</v>
      </c>
      <c r="K165" s="99">
        <f>_xlfn.XLOOKUP(_2__ROI_Daily_Update[[#This Row],[CSM id]],SHP!F:F,SHP!EE:EE,"-")</f>
        <v>0</v>
      </c>
      <c r="L165" s="12"/>
      <c r="N165" s="11"/>
      <c r="P165"/>
      <c r="Q165"/>
      <c r="W165" s="28"/>
      <c r="AA165"/>
    </row>
    <row r="166" spans="1:27" x14ac:dyDescent="0.45">
      <c r="A166" s="57">
        <v>761</v>
      </c>
      <c r="B166" t="s">
        <v>567</v>
      </c>
      <c r="C166" t="s">
        <v>568</v>
      </c>
      <c r="D166" s="12">
        <v>46303</v>
      </c>
      <c r="E166" s="11">
        <v>106</v>
      </c>
      <c r="F166" s="11" t="s">
        <v>5906</v>
      </c>
      <c r="G166">
        <v>20200201</v>
      </c>
      <c r="I166" s="11" t="s">
        <v>63</v>
      </c>
      <c r="J166" s="72">
        <v>60433883</v>
      </c>
      <c r="K166" s="99">
        <f>_xlfn.XLOOKUP(_2__ROI_Daily_Update[[#This Row],[CSM id]],SHP!F:F,SHP!EE:EE,"-")</f>
        <v>0</v>
      </c>
      <c r="L166" s="12"/>
      <c r="N166" s="11"/>
      <c r="P166"/>
      <c r="Q166"/>
      <c r="W166" s="28"/>
      <c r="AA166"/>
    </row>
    <row r="167" spans="1:27" x14ac:dyDescent="0.45">
      <c r="A167" s="57">
        <v>761</v>
      </c>
      <c r="B167" t="s">
        <v>565</v>
      </c>
      <c r="C167" t="s">
        <v>566</v>
      </c>
      <c r="D167" s="12">
        <v>46303</v>
      </c>
      <c r="E167" s="11">
        <v>137</v>
      </c>
      <c r="F167" s="11" t="s">
        <v>5907</v>
      </c>
      <c r="G167">
        <v>20200201</v>
      </c>
      <c r="I167" s="11" t="s">
        <v>63</v>
      </c>
      <c r="J167" s="72">
        <v>60432195</v>
      </c>
      <c r="K167" s="99">
        <f>_xlfn.XLOOKUP(_2__ROI_Daily_Update[[#This Row],[CSM id]],SHP!F:F,SHP!EE:EE,"-")</f>
        <v>0</v>
      </c>
      <c r="L167" s="12"/>
      <c r="N167" s="11"/>
      <c r="P167"/>
      <c r="Q167"/>
      <c r="W167" s="28"/>
      <c r="AA167"/>
    </row>
    <row r="168" spans="1:27" x14ac:dyDescent="0.45">
      <c r="A168" s="57">
        <v>1815</v>
      </c>
      <c r="B168" t="s">
        <v>3480</v>
      </c>
      <c r="C168" t="s">
        <v>3481</v>
      </c>
      <c r="D168" s="12">
        <v>46303</v>
      </c>
      <c r="E168" s="11">
        <v>100</v>
      </c>
      <c r="F168" s="11" t="s">
        <v>5905</v>
      </c>
      <c r="G168">
        <v>20260101</v>
      </c>
      <c r="I168" s="11" t="s">
        <v>63</v>
      </c>
      <c r="J168" s="72">
        <v>60598204</v>
      </c>
      <c r="K168" s="99">
        <f>_xlfn.XLOOKUP(_2__ROI_Daily_Update[[#This Row],[CSM id]],SHP!F:F,SHP!EE:EE,"-")</f>
        <v>0</v>
      </c>
      <c r="L168" s="12"/>
      <c r="N168" s="11"/>
      <c r="P168"/>
      <c r="Q168"/>
      <c r="W168" s="28"/>
      <c r="AA168"/>
    </row>
    <row r="169" spans="1:27" x14ac:dyDescent="0.45">
      <c r="A169" s="57">
        <v>1112</v>
      </c>
      <c r="B169" t="s">
        <v>1497</v>
      </c>
      <c r="C169" t="s">
        <v>1498</v>
      </c>
      <c r="D169" s="12">
        <v>46303</v>
      </c>
      <c r="E169" s="11">
        <v>5</v>
      </c>
      <c r="F169" s="11" t="s">
        <v>5906</v>
      </c>
      <c r="G169">
        <v>20250101</v>
      </c>
      <c r="I169" s="11" t="s">
        <v>63</v>
      </c>
      <c r="J169" s="72">
        <v>40595824</v>
      </c>
      <c r="K169" s="99">
        <f>_xlfn.XLOOKUP(_2__ROI_Daily_Update[[#This Row],[CSM id]],SHP!F:F,SHP!EE:EE,"-")</f>
        <v>0</v>
      </c>
      <c r="L169" s="12"/>
      <c r="N169" s="11"/>
      <c r="P169"/>
      <c r="Q169"/>
      <c r="W169" s="28"/>
      <c r="AA169"/>
    </row>
    <row r="170" spans="1:27" x14ac:dyDescent="0.45">
      <c r="A170" s="57">
        <v>761</v>
      </c>
      <c r="B170" t="s">
        <v>569</v>
      </c>
      <c r="C170" t="s">
        <v>570</v>
      </c>
      <c r="D170" s="12">
        <v>46303</v>
      </c>
      <c r="E170" s="11">
        <v>63</v>
      </c>
      <c r="F170" s="11" t="s">
        <v>5911</v>
      </c>
      <c r="G170">
        <v>20211001</v>
      </c>
      <c r="I170" s="11" t="s">
        <v>63</v>
      </c>
      <c r="J170" s="72">
        <v>60486409</v>
      </c>
      <c r="K170" s="99">
        <f>_xlfn.XLOOKUP(_2__ROI_Daily_Update[[#This Row],[CSM id]],SHP!F:F,SHP!EE:EE,"-")</f>
        <v>0</v>
      </c>
      <c r="L170" s="12"/>
      <c r="N170" s="11"/>
      <c r="P170"/>
      <c r="Q170"/>
      <c r="W170" s="28"/>
      <c r="AA170"/>
    </row>
    <row r="171" spans="1:27" x14ac:dyDescent="0.45">
      <c r="A171" s="57">
        <v>761</v>
      </c>
      <c r="B171" t="s">
        <v>563</v>
      </c>
      <c r="C171" t="s">
        <v>564</v>
      </c>
      <c r="D171" s="12">
        <v>46303</v>
      </c>
      <c r="E171" s="11">
        <v>28</v>
      </c>
      <c r="F171" s="11" t="s">
        <v>5907</v>
      </c>
      <c r="G171">
        <v>20211001</v>
      </c>
      <c r="H171" s="12">
        <v>46388</v>
      </c>
      <c r="I171" s="11" t="s">
        <v>63</v>
      </c>
      <c r="J171" s="72">
        <v>50486419</v>
      </c>
      <c r="K171" s="99">
        <f>_xlfn.XLOOKUP(_2__ROI_Daily_Update[[#This Row],[CSM id]],SHP!F:F,SHP!EE:EE,"-")</f>
        <v>0</v>
      </c>
      <c r="L171" s="12"/>
      <c r="N171" s="11"/>
      <c r="P171"/>
      <c r="Q171"/>
      <c r="W171" s="28"/>
      <c r="AA171"/>
    </row>
    <row r="172" spans="1:27" x14ac:dyDescent="0.45">
      <c r="A172" s="57">
        <v>1422</v>
      </c>
      <c r="B172" t="s">
        <v>2250</v>
      </c>
      <c r="C172" t="s">
        <v>2251</v>
      </c>
      <c r="D172" s="12">
        <v>46303</v>
      </c>
      <c r="E172" s="11">
        <v>56</v>
      </c>
      <c r="F172" s="11" t="s">
        <v>5409</v>
      </c>
      <c r="G172">
        <v>20241001</v>
      </c>
      <c r="I172" s="11" t="s">
        <v>63</v>
      </c>
      <c r="J172" s="72">
        <v>70581482</v>
      </c>
      <c r="K172" s="99">
        <f>_xlfn.XLOOKUP(_2__ROI_Daily_Update[[#This Row],[CSM id]],SHP!F:F,SHP!EE:EE,"-")</f>
        <v>0</v>
      </c>
      <c r="L172" s="12"/>
      <c r="N172" s="11"/>
      <c r="P172"/>
      <c r="Q172"/>
      <c r="W172" s="28"/>
      <c r="AA172"/>
    </row>
    <row r="173" spans="1:27" x14ac:dyDescent="0.45">
      <c r="A173" s="57">
        <v>1112</v>
      </c>
      <c r="B173" t="s">
        <v>1503</v>
      </c>
      <c r="C173" t="s">
        <v>1504</v>
      </c>
      <c r="D173" s="12">
        <v>46303</v>
      </c>
      <c r="E173" s="11">
        <v>8</v>
      </c>
      <c r="F173" s="11" t="s">
        <v>5910</v>
      </c>
      <c r="G173">
        <v>20260401</v>
      </c>
      <c r="I173" s="11" t="s">
        <v>63</v>
      </c>
      <c r="J173" s="72">
        <v>40623761</v>
      </c>
      <c r="K173" s="99">
        <f>_xlfn.XLOOKUP(_2__ROI_Daily_Update[[#This Row],[CSM id]],SHP!F:F,SHP!EE:EE,"-")</f>
        <v>0</v>
      </c>
      <c r="L173" s="12"/>
      <c r="N173" s="11"/>
      <c r="P173"/>
      <c r="Q173"/>
      <c r="W173" s="28"/>
      <c r="AA173"/>
    </row>
    <row r="174" spans="1:27" x14ac:dyDescent="0.45">
      <c r="A174" s="57">
        <v>1422</v>
      </c>
      <c r="B174" t="s">
        <v>2247</v>
      </c>
      <c r="C174" t="s">
        <v>2248</v>
      </c>
      <c r="D174" s="12">
        <v>46303</v>
      </c>
      <c r="E174" s="11">
        <v>210</v>
      </c>
      <c r="F174" s="11" t="s">
        <v>5264</v>
      </c>
      <c r="G174">
        <v>20160201</v>
      </c>
      <c r="I174" s="11" t="s">
        <v>18</v>
      </c>
      <c r="J174" s="72">
        <v>70331474</v>
      </c>
      <c r="K174" s="99">
        <f>_xlfn.XLOOKUP(_2__ROI_Daily_Update[[#This Row],[CSM id]],SHP!F:F,SHP!EE:EE,"-")</f>
        <v>0</v>
      </c>
      <c r="L174" s="12"/>
      <c r="N174" s="11"/>
      <c r="P174"/>
      <c r="Q174"/>
      <c r="W174" s="28"/>
      <c r="AA174"/>
    </row>
    <row r="175" spans="1:27" x14ac:dyDescent="0.45">
      <c r="A175" s="57">
        <v>974</v>
      </c>
      <c r="B175" t="s">
        <v>935</v>
      </c>
      <c r="C175" t="s">
        <v>936</v>
      </c>
      <c r="D175" s="12">
        <v>46303</v>
      </c>
      <c r="E175" s="11">
        <v>105</v>
      </c>
      <c r="F175" s="11" t="s">
        <v>5910</v>
      </c>
      <c r="G175">
        <v>20220701</v>
      </c>
      <c r="I175" s="11" t="s">
        <v>63</v>
      </c>
      <c r="J175" s="72">
        <v>80513893</v>
      </c>
      <c r="K175" s="99">
        <f>_xlfn.XLOOKUP(_2__ROI_Daily_Update[[#This Row],[CSM id]],SHP!F:F,SHP!EE:EE,"-")</f>
        <v>0</v>
      </c>
      <c r="L175" s="12"/>
      <c r="N175" s="11"/>
      <c r="P175"/>
      <c r="Q175"/>
      <c r="W175" s="28"/>
      <c r="AA175"/>
    </row>
    <row r="176" spans="1:27" x14ac:dyDescent="0.45">
      <c r="A176" s="57">
        <v>1422</v>
      </c>
      <c r="B176" t="s">
        <v>2216</v>
      </c>
      <c r="C176" t="s">
        <v>2217</v>
      </c>
      <c r="D176" s="12">
        <v>46303</v>
      </c>
      <c r="E176" s="11">
        <v>128</v>
      </c>
      <c r="F176" s="11" t="s">
        <v>5409</v>
      </c>
      <c r="G176">
        <v>20220701</v>
      </c>
      <c r="I176" s="11" t="s">
        <v>63</v>
      </c>
      <c r="J176" s="72">
        <v>10521938</v>
      </c>
      <c r="K176" s="99">
        <f>_xlfn.XLOOKUP(_2__ROI_Daily_Update[[#This Row],[CSM id]],SHP!F:F,SHP!EE:EE,"-")</f>
        <v>0</v>
      </c>
      <c r="L176" s="12"/>
      <c r="N176" s="11"/>
      <c r="P176"/>
      <c r="Q176"/>
      <c r="W176" s="28"/>
      <c r="AA176"/>
    </row>
    <row r="177" spans="1:27" x14ac:dyDescent="0.45">
      <c r="A177" s="57">
        <v>1836</v>
      </c>
      <c r="B177" t="s">
        <v>3654</v>
      </c>
      <c r="C177" t="s">
        <v>3655</v>
      </c>
      <c r="D177" s="12">
        <v>46303</v>
      </c>
      <c r="E177" s="11">
        <v>6000</v>
      </c>
      <c r="F177" s="11" t="s">
        <v>5908</v>
      </c>
      <c r="G177">
        <v>20261001</v>
      </c>
      <c r="I177" s="11" t="s">
        <v>63</v>
      </c>
      <c r="J177" s="72">
        <v>40611112</v>
      </c>
      <c r="K177" s="99">
        <f>_xlfn.XLOOKUP(_2__ROI_Daily_Update[[#This Row],[CSM id]],SHP!F:F,SHP!EE:EE,"-")</f>
        <v>0</v>
      </c>
      <c r="L177" s="12"/>
      <c r="N177" s="11"/>
      <c r="P177"/>
      <c r="Q177"/>
      <c r="W177" s="28"/>
      <c r="AA177"/>
    </row>
    <row r="178" spans="1:27" x14ac:dyDescent="0.45">
      <c r="A178" s="57">
        <v>1815</v>
      </c>
      <c r="B178" t="s">
        <v>3466</v>
      </c>
      <c r="C178" t="s">
        <v>3467</v>
      </c>
      <c r="D178" s="12">
        <v>46303</v>
      </c>
      <c r="E178" s="11">
        <v>48</v>
      </c>
      <c r="F178" s="11" t="s">
        <v>5906</v>
      </c>
      <c r="G178">
        <v>20140801</v>
      </c>
      <c r="I178" s="11" t="s">
        <v>63</v>
      </c>
      <c r="J178" s="72">
        <v>40188774</v>
      </c>
      <c r="K178" s="99">
        <f>_xlfn.XLOOKUP(_2__ROI_Daily_Update[[#This Row],[CSM id]],SHP!F:F,SHP!EE:EE,"-")</f>
        <v>0</v>
      </c>
      <c r="L178" s="12"/>
      <c r="N178" s="11"/>
      <c r="P178"/>
      <c r="Q178"/>
      <c r="W178" s="28"/>
      <c r="AA178"/>
    </row>
    <row r="179" spans="1:27" x14ac:dyDescent="0.45">
      <c r="A179" s="57">
        <v>1112</v>
      </c>
      <c r="B179" t="s">
        <v>1491</v>
      </c>
      <c r="C179" t="s">
        <v>1492</v>
      </c>
      <c r="D179" s="12">
        <v>46303</v>
      </c>
      <c r="E179" s="11">
        <v>9</v>
      </c>
      <c r="F179" s="11" t="s">
        <v>5906</v>
      </c>
      <c r="G179">
        <v>20260701</v>
      </c>
      <c r="I179" s="11" t="s">
        <v>63</v>
      </c>
      <c r="J179" s="72">
        <v>30632662</v>
      </c>
      <c r="K179" s="99">
        <f>_xlfn.XLOOKUP(_2__ROI_Daily_Update[[#This Row],[CSM id]],SHP!F:F,SHP!EE:EE,"-")</f>
        <v>0</v>
      </c>
      <c r="L179" s="12"/>
      <c r="N179" s="11"/>
      <c r="P179"/>
      <c r="Q179"/>
      <c r="W179" s="28"/>
      <c r="AA179"/>
    </row>
    <row r="180" spans="1:27" x14ac:dyDescent="0.45">
      <c r="A180" s="57">
        <v>1422</v>
      </c>
      <c r="B180" t="s">
        <v>2225</v>
      </c>
      <c r="C180" t="s">
        <v>2226</v>
      </c>
      <c r="D180" s="12">
        <v>46303</v>
      </c>
      <c r="E180" s="11">
        <v>52</v>
      </c>
      <c r="F180" s="11" t="s">
        <v>5409</v>
      </c>
      <c r="G180">
        <v>20191001</v>
      </c>
      <c r="I180" s="11" t="s">
        <v>63</v>
      </c>
      <c r="J180" s="72">
        <v>40422319</v>
      </c>
      <c r="K180" s="99">
        <f>_xlfn.XLOOKUP(_2__ROI_Daily_Update[[#This Row],[CSM id]],SHP!F:F,SHP!EE:EE,"-")</f>
        <v>0</v>
      </c>
      <c r="L180" s="12"/>
      <c r="N180" s="11"/>
      <c r="P180"/>
      <c r="Q180"/>
      <c r="W180" s="28"/>
      <c r="AA180"/>
    </row>
    <row r="181" spans="1:27" x14ac:dyDescent="0.45">
      <c r="A181" s="57">
        <v>1112</v>
      </c>
      <c r="B181" t="s">
        <v>1491</v>
      </c>
      <c r="C181" t="s">
        <v>1492</v>
      </c>
      <c r="D181" s="12">
        <v>46303</v>
      </c>
      <c r="E181" s="11">
        <v>6</v>
      </c>
      <c r="F181" s="11" t="s">
        <v>5905</v>
      </c>
      <c r="G181">
        <v>20260701</v>
      </c>
      <c r="I181" s="11" t="s">
        <v>63</v>
      </c>
      <c r="J181" s="72">
        <v>30632662</v>
      </c>
      <c r="K181" s="99">
        <f>_xlfn.XLOOKUP(_2__ROI_Daily_Update[[#This Row],[CSM id]],SHP!F:F,SHP!EE:EE,"-")</f>
        <v>0</v>
      </c>
      <c r="L181" s="12"/>
      <c r="N181" s="11"/>
      <c r="P181"/>
      <c r="Q181"/>
      <c r="W181" s="28"/>
      <c r="AA181"/>
    </row>
    <row r="182" spans="1:27" x14ac:dyDescent="0.45">
      <c r="A182" s="57">
        <v>1112</v>
      </c>
      <c r="B182" t="s">
        <v>1469</v>
      </c>
      <c r="C182" t="s">
        <v>1470</v>
      </c>
      <c r="D182" s="12">
        <v>46303</v>
      </c>
      <c r="E182" s="11">
        <v>18</v>
      </c>
      <c r="F182" s="11" t="s">
        <v>5911</v>
      </c>
      <c r="G182">
        <v>20261001</v>
      </c>
      <c r="H182" s="12">
        <v>46478</v>
      </c>
      <c r="I182" s="11" t="s">
        <v>63</v>
      </c>
      <c r="J182" s="72">
        <v>10637910</v>
      </c>
      <c r="K182" s="99">
        <f>_xlfn.XLOOKUP(_2__ROI_Daily_Update[[#This Row],[CSM id]],SHP!F:F,SHP!EE:EE,"-")</f>
        <v>0</v>
      </c>
      <c r="L182" s="12"/>
      <c r="N182" s="11"/>
      <c r="P182"/>
      <c r="Q182"/>
      <c r="W182" s="28"/>
      <c r="AA182"/>
    </row>
    <row r="183" spans="1:27" x14ac:dyDescent="0.45">
      <c r="A183" s="57">
        <v>1422</v>
      </c>
      <c r="B183" t="s">
        <v>2241</v>
      </c>
      <c r="C183" t="s">
        <v>2242</v>
      </c>
      <c r="D183" s="12">
        <v>46303</v>
      </c>
      <c r="E183" s="11">
        <v>192</v>
      </c>
      <c r="F183" s="11" t="s">
        <v>5409</v>
      </c>
      <c r="G183">
        <v>20141201</v>
      </c>
      <c r="I183" s="11" t="s">
        <v>63</v>
      </c>
      <c r="J183" s="72">
        <v>60173564</v>
      </c>
      <c r="K183" s="99">
        <f>_xlfn.XLOOKUP(_2__ROI_Daily_Update[[#This Row],[CSM id]],SHP!F:F,SHP!EE:EE,"-")</f>
        <v>0</v>
      </c>
      <c r="L183" s="12"/>
      <c r="N183" s="11"/>
      <c r="P183"/>
      <c r="Q183"/>
      <c r="W183" s="28"/>
      <c r="AA183"/>
    </row>
    <row r="184" spans="1:27" x14ac:dyDescent="0.45">
      <c r="A184" s="57">
        <v>1422</v>
      </c>
      <c r="B184" t="s">
        <v>2262</v>
      </c>
      <c r="C184" t="s">
        <v>2263</v>
      </c>
      <c r="D184" s="12">
        <v>46303</v>
      </c>
      <c r="E184" s="11">
        <v>208</v>
      </c>
      <c r="F184" s="11" t="s">
        <v>5264</v>
      </c>
      <c r="G184">
        <v>20141201</v>
      </c>
      <c r="I184" s="11" t="s">
        <v>18</v>
      </c>
      <c r="J184" s="72">
        <v>90191934</v>
      </c>
      <c r="K184" s="99">
        <f>_xlfn.XLOOKUP(_2__ROI_Daily_Update[[#This Row],[CSM id]],SHP!F:F,SHP!EE:EE,"-")</f>
        <v>0</v>
      </c>
      <c r="L184" s="12"/>
      <c r="N184" s="11"/>
      <c r="P184"/>
      <c r="Q184"/>
      <c r="W184" s="28"/>
      <c r="AA184"/>
    </row>
    <row r="185" spans="1:27" x14ac:dyDescent="0.45">
      <c r="A185" s="57">
        <v>782</v>
      </c>
      <c r="B185" t="s">
        <v>594</v>
      </c>
      <c r="C185" t="s">
        <v>595</v>
      </c>
      <c r="D185" s="12">
        <v>46303</v>
      </c>
      <c r="E185" s="11">
        <v>32</v>
      </c>
      <c r="F185" s="11" t="s">
        <v>5909</v>
      </c>
      <c r="G185">
        <v>20221001</v>
      </c>
      <c r="I185" s="11" t="s">
        <v>18</v>
      </c>
      <c r="J185" s="72">
        <v>50500279</v>
      </c>
      <c r="K185" s="99">
        <f>_xlfn.XLOOKUP(_2__ROI_Daily_Update[[#This Row],[CSM id]],SHP!F:F,SHP!EE:EE,"-")</f>
        <v>0</v>
      </c>
      <c r="L185" s="12"/>
      <c r="N185" s="11"/>
      <c r="P185"/>
      <c r="Q185"/>
      <c r="W185" s="28"/>
      <c r="AA185"/>
    </row>
    <row r="186" spans="1:27" x14ac:dyDescent="0.45">
      <c r="A186" s="57">
        <v>782</v>
      </c>
      <c r="B186" t="s">
        <v>587</v>
      </c>
      <c r="C186" t="s">
        <v>588</v>
      </c>
      <c r="D186" s="12">
        <v>46303</v>
      </c>
      <c r="E186" s="11">
        <v>56</v>
      </c>
      <c r="F186" s="11" t="s">
        <v>5909</v>
      </c>
      <c r="G186">
        <v>20250101</v>
      </c>
      <c r="I186" s="11" t="s">
        <v>18</v>
      </c>
      <c r="J186" s="72">
        <v>30591770</v>
      </c>
      <c r="K186" s="99">
        <f>_xlfn.XLOOKUP(_2__ROI_Daily_Update[[#This Row],[CSM id]],SHP!F:F,SHP!EE:EE,"-")</f>
        <v>0</v>
      </c>
      <c r="L186" s="12"/>
      <c r="N186" s="11"/>
      <c r="P186"/>
      <c r="Q186"/>
      <c r="W186" s="28"/>
      <c r="AA186"/>
    </row>
    <row r="187" spans="1:27" x14ac:dyDescent="0.45">
      <c r="A187" s="57">
        <v>1422</v>
      </c>
      <c r="B187" t="s">
        <v>2239</v>
      </c>
      <c r="C187" t="s">
        <v>2240</v>
      </c>
      <c r="D187" s="12">
        <v>46303</v>
      </c>
      <c r="E187" s="11">
        <v>225</v>
      </c>
      <c r="F187" s="11" t="s">
        <v>5409</v>
      </c>
      <c r="G187">
        <v>20220701</v>
      </c>
      <c r="I187" s="11" t="s">
        <v>63</v>
      </c>
      <c r="J187" s="72">
        <v>50521936</v>
      </c>
      <c r="K187" s="99">
        <f>_xlfn.XLOOKUP(_2__ROI_Daily_Update[[#This Row],[CSM id]],SHP!F:F,SHP!EE:EE,"-")</f>
        <v>0</v>
      </c>
      <c r="L187" s="12"/>
      <c r="N187" s="11"/>
      <c r="P187"/>
      <c r="Q187"/>
      <c r="W187" s="28"/>
      <c r="AA187"/>
    </row>
    <row r="188" spans="1:27" x14ac:dyDescent="0.45">
      <c r="A188" s="57">
        <v>782</v>
      </c>
      <c r="B188" t="s">
        <v>600</v>
      </c>
      <c r="C188" t="s">
        <v>601</v>
      </c>
      <c r="D188" s="12">
        <v>46303</v>
      </c>
      <c r="E188" s="11">
        <v>104</v>
      </c>
      <c r="F188" s="11" t="s">
        <v>5914</v>
      </c>
      <c r="G188">
        <v>20140801</v>
      </c>
      <c r="I188" s="11" t="s">
        <v>18</v>
      </c>
      <c r="J188" s="72">
        <v>70178896</v>
      </c>
      <c r="K188" s="99">
        <f>_xlfn.XLOOKUP(_2__ROI_Daily_Update[[#This Row],[CSM id]],SHP!F:F,SHP!EE:EE,"-")</f>
        <v>0</v>
      </c>
      <c r="L188" s="12"/>
      <c r="N188" s="11"/>
      <c r="P188"/>
      <c r="Q188"/>
      <c r="W188" s="28"/>
      <c r="AA188"/>
    </row>
    <row r="189" spans="1:27" x14ac:dyDescent="0.45">
      <c r="A189" s="57">
        <v>974</v>
      </c>
      <c r="B189" t="s">
        <v>933</v>
      </c>
      <c r="C189" t="s">
        <v>934</v>
      </c>
      <c r="D189" s="12">
        <v>46303</v>
      </c>
      <c r="E189" s="11">
        <v>72</v>
      </c>
      <c r="F189" s="11" t="s">
        <v>5905</v>
      </c>
      <c r="G189">
        <v>20220701</v>
      </c>
      <c r="I189" s="11" t="s">
        <v>63</v>
      </c>
      <c r="J189" s="72">
        <v>70513879</v>
      </c>
      <c r="K189" s="99">
        <f>_xlfn.XLOOKUP(_2__ROI_Daily_Update[[#This Row],[CSM id]],SHP!F:F,SHP!EE:EE,"-")</f>
        <v>0</v>
      </c>
      <c r="L189" s="12"/>
      <c r="N189" s="11"/>
      <c r="P189"/>
      <c r="Q189"/>
      <c r="W189" s="28"/>
      <c r="AA189"/>
    </row>
    <row r="190" spans="1:27" x14ac:dyDescent="0.45">
      <c r="A190" s="57">
        <v>761</v>
      </c>
      <c r="B190" t="s">
        <v>573</v>
      </c>
      <c r="C190" t="s">
        <v>574</v>
      </c>
      <c r="D190" s="12">
        <v>46303</v>
      </c>
      <c r="E190" s="11">
        <v>16</v>
      </c>
      <c r="F190" s="11" t="s">
        <v>5906</v>
      </c>
      <c r="G190">
        <v>20260401</v>
      </c>
      <c r="I190" s="11" t="s">
        <v>63</v>
      </c>
      <c r="J190" s="72">
        <v>80618102</v>
      </c>
      <c r="K190" s="99">
        <f>_xlfn.XLOOKUP(_2__ROI_Daily_Update[[#This Row],[CSM id]],SHP!F:F,SHP!EE:EE,"-")</f>
        <v>0</v>
      </c>
      <c r="L190" s="12"/>
      <c r="N190" s="11"/>
      <c r="P190"/>
      <c r="Q190"/>
      <c r="W190" s="28"/>
      <c r="AA190"/>
    </row>
    <row r="191" spans="1:27" x14ac:dyDescent="0.45">
      <c r="A191" s="57">
        <v>1815</v>
      </c>
      <c r="B191" t="s">
        <v>3464</v>
      </c>
      <c r="C191" t="s">
        <v>3465</v>
      </c>
      <c r="D191" s="12">
        <v>46303</v>
      </c>
      <c r="E191" s="11">
        <v>304</v>
      </c>
      <c r="F191" s="11" t="s">
        <v>5906</v>
      </c>
      <c r="G191">
        <v>20260701</v>
      </c>
      <c r="I191" s="11" t="s">
        <v>63</v>
      </c>
      <c r="J191" s="72">
        <v>20644284</v>
      </c>
      <c r="K191" s="99">
        <f>_xlfn.XLOOKUP(_2__ROI_Daily_Update[[#This Row],[CSM id]],SHP!F:F,SHP!EE:EE,"-")</f>
        <v>0</v>
      </c>
      <c r="L191" s="12"/>
      <c r="N191" s="11"/>
      <c r="P191"/>
      <c r="Q191"/>
      <c r="W191" s="28"/>
      <c r="AA191"/>
    </row>
    <row r="192" spans="1:27" x14ac:dyDescent="0.45">
      <c r="A192" s="57">
        <v>1836</v>
      </c>
      <c r="B192" t="s">
        <v>3656</v>
      </c>
      <c r="C192" t="s">
        <v>3657</v>
      </c>
      <c r="D192" s="12">
        <v>46303</v>
      </c>
      <c r="E192" s="11">
        <v>60</v>
      </c>
      <c r="F192" s="11" t="s">
        <v>5906</v>
      </c>
      <c r="G192">
        <v>20260401</v>
      </c>
      <c r="H192" s="12">
        <v>46478</v>
      </c>
      <c r="I192" s="11" t="s">
        <v>63</v>
      </c>
      <c r="J192" s="72">
        <v>50636904</v>
      </c>
      <c r="K192" s="99">
        <f>_xlfn.XLOOKUP(_2__ROI_Daily_Update[[#This Row],[CSM id]],SHP!F:F,SHP!EE:EE,"-")</f>
        <v>0</v>
      </c>
      <c r="L192" s="12"/>
      <c r="N192" s="11"/>
      <c r="P192"/>
      <c r="Q192"/>
      <c r="W192" s="28"/>
      <c r="AA192"/>
    </row>
    <row r="193" spans="1:27" x14ac:dyDescent="0.45">
      <c r="A193" s="57">
        <v>782</v>
      </c>
      <c r="B193" t="s">
        <v>591</v>
      </c>
      <c r="C193" t="s">
        <v>592</v>
      </c>
      <c r="D193" s="12">
        <v>46303</v>
      </c>
      <c r="E193" s="11">
        <v>26</v>
      </c>
      <c r="F193" s="11" t="s">
        <v>5914</v>
      </c>
      <c r="G193">
        <v>20140801</v>
      </c>
      <c r="I193" s="11" t="s">
        <v>18</v>
      </c>
      <c r="J193" s="72">
        <v>50225592</v>
      </c>
      <c r="K193" s="99">
        <f>_xlfn.XLOOKUP(_2__ROI_Daily_Update[[#This Row],[CSM id]],SHP!F:F,SHP!EE:EE,"-")</f>
        <v>0</v>
      </c>
      <c r="L193" s="12"/>
      <c r="N193" s="11"/>
      <c r="P193"/>
      <c r="Q193"/>
      <c r="W193" s="28"/>
      <c r="AA193"/>
    </row>
    <row r="194" spans="1:27" x14ac:dyDescent="0.45">
      <c r="A194" s="57">
        <v>974</v>
      </c>
      <c r="B194" t="s">
        <v>937</v>
      </c>
      <c r="C194" t="s">
        <v>938</v>
      </c>
      <c r="D194" s="12">
        <v>46303</v>
      </c>
      <c r="E194" s="11">
        <v>288</v>
      </c>
      <c r="F194" s="11" t="s">
        <v>5905</v>
      </c>
      <c r="G194">
        <v>20250701</v>
      </c>
      <c r="I194" s="11" t="s">
        <v>63</v>
      </c>
      <c r="J194" s="72">
        <v>90582268</v>
      </c>
      <c r="K194" s="99">
        <f>_xlfn.XLOOKUP(_2__ROI_Daily_Update[[#This Row],[CSM id]],SHP!F:F,SHP!EE:EE,"-")</f>
        <v>0</v>
      </c>
      <c r="L194" s="12"/>
      <c r="N194" s="11"/>
      <c r="P194"/>
      <c r="Q194"/>
      <c r="W194" s="28"/>
      <c r="AA194"/>
    </row>
    <row r="195" spans="1:27" x14ac:dyDescent="0.45">
      <c r="A195" s="57">
        <v>1112</v>
      </c>
      <c r="B195" t="s">
        <v>1471</v>
      </c>
      <c r="C195" t="s">
        <v>1472</v>
      </c>
      <c r="D195" s="12">
        <v>46303</v>
      </c>
      <c r="E195" s="11">
        <v>8</v>
      </c>
      <c r="F195" s="11" t="s">
        <v>5906</v>
      </c>
      <c r="G195">
        <v>20250401</v>
      </c>
      <c r="I195" s="11" t="s">
        <v>63</v>
      </c>
      <c r="J195" s="72">
        <v>20591172</v>
      </c>
      <c r="K195" s="99">
        <f>_xlfn.XLOOKUP(_2__ROI_Daily_Update[[#This Row],[CSM id]],SHP!F:F,SHP!EE:EE,"-")</f>
        <v>0</v>
      </c>
      <c r="L195" s="12"/>
      <c r="N195" s="11"/>
      <c r="P195"/>
      <c r="Q195"/>
      <c r="W195" s="28"/>
      <c r="AA195"/>
    </row>
    <row r="196" spans="1:27" x14ac:dyDescent="0.45">
      <c r="A196" s="57">
        <v>1112</v>
      </c>
      <c r="B196" t="s">
        <v>1481</v>
      </c>
      <c r="C196" t="s">
        <v>1482</v>
      </c>
      <c r="D196" s="12">
        <v>46303</v>
      </c>
      <c r="E196" s="11">
        <v>10</v>
      </c>
      <c r="F196" s="11" t="s">
        <v>5905</v>
      </c>
      <c r="G196">
        <v>20260101</v>
      </c>
      <c r="I196" s="11" t="s">
        <v>63</v>
      </c>
      <c r="J196" s="72">
        <v>30621625</v>
      </c>
      <c r="K196" s="99">
        <f>_xlfn.XLOOKUP(_2__ROI_Daily_Update[[#This Row],[CSM id]],SHP!F:F,SHP!EE:EE,"-")</f>
        <v>0</v>
      </c>
      <c r="L196" s="12"/>
      <c r="N196" s="11"/>
      <c r="P196"/>
      <c r="Q196"/>
      <c r="W196" s="28"/>
      <c r="AA196"/>
    </row>
    <row r="197" spans="1:27" x14ac:dyDescent="0.45">
      <c r="A197" s="57">
        <v>1112</v>
      </c>
      <c r="B197" t="s">
        <v>1479</v>
      </c>
      <c r="C197" t="s">
        <v>1480</v>
      </c>
      <c r="D197" s="12">
        <v>46303</v>
      </c>
      <c r="E197" s="11">
        <v>3</v>
      </c>
      <c r="F197" s="11" t="s">
        <v>5905</v>
      </c>
      <c r="G197">
        <v>20251001</v>
      </c>
      <c r="I197" s="11" t="s">
        <v>63</v>
      </c>
      <c r="J197" s="72">
        <v>30611278</v>
      </c>
      <c r="K197" s="99">
        <f>_xlfn.XLOOKUP(_2__ROI_Daily_Update[[#This Row],[CSM id]],SHP!F:F,SHP!EE:EE,"-")</f>
        <v>0</v>
      </c>
      <c r="L197" s="12"/>
      <c r="N197" s="11"/>
      <c r="P197"/>
      <c r="Q197"/>
      <c r="W197" s="28"/>
      <c r="AA197"/>
    </row>
    <row r="198" spans="1:27" x14ac:dyDescent="0.45">
      <c r="A198" s="57">
        <v>1422</v>
      </c>
      <c r="B198" t="s">
        <v>2233</v>
      </c>
      <c r="C198" t="s">
        <v>2234</v>
      </c>
      <c r="D198" s="12">
        <v>46303</v>
      </c>
      <c r="E198" s="11">
        <v>240</v>
      </c>
      <c r="F198" s="11" t="s">
        <v>5409</v>
      </c>
      <c r="G198">
        <v>20250701</v>
      </c>
      <c r="I198" s="11" t="s">
        <v>63</v>
      </c>
      <c r="J198" s="72">
        <v>40605125</v>
      </c>
      <c r="K198" s="99">
        <f>_xlfn.XLOOKUP(_2__ROI_Daily_Update[[#This Row],[CSM id]],SHP!F:F,SHP!EE:EE,"-")</f>
        <v>0</v>
      </c>
      <c r="L198" s="12"/>
      <c r="N198" s="11"/>
      <c r="P198"/>
      <c r="Q198"/>
      <c r="W198" s="28"/>
      <c r="AA198"/>
    </row>
    <row r="199" spans="1:27" x14ac:dyDescent="0.45">
      <c r="A199" s="57">
        <v>1422</v>
      </c>
      <c r="B199" t="s">
        <v>2231</v>
      </c>
      <c r="C199" t="s">
        <v>2232</v>
      </c>
      <c r="D199" s="12">
        <v>46303</v>
      </c>
      <c r="E199" s="11">
        <v>100</v>
      </c>
      <c r="F199" s="11" t="s">
        <v>5409</v>
      </c>
      <c r="G199">
        <v>20240101</v>
      </c>
      <c r="I199" s="11" t="s">
        <v>63</v>
      </c>
      <c r="J199" s="72">
        <v>40563432</v>
      </c>
      <c r="K199" s="99">
        <f>_xlfn.XLOOKUP(_2__ROI_Daily_Update[[#This Row],[CSM id]],SHP!F:F,SHP!EE:EE,"-")</f>
        <v>0</v>
      </c>
      <c r="L199" s="12"/>
      <c r="N199" s="11"/>
      <c r="P199"/>
      <c r="Q199"/>
      <c r="W199" s="28"/>
      <c r="AA199"/>
    </row>
    <row r="200" spans="1:27" x14ac:dyDescent="0.45">
      <c r="A200" s="57">
        <v>1422</v>
      </c>
      <c r="B200" t="s">
        <v>2229</v>
      </c>
      <c r="C200" t="s">
        <v>2230</v>
      </c>
      <c r="D200" s="12">
        <v>46303</v>
      </c>
      <c r="E200" s="11">
        <v>588</v>
      </c>
      <c r="F200" s="11" t="s">
        <v>5905</v>
      </c>
      <c r="G200">
        <v>20221001</v>
      </c>
      <c r="H200" s="12">
        <v>46388</v>
      </c>
      <c r="I200" s="11" t="s">
        <v>63</v>
      </c>
      <c r="J200" s="72">
        <v>40529400</v>
      </c>
      <c r="K200" s="99">
        <f>_xlfn.XLOOKUP(_2__ROI_Daily_Update[[#This Row],[CSM id]],SHP!F:F,SHP!EE:EE,"-")</f>
        <v>0</v>
      </c>
      <c r="L200" s="12"/>
      <c r="N200" s="11"/>
      <c r="P200"/>
      <c r="Q200"/>
      <c r="W200" s="28"/>
      <c r="AA200"/>
    </row>
    <row r="201" spans="1:27" x14ac:dyDescent="0.45">
      <c r="A201" s="57">
        <v>1422</v>
      </c>
      <c r="B201" t="s">
        <v>2227</v>
      </c>
      <c r="C201" t="s">
        <v>2228</v>
      </c>
      <c r="D201" s="12">
        <v>46303</v>
      </c>
      <c r="E201" s="11">
        <v>378</v>
      </c>
      <c r="F201" s="11" t="s">
        <v>5264</v>
      </c>
      <c r="G201">
        <v>20221001</v>
      </c>
      <c r="I201" s="11" t="s">
        <v>18</v>
      </c>
      <c r="J201" s="72">
        <v>40521951</v>
      </c>
      <c r="K201" s="99">
        <f>_xlfn.XLOOKUP(_2__ROI_Daily_Update[[#This Row],[CSM id]],SHP!F:F,SHP!EE:EE,"-")</f>
        <v>0</v>
      </c>
      <c r="L201" s="12"/>
      <c r="N201" s="11"/>
      <c r="P201"/>
      <c r="Q201"/>
      <c r="W201" s="28"/>
      <c r="AA201"/>
    </row>
    <row r="202" spans="1:27" x14ac:dyDescent="0.45">
      <c r="A202" s="57">
        <v>1422</v>
      </c>
      <c r="B202" t="s">
        <v>2258</v>
      </c>
      <c r="C202" t="s">
        <v>2259</v>
      </c>
      <c r="D202" s="12">
        <v>46303</v>
      </c>
      <c r="E202" s="11">
        <v>300</v>
      </c>
      <c r="F202" s="11" t="s">
        <v>5409</v>
      </c>
      <c r="G202">
        <v>20240101</v>
      </c>
      <c r="I202" s="11" t="s">
        <v>63</v>
      </c>
      <c r="J202" s="72">
        <v>80562765</v>
      </c>
      <c r="K202" s="99">
        <f>_xlfn.XLOOKUP(_2__ROI_Daily_Update[[#This Row],[CSM id]],SHP!F:F,SHP!EE:EE,"-")</f>
        <v>0</v>
      </c>
      <c r="L202" s="12"/>
      <c r="N202" s="11"/>
      <c r="P202"/>
      <c r="Q202"/>
      <c r="W202" s="28"/>
      <c r="AA202"/>
    </row>
    <row r="203" spans="1:27" x14ac:dyDescent="0.45">
      <c r="A203" s="57">
        <v>1112</v>
      </c>
      <c r="B203" t="s">
        <v>1489</v>
      </c>
      <c r="C203" t="s">
        <v>1490</v>
      </c>
      <c r="D203" s="12">
        <v>46303</v>
      </c>
      <c r="E203" s="11">
        <v>24</v>
      </c>
      <c r="F203" s="11" t="s">
        <v>5910</v>
      </c>
      <c r="G203">
        <v>20260701</v>
      </c>
      <c r="I203" s="11" t="s">
        <v>63</v>
      </c>
      <c r="J203" s="72">
        <v>30632445</v>
      </c>
      <c r="K203" s="99">
        <f>_xlfn.XLOOKUP(_2__ROI_Daily_Update[[#This Row],[CSM id]],SHP!F:F,SHP!EE:EE,"-")</f>
        <v>0</v>
      </c>
      <c r="L203" s="12"/>
      <c r="N203" s="11"/>
      <c r="P203"/>
      <c r="Q203"/>
      <c r="W203" s="28"/>
      <c r="AA203"/>
    </row>
    <row r="204" spans="1:27" x14ac:dyDescent="0.45">
      <c r="A204" s="57">
        <v>1422</v>
      </c>
      <c r="B204" t="s">
        <v>2237</v>
      </c>
      <c r="C204" t="s">
        <v>2238</v>
      </c>
      <c r="D204" s="12">
        <v>46303</v>
      </c>
      <c r="E204" s="11">
        <v>56</v>
      </c>
      <c r="F204" s="11" t="s">
        <v>5409</v>
      </c>
      <c r="G204">
        <v>20141201</v>
      </c>
      <c r="I204" s="11" t="s">
        <v>63</v>
      </c>
      <c r="J204" s="72">
        <v>50191907</v>
      </c>
      <c r="K204" s="99">
        <f>_xlfn.XLOOKUP(_2__ROI_Daily_Update[[#This Row],[CSM id]],SHP!F:F,SHP!EE:EE,"-")</f>
        <v>0</v>
      </c>
      <c r="L204" s="12"/>
      <c r="N204" s="11"/>
      <c r="P204"/>
      <c r="Q204"/>
      <c r="W204" s="28"/>
      <c r="AA204"/>
    </row>
    <row r="205" spans="1:27" x14ac:dyDescent="0.45">
      <c r="A205" s="57">
        <v>1815</v>
      </c>
      <c r="B205" t="s">
        <v>3464</v>
      </c>
      <c r="C205" t="s">
        <v>3465</v>
      </c>
      <c r="D205" s="12">
        <v>46303</v>
      </c>
      <c r="E205" s="11">
        <v>304</v>
      </c>
      <c r="F205" s="11" t="s">
        <v>5905</v>
      </c>
      <c r="G205">
        <v>20260701</v>
      </c>
      <c r="I205" s="11" t="s">
        <v>63</v>
      </c>
      <c r="J205" s="72">
        <v>20644284</v>
      </c>
      <c r="K205" s="99">
        <f>_xlfn.XLOOKUP(_2__ROI_Daily_Update[[#This Row],[CSM id]],SHP!F:F,SHP!EE:EE,"-")</f>
        <v>0</v>
      </c>
      <c r="L205" s="12"/>
      <c r="N205" s="11"/>
      <c r="P205"/>
      <c r="Q205"/>
      <c r="W205" s="28"/>
      <c r="AA205"/>
    </row>
    <row r="206" spans="1:27" x14ac:dyDescent="0.45">
      <c r="A206" s="57">
        <v>1012</v>
      </c>
      <c r="B206" t="s">
        <v>1058</v>
      </c>
      <c r="C206" t="s">
        <v>1059</v>
      </c>
      <c r="D206" s="12">
        <v>46303</v>
      </c>
      <c r="E206" s="11">
        <v>9</v>
      </c>
      <c r="F206" s="11" t="s">
        <v>5905</v>
      </c>
      <c r="G206">
        <v>20251001</v>
      </c>
      <c r="I206" s="11" t="s">
        <v>63</v>
      </c>
      <c r="J206" s="72">
        <v>10591653</v>
      </c>
      <c r="K206" s="99">
        <f>_xlfn.XLOOKUP(_2__ROI_Daily_Update[[#This Row],[CSM id]],SHP!F:F,SHP!EE:EE,"-")</f>
        <v>0</v>
      </c>
      <c r="L206" s="12"/>
      <c r="N206" s="11"/>
      <c r="P206"/>
      <c r="Q206"/>
      <c r="W206" s="28"/>
      <c r="AA206"/>
    </row>
    <row r="207" spans="1:27" x14ac:dyDescent="0.45">
      <c r="A207" s="57">
        <v>1112</v>
      </c>
      <c r="B207" t="s">
        <v>1465</v>
      </c>
      <c r="C207" t="s">
        <v>1466</v>
      </c>
      <c r="D207" s="12">
        <v>46303</v>
      </c>
      <c r="E207" s="11">
        <v>6</v>
      </c>
      <c r="F207" s="11" t="s">
        <v>5910</v>
      </c>
      <c r="G207">
        <v>20261001</v>
      </c>
      <c r="I207" s="11" t="s">
        <v>63</v>
      </c>
      <c r="J207" s="72">
        <v>10637043</v>
      </c>
      <c r="K207" s="99">
        <f>_xlfn.XLOOKUP(_2__ROI_Daily_Update[[#This Row],[CSM id]],SHP!F:F,SHP!EE:EE,"-")</f>
        <v>0</v>
      </c>
      <c r="L207" s="12"/>
      <c r="N207" s="11"/>
      <c r="P207"/>
      <c r="Q207"/>
      <c r="W207" s="28"/>
      <c r="AA207"/>
    </row>
    <row r="208" spans="1:27" x14ac:dyDescent="0.45">
      <c r="A208" s="57">
        <v>1431</v>
      </c>
      <c r="B208" t="s">
        <v>2400</v>
      </c>
      <c r="C208" t="s">
        <v>2401</v>
      </c>
      <c r="D208" s="12">
        <v>46303</v>
      </c>
      <c r="E208" s="11">
        <v>828</v>
      </c>
      <c r="F208" s="11" t="s">
        <v>5404</v>
      </c>
      <c r="G208">
        <v>20210201</v>
      </c>
      <c r="I208" s="11" t="s">
        <v>63</v>
      </c>
      <c r="J208" s="72">
        <v>50485009</v>
      </c>
      <c r="K208" s="99">
        <f>_xlfn.XLOOKUP(_2__ROI_Daily_Update[[#This Row],[CSM id]],SHP!F:F,SHP!EE:EE,"-")</f>
        <v>0</v>
      </c>
      <c r="L208" s="12"/>
      <c r="N208" s="11"/>
      <c r="P208"/>
      <c r="Q208"/>
      <c r="W208" s="28"/>
      <c r="AA208"/>
    </row>
    <row r="209" spans="1:27" x14ac:dyDescent="0.45">
      <c r="A209" s="57">
        <v>623</v>
      </c>
      <c r="B209" t="s">
        <v>83</v>
      </c>
      <c r="C209" t="s">
        <v>84</v>
      </c>
      <c r="D209" s="12">
        <v>46303</v>
      </c>
      <c r="E209" s="11">
        <v>110</v>
      </c>
      <c r="F209" s="11" t="s">
        <v>5908</v>
      </c>
      <c r="G209">
        <v>20260701</v>
      </c>
      <c r="I209" s="11" t="s">
        <v>63</v>
      </c>
      <c r="J209" s="72">
        <v>80612567</v>
      </c>
      <c r="K209" s="99">
        <f>_xlfn.XLOOKUP(_2__ROI_Daily_Update[[#This Row],[CSM id]],SHP!F:F,SHP!EE:EE,"-")</f>
        <v>0</v>
      </c>
      <c r="L209" s="12"/>
      <c r="N209" s="11"/>
      <c r="P209"/>
      <c r="Q209"/>
      <c r="W209" s="28"/>
      <c r="AA209"/>
    </row>
    <row r="210" spans="1:27" x14ac:dyDescent="0.45">
      <c r="A210" s="57">
        <v>623</v>
      </c>
      <c r="B210" t="s">
        <v>275</v>
      </c>
      <c r="C210" t="s">
        <v>276</v>
      </c>
      <c r="D210" s="12">
        <v>46303</v>
      </c>
      <c r="E210" s="11">
        <v>432</v>
      </c>
      <c r="F210" s="11" t="s">
        <v>5909</v>
      </c>
      <c r="G210">
        <v>20190201</v>
      </c>
      <c r="H210" s="12">
        <v>46388</v>
      </c>
      <c r="I210" s="11" t="s">
        <v>18</v>
      </c>
      <c r="J210" s="72">
        <v>20381254</v>
      </c>
      <c r="K210" s="99">
        <f>_xlfn.XLOOKUP(_2__ROI_Daily_Update[[#This Row],[CSM id]],SHP!F:F,SHP!EE:EE,"-")</f>
        <v>0</v>
      </c>
      <c r="L210" s="12"/>
      <c r="N210" s="11"/>
      <c r="P210"/>
      <c r="Q210"/>
      <c r="W210" s="28"/>
      <c r="AA210"/>
    </row>
    <row r="211" spans="1:27" x14ac:dyDescent="0.45">
      <c r="A211" s="57">
        <v>1111</v>
      </c>
      <c r="B211" t="s">
        <v>1387</v>
      </c>
      <c r="C211" t="s">
        <v>1388</v>
      </c>
      <c r="D211" s="12">
        <v>46303</v>
      </c>
      <c r="E211" s="11">
        <v>84</v>
      </c>
      <c r="F211" s="11" t="s">
        <v>5910</v>
      </c>
      <c r="G211">
        <v>20170401</v>
      </c>
      <c r="I211" s="11" t="s">
        <v>63</v>
      </c>
      <c r="J211" s="72">
        <v>40343732</v>
      </c>
      <c r="K211" s="99">
        <f>_xlfn.XLOOKUP(_2__ROI_Daily_Update[[#This Row],[CSM id]],SHP!F:F,SHP!EE:EE,"-")</f>
        <v>0</v>
      </c>
      <c r="L211" s="12"/>
      <c r="N211" s="11"/>
      <c r="P211"/>
      <c r="Q211"/>
      <c r="W211" s="28"/>
      <c r="AA211"/>
    </row>
    <row r="212" spans="1:27" x14ac:dyDescent="0.45">
      <c r="A212" s="57">
        <v>623</v>
      </c>
      <c r="B212" t="s">
        <v>536</v>
      </c>
      <c r="C212" t="s">
        <v>537</v>
      </c>
      <c r="D212" s="12">
        <v>46303</v>
      </c>
      <c r="E212" s="11">
        <v>270</v>
      </c>
      <c r="F212" s="11" t="s">
        <v>5905</v>
      </c>
      <c r="G212">
        <v>20190201</v>
      </c>
      <c r="I212" s="11" t="s">
        <v>63</v>
      </c>
      <c r="J212" s="72">
        <v>90400305</v>
      </c>
      <c r="K212" s="99">
        <f>_xlfn.XLOOKUP(_2__ROI_Daily_Update[[#This Row],[CSM id]],SHP!F:F,SHP!EE:EE,"-")</f>
        <v>0</v>
      </c>
      <c r="L212" s="12"/>
      <c r="N212" s="11"/>
      <c r="P212"/>
      <c r="Q212"/>
      <c r="W212" s="28"/>
      <c r="AA212"/>
    </row>
    <row r="213" spans="1:27" x14ac:dyDescent="0.45">
      <c r="A213" s="57">
        <v>623</v>
      </c>
      <c r="B213" t="s">
        <v>528</v>
      </c>
      <c r="C213" t="s">
        <v>529</v>
      </c>
      <c r="D213" s="12">
        <v>46303</v>
      </c>
      <c r="E213" s="11">
        <v>400</v>
      </c>
      <c r="F213" s="11" t="s">
        <v>5906</v>
      </c>
      <c r="G213">
        <v>20190201</v>
      </c>
      <c r="I213" s="11" t="s">
        <v>63</v>
      </c>
      <c r="J213" s="72">
        <v>20381292</v>
      </c>
      <c r="K213" s="99">
        <f>_xlfn.XLOOKUP(_2__ROI_Daily_Update[[#This Row],[CSM id]],SHP!F:F,SHP!EE:EE,"-")</f>
        <v>0</v>
      </c>
      <c r="L213" s="12"/>
      <c r="N213" s="11"/>
      <c r="P213"/>
      <c r="Q213"/>
      <c r="W213" s="28"/>
      <c r="AA213"/>
    </row>
    <row r="214" spans="1:27" x14ac:dyDescent="0.45">
      <c r="A214" s="57">
        <v>1431</v>
      </c>
      <c r="B214" t="s">
        <v>2396</v>
      </c>
      <c r="C214" t="s">
        <v>2397</v>
      </c>
      <c r="D214" s="12">
        <v>46303</v>
      </c>
      <c r="E214" s="11">
        <v>1764</v>
      </c>
      <c r="F214" s="11" t="s">
        <v>5269</v>
      </c>
      <c r="G214">
        <v>20261001</v>
      </c>
      <c r="I214" s="11" t="s">
        <v>18</v>
      </c>
      <c r="J214" s="72">
        <v>40628363</v>
      </c>
      <c r="K214" s="99">
        <f>_xlfn.XLOOKUP(_2__ROI_Daily_Update[[#This Row],[CSM id]],SHP!F:F,SHP!EE:EE,"-")</f>
        <v>0</v>
      </c>
      <c r="L214" s="12"/>
      <c r="N214" s="11"/>
      <c r="P214"/>
      <c r="Q214"/>
      <c r="W214" s="28"/>
      <c r="AA214"/>
    </row>
    <row r="215" spans="1:27" x14ac:dyDescent="0.45">
      <c r="A215" s="57">
        <v>1431</v>
      </c>
      <c r="B215" t="s">
        <v>2394</v>
      </c>
      <c r="C215" t="s">
        <v>2395</v>
      </c>
      <c r="D215" s="12">
        <v>46303</v>
      </c>
      <c r="E215" s="11">
        <v>9</v>
      </c>
      <c r="F215" s="11" t="s">
        <v>5409</v>
      </c>
      <c r="G215">
        <v>20260401</v>
      </c>
      <c r="I215" s="11" t="s">
        <v>63</v>
      </c>
      <c r="J215" s="72">
        <v>40623737</v>
      </c>
      <c r="K215" s="99">
        <f>_xlfn.XLOOKUP(_2__ROI_Daily_Update[[#This Row],[CSM id]],SHP!F:F,SHP!EE:EE,"-")</f>
        <v>0</v>
      </c>
      <c r="L215" s="12"/>
      <c r="N215" s="11"/>
      <c r="P215"/>
      <c r="Q215"/>
      <c r="W215" s="28"/>
      <c r="AA215"/>
    </row>
    <row r="216" spans="1:27" x14ac:dyDescent="0.45">
      <c r="A216" s="57">
        <v>1111</v>
      </c>
      <c r="B216" t="s">
        <v>1389</v>
      </c>
      <c r="C216" t="s">
        <v>1390</v>
      </c>
      <c r="D216" s="12">
        <v>46303</v>
      </c>
      <c r="E216" s="11">
        <v>36</v>
      </c>
      <c r="F216" s="11" t="s">
        <v>5905</v>
      </c>
      <c r="G216">
        <v>20200701</v>
      </c>
      <c r="I216" s="11" t="s">
        <v>63</v>
      </c>
      <c r="J216" s="72">
        <v>40491987</v>
      </c>
      <c r="K216" s="99">
        <f>_xlfn.XLOOKUP(_2__ROI_Daily_Update[[#This Row],[CSM id]],SHP!F:F,SHP!EE:EE,"-")</f>
        <v>0</v>
      </c>
      <c r="L216" s="12"/>
      <c r="N216" s="11"/>
      <c r="P216"/>
      <c r="Q216"/>
      <c r="W216" s="28"/>
      <c r="AA216"/>
    </row>
    <row r="217" spans="1:27" x14ac:dyDescent="0.45">
      <c r="A217" s="57">
        <v>1431</v>
      </c>
      <c r="B217" t="s">
        <v>2390</v>
      </c>
      <c r="C217" t="s">
        <v>2391</v>
      </c>
      <c r="D217" s="12">
        <v>46303</v>
      </c>
      <c r="E217" s="11">
        <v>1080</v>
      </c>
      <c r="F217" s="11" t="s">
        <v>5264</v>
      </c>
      <c r="G217">
        <v>20250701</v>
      </c>
      <c r="I217" s="11" t="s">
        <v>18</v>
      </c>
      <c r="J217" s="72">
        <v>40596710</v>
      </c>
      <c r="K217" s="99">
        <f>_xlfn.XLOOKUP(_2__ROI_Daily_Update[[#This Row],[CSM id]],SHP!F:F,SHP!EE:EE,"-")</f>
        <v>0</v>
      </c>
      <c r="L217" s="12"/>
      <c r="N217" s="11"/>
      <c r="P217"/>
      <c r="Q217"/>
      <c r="W217" s="28"/>
      <c r="AA217"/>
    </row>
    <row r="218" spans="1:27" x14ac:dyDescent="0.45">
      <c r="A218" s="57">
        <v>632</v>
      </c>
      <c r="B218" t="s">
        <v>479</v>
      </c>
      <c r="C218" t="s">
        <v>480</v>
      </c>
      <c r="D218" s="12">
        <v>46303</v>
      </c>
      <c r="E218" s="11">
        <v>36</v>
      </c>
      <c r="F218" s="11" t="s">
        <v>5905</v>
      </c>
      <c r="G218">
        <v>20180201</v>
      </c>
      <c r="I218" s="11" t="s">
        <v>63</v>
      </c>
      <c r="J218" s="72">
        <v>349651</v>
      </c>
      <c r="K218" s="99">
        <f>_xlfn.XLOOKUP(_2__ROI_Daily_Update[[#This Row],[CSM id]],SHP!F:F,SHP!EE:EE,"-")</f>
        <v>0</v>
      </c>
      <c r="L218" s="12"/>
      <c r="N218" s="11"/>
      <c r="P218"/>
      <c r="Q218"/>
      <c r="W218" s="28"/>
      <c r="AA218"/>
    </row>
    <row r="219" spans="1:27" x14ac:dyDescent="0.45">
      <c r="A219" s="57">
        <v>1111</v>
      </c>
      <c r="B219" t="s">
        <v>1393</v>
      </c>
      <c r="C219" t="s">
        <v>1394</v>
      </c>
      <c r="D219" s="12">
        <v>46303</v>
      </c>
      <c r="E219" s="11">
        <v>20</v>
      </c>
      <c r="F219" s="11" t="s">
        <v>5910</v>
      </c>
      <c r="G219">
        <v>20251001</v>
      </c>
      <c r="I219" s="11" t="s">
        <v>63</v>
      </c>
      <c r="J219" s="72">
        <v>40615412</v>
      </c>
      <c r="K219" s="99">
        <f>_xlfn.XLOOKUP(_2__ROI_Daily_Update[[#This Row],[CSM id]],SHP!F:F,SHP!EE:EE,"-")</f>
        <v>0</v>
      </c>
      <c r="L219" s="12"/>
      <c r="N219" s="11"/>
      <c r="P219"/>
      <c r="Q219"/>
      <c r="W219" s="28"/>
      <c r="AA219"/>
    </row>
    <row r="220" spans="1:27" x14ac:dyDescent="0.45">
      <c r="A220" s="57">
        <v>1111</v>
      </c>
      <c r="B220" t="s">
        <v>1395</v>
      </c>
      <c r="C220" t="s">
        <v>1396</v>
      </c>
      <c r="D220" s="12">
        <v>46303</v>
      </c>
      <c r="E220" s="11">
        <v>20</v>
      </c>
      <c r="F220" s="11" t="s">
        <v>5905</v>
      </c>
      <c r="G220">
        <v>20251001</v>
      </c>
      <c r="I220" s="11" t="s">
        <v>63</v>
      </c>
      <c r="J220" s="72">
        <v>40616416</v>
      </c>
      <c r="K220" s="99">
        <f>_xlfn.XLOOKUP(_2__ROI_Daily_Update[[#This Row],[CSM id]],SHP!F:F,SHP!EE:EE,"-")</f>
        <v>0</v>
      </c>
      <c r="L220" s="12"/>
      <c r="N220" s="11"/>
      <c r="P220"/>
      <c r="Q220"/>
      <c r="W220" s="28"/>
      <c r="AA220"/>
    </row>
    <row r="221" spans="1:27" x14ac:dyDescent="0.45">
      <c r="A221" s="57">
        <v>1852</v>
      </c>
      <c r="B221" t="s">
        <v>3674</v>
      </c>
      <c r="C221" t="s">
        <v>3675</v>
      </c>
      <c r="D221" s="12">
        <v>46303</v>
      </c>
      <c r="E221" s="11">
        <v>40</v>
      </c>
      <c r="F221" s="11" t="s">
        <v>5910</v>
      </c>
      <c r="G221">
        <v>20250401</v>
      </c>
      <c r="I221" s="11" t="s">
        <v>63</v>
      </c>
      <c r="J221" s="72">
        <v>10601435</v>
      </c>
      <c r="K221" s="99">
        <f>_xlfn.XLOOKUP(_2__ROI_Daily_Update[[#This Row],[CSM id]],SHP!F:F,SHP!EE:EE,"-")</f>
        <v>0</v>
      </c>
      <c r="L221" s="12"/>
      <c r="N221" s="11"/>
      <c r="P221"/>
      <c r="Q221"/>
      <c r="W221" s="28"/>
      <c r="AA221"/>
    </row>
    <row r="222" spans="1:27" x14ac:dyDescent="0.45">
      <c r="A222" s="57">
        <v>1431</v>
      </c>
      <c r="B222" t="s">
        <v>2382</v>
      </c>
      <c r="C222" t="s">
        <v>2383</v>
      </c>
      <c r="D222" s="12">
        <v>46303</v>
      </c>
      <c r="E222" s="11">
        <v>10</v>
      </c>
      <c r="F222" s="11" t="s">
        <v>5409</v>
      </c>
      <c r="G222">
        <v>20260401</v>
      </c>
      <c r="I222" s="11" t="s">
        <v>63</v>
      </c>
      <c r="J222" s="72">
        <v>30624228</v>
      </c>
      <c r="K222" s="99">
        <f>_xlfn.XLOOKUP(_2__ROI_Daily_Update[[#This Row],[CSM id]],SHP!F:F,SHP!EE:EE,"-")</f>
        <v>0</v>
      </c>
      <c r="L222" s="12"/>
      <c r="N222" s="11"/>
      <c r="P222"/>
      <c r="Q222"/>
      <c r="W222" s="28"/>
      <c r="AA222"/>
    </row>
    <row r="223" spans="1:27" x14ac:dyDescent="0.45">
      <c r="A223" s="57">
        <v>1431</v>
      </c>
      <c r="B223" t="s">
        <v>2380</v>
      </c>
      <c r="C223" t="s">
        <v>2381</v>
      </c>
      <c r="D223" s="12">
        <v>46303</v>
      </c>
      <c r="E223" s="11">
        <v>60</v>
      </c>
      <c r="F223" s="11" t="s">
        <v>5409</v>
      </c>
      <c r="G223">
        <v>20260401</v>
      </c>
      <c r="I223" s="11" t="s">
        <v>63</v>
      </c>
      <c r="J223" s="72">
        <v>30623832</v>
      </c>
      <c r="K223" s="99">
        <f>_xlfn.XLOOKUP(_2__ROI_Daily_Update[[#This Row],[CSM id]],SHP!F:F,SHP!EE:EE,"-")</f>
        <v>0</v>
      </c>
      <c r="L223" s="12"/>
      <c r="N223" s="11"/>
      <c r="P223"/>
      <c r="Q223"/>
      <c r="W223" s="28"/>
      <c r="AA223"/>
    </row>
    <row r="224" spans="1:27" x14ac:dyDescent="0.45">
      <c r="A224" s="57">
        <v>1813</v>
      </c>
      <c r="B224" t="s">
        <v>3400</v>
      </c>
      <c r="C224" t="s">
        <v>3401</v>
      </c>
      <c r="D224" s="12">
        <v>46303</v>
      </c>
      <c r="E224" s="11">
        <v>22</v>
      </c>
      <c r="F224" s="11" t="s">
        <v>5905</v>
      </c>
      <c r="G224">
        <v>20251001</v>
      </c>
      <c r="I224" s="11" t="s">
        <v>63</v>
      </c>
      <c r="J224" s="72">
        <v>40596951</v>
      </c>
      <c r="K224" s="99">
        <f>_xlfn.XLOOKUP(_2__ROI_Daily_Update[[#This Row],[CSM id]],SHP!F:F,SHP!EE:EE,"-")</f>
        <v>0</v>
      </c>
      <c r="L224" s="12"/>
      <c r="N224" s="11"/>
      <c r="P224"/>
      <c r="Q224"/>
      <c r="W224" s="28"/>
      <c r="AA224"/>
    </row>
    <row r="225" spans="1:27" x14ac:dyDescent="0.45">
      <c r="A225" s="57">
        <v>1431</v>
      </c>
      <c r="B225" t="s">
        <v>2378</v>
      </c>
      <c r="C225" t="s">
        <v>2379</v>
      </c>
      <c r="D225" s="12">
        <v>46303</v>
      </c>
      <c r="E225" s="11">
        <v>90</v>
      </c>
      <c r="F225" s="11" t="s">
        <v>5409</v>
      </c>
      <c r="G225">
        <v>20260101</v>
      </c>
      <c r="I225" s="11" t="s">
        <v>63</v>
      </c>
      <c r="J225" s="72">
        <v>30611155</v>
      </c>
      <c r="K225" s="99">
        <f>_xlfn.XLOOKUP(_2__ROI_Daily_Update[[#This Row],[CSM id]],SHP!F:F,SHP!EE:EE,"-")</f>
        <v>0</v>
      </c>
      <c r="L225" s="12"/>
      <c r="N225" s="11"/>
      <c r="P225"/>
      <c r="Q225"/>
      <c r="W225" s="28"/>
      <c r="AA225"/>
    </row>
    <row r="226" spans="1:27" x14ac:dyDescent="0.45">
      <c r="A226" s="57">
        <v>1431</v>
      </c>
      <c r="B226" t="s">
        <v>2374</v>
      </c>
      <c r="C226" t="s">
        <v>2375</v>
      </c>
      <c r="D226" s="12">
        <v>46303</v>
      </c>
      <c r="E226" s="11">
        <v>108</v>
      </c>
      <c r="F226" s="11" t="s">
        <v>5911</v>
      </c>
      <c r="G226">
        <v>20210701</v>
      </c>
      <c r="I226" s="11" t="s">
        <v>63</v>
      </c>
      <c r="J226" s="72">
        <v>30499234</v>
      </c>
      <c r="K226" s="99">
        <f>_xlfn.XLOOKUP(_2__ROI_Daily_Update[[#This Row],[CSM id]],SHP!F:F,SHP!EE:EE,"-")</f>
        <v>0</v>
      </c>
      <c r="L226" s="12"/>
      <c r="N226" s="11"/>
      <c r="P226"/>
      <c r="Q226"/>
      <c r="W226" s="28"/>
      <c r="AA226"/>
    </row>
    <row r="227" spans="1:27" x14ac:dyDescent="0.45">
      <c r="A227" s="57">
        <v>1813</v>
      </c>
      <c r="B227" t="s">
        <v>3406</v>
      </c>
      <c r="C227" t="s">
        <v>3407</v>
      </c>
      <c r="D227" s="12">
        <v>46303</v>
      </c>
      <c r="E227" s="11">
        <v>480</v>
      </c>
      <c r="F227" s="11" t="s">
        <v>5905</v>
      </c>
      <c r="G227">
        <v>20221001</v>
      </c>
      <c r="I227" s="11" t="s">
        <v>63</v>
      </c>
      <c r="J227" s="72">
        <v>50534415</v>
      </c>
      <c r="K227" s="99">
        <f>_xlfn.XLOOKUP(_2__ROI_Daily_Update[[#This Row],[CSM id]],SHP!F:F,SHP!EE:EE,"-")</f>
        <v>0</v>
      </c>
      <c r="L227" s="12"/>
      <c r="N227" s="11"/>
      <c r="P227"/>
      <c r="Q227"/>
      <c r="W227" s="28"/>
      <c r="AA227"/>
    </row>
    <row r="228" spans="1:27" x14ac:dyDescent="0.45">
      <c r="A228" s="57">
        <v>1813</v>
      </c>
      <c r="B228" t="s">
        <v>3408</v>
      </c>
      <c r="C228" t="s">
        <v>3409</v>
      </c>
      <c r="D228" s="12">
        <v>46303</v>
      </c>
      <c r="E228" s="11">
        <v>81</v>
      </c>
      <c r="F228" s="11" t="s">
        <v>5905</v>
      </c>
      <c r="G228">
        <v>20221001</v>
      </c>
      <c r="I228" s="11" t="s">
        <v>63</v>
      </c>
      <c r="J228" s="72">
        <v>50534420</v>
      </c>
      <c r="K228" s="99">
        <f>_xlfn.XLOOKUP(_2__ROI_Daily_Update[[#This Row],[CSM id]],SHP!F:F,SHP!EE:EE,"-")</f>
        <v>0</v>
      </c>
      <c r="L228" s="12"/>
      <c r="N228" s="11"/>
      <c r="P228"/>
      <c r="Q228"/>
      <c r="W228" s="28"/>
      <c r="AA228"/>
    </row>
    <row r="229" spans="1:27" x14ac:dyDescent="0.45">
      <c r="A229" s="57">
        <v>1813</v>
      </c>
      <c r="B229" t="s">
        <v>3392</v>
      </c>
      <c r="C229" t="s">
        <v>3393</v>
      </c>
      <c r="D229" s="12">
        <v>46303</v>
      </c>
      <c r="E229" s="11">
        <v>312</v>
      </c>
      <c r="F229" s="11" t="s">
        <v>5908</v>
      </c>
      <c r="G229">
        <v>20260701</v>
      </c>
      <c r="H229" s="12">
        <v>46569</v>
      </c>
      <c r="I229" s="11" t="s">
        <v>63</v>
      </c>
      <c r="J229" s="72">
        <v>30620145</v>
      </c>
      <c r="K229" s="99">
        <f>_xlfn.XLOOKUP(_2__ROI_Daily_Update[[#This Row],[CSM id]],SHP!F:F,SHP!EE:EE,"-")</f>
        <v>0</v>
      </c>
      <c r="L229" s="12"/>
      <c r="N229" s="11"/>
      <c r="P229"/>
      <c r="Q229"/>
      <c r="W229" s="28"/>
      <c r="AA229"/>
    </row>
    <row r="230" spans="1:27" x14ac:dyDescent="0.45">
      <c r="A230" s="57">
        <v>1431</v>
      </c>
      <c r="B230" t="s">
        <v>2368</v>
      </c>
      <c r="C230" t="s">
        <v>2369</v>
      </c>
      <c r="D230" s="12">
        <v>46303</v>
      </c>
      <c r="E230" s="11">
        <v>175</v>
      </c>
      <c r="F230" s="11" t="s">
        <v>5264</v>
      </c>
      <c r="G230">
        <v>20141201</v>
      </c>
      <c r="I230" s="11" t="s">
        <v>18</v>
      </c>
      <c r="J230" s="72">
        <v>30213547</v>
      </c>
      <c r="K230" s="99">
        <f>_xlfn.XLOOKUP(_2__ROI_Daily_Update[[#This Row],[CSM id]],SHP!F:F,SHP!EE:EE,"-")</f>
        <v>0</v>
      </c>
      <c r="L230" s="12"/>
      <c r="N230" s="11"/>
      <c r="P230"/>
      <c r="Q230"/>
      <c r="W230" s="28"/>
      <c r="AA230"/>
    </row>
    <row r="231" spans="1:27" x14ac:dyDescent="0.45">
      <c r="A231" s="57">
        <v>1431</v>
      </c>
      <c r="B231" t="s">
        <v>2402</v>
      </c>
      <c r="C231" t="s">
        <v>2403</v>
      </c>
      <c r="D231" s="12">
        <v>46303</v>
      </c>
      <c r="E231" s="11">
        <v>96</v>
      </c>
      <c r="F231" s="11" t="s">
        <v>5264</v>
      </c>
      <c r="G231">
        <v>20230701</v>
      </c>
      <c r="I231" s="11" t="s">
        <v>18</v>
      </c>
      <c r="J231" s="72">
        <v>50507964</v>
      </c>
      <c r="K231" s="99">
        <f>_xlfn.XLOOKUP(_2__ROI_Daily_Update[[#This Row],[CSM id]],SHP!F:F,SHP!EE:EE,"-")</f>
        <v>0</v>
      </c>
      <c r="L231" s="12"/>
      <c r="N231" s="11"/>
      <c r="P231"/>
      <c r="Q231"/>
      <c r="W231" s="28"/>
      <c r="AA231"/>
    </row>
    <row r="232" spans="1:27" x14ac:dyDescent="0.45">
      <c r="A232" s="57">
        <v>1111</v>
      </c>
      <c r="B232" t="s">
        <v>1385</v>
      </c>
      <c r="C232" t="s">
        <v>1386</v>
      </c>
      <c r="D232" s="12">
        <v>46303</v>
      </c>
      <c r="E232" s="11">
        <v>36</v>
      </c>
      <c r="F232" s="11" t="s">
        <v>5905</v>
      </c>
      <c r="G232">
        <v>20170201</v>
      </c>
      <c r="I232" s="11" t="s">
        <v>63</v>
      </c>
      <c r="J232" s="72">
        <v>40342723</v>
      </c>
      <c r="K232" s="99">
        <f>_xlfn.XLOOKUP(_2__ROI_Daily_Update[[#This Row],[CSM id]],SHP!F:F,SHP!EE:EE,"-")</f>
        <v>0</v>
      </c>
      <c r="L232" s="12"/>
      <c r="N232" s="11"/>
      <c r="P232"/>
      <c r="Q232"/>
      <c r="W232" s="28"/>
      <c r="AA232"/>
    </row>
    <row r="233" spans="1:27" x14ac:dyDescent="0.45">
      <c r="A233" s="57">
        <v>1431</v>
      </c>
      <c r="B233" t="s">
        <v>2432</v>
      </c>
      <c r="C233" t="s">
        <v>2433</v>
      </c>
      <c r="D233" s="12">
        <v>46303</v>
      </c>
      <c r="E233" s="11">
        <v>168</v>
      </c>
      <c r="F233" s="11" t="s">
        <v>5906</v>
      </c>
      <c r="G233">
        <v>20250401</v>
      </c>
      <c r="I233" s="11" t="s">
        <v>63</v>
      </c>
      <c r="J233" s="72">
        <v>80607325</v>
      </c>
      <c r="K233" s="99">
        <f>_xlfn.XLOOKUP(_2__ROI_Daily_Update[[#This Row],[CSM id]],SHP!F:F,SHP!EE:EE,"-")</f>
        <v>0</v>
      </c>
      <c r="L233" s="12"/>
      <c r="N233" s="11"/>
      <c r="P233"/>
      <c r="Q233"/>
      <c r="W233" s="28"/>
      <c r="AA233"/>
    </row>
    <row r="234" spans="1:27" x14ac:dyDescent="0.45">
      <c r="A234" s="57">
        <v>1431</v>
      </c>
      <c r="B234" t="s">
        <v>2430</v>
      </c>
      <c r="C234" t="s">
        <v>2431</v>
      </c>
      <c r="D234" s="12">
        <v>46303</v>
      </c>
      <c r="E234" s="11">
        <v>54</v>
      </c>
      <c r="F234" s="11" t="s">
        <v>5409</v>
      </c>
      <c r="G234">
        <v>20251001</v>
      </c>
      <c r="I234" s="11" t="s">
        <v>63</v>
      </c>
      <c r="J234" s="72">
        <v>80605699</v>
      </c>
      <c r="K234" s="99">
        <f>_xlfn.XLOOKUP(_2__ROI_Daily_Update[[#This Row],[CSM id]],SHP!F:F,SHP!EE:EE,"-")</f>
        <v>0</v>
      </c>
      <c r="L234" s="12"/>
      <c r="N234" s="11"/>
      <c r="P234"/>
      <c r="Q234"/>
      <c r="W234" s="28"/>
      <c r="AA234"/>
    </row>
    <row r="235" spans="1:27" x14ac:dyDescent="0.45">
      <c r="A235" s="57">
        <v>623</v>
      </c>
      <c r="B235" t="s">
        <v>201</v>
      </c>
      <c r="C235" t="s">
        <v>202</v>
      </c>
      <c r="D235" s="12">
        <v>46303</v>
      </c>
      <c r="E235" s="11">
        <v>24</v>
      </c>
      <c r="F235" s="11" t="s">
        <v>5908</v>
      </c>
      <c r="G235">
        <v>20250101</v>
      </c>
      <c r="I235" s="11" t="s">
        <v>63</v>
      </c>
      <c r="J235" s="72">
        <v>50599336</v>
      </c>
      <c r="K235" s="99">
        <f>_xlfn.XLOOKUP(_2__ROI_Daily_Update[[#This Row],[CSM id]],SHP!F:F,SHP!EE:EE,"-")</f>
        <v>0</v>
      </c>
      <c r="L235" s="12"/>
      <c r="N235" s="11"/>
      <c r="P235"/>
      <c r="Q235"/>
      <c r="W235" s="28"/>
      <c r="AA235"/>
    </row>
    <row r="236" spans="1:27" x14ac:dyDescent="0.45">
      <c r="A236" s="57">
        <v>623</v>
      </c>
      <c r="B236" t="s">
        <v>534</v>
      </c>
      <c r="C236" t="s">
        <v>535</v>
      </c>
      <c r="D236" s="12">
        <v>46303</v>
      </c>
      <c r="E236" s="11">
        <v>448</v>
      </c>
      <c r="F236" s="11" t="s">
        <v>5909</v>
      </c>
      <c r="G236">
        <v>20241001</v>
      </c>
      <c r="I236" s="11" t="s">
        <v>18</v>
      </c>
      <c r="J236" s="72">
        <v>70574434</v>
      </c>
      <c r="K236" s="99">
        <f>_xlfn.XLOOKUP(_2__ROI_Daily_Update[[#This Row],[CSM id]],SHP!F:F,SHP!EE:EE,"-")</f>
        <v>0</v>
      </c>
      <c r="L236" s="12"/>
      <c r="N236" s="11"/>
      <c r="P236"/>
      <c r="Q236"/>
      <c r="W236" s="28"/>
      <c r="AA236"/>
    </row>
    <row r="237" spans="1:27" x14ac:dyDescent="0.45">
      <c r="A237" s="57">
        <v>1111</v>
      </c>
      <c r="B237" t="s">
        <v>1369</v>
      </c>
      <c r="C237" t="s">
        <v>1370</v>
      </c>
      <c r="D237" s="12">
        <v>46303</v>
      </c>
      <c r="E237" s="11">
        <v>40</v>
      </c>
      <c r="F237" s="11" t="s">
        <v>5906</v>
      </c>
      <c r="G237">
        <v>20251001</v>
      </c>
      <c r="I237" s="11" t="s">
        <v>63</v>
      </c>
      <c r="J237" s="72">
        <v>20615842</v>
      </c>
      <c r="K237" s="99">
        <f>_xlfn.XLOOKUP(_2__ROI_Daily_Update[[#This Row],[CSM id]],SHP!F:F,SHP!EE:EE,"-")</f>
        <v>0</v>
      </c>
      <c r="L237" s="12"/>
      <c r="N237" s="11"/>
      <c r="P237"/>
      <c r="Q237"/>
      <c r="W237" s="28"/>
      <c r="AA237"/>
    </row>
    <row r="238" spans="1:27" x14ac:dyDescent="0.45">
      <c r="A238" s="57">
        <v>623</v>
      </c>
      <c r="B238" t="s">
        <v>386</v>
      </c>
      <c r="C238" t="s">
        <v>387</v>
      </c>
      <c r="D238" s="12">
        <v>46303</v>
      </c>
      <c r="E238" s="11">
        <v>36</v>
      </c>
      <c r="F238" s="11" t="s">
        <v>5909</v>
      </c>
      <c r="G238">
        <v>20190801</v>
      </c>
      <c r="I238" s="11" t="s">
        <v>18</v>
      </c>
      <c r="J238" s="72">
        <v>40433365</v>
      </c>
      <c r="K238" s="99">
        <f>_xlfn.XLOOKUP(_2__ROI_Daily_Update[[#This Row],[CSM id]],SHP!F:F,SHP!EE:EE,"-")</f>
        <v>0</v>
      </c>
      <c r="L238" s="12"/>
      <c r="N238" s="11"/>
      <c r="P238"/>
      <c r="Q238"/>
      <c r="W238" s="28"/>
      <c r="AA238"/>
    </row>
    <row r="239" spans="1:27" x14ac:dyDescent="0.45">
      <c r="A239" s="57">
        <v>1813</v>
      </c>
      <c r="B239" t="s">
        <v>3378</v>
      </c>
      <c r="C239" t="s">
        <v>3379</v>
      </c>
      <c r="D239" s="12">
        <v>46303</v>
      </c>
      <c r="E239" s="11">
        <v>18</v>
      </c>
      <c r="F239" s="11" t="s">
        <v>5911</v>
      </c>
      <c r="G239">
        <v>20250101</v>
      </c>
      <c r="I239" s="11" t="s">
        <v>63</v>
      </c>
      <c r="J239" s="72">
        <v>10580800</v>
      </c>
      <c r="K239" s="99">
        <f>_xlfn.XLOOKUP(_2__ROI_Daily_Update[[#This Row],[CSM id]],SHP!F:F,SHP!EE:EE,"-")</f>
        <v>0</v>
      </c>
      <c r="L239" s="12"/>
      <c r="N239" s="11"/>
      <c r="P239"/>
      <c r="Q239"/>
      <c r="W239" s="28"/>
      <c r="AA239"/>
    </row>
    <row r="240" spans="1:27" x14ac:dyDescent="0.45">
      <c r="A240" s="57">
        <v>1431</v>
      </c>
      <c r="B240" t="s">
        <v>2426</v>
      </c>
      <c r="C240" t="s">
        <v>2427</v>
      </c>
      <c r="D240" s="12">
        <v>46303</v>
      </c>
      <c r="E240" s="11">
        <v>912</v>
      </c>
      <c r="F240" s="11" t="s">
        <v>5264</v>
      </c>
      <c r="G240">
        <v>20250401</v>
      </c>
      <c r="I240" s="11" t="s">
        <v>18</v>
      </c>
      <c r="J240" s="72">
        <v>70597100</v>
      </c>
      <c r="K240" s="99">
        <f>_xlfn.XLOOKUP(_2__ROI_Daily_Update[[#This Row],[CSM id]],SHP!F:F,SHP!EE:EE,"-")</f>
        <v>0</v>
      </c>
      <c r="L240" s="12"/>
      <c r="N240" s="11"/>
      <c r="P240"/>
      <c r="Q240"/>
      <c r="W240" s="28"/>
      <c r="AA240"/>
    </row>
    <row r="241" spans="1:27" x14ac:dyDescent="0.45">
      <c r="A241" s="57">
        <v>1111</v>
      </c>
      <c r="B241" t="s">
        <v>1371</v>
      </c>
      <c r="C241" t="s">
        <v>1372</v>
      </c>
      <c r="D241" s="12">
        <v>46303</v>
      </c>
      <c r="E241" s="11">
        <v>20</v>
      </c>
      <c r="F241" s="11" t="s">
        <v>5910</v>
      </c>
      <c r="G241">
        <v>20251001</v>
      </c>
      <c r="I241" s="11" t="s">
        <v>63</v>
      </c>
      <c r="J241" s="72">
        <v>20616399</v>
      </c>
      <c r="K241" s="99">
        <f>_xlfn.XLOOKUP(_2__ROI_Daily_Update[[#This Row],[CSM id]],SHP!F:F,SHP!EE:EE,"-")</f>
        <v>0</v>
      </c>
      <c r="L241" s="12"/>
      <c r="N241" s="11"/>
      <c r="P241"/>
      <c r="Q241"/>
      <c r="W241" s="28"/>
      <c r="AA241"/>
    </row>
    <row r="242" spans="1:27" x14ac:dyDescent="0.45">
      <c r="A242" s="57">
        <v>623</v>
      </c>
      <c r="B242" t="s">
        <v>532</v>
      </c>
      <c r="C242" t="s">
        <v>533</v>
      </c>
      <c r="D242" s="12">
        <v>46303</v>
      </c>
      <c r="E242" s="11">
        <v>36</v>
      </c>
      <c r="F242" s="11" t="s">
        <v>5909</v>
      </c>
      <c r="G242">
        <v>20260401</v>
      </c>
      <c r="I242" s="11" t="s">
        <v>18</v>
      </c>
      <c r="J242" s="72">
        <v>20623494</v>
      </c>
      <c r="K242" s="99">
        <f>_xlfn.XLOOKUP(_2__ROI_Daily_Update[[#This Row],[CSM id]],SHP!F:F,SHP!EE:EE,"-")</f>
        <v>0</v>
      </c>
      <c r="L242" s="12"/>
      <c r="N242" s="11"/>
      <c r="P242"/>
      <c r="Q242"/>
      <c r="W242" s="28"/>
      <c r="AA242"/>
    </row>
    <row r="243" spans="1:27" x14ac:dyDescent="0.45">
      <c r="A243" s="57">
        <v>1111</v>
      </c>
      <c r="B243" t="s">
        <v>1373</v>
      </c>
      <c r="C243" t="s">
        <v>1374</v>
      </c>
      <c r="D243" s="12">
        <v>46303</v>
      </c>
      <c r="E243" s="11">
        <v>196</v>
      </c>
      <c r="F243" s="11" t="s">
        <v>5906</v>
      </c>
      <c r="G243">
        <v>20170201</v>
      </c>
      <c r="H243" s="12">
        <v>46478</v>
      </c>
      <c r="I243" s="11" t="s">
        <v>63</v>
      </c>
      <c r="J243" s="72">
        <v>30337029</v>
      </c>
      <c r="K243" s="99">
        <f>_xlfn.XLOOKUP(_2__ROI_Daily_Update[[#This Row],[CSM id]],SHP!F:F,SHP!EE:EE,"-")</f>
        <v>0</v>
      </c>
      <c r="L243" s="12"/>
      <c r="N243" s="11"/>
      <c r="P243"/>
      <c r="Q243"/>
      <c r="W243" s="28"/>
      <c r="AA243"/>
    </row>
    <row r="244" spans="1:27" x14ac:dyDescent="0.45">
      <c r="A244" s="57">
        <v>1431</v>
      </c>
      <c r="B244" t="s">
        <v>2424</v>
      </c>
      <c r="C244" t="s">
        <v>2425</v>
      </c>
      <c r="D244" s="12">
        <v>46303</v>
      </c>
      <c r="E244" s="11">
        <v>4080</v>
      </c>
      <c r="F244" s="11" t="s">
        <v>5269</v>
      </c>
      <c r="G244">
        <v>20230401</v>
      </c>
      <c r="I244" s="11" t="s">
        <v>18</v>
      </c>
      <c r="J244" s="72">
        <v>70525655</v>
      </c>
      <c r="K244" s="99">
        <f>_xlfn.XLOOKUP(_2__ROI_Daily_Update[[#This Row],[CSM id]],SHP!F:F,SHP!EE:EE,"-")</f>
        <v>0</v>
      </c>
      <c r="L244" s="12"/>
      <c r="N244" s="11"/>
      <c r="P244"/>
      <c r="Q244"/>
      <c r="W244" s="28"/>
      <c r="AA244"/>
    </row>
    <row r="245" spans="1:27" x14ac:dyDescent="0.45">
      <c r="A245" s="57">
        <v>1431</v>
      </c>
      <c r="B245" t="s">
        <v>2418</v>
      </c>
      <c r="C245" t="s">
        <v>2419</v>
      </c>
      <c r="D245" s="12">
        <v>46303</v>
      </c>
      <c r="E245" s="11">
        <v>93</v>
      </c>
      <c r="F245" s="11" t="s">
        <v>5269</v>
      </c>
      <c r="G245">
        <v>20140801</v>
      </c>
      <c r="I245" s="11" t="s">
        <v>18</v>
      </c>
      <c r="J245" s="72">
        <v>70134020</v>
      </c>
      <c r="K245" s="99">
        <f>_xlfn.XLOOKUP(_2__ROI_Daily_Update[[#This Row],[CSM id]],SHP!F:F,SHP!EE:EE,"-")</f>
        <v>0</v>
      </c>
      <c r="L245" s="12"/>
      <c r="N245" s="11"/>
      <c r="P245"/>
      <c r="Q245"/>
      <c r="W245" s="28"/>
      <c r="AA245"/>
    </row>
    <row r="246" spans="1:27" x14ac:dyDescent="0.45">
      <c r="A246" s="57">
        <v>1111</v>
      </c>
      <c r="B246" t="s">
        <v>1377</v>
      </c>
      <c r="C246" t="s">
        <v>1378</v>
      </c>
      <c r="D246" s="12">
        <v>46303</v>
      </c>
      <c r="E246" s="11">
        <v>24</v>
      </c>
      <c r="F246" s="11" t="s">
        <v>5906</v>
      </c>
      <c r="G246">
        <v>20221001</v>
      </c>
      <c r="I246" s="11" t="s">
        <v>63</v>
      </c>
      <c r="J246" s="72">
        <v>30532629</v>
      </c>
      <c r="K246" s="99">
        <f>_xlfn.XLOOKUP(_2__ROI_Daily_Update[[#This Row],[CSM id]],SHP!F:F,SHP!EE:EE,"-")</f>
        <v>0</v>
      </c>
      <c r="L246" s="12"/>
      <c r="N246" s="11"/>
      <c r="P246"/>
      <c r="Q246"/>
      <c r="W246" s="28"/>
      <c r="AA246"/>
    </row>
    <row r="247" spans="1:27" x14ac:dyDescent="0.45">
      <c r="A247" s="57">
        <v>1111</v>
      </c>
      <c r="B247" t="s">
        <v>1379</v>
      </c>
      <c r="C247" t="s">
        <v>1380</v>
      </c>
      <c r="D247" s="12">
        <v>46303</v>
      </c>
      <c r="E247" s="11">
        <v>56</v>
      </c>
      <c r="F247" s="11" t="s">
        <v>5910</v>
      </c>
      <c r="G247">
        <v>20221001</v>
      </c>
      <c r="I247" s="11" t="s">
        <v>63</v>
      </c>
      <c r="J247" s="72">
        <v>30532667</v>
      </c>
      <c r="K247" s="99">
        <f>_xlfn.XLOOKUP(_2__ROI_Daily_Update[[#This Row],[CSM id]],SHP!F:F,SHP!EE:EE,"-")</f>
        <v>0</v>
      </c>
      <c r="L247" s="12"/>
      <c r="N247" s="11"/>
      <c r="P247"/>
      <c r="Q247"/>
      <c r="W247" s="28"/>
      <c r="AA247"/>
    </row>
    <row r="248" spans="1:27" x14ac:dyDescent="0.45">
      <c r="A248" s="57">
        <v>1111</v>
      </c>
      <c r="B248" t="s">
        <v>1383</v>
      </c>
      <c r="C248" t="s">
        <v>1384</v>
      </c>
      <c r="D248" s="12">
        <v>46303</v>
      </c>
      <c r="E248" s="11">
        <v>30</v>
      </c>
      <c r="F248" s="11" t="s">
        <v>5906</v>
      </c>
      <c r="G248">
        <v>20251001</v>
      </c>
      <c r="I248" s="11" t="s">
        <v>63</v>
      </c>
      <c r="J248" s="72">
        <v>30615766</v>
      </c>
      <c r="K248" s="99">
        <f>_xlfn.XLOOKUP(_2__ROI_Daily_Update[[#This Row],[CSM id]],SHP!F:F,SHP!EE:EE,"-")</f>
        <v>0</v>
      </c>
      <c r="L248" s="12"/>
      <c r="N248" s="11"/>
      <c r="P248"/>
      <c r="Q248"/>
      <c r="W248" s="28"/>
      <c r="AA248"/>
    </row>
    <row r="249" spans="1:27" x14ac:dyDescent="0.45">
      <c r="A249" s="57">
        <v>623</v>
      </c>
      <c r="B249" t="s">
        <v>93</v>
      </c>
      <c r="C249" t="s">
        <v>94</v>
      </c>
      <c r="D249" s="12">
        <v>46303</v>
      </c>
      <c r="E249" s="11">
        <v>36</v>
      </c>
      <c r="F249" s="11" t="s">
        <v>5910</v>
      </c>
      <c r="G249">
        <v>20251001</v>
      </c>
      <c r="H249" s="12">
        <v>46388</v>
      </c>
      <c r="I249" s="11" t="s">
        <v>63</v>
      </c>
      <c r="J249" s="72">
        <v>70605534</v>
      </c>
      <c r="K249" s="99">
        <f>_xlfn.XLOOKUP(_2__ROI_Daily_Update[[#This Row],[CSM id]],SHP!F:F,SHP!EE:EE,"-")</f>
        <v>0</v>
      </c>
      <c r="L249" s="12"/>
      <c r="N249" s="11"/>
      <c r="P249"/>
      <c r="Q249"/>
      <c r="W249" s="28"/>
      <c r="AA249"/>
    </row>
    <row r="250" spans="1:27" x14ac:dyDescent="0.45">
      <c r="A250" s="57">
        <v>1431</v>
      </c>
      <c r="B250" t="s">
        <v>2412</v>
      </c>
      <c r="C250" t="s">
        <v>2413</v>
      </c>
      <c r="D250" s="12">
        <v>46303</v>
      </c>
      <c r="E250" s="11">
        <v>360</v>
      </c>
      <c r="F250" s="11" t="s">
        <v>5264</v>
      </c>
      <c r="G250">
        <v>20250401</v>
      </c>
      <c r="I250" s="11" t="s">
        <v>18</v>
      </c>
      <c r="J250" s="72">
        <v>60597105</v>
      </c>
      <c r="K250" s="99">
        <f>_xlfn.XLOOKUP(_2__ROI_Daily_Update[[#This Row],[CSM id]],SHP!F:F,SHP!EE:EE,"-")</f>
        <v>0</v>
      </c>
      <c r="L250" s="12"/>
      <c r="N250" s="11"/>
      <c r="P250"/>
      <c r="Q250"/>
      <c r="W250" s="28"/>
      <c r="AA250"/>
    </row>
    <row r="251" spans="1:27" x14ac:dyDescent="0.45">
      <c r="A251" s="57">
        <v>1431</v>
      </c>
      <c r="B251" t="s">
        <v>2410</v>
      </c>
      <c r="C251" t="s">
        <v>2411</v>
      </c>
      <c r="D251" s="12">
        <v>46303</v>
      </c>
      <c r="E251" s="11">
        <v>360</v>
      </c>
      <c r="F251" s="11" t="s">
        <v>5905</v>
      </c>
      <c r="G251">
        <v>20191001</v>
      </c>
      <c r="H251" s="12">
        <v>46478</v>
      </c>
      <c r="I251" s="11" t="s">
        <v>63</v>
      </c>
      <c r="J251" s="72">
        <v>60438545</v>
      </c>
      <c r="K251" s="99">
        <f>_xlfn.XLOOKUP(_2__ROI_Daily_Update[[#This Row],[CSM id]],SHP!F:F,SHP!EE:EE,"-")</f>
        <v>0</v>
      </c>
      <c r="L251" s="12"/>
      <c r="N251" s="11"/>
      <c r="P251"/>
      <c r="Q251"/>
      <c r="W251" s="28"/>
      <c r="AA251"/>
    </row>
    <row r="252" spans="1:27" x14ac:dyDescent="0.45">
      <c r="A252" s="57">
        <v>1431</v>
      </c>
      <c r="B252" t="s">
        <v>2408</v>
      </c>
      <c r="C252" t="s">
        <v>2409</v>
      </c>
      <c r="D252" s="12">
        <v>46303</v>
      </c>
      <c r="E252" s="11">
        <v>2646</v>
      </c>
      <c r="F252" s="11" t="s">
        <v>5269</v>
      </c>
      <c r="G252">
        <v>20250701</v>
      </c>
      <c r="I252" s="11" t="s">
        <v>18</v>
      </c>
      <c r="J252" s="72">
        <v>60340412</v>
      </c>
      <c r="K252" s="99">
        <f>_xlfn.XLOOKUP(_2__ROI_Daily_Update[[#This Row],[CSM id]],SHP!F:F,SHP!EE:EE,"-")</f>
        <v>0</v>
      </c>
      <c r="L252" s="12"/>
      <c r="N252" s="11"/>
      <c r="P252"/>
      <c r="Q252"/>
      <c r="W252" s="28"/>
      <c r="AA252"/>
    </row>
    <row r="253" spans="1:27" x14ac:dyDescent="0.45">
      <c r="A253" s="57">
        <v>1431</v>
      </c>
      <c r="B253" t="s">
        <v>2406</v>
      </c>
      <c r="C253" t="s">
        <v>2407</v>
      </c>
      <c r="D253" s="12">
        <v>46303</v>
      </c>
      <c r="E253" s="11">
        <v>80</v>
      </c>
      <c r="F253" s="11" t="s">
        <v>5264</v>
      </c>
      <c r="G253">
        <v>20160201</v>
      </c>
      <c r="I253" s="11" t="s">
        <v>18</v>
      </c>
      <c r="J253" s="72">
        <v>60291925</v>
      </c>
      <c r="K253" s="99">
        <f>_xlfn.XLOOKUP(_2__ROI_Daily_Update[[#This Row],[CSM id]],SHP!F:F,SHP!EE:EE,"-")</f>
        <v>0</v>
      </c>
      <c r="L253" s="12"/>
      <c r="N253" s="11"/>
      <c r="P253"/>
      <c r="Q253"/>
      <c r="W253" s="28"/>
      <c r="AA253"/>
    </row>
    <row r="254" spans="1:27" x14ac:dyDescent="0.45">
      <c r="A254" s="57">
        <v>1431</v>
      </c>
      <c r="B254" t="s">
        <v>2404</v>
      </c>
      <c r="C254" t="s">
        <v>2405</v>
      </c>
      <c r="D254" s="12">
        <v>46303</v>
      </c>
      <c r="E254" s="11">
        <v>2466</v>
      </c>
      <c r="F254" s="11" t="s">
        <v>5269</v>
      </c>
      <c r="G254">
        <v>20250401</v>
      </c>
      <c r="I254" s="11" t="s">
        <v>18</v>
      </c>
      <c r="J254" s="72">
        <v>50608053</v>
      </c>
      <c r="K254" s="99">
        <f>_xlfn.XLOOKUP(_2__ROI_Daily_Update[[#This Row],[CSM id]],SHP!F:F,SHP!EE:EE,"-")</f>
        <v>0</v>
      </c>
      <c r="L254" s="12"/>
      <c r="N254" s="11"/>
      <c r="P254"/>
      <c r="Q254"/>
      <c r="W254" s="28"/>
      <c r="AA254"/>
    </row>
    <row r="255" spans="1:27" x14ac:dyDescent="0.45">
      <c r="A255" s="57">
        <v>1111</v>
      </c>
      <c r="B255" t="s">
        <v>1397</v>
      </c>
      <c r="C255" t="s">
        <v>1398</v>
      </c>
      <c r="D255" s="12">
        <v>46303</v>
      </c>
      <c r="E255" s="11">
        <v>32</v>
      </c>
      <c r="F255" s="11" t="s">
        <v>5905</v>
      </c>
      <c r="G255">
        <v>20260701</v>
      </c>
      <c r="I255" s="11" t="s">
        <v>63</v>
      </c>
      <c r="J255" s="72">
        <v>40632647</v>
      </c>
      <c r="K255" s="99">
        <f>_xlfn.XLOOKUP(_2__ROI_Daily_Update[[#This Row],[CSM id]],SHP!F:F,SHP!EE:EE,"-")</f>
        <v>0</v>
      </c>
      <c r="L255" s="12"/>
      <c r="N255" s="11"/>
      <c r="P255"/>
      <c r="Q255"/>
      <c r="W255" s="28"/>
      <c r="AA255"/>
    </row>
    <row r="256" spans="1:27" x14ac:dyDescent="0.45">
      <c r="A256" s="57">
        <v>1852</v>
      </c>
      <c r="B256" t="s">
        <v>3672</v>
      </c>
      <c r="C256" t="s">
        <v>3673</v>
      </c>
      <c r="D256" s="12">
        <v>46303</v>
      </c>
      <c r="E256" s="11">
        <v>12</v>
      </c>
      <c r="F256" s="11" t="s">
        <v>5906</v>
      </c>
      <c r="G256">
        <v>20260101</v>
      </c>
      <c r="I256" s="11" t="s">
        <v>63</v>
      </c>
      <c r="J256" s="72">
        <v>595393</v>
      </c>
      <c r="K256" s="99">
        <f>_xlfn.XLOOKUP(_2__ROI_Daily_Update[[#This Row],[CSM id]],SHP!F:F,SHP!EE:EE,"-")</f>
        <v>0</v>
      </c>
      <c r="L256" s="12"/>
      <c r="N256" s="11"/>
      <c r="P256"/>
      <c r="Q256"/>
      <c r="W256" s="28"/>
      <c r="AA256"/>
    </row>
    <row r="257" spans="1:27" x14ac:dyDescent="0.45">
      <c r="A257" s="57">
        <v>1431</v>
      </c>
      <c r="B257" t="s">
        <v>2366</v>
      </c>
      <c r="C257" t="s">
        <v>2367</v>
      </c>
      <c r="D257" s="12">
        <v>46303</v>
      </c>
      <c r="E257" s="11">
        <v>1080</v>
      </c>
      <c r="F257" s="11" t="s">
        <v>5404</v>
      </c>
      <c r="G257">
        <v>20261001</v>
      </c>
      <c r="H257" s="12">
        <v>46478</v>
      </c>
      <c r="I257" s="11" t="s">
        <v>63</v>
      </c>
      <c r="J257" s="72">
        <v>20649069</v>
      </c>
      <c r="K257" s="99">
        <f>_xlfn.XLOOKUP(_2__ROI_Daily_Update[[#This Row],[CSM id]],SHP!F:F,SHP!EE:EE,"-")</f>
        <v>0</v>
      </c>
      <c r="L257" s="12"/>
      <c r="N257" s="11"/>
      <c r="P257"/>
      <c r="Q257"/>
      <c r="W257" s="28"/>
      <c r="AA257"/>
    </row>
    <row r="258" spans="1:27" x14ac:dyDescent="0.45">
      <c r="A258" s="57">
        <v>1424</v>
      </c>
      <c r="B258" t="s">
        <v>2312</v>
      </c>
      <c r="C258" t="s">
        <v>2313</v>
      </c>
      <c r="D258" s="12">
        <v>46303</v>
      </c>
      <c r="E258" s="11">
        <v>360</v>
      </c>
      <c r="F258" s="11" t="s">
        <v>5404</v>
      </c>
      <c r="G258">
        <v>20260101</v>
      </c>
      <c r="I258" s="11" t="s">
        <v>63</v>
      </c>
      <c r="J258" s="72">
        <v>40613007</v>
      </c>
      <c r="K258" s="99">
        <f>_xlfn.XLOOKUP(_2__ROI_Daily_Update[[#This Row],[CSM id]],SHP!F:F,SHP!EE:EE,"-")</f>
        <v>0</v>
      </c>
      <c r="L258" s="12"/>
      <c r="N258" s="11"/>
      <c r="P258"/>
      <c r="Q258"/>
      <c r="W258" s="28"/>
      <c r="AA258"/>
    </row>
    <row r="259" spans="1:27" x14ac:dyDescent="0.45">
      <c r="A259" s="57">
        <v>1111</v>
      </c>
      <c r="B259" t="s">
        <v>1423</v>
      </c>
      <c r="C259" t="s">
        <v>1424</v>
      </c>
      <c r="D259" s="12">
        <v>46303</v>
      </c>
      <c r="E259" s="11">
        <v>50</v>
      </c>
      <c r="F259" s="11" t="s">
        <v>5910</v>
      </c>
      <c r="G259">
        <v>20251001</v>
      </c>
      <c r="I259" s="11" t="s">
        <v>63</v>
      </c>
      <c r="J259" s="72">
        <v>60615680</v>
      </c>
      <c r="K259" s="99">
        <f>_xlfn.XLOOKUP(_2__ROI_Daily_Update[[#This Row],[CSM id]],SHP!F:F,SHP!EE:EE,"-")</f>
        <v>0</v>
      </c>
      <c r="L259" s="12"/>
      <c r="N259" s="11"/>
      <c r="P259"/>
      <c r="Q259"/>
      <c r="W259" s="28"/>
      <c r="AA259"/>
    </row>
    <row r="260" spans="1:27" x14ac:dyDescent="0.45">
      <c r="A260" s="57">
        <v>1836</v>
      </c>
      <c r="B260" t="s">
        <v>3652</v>
      </c>
      <c r="C260" t="s">
        <v>3653</v>
      </c>
      <c r="D260" s="12">
        <v>46303</v>
      </c>
      <c r="E260" s="11">
        <v>432</v>
      </c>
      <c r="F260" s="11" t="s">
        <v>5907</v>
      </c>
      <c r="G260">
        <v>20200401</v>
      </c>
      <c r="I260" s="11" t="s">
        <v>63</v>
      </c>
      <c r="J260" s="72">
        <v>40432506</v>
      </c>
      <c r="K260" s="99">
        <f>_xlfn.XLOOKUP(_2__ROI_Daily_Update[[#This Row],[CSM id]],SHP!F:F,SHP!EE:EE,"-")</f>
        <v>0</v>
      </c>
      <c r="L260" s="12"/>
      <c r="N260" s="11"/>
      <c r="P260"/>
      <c r="Q260"/>
      <c r="W260" s="28"/>
      <c r="AA260"/>
    </row>
    <row r="261" spans="1:27" x14ac:dyDescent="0.45">
      <c r="A261" s="57">
        <v>1424</v>
      </c>
      <c r="B261" t="s">
        <v>2304</v>
      </c>
      <c r="C261" t="s">
        <v>2305</v>
      </c>
      <c r="D261" s="12">
        <v>46303</v>
      </c>
      <c r="E261" s="11">
        <v>76</v>
      </c>
      <c r="F261" s="11" t="s">
        <v>5264</v>
      </c>
      <c r="G261">
        <v>20150401</v>
      </c>
      <c r="I261" s="11" t="s">
        <v>18</v>
      </c>
      <c r="J261" s="72">
        <v>20309828</v>
      </c>
      <c r="K261" s="99">
        <f>_xlfn.XLOOKUP(_2__ROI_Daily_Update[[#This Row],[CSM id]],SHP!F:F,SHP!EE:EE,"-")</f>
        <v>0</v>
      </c>
      <c r="L261" s="12"/>
      <c r="N261" s="11"/>
      <c r="P261"/>
      <c r="Q261"/>
      <c r="W261" s="28"/>
      <c r="AA261"/>
    </row>
    <row r="262" spans="1:27" x14ac:dyDescent="0.45">
      <c r="A262" s="57">
        <v>1424</v>
      </c>
      <c r="B262" t="s">
        <v>2302</v>
      </c>
      <c r="C262" t="s">
        <v>2303</v>
      </c>
      <c r="D262" s="12">
        <v>46303</v>
      </c>
      <c r="E262" s="11">
        <v>348</v>
      </c>
      <c r="F262" s="11" t="s">
        <v>5264</v>
      </c>
      <c r="G262">
        <v>20140801</v>
      </c>
      <c r="I262" s="11" t="s">
        <v>18</v>
      </c>
      <c r="J262" s="72">
        <v>20233428</v>
      </c>
      <c r="K262" s="99">
        <f>_xlfn.XLOOKUP(_2__ROI_Daily_Update[[#This Row],[CSM id]],SHP!F:F,SHP!EE:EE,"-")</f>
        <v>0</v>
      </c>
      <c r="L262" s="12"/>
      <c r="N262" s="11"/>
      <c r="P262"/>
      <c r="Q262"/>
      <c r="W262" s="28"/>
      <c r="AA262"/>
    </row>
    <row r="263" spans="1:27" x14ac:dyDescent="0.45">
      <c r="A263" s="57">
        <v>1813</v>
      </c>
      <c r="B263" t="s">
        <v>3422</v>
      </c>
      <c r="C263" t="s">
        <v>3423</v>
      </c>
      <c r="D263" s="12">
        <v>46303</v>
      </c>
      <c r="E263" s="11">
        <v>4</v>
      </c>
      <c r="F263" s="11" t="s">
        <v>5906</v>
      </c>
      <c r="G263">
        <v>20250701</v>
      </c>
      <c r="I263" s="11" t="s">
        <v>63</v>
      </c>
      <c r="J263" s="72">
        <v>70596916</v>
      </c>
      <c r="K263" s="99">
        <f>_xlfn.XLOOKUP(_2__ROI_Daily_Update[[#This Row],[CSM id]],SHP!F:F,SHP!EE:EE,"-")</f>
        <v>0</v>
      </c>
      <c r="L263" s="12"/>
      <c r="N263" s="11"/>
      <c r="P263"/>
      <c r="Q263"/>
      <c r="W263" s="28"/>
      <c r="AA263"/>
    </row>
    <row r="264" spans="1:27" x14ac:dyDescent="0.45">
      <c r="A264" s="57">
        <v>1424</v>
      </c>
      <c r="B264" t="s">
        <v>2298</v>
      </c>
      <c r="C264" t="s">
        <v>2299</v>
      </c>
      <c r="D264" s="12">
        <v>46303</v>
      </c>
      <c r="E264" s="11">
        <v>192</v>
      </c>
      <c r="F264" s="11" t="s">
        <v>5264</v>
      </c>
      <c r="G264">
        <v>20220101</v>
      </c>
      <c r="I264" s="11" t="s">
        <v>18</v>
      </c>
      <c r="J264" s="72">
        <v>10512811</v>
      </c>
      <c r="K264" s="99">
        <f>_xlfn.XLOOKUP(_2__ROI_Daily_Update[[#This Row],[CSM id]],SHP!F:F,SHP!EE:EE,"-")</f>
        <v>0</v>
      </c>
      <c r="L264" s="12"/>
      <c r="N264" s="11"/>
      <c r="P264"/>
      <c r="Q264"/>
      <c r="W264" s="28"/>
      <c r="AA264"/>
    </row>
    <row r="265" spans="1:27" x14ac:dyDescent="0.45">
      <c r="A265" s="57">
        <v>1813</v>
      </c>
      <c r="B265" t="s">
        <v>3426</v>
      </c>
      <c r="C265" t="s">
        <v>3427</v>
      </c>
      <c r="D265" s="12">
        <v>46303</v>
      </c>
      <c r="E265" s="11">
        <v>31</v>
      </c>
      <c r="F265" s="11" t="s">
        <v>5907</v>
      </c>
      <c r="G265">
        <v>20190201</v>
      </c>
      <c r="I265" s="11" t="s">
        <v>63</v>
      </c>
      <c r="J265" s="72">
        <v>80297101</v>
      </c>
      <c r="K265" s="99">
        <f>_xlfn.XLOOKUP(_2__ROI_Daily_Update[[#This Row],[CSM id]],SHP!F:F,SHP!EE:EE,"-")</f>
        <v>0</v>
      </c>
      <c r="L265" s="12"/>
      <c r="N265" s="11"/>
      <c r="P265"/>
      <c r="Q265"/>
      <c r="W265" s="28"/>
      <c r="AA265"/>
    </row>
    <row r="266" spans="1:27" x14ac:dyDescent="0.45">
      <c r="A266" s="57">
        <v>1012</v>
      </c>
      <c r="B266" t="s">
        <v>1054</v>
      </c>
      <c r="C266" t="s">
        <v>1055</v>
      </c>
      <c r="D266" s="12">
        <v>46303</v>
      </c>
      <c r="E266" s="11">
        <v>20</v>
      </c>
      <c r="F266" s="11" t="s">
        <v>5906</v>
      </c>
      <c r="G266">
        <v>20220101</v>
      </c>
      <c r="I266" s="11" t="s">
        <v>63</v>
      </c>
      <c r="J266" s="72">
        <v>10504991</v>
      </c>
      <c r="K266" s="99">
        <f>_xlfn.XLOOKUP(_2__ROI_Daily_Update[[#This Row],[CSM id]],SHP!F:F,SHP!EE:EE,"-")</f>
        <v>0</v>
      </c>
      <c r="L266" s="12"/>
      <c r="N266" s="11"/>
      <c r="P266"/>
      <c r="Q266"/>
      <c r="W266" s="28"/>
      <c r="AA266"/>
    </row>
    <row r="267" spans="1:27" x14ac:dyDescent="0.45">
      <c r="A267" s="57">
        <v>1423</v>
      </c>
      <c r="B267" t="s">
        <v>2294</v>
      </c>
      <c r="C267" t="s">
        <v>2295</v>
      </c>
      <c r="D267" s="12">
        <v>46303</v>
      </c>
      <c r="E267" s="11">
        <v>40</v>
      </c>
      <c r="F267" s="11" t="s">
        <v>5409</v>
      </c>
      <c r="G267">
        <v>20150401</v>
      </c>
      <c r="I267" s="11" t="s">
        <v>63</v>
      </c>
      <c r="J267" s="72">
        <v>90289266</v>
      </c>
      <c r="K267" s="99">
        <f>_xlfn.XLOOKUP(_2__ROI_Daily_Update[[#This Row],[CSM id]],SHP!F:F,SHP!EE:EE,"-")</f>
        <v>0</v>
      </c>
      <c r="L267" s="12"/>
      <c r="N267" s="11"/>
      <c r="P267"/>
      <c r="Q267"/>
      <c r="W267" s="28"/>
      <c r="AA267"/>
    </row>
    <row r="268" spans="1:27" x14ac:dyDescent="0.45">
      <c r="A268" s="57">
        <v>981</v>
      </c>
      <c r="B268" t="s">
        <v>941</v>
      </c>
      <c r="C268" t="s">
        <v>942</v>
      </c>
      <c r="D268" s="12">
        <v>46303</v>
      </c>
      <c r="E268" s="11">
        <v>90</v>
      </c>
      <c r="F268" s="11" t="s">
        <v>5914</v>
      </c>
      <c r="G268">
        <v>20170401</v>
      </c>
      <c r="I268" s="11" t="s">
        <v>18</v>
      </c>
      <c r="J268" s="72">
        <v>20371523</v>
      </c>
      <c r="K268" s="99">
        <f>_xlfn.XLOOKUP(_2__ROI_Daily_Update[[#This Row],[CSM id]],SHP!F:F,SHP!EE:EE,"-")</f>
        <v>0</v>
      </c>
      <c r="L268" s="12"/>
      <c r="N268" s="11"/>
      <c r="P268"/>
      <c r="Q268"/>
      <c r="W268" s="28"/>
      <c r="AA268"/>
    </row>
    <row r="269" spans="1:27" x14ac:dyDescent="0.45">
      <c r="A269" s="57">
        <v>1836</v>
      </c>
      <c r="B269" t="s">
        <v>3658</v>
      </c>
      <c r="C269" t="s">
        <v>3659</v>
      </c>
      <c r="D269" s="12">
        <v>46303</v>
      </c>
      <c r="E269" s="11">
        <v>180</v>
      </c>
      <c r="F269" s="11" t="s">
        <v>5906</v>
      </c>
      <c r="G269">
        <v>20141001</v>
      </c>
      <c r="I269" s="11" t="s">
        <v>63</v>
      </c>
      <c r="J269" s="72">
        <v>70281266</v>
      </c>
      <c r="K269" s="99">
        <f>_xlfn.XLOOKUP(_2__ROI_Daily_Update[[#This Row],[CSM id]],SHP!F:F,SHP!EE:EE,"-")</f>
        <v>0</v>
      </c>
      <c r="L269" s="12"/>
      <c r="N269" s="11"/>
      <c r="P269"/>
      <c r="Q269"/>
      <c r="W269" s="28"/>
      <c r="AA269"/>
    </row>
    <row r="270" spans="1:27" x14ac:dyDescent="0.45">
      <c r="A270" s="57">
        <v>1111</v>
      </c>
      <c r="B270" t="s">
        <v>1429</v>
      </c>
      <c r="C270" t="s">
        <v>1430</v>
      </c>
      <c r="D270" s="12">
        <v>46303</v>
      </c>
      <c r="E270" s="11">
        <v>10</v>
      </c>
      <c r="F270" s="11" t="s">
        <v>5906</v>
      </c>
      <c r="G270">
        <v>20230401</v>
      </c>
      <c r="I270" s="11" t="s">
        <v>63</v>
      </c>
      <c r="J270" s="72">
        <v>70549637</v>
      </c>
      <c r="K270" s="99">
        <f>_xlfn.XLOOKUP(_2__ROI_Daily_Update[[#This Row],[CSM id]],SHP!F:F,SHP!EE:EE,"-")</f>
        <v>0</v>
      </c>
      <c r="L270" s="12"/>
      <c r="N270" s="11"/>
      <c r="P270"/>
      <c r="Q270"/>
      <c r="W270" s="28"/>
      <c r="AA270"/>
    </row>
    <row r="271" spans="1:27" x14ac:dyDescent="0.45">
      <c r="A271" s="57">
        <v>1423</v>
      </c>
      <c r="B271" t="s">
        <v>2290</v>
      </c>
      <c r="C271" t="s">
        <v>2291</v>
      </c>
      <c r="D271" s="12">
        <v>46303</v>
      </c>
      <c r="E271" s="11">
        <v>18</v>
      </c>
      <c r="F271" s="11" t="s">
        <v>5409</v>
      </c>
      <c r="G271">
        <v>20150401</v>
      </c>
      <c r="I271" s="11" t="s">
        <v>63</v>
      </c>
      <c r="J271" s="72">
        <v>80283528</v>
      </c>
      <c r="K271" s="99">
        <f>_xlfn.XLOOKUP(_2__ROI_Daily_Update[[#This Row],[CSM id]],SHP!F:F,SHP!EE:EE,"-")</f>
        <v>0</v>
      </c>
      <c r="L271" s="12"/>
      <c r="N271" s="11"/>
      <c r="P271"/>
      <c r="Q271"/>
      <c r="W271" s="28"/>
      <c r="AA271"/>
    </row>
    <row r="272" spans="1:27" x14ac:dyDescent="0.45">
      <c r="A272" s="57">
        <v>1111</v>
      </c>
      <c r="B272" t="s">
        <v>1439</v>
      </c>
      <c r="C272" t="s">
        <v>1440</v>
      </c>
      <c r="D272" s="12">
        <v>46303</v>
      </c>
      <c r="E272" s="11">
        <v>48</v>
      </c>
      <c r="F272" s="11" t="s">
        <v>5910</v>
      </c>
      <c r="G272">
        <v>20260401</v>
      </c>
      <c r="I272" s="11" t="s">
        <v>63</v>
      </c>
      <c r="J272" s="72">
        <v>80627743</v>
      </c>
      <c r="K272" s="99">
        <f>_xlfn.XLOOKUP(_2__ROI_Daily_Update[[#This Row],[CSM id]],SHP!F:F,SHP!EE:EE,"-")</f>
        <v>0</v>
      </c>
      <c r="L272" s="12"/>
      <c r="N272" s="11"/>
      <c r="P272"/>
      <c r="Q272"/>
      <c r="W272" s="28"/>
      <c r="AA272"/>
    </row>
    <row r="273" spans="1:27" x14ac:dyDescent="0.45">
      <c r="A273" s="57">
        <v>761</v>
      </c>
      <c r="B273" t="s">
        <v>544</v>
      </c>
      <c r="C273" t="s">
        <v>545</v>
      </c>
      <c r="D273" s="12">
        <v>46303</v>
      </c>
      <c r="E273" s="11">
        <v>88</v>
      </c>
      <c r="F273" s="11" t="s">
        <v>5906</v>
      </c>
      <c r="G273">
        <v>20260401</v>
      </c>
      <c r="I273" s="11" t="s">
        <v>63</v>
      </c>
      <c r="J273" s="72">
        <v>613815</v>
      </c>
      <c r="K273" s="99">
        <f>_xlfn.XLOOKUP(_2__ROI_Daily_Update[[#This Row],[CSM id]],SHP!F:F,SHP!EE:EE,"-")</f>
        <v>0</v>
      </c>
      <c r="L273" s="12"/>
      <c r="N273" s="11"/>
      <c r="P273"/>
      <c r="Q273"/>
      <c r="W273" s="28"/>
      <c r="AA273"/>
    </row>
    <row r="274" spans="1:27" x14ac:dyDescent="0.45">
      <c r="A274" s="57">
        <v>1423</v>
      </c>
      <c r="B274" t="s">
        <v>2284</v>
      </c>
      <c r="C274" t="s">
        <v>2285</v>
      </c>
      <c r="D274" s="12">
        <v>46303</v>
      </c>
      <c r="E274" s="11">
        <v>30</v>
      </c>
      <c r="F274" s="11" t="s">
        <v>5906</v>
      </c>
      <c r="G274">
        <v>20260701</v>
      </c>
      <c r="I274" s="11" t="s">
        <v>63</v>
      </c>
      <c r="J274" s="72">
        <v>50623063</v>
      </c>
      <c r="K274" s="99">
        <f>_xlfn.XLOOKUP(_2__ROI_Daily_Update[[#This Row],[CSM id]],SHP!F:F,SHP!EE:EE,"-")</f>
        <v>0</v>
      </c>
      <c r="L274" s="12"/>
      <c r="N274" s="11"/>
      <c r="P274"/>
      <c r="Q274"/>
      <c r="W274" s="28"/>
      <c r="AA274"/>
    </row>
    <row r="275" spans="1:27" x14ac:dyDescent="0.45">
      <c r="A275" s="57">
        <v>1111</v>
      </c>
      <c r="B275" t="s">
        <v>1453</v>
      </c>
      <c r="C275" t="s">
        <v>1454</v>
      </c>
      <c r="D275" s="12">
        <v>46303</v>
      </c>
      <c r="E275" s="11">
        <v>100</v>
      </c>
      <c r="F275" s="11" t="s">
        <v>5910</v>
      </c>
      <c r="G275">
        <v>20260101</v>
      </c>
      <c r="I275" s="11" t="s">
        <v>63</v>
      </c>
      <c r="J275" s="72">
        <v>90621439</v>
      </c>
      <c r="K275" s="99">
        <f>_xlfn.XLOOKUP(_2__ROI_Daily_Update[[#This Row],[CSM id]],SHP!F:F,SHP!EE:EE,"-")</f>
        <v>0</v>
      </c>
      <c r="L275" s="12"/>
      <c r="N275" s="11"/>
      <c r="P275"/>
      <c r="Q275"/>
      <c r="W275" s="28"/>
      <c r="AA275"/>
    </row>
    <row r="276" spans="1:27" x14ac:dyDescent="0.45">
      <c r="A276" s="57">
        <v>1112</v>
      </c>
      <c r="B276" t="s">
        <v>1459</v>
      </c>
      <c r="C276" t="s">
        <v>1460</v>
      </c>
      <c r="D276" s="12">
        <v>46303</v>
      </c>
      <c r="E276" s="11">
        <v>16</v>
      </c>
      <c r="F276" s="11" t="s">
        <v>5907</v>
      </c>
      <c r="G276">
        <v>20261001</v>
      </c>
      <c r="H276" s="12">
        <v>46478</v>
      </c>
      <c r="I276" s="11" t="s">
        <v>63</v>
      </c>
      <c r="J276" s="72">
        <v>637897</v>
      </c>
      <c r="K276" s="99">
        <f>_xlfn.XLOOKUP(_2__ROI_Daily_Update[[#This Row],[CSM id]],SHP!F:F,SHP!EE:EE,"-")</f>
        <v>0</v>
      </c>
      <c r="L276" s="12"/>
      <c r="N276" s="11"/>
      <c r="P276"/>
      <c r="Q276"/>
      <c r="W276" s="28"/>
      <c r="AA276"/>
    </row>
    <row r="277" spans="1:27" x14ac:dyDescent="0.45">
      <c r="A277" s="57">
        <v>761</v>
      </c>
      <c r="B277" t="s">
        <v>552</v>
      </c>
      <c r="C277" t="s">
        <v>553</v>
      </c>
      <c r="D277" s="12">
        <v>46303</v>
      </c>
      <c r="E277" s="11">
        <v>28</v>
      </c>
      <c r="F277" s="11" t="s">
        <v>5910</v>
      </c>
      <c r="G277">
        <v>20211001</v>
      </c>
      <c r="I277" s="11" t="s">
        <v>63</v>
      </c>
      <c r="J277" s="72">
        <v>20486411</v>
      </c>
      <c r="K277" s="99">
        <f>_xlfn.XLOOKUP(_2__ROI_Daily_Update[[#This Row],[CSM id]],SHP!F:F,SHP!EE:EE,"-")</f>
        <v>0</v>
      </c>
      <c r="L277" s="12"/>
      <c r="N277" s="11"/>
      <c r="P277"/>
      <c r="Q277"/>
      <c r="W277" s="28"/>
      <c r="AA277"/>
    </row>
    <row r="278" spans="1:27" x14ac:dyDescent="0.45">
      <c r="A278" s="57">
        <v>1423</v>
      </c>
      <c r="B278" t="s">
        <v>2274</v>
      </c>
      <c r="C278" t="s">
        <v>2275</v>
      </c>
      <c r="D278" s="12">
        <v>46303</v>
      </c>
      <c r="E278" s="11">
        <v>40</v>
      </c>
      <c r="F278" s="11" t="s">
        <v>5409</v>
      </c>
      <c r="G278">
        <v>20150401</v>
      </c>
      <c r="I278" s="11" t="s">
        <v>63</v>
      </c>
      <c r="J278" s="72">
        <v>20283526</v>
      </c>
      <c r="K278" s="99">
        <f>_xlfn.XLOOKUP(_2__ROI_Daily_Update[[#This Row],[CSM id]],SHP!F:F,SHP!EE:EE,"-")</f>
        <v>0</v>
      </c>
      <c r="L278" s="12"/>
      <c r="N278" s="11"/>
      <c r="P278"/>
      <c r="Q278"/>
      <c r="W278" s="28"/>
      <c r="AA278"/>
    </row>
    <row r="279" spans="1:27" x14ac:dyDescent="0.45">
      <c r="A279" s="57">
        <v>1111</v>
      </c>
      <c r="B279" t="s">
        <v>1415</v>
      </c>
      <c r="C279" t="s">
        <v>1416</v>
      </c>
      <c r="D279" s="12">
        <v>46303</v>
      </c>
      <c r="E279" s="11">
        <v>40</v>
      </c>
      <c r="F279" s="11" t="s">
        <v>5905</v>
      </c>
      <c r="G279">
        <v>20260101</v>
      </c>
      <c r="I279" s="11" t="s">
        <v>63</v>
      </c>
      <c r="J279" s="72">
        <v>50621436</v>
      </c>
      <c r="K279" s="99">
        <f>_xlfn.XLOOKUP(_2__ROI_Daily_Update[[#This Row],[CSM id]],SHP!F:F,SHP!EE:EE,"-")</f>
        <v>0</v>
      </c>
      <c r="L279" s="12"/>
      <c r="N279" s="11"/>
      <c r="P279"/>
      <c r="Q279"/>
      <c r="W279" s="28"/>
      <c r="AA279"/>
    </row>
    <row r="280" spans="1:27" x14ac:dyDescent="0.45">
      <c r="A280" s="57">
        <v>1424</v>
      </c>
      <c r="B280" t="s">
        <v>2314</v>
      </c>
      <c r="C280" t="s">
        <v>2315</v>
      </c>
      <c r="D280" s="12">
        <v>46303</v>
      </c>
      <c r="E280" s="11">
        <v>24</v>
      </c>
      <c r="F280" s="11" t="s">
        <v>5264</v>
      </c>
      <c r="G280">
        <v>20140801</v>
      </c>
      <c r="I280" s="11" t="s">
        <v>18</v>
      </c>
      <c r="J280" s="72">
        <v>60233431</v>
      </c>
      <c r="K280" s="99">
        <f>_xlfn.XLOOKUP(_2__ROI_Daily_Update[[#This Row],[CSM id]],SHP!F:F,SHP!EE:EE,"-")</f>
        <v>0</v>
      </c>
      <c r="L280" s="12"/>
      <c r="N280" s="11"/>
      <c r="P280"/>
      <c r="Q280"/>
      <c r="W280" s="28"/>
      <c r="AA280"/>
    </row>
    <row r="281" spans="1:27" x14ac:dyDescent="0.45">
      <c r="A281" s="57">
        <v>1111</v>
      </c>
      <c r="B281" t="s">
        <v>1413</v>
      </c>
      <c r="C281" t="s">
        <v>1414</v>
      </c>
      <c r="D281" s="12">
        <v>46303</v>
      </c>
      <c r="E281" s="11">
        <v>18</v>
      </c>
      <c r="F281" s="11" t="s">
        <v>5910</v>
      </c>
      <c r="G281">
        <v>20251001</v>
      </c>
      <c r="I281" s="11" t="s">
        <v>63</v>
      </c>
      <c r="J281" s="72">
        <v>50615906</v>
      </c>
      <c r="K281" s="99">
        <f>_xlfn.XLOOKUP(_2__ROI_Daily_Update[[#This Row],[CSM id]],SHP!F:F,SHP!EE:EE,"-")</f>
        <v>0</v>
      </c>
      <c r="L281" s="12"/>
      <c r="N281" s="11"/>
      <c r="P281"/>
      <c r="Q281"/>
      <c r="W281" s="28"/>
      <c r="AA281"/>
    </row>
    <row r="282" spans="1:27" x14ac:dyDescent="0.45">
      <c r="A282" s="57">
        <v>1813</v>
      </c>
      <c r="B282" t="s">
        <v>3418</v>
      </c>
      <c r="C282" t="s">
        <v>3419</v>
      </c>
      <c r="D282" s="12">
        <v>46303</v>
      </c>
      <c r="E282" s="11">
        <v>360</v>
      </c>
      <c r="F282" s="11" t="s">
        <v>5909</v>
      </c>
      <c r="G282">
        <v>20220701</v>
      </c>
      <c r="I282" s="11" t="s">
        <v>18</v>
      </c>
      <c r="J282" s="72">
        <v>70531939</v>
      </c>
      <c r="K282" s="99">
        <f>_xlfn.XLOOKUP(_2__ROI_Daily_Update[[#This Row],[CSM id]],SHP!F:F,SHP!EE:EE,"-")</f>
        <v>0</v>
      </c>
      <c r="L282" s="12"/>
      <c r="N282" s="11"/>
      <c r="P282"/>
      <c r="Q282"/>
      <c r="W282" s="28"/>
      <c r="AA282"/>
    </row>
    <row r="283" spans="1:27" x14ac:dyDescent="0.45">
      <c r="A283" s="57">
        <v>1852</v>
      </c>
      <c r="B283" t="s">
        <v>3672</v>
      </c>
      <c r="C283" t="s">
        <v>3673</v>
      </c>
      <c r="D283" s="12">
        <v>46303</v>
      </c>
      <c r="E283" s="11">
        <v>12</v>
      </c>
      <c r="F283" s="11" t="s">
        <v>5910</v>
      </c>
      <c r="G283">
        <v>20260101</v>
      </c>
      <c r="I283" s="11" t="s">
        <v>63</v>
      </c>
      <c r="J283" s="72">
        <v>595393</v>
      </c>
      <c r="K283" s="99">
        <f>_xlfn.XLOOKUP(_2__ROI_Daily_Update[[#This Row],[CSM id]],SHP!F:F,SHP!EE:EE,"-")</f>
        <v>0</v>
      </c>
      <c r="L283" s="12"/>
      <c r="N283" s="11"/>
      <c r="P283"/>
      <c r="Q283"/>
      <c r="W283" s="28"/>
      <c r="AA283"/>
    </row>
    <row r="284" spans="1:27" x14ac:dyDescent="0.45">
      <c r="A284" s="57">
        <v>1431</v>
      </c>
      <c r="B284" t="s">
        <v>2362</v>
      </c>
      <c r="C284" t="s">
        <v>2363</v>
      </c>
      <c r="D284" s="12">
        <v>46303</v>
      </c>
      <c r="E284" s="11">
        <v>56</v>
      </c>
      <c r="F284" s="11" t="s">
        <v>5906</v>
      </c>
      <c r="G284">
        <v>20250401</v>
      </c>
      <c r="I284" s="11" t="s">
        <v>63</v>
      </c>
      <c r="J284" s="72">
        <v>20607328</v>
      </c>
      <c r="K284" s="99">
        <f>_xlfn.XLOOKUP(_2__ROI_Daily_Update[[#This Row],[CSM id]],SHP!F:F,SHP!EE:EE,"-")</f>
        <v>0</v>
      </c>
      <c r="L284" s="12"/>
      <c r="N284" s="11"/>
      <c r="P284"/>
      <c r="Q284"/>
      <c r="W284" s="28"/>
      <c r="AA284"/>
    </row>
    <row r="285" spans="1:27" x14ac:dyDescent="0.45">
      <c r="A285" s="57">
        <v>1813</v>
      </c>
      <c r="B285" t="s">
        <v>3414</v>
      </c>
      <c r="C285" t="s">
        <v>3415</v>
      </c>
      <c r="D285" s="12">
        <v>46303</v>
      </c>
      <c r="E285" s="11">
        <v>93</v>
      </c>
      <c r="F285" s="11" t="s">
        <v>5907</v>
      </c>
      <c r="G285">
        <v>20210701</v>
      </c>
      <c r="I285" s="11" t="s">
        <v>63</v>
      </c>
      <c r="J285" s="72">
        <v>60297102</v>
      </c>
      <c r="K285" s="99">
        <f>_xlfn.XLOOKUP(_2__ROI_Daily_Update[[#This Row],[CSM id]],SHP!F:F,SHP!EE:EE,"-")</f>
        <v>0</v>
      </c>
      <c r="L285" s="12"/>
      <c r="N285" s="11"/>
      <c r="P285"/>
      <c r="Q285"/>
      <c r="W285" s="28"/>
      <c r="AA285"/>
    </row>
    <row r="286" spans="1:27" x14ac:dyDescent="0.45">
      <c r="A286" s="57">
        <v>1111</v>
      </c>
      <c r="B286" t="s">
        <v>1399</v>
      </c>
      <c r="C286" t="s">
        <v>1400</v>
      </c>
      <c r="D286" s="12">
        <v>46303</v>
      </c>
      <c r="E286" s="11">
        <v>16</v>
      </c>
      <c r="F286" s="11" t="s">
        <v>5910</v>
      </c>
      <c r="G286">
        <v>20260701</v>
      </c>
      <c r="I286" s="11" t="s">
        <v>63</v>
      </c>
      <c r="J286" s="72">
        <v>40632713</v>
      </c>
      <c r="K286" s="99">
        <f>_xlfn.XLOOKUP(_2__ROI_Daily_Update[[#This Row],[CSM id]],SHP!F:F,SHP!EE:EE,"-")</f>
        <v>0</v>
      </c>
      <c r="L286" s="12"/>
      <c r="N286" s="11"/>
      <c r="P286"/>
      <c r="Q286"/>
      <c r="W286" s="28"/>
      <c r="AA286"/>
    </row>
    <row r="287" spans="1:27" x14ac:dyDescent="0.45">
      <c r="A287" s="57">
        <v>1431</v>
      </c>
      <c r="B287" t="s">
        <v>2354</v>
      </c>
      <c r="C287" t="s">
        <v>2355</v>
      </c>
      <c r="D287" s="12">
        <v>46303</v>
      </c>
      <c r="E287" s="11">
        <v>204</v>
      </c>
      <c r="F287" s="11" t="s">
        <v>5264</v>
      </c>
      <c r="G287">
        <v>20180401</v>
      </c>
      <c r="I287" s="11" t="s">
        <v>18</v>
      </c>
      <c r="J287" s="72">
        <v>20359205</v>
      </c>
      <c r="K287" s="99">
        <f>_xlfn.XLOOKUP(_2__ROI_Daily_Update[[#This Row],[CSM id]],SHP!F:F,SHP!EE:EE,"-")</f>
        <v>0</v>
      </c>
      <c r="L287" s="12"/>
      <c r="N287" s="11"/>
      <c r="P287"/>
      <c r="Q287"/>
      <c r="W287" s="28"/>
      <c r="AA287"/>
    </row>
    <row r="288" spans="1:27" x14ac:dyDescent="0.45">
      <c r="A288" s="57">
        <v>1431</v>
      </c>
      <c r="B288" t="s">
        <v>2352</v>
      </c>
      <c r="C288" t="s">
        <v>2353</v>
      </c>
      <c r="D288" s="12">
        <v>46303</v>
      </c>
      <c r="E288" s="11">
        <v>340</v>
      </c>
      <c r="F288" s="11" t="s">
        <v>5409</v>
      </c>
      <c r="G288">
        <v>20180401</v>
      </c>
      <c r="I288" s="11" t="s">
        <v>63</v>
      </c>
      <c r="J288" s="72">
        <v>20359149</v>
      </c>
      <c r="K288" s="99">
        <f>_xlfn.XLOOKUP(_2__ROI_Daily_Update[[#This Row],[CSM id]],SHP!F:F,SHP!EE:EE,"-")</f>
        <v>0</v>
      </c>
      <c r="L288" s="12"/>
      <c r="N288" s="11"/>
      <c r="P288"/>
      <c r="Q288"/>
      <c r="W288" s="28"/>
      <c r="AA288"/>
    </row>
    <row r="289" spans="1:27" x14ac:dyDescent="0.45">
      <c r="A289" s="57">
        <v>1431</v>
      </c>
      <c r="B289" t="s">
        <v>2350</v>
      </c>
      <c r="C289" t="s">
        <v>2351</v>
      </c>
      <c r="D289" s="12">
        <v>46303</v>
      </c>
      <c r="E289" s="11">
        <v>3240</v>
      </c>
      <c r="F289" s="11" t="s">
        <v>5906</v>
      </c>
      <c r="G289">
        <v>20260701</v>
      </c>
      <c r="I289" s="11" t="s">
        <v>63</v>
      </c>
      <c r="J289" s="72">
        <v>10625484</v>
      </c>
      <c r="K289" s="99">
        <f>_xlfn.XLOOKUP(_2__ROI_Daily_Update[[#This Row],[CSM id]],SHP!F:F,SHP!EE:EE,"-")</f>
        <v>0</v>
      </c>
      <c r="L289" s="12"/>
      <c r="N289" s="11"/>
      <c r="P289"/>
      <c r="Q289"/>
      <c r="W289" s="28"/>
      <c r="AA289"/>
    </row>
    <row r="290" spans="1:27" x14ac:dyDescent="0.45">
      <c r="A290" s="57">
        <v>1836</v>
      </c>
      <c r="B290" t="s">
        <v>3668</v>
      </c>
      <c r="C290" t="s">
        <v>3669</v>
      </c>
      <c r="D290" s="12">
        <v>46303</v>
      </c>
      <c r="E290" s="11">
        <v>80</v>
      </c>
      <c r="F290" s="11" t="s">
        <v>5907</v>
      </c>
      <c r="G290">
        <v>20260701</v>
      </c>
      <c r="I290" s="11" t="s">
        <v>63</v>
      </c>
      <c r="J290" s="72">
        <v>90633569</v>
      </c>
      <c r="K290" s="99">
        <f>_xlfn.XLOOKUP(_2__ROI_Daily_Update[[#This Row],[CSM id]],SHP!F:F,SHP!EE:EE,"-")</f>
        <v>0</v>
      </c>
      <c r="L290" s="12"/>
      <c r="N290" s="11"/>
      <c r="P290"/>
      <c r="Q290"/>
      <c r="W290" s="28"/>
      <c r="AA290"/>
    </row>
    <row r="291" spans="1:27" x14ac:dyDescent="0.45">
      <c r="A291" s="57">
        <v>1431</v>
      </c>
      <c r="B291" t="s">
        <v>2348</v>
      </c>
      <c r="C291" t="s">
        <v>2349</v>
      </c>
      <c r="D291" s="12">
        <v>46303</v>
      </c>
      <c r="E291" s="11">
        <v>48</v>
      </c>
      <c r="F291" s="11" t="s">
        <v>5409</v>
      </c>
      <c r="G291">
        <v>20250401</v>
      </c>
      <c r="I291" s="11" t="s">
        <v>63</v>
      </c>
      <c r="J291" s="72">
        <v>10595910</v>
      </c>
      <c r="K291" s="99">
        <f>_xlfn.XLOOKUP(_2__ROI_Daily_Update[[#This Row],[CSM id]],SHP!F:F,SHP!EE:EE,"-")</f>
        <v>0</v>
      </c>
      <c r="L291" s="12"/>
      <c r="N291" s="11"/>
      <c r="P291"/>
      <c r="Q291"/>
      <c r="W291" s="28"/>
      <c r="AA291"/>
    </row>
    <row r="292" spans="1:27" x14ac:dyDescent="0.45">
      <c r="A292" s="57">
        <v>1431</v>
      </c>
      <c r="B292" t="s">
        <v>2346</v>
      </c>
      <c r="C292" t="s">
        <v>2347</v>
      </c>
      <c r="D292" s="12">
        <v>46303</v>
      </c>
      <c r="E292" s="11">
        <v>1088</v>
      </c>
      <c r="F292" s="11" t="s">
        <v>5404</v>
      </c>
      <c r="G292">
        <v>20240701</v>
      </c>
      <c r="I292" s="11" t="s">
        <v>63</v>
      </c>
      <c r="J292" s="72">
        <v>10586294</v>
      </c>
      <c r="K292" s="99">
        <f>_xlfn.XLOOKUP(_2__ROI_Daily_Update[[#This Row],[CSM id]],SHP!F:F,SHP!EE:EE,"-")</f>
        <v>0</v>
      </c>
      <c r="L292" s="12"/>
      <c r="N292" s="11"/>
      <c r="P292"/>
      <c r="Q292"/>
      <c r="W292" s="28"/>
      <c r="AA292"/>
    </row>
    <row r="293" spans="1:27" x14ac:dyDescent="0.45">
      <c r="A293" s="57">
        <v>1423</v>
      </c>
      <c r="B293" t="s">
        <v>2268</v>
      </c>
      <c r="C293" t="s">
        <v>2269</v>
      </c>
      <c r="D293" s="12">
        <v>46303</v>
      </c>
      <c r="E293" s="11">
        <v>140</v>
      </c>
      <c r="F293" s="11" t="s">
        <v>5907</v>
      </c>
      <c r="G293">
        <v>20140801</v>
      </c>
      <c r="I293" s="11" t="s">
        <v>63</v>
      </c>
      <c r="J293" s="72">
        <v>157717</v>
      </c>
      <c r="K293" s="99">
        <f>_xlfn.XLOOKUP(_2__ROI_Daily_Update[[#This Row],[CSM id]],SHP!F:F,SHP!EE:EE,"-")</f>
        <v>0</v>
      </c>
      <c r="L293" s="12"/>
      <c r="N293" s="11"/>
      <c r="P293"/>
      <c r="Q293"/>
      <c r="W293" s="28"/>
      <c r="AA293"/>
    </row>
    <row r="294" spans="1:27" x14ac:dyDescent="0.45">
      <c r="A294" s="57">
        <v>1111</v>
      </c>
      <c r="B294" t="s">
        <v>1399</v>
      </c>
      <c r="C294" t="s">
        <v>1400</v>
      </c>
      <c r="D294" s="12">
        <v>46303</v>
      </c>
      <c r="E294" s="11">
        <v>32</v>
      </c>
      <c r="F294" s="11" t="s">
        <v>5906</v>
      </c>
      <c r="G294">
        <v>20260701</v>
      </c>
      <c r="I294" s="11" t="s">
        <v>63</v>
      </c>
      <c r="J294" s="72">
        <v>40632713</v>
      </c>
      <c r="K294" s="99">
        <f>_xlfn.XLOOKUP(_2__ROI_Daily_Update[[#This Row],[CSM id]],SHP!F:F,SHP!EE:EE,"-")</f>
        <v>0</v>
      </c>
      <c r="L294" s="12"/>
      <c r="N294" s="11"/>
      <c r="P294"/>
      <c r="Q294"/>
      <c r="W294" s="28"/>
      <c r="AA294"/>
    </row>
    <row r="295" spans="1:27" x14ac:dyDescent="0.45">
      <c r="A295" s="57">
        <v>1431</v>
      </c>
      <c r="B295" t="s">
        <v>2342</v>
      </c>
      <c r="C295" t="s">
        <v>2343</v>
      </c>
      <c r="D295" s="12">
        <v>46303</v>
      </c>
      <c r="E295" s="11">
        <v>288</v>
      </c>
      <c r="F295" s="11" t="s">
        <v>5264</v>
      </c>
      <c r="G295">
        <v>20210701</v>
      </c>
      <c r="I295" s="11" t="s">
        <v>18</v>
      </c>
      <c r="J295" s="72">
        <v>10452176</v>
      </c>
      <c r="K295" s="99">
        <f>_xlfn.XLOOKUP(_2__ROI_Daily_Update[[#This Row],[CSM id]],SHP!F:F,SHP!EE:EE,"-")</f>
        <v>0</v>
      </c>
      <c r="L295" s="12"/>
      <c r="N295" s="11"/>
      <c r="P295"/>
      <c r="Q295"/>
      <c r="W295" s="28"/>
      <c r="AA295"/>
    </row>
    <row r="296" spans="1:27" x14ac:dyDescent="0.45">
      <c r="A296" s="57">
        <v>1111</v>
      </c>
      <c r="B296" t="s">
        <v>1403</v>
      </c>
      <c r="C296" t="s">
        <v>1404</v>
      </c>
      <c r="D296" s="12">
        <v>46303</v>
      </c>
      <c r="E296" s="11">
        <v>54</v>
      </c>
      <c r="F296" s="11" t="s">
        <v>5910</v>
      </c>
      <c r="G296">
        <v>20261001</v>
      </c>
      <c r="I296" s="11" t="s">
        <v>63</v>
      </c>
      <c r="J296" s="72">
        <v>40638343</v>
      </c>
      <c r="K296" s="99">
        <f>_xlfn.XLOOKUP(_2__ROI_Daily_Update[[#This Row],[CSM id]],SHP!F:F,SHP!EE:EE,"-")</f>
        <v>0</v>
      </c>
      <c r="L296" s="12"/>
      <c r="N296" s="11"/>
      <c r="P296"/>
      <c r="Q296"/>
      <c r="W296" s="28"/>
      <c r="AA296"/>
    </row>
    <row r="297" spans="1:27" x14ac:dyDescent="0.45">
      <c r="A297" s="57">
        <v>1431</v>
      </c>
      <c r="B297" t="s">
        <v>2336</v>
      </c>
      <c r="C297" t="s">
        <v>2337</v>
      </c>
      <c r="D297" s="12">
        <v>46303</v>
      </c>
      <c r="E297" s="11">
        <v>155</v>
      </c>
      <c r="F297" s="11" t="s">
        <v>5269</v>
      </c>
      <c r="G297">
        <v>20140801</v>
      </c>
      <c r="I297" s="11" t="s">
        <v>18</v>
      </c>
      <c r="J297" s="72">
        <v>10134023</v>
      </c>
      <c r="K297" s="99">
        <f>_xlfn.XLOOKUP(_2__ROI_Daily_Update[[#This Row],[CSM id]],SHP!F:F,SHP!EE:EE,"-")</f>
        <v>0</v>
      </c>
      <c r="L297" s="12"/>
      <c r="N297" s="11"/>
      <c r="P297"/>
      <c r="Q297"/>
      <c r="W297" s="28"/>
      <c r="AA297"/>
    </row>
    <row r="298" spans="1:27" x14ac:dyDescent="0.45">
      <c r="A298" s="57">
        <v>1111</v>
      </c>
      <c r="B298" t="s">
        <v>1405</v>
      </c>
      <c r="C298" t="s">
        <v>1406</v>
      </c>
      <c r="D298" s="12">
        <v>46303</v>
      </c>
      <c r="E298" s="11">
        <v>20</v>
      </c>
      <c r="F298" s="11" t="s">
        <v>5905</v>
      </c>
      <c r="G298">
        <v>20170201</v>
      </c>
      <c r="I298" s="11" t="s">
        <v>63</v>
      </c>
      <c r="J298" s="72">
        <v>50336953</v>
      </c>
      <c r="K298" s="99">
        <f>_xlfn.XLOOKUP(_2__ROI_Daily_Update[[#This Row],[CSM id]],SHP!F:F,SHP!EE:EE,"-")</f>
        <v>0</v>
      </c>
      <c r="L298" s="12"/>
      <c r="N298" s="11"/>
      <c r="P298"/>
      <c r="Q298"/>
      <c r="W298" s="28"/>
      <c r="AA298"/>
    </row>
    <row r="299" spans="1:27" x14ac:dyDescent="0.45">
      <c r="A299" s="57">
        <v>1836</v>
      </c>
      <c r="B299" t="s">
        <v>3666</v>
      </c>
      <c r="C299" t="s">
        <v>3667</v>
      </c>
      <c r="D299" s="12">
        <v>46303</v>
      </c>
      <c r="E299" s="11">
        <v>65</v>
      </c>
      <c r="F299" s="11" t="s">
        <v>5911</v>
      </c>
      <c r="G299">
        <v>20211001</v>
      </c>
      <c r="H299" s="12">
        <v>46388</v>
      </c>
      <c r="I299" s="11" t="s">
        <v>63</v>
      </c>
      <c r="J299" s="72">
        <v>90504195</v>
      </c>
      <c r="K299" s="99">
        <f>_xlfn.XLOOKUP(_2__ROI_Daily_Update[[#This Row],[CSM id]],SHP!F:F,SHP!EE:EE,"-")</f>
        <v>0</v>
      </c>
      <c r="L299" s="12"/>
      <c r="N299" s="11"/>
      <c r="P299"/>
      <c r="Q299"/>
      <c r="W299" s="28"/>
      <c r="AA299"/>
    </row>
    <row r="300" spans="1:27" x14ac:dyDescent="0.45">
      <c r="A300" s="57">
        <v>1431</v>
      </c>
      <c r="B300" t="s">
        <v>2328</v>
      </c>
      <c r="C300" t="s">
        <v>2329</v>
      </c>
      <c r="D300" s="12">
        <v>46303</v>
      </c>
      <c r="E300" s="11">
        <v>200</v>
      </c>
      <c r="F300" s="11" t="s">
        <v>5269</v>
      </c>
      <c r="G300">
        <v>20260701</v>
      </c>
      <c r="I300" s="11" t="s">
        <v>18</v>
      </c>
      <c r="J300" s="72">
        <v>625371</v>
      </c>
      <c r="K300" s="99">
        <f>_xlfn.XLOOKUP(_2__ROI_Daily_Update[[#This Row],[CSM id]],SHP!F:F,SHP!EE:EE,"-")</f>
        <v>0</v>
      </c>
      <c r="L300" s="12"/>
      <c r="N300" s="11"/>
      <c r="P300"/>
      <c r="Q300"/>
      <c r="W300" s="28"/>
      <c r="AA300"/>
    </row>
    <row r="301" spans="1:27" x14ac:dyDescent="0.45">
      <c r="A301" s="57">
        <v>1431</v>
      </c>
      <c r="B301" t="s">
        <v>2326</v>
      </c>
      <c r="C301" t="s">
        <v>2327</v>
      </c>
      <c r="D301" s="12">
        <v>46303</v>
      </c>
      <c r="E301" s="11">
        <v>1536</v>
      </c>
      <c r="F301" s="11" t="s">
        <v>5404</v>
      </c>
      <c r="G301">
        <v>20260101</v>
      </c>
      <c r="I301" s="11" t="s">
        <v>63</v>
      </c>
      <c r="J301" s="72">
        <v>624606</v>
      </c>
      <c r="K301" s="99">
        <f>_xlfn.XLOOKUP(_2__ROI_Daily_Update[[#This Row],[CSM id]],SHP!F:F,SHP!EE:EE,"-")</f>
        <v>0</v>
      </c>
      <c r="L301" s="12"/>
      <c r="N301" s="11"/>
      <c r="P301"/>
      <c r="Q301"/>
      <c r="W301" s="28"/>
      <c r="AA301"/>
    </row>
    <row r="302" spans="1:27" x14ac:dyDescent="0.45">
      <c r="A302" s="57">
        <v>1431</v>
      </c>
      <c r="B302" t="s">
        <v>2324</v>
      </c>
      <c r="C302" t="s">
        <v>2325</v>
      </c>
      <c r="D302" s="12">
        <v>46303</v>
      </c>
      <c r="E302" s="11">
        <v>108</v>
      </c>
      <c r="F302" s="11" t="s">
        <v>5905</v>
      </c>
      <c r="G302">
        <v>20250401</v>
      </c>
      <c r="I302" s="11" t="s">
        <v>63</v>
      </c>
      <c r="J302" s="72">
        <v>607329</v>
      </c>
      <c r="K302" s="99">
        <f>_xlfn.XLOOKUP(_2__ROI_Daily_Update[[#This Row],[CSM id]],SHP!F:F,SHP!EE:EE,"-")</f>
        <v>0</v>
      </c>
      <c r="L302" s="12"/>
      <c r="N302" s="11"/>
      <c r="P302"/>
      <c r="Q302"/>
      <c r="W302" s="28"/>
      <c r="AA302"/>
    </row>
    <row r="303" spans="1:27" x14ac:dyDescent="0.45">
      <c r="A303" s="57">
        <v>1431</v>
      </c>
      <c r="B303" t="s">
        <v>2322</v>
      </c>
      <c r="C303" t="s">
        <v>2323</v>
      </c>
      <c r="D303" s="12">
        <v>46303</v>
      </c>
      <c r="E303" s="11">
        <v>32</v>
      </c>
      <c r="F303" s="11" t="s">
        <v>5409</v>
      </c>
      <c r="G303">
        <v>20251001</v>
      </c>
      <c r="I303" s="11" t="s">
        <v>63</v>
      </c>
      <c r="J303" s="72">
        <v>605698</v>
      </c>
      <c r="K303" s="99">
        <f>_xlfn.XLOOKUP(_2__ROI_Daily_Update[[#This Row],[CSM id]],SHP!F:F,SHP!EE:EE,"-")</f>
        <v>0</v>
      </c>
      <c r="L303" s="12"/>
      <c r="N303" s="11"/>
      <c r="P303"/>
      <c r="Q303"/>
      <c r="W303" s="28"/>
      <c r="AA303"/>
    </row>
    <row r="304" spans="1:27" x14ac:dyDescent="0.45">
      <c r="A304" s="57">
        <v>1431</v>
      </c>
      <c r="B304" t="s">
        <v>2320</v>
      </c>
      <c r="C304" t="s">
        <v>2321</v>
      </c>
      <c r="D304" s="12">
        <v>46303</v>
      </c>
      <c r="E304" s="11">
        <v>280</v>
      </c>
      <c r="F304" s="11" t="s">
        <v>5264</v>
      </c>
      <c r="G304">
        <v>20141201</v>
      </c>
      <c r="I304" s="11" t="s">
        <v>18</v>
      </c>
      <c r="J304" s="72">
        <v>213544</v>
      </c>
      <c r="K304" s="99">
        <f>_xlfn.XLOOKUP(_2__ROI_Daily_Update[[#This Row],[CSM id]],SHP!F:F,SHP!EE:EE,"-")</f>
        <v>0</v>
      </c>
      <c r="L304" s="12"/>
      <c r="N304" s="11"/>
      <c r="P304"/>
      <c r="Q304"/>
      <c r="W304" s="28"/>
      <c r="AA304"/>
    </row>
    <row r="305" spans="1:27" x14ac:dyDescent="0.45">
      <c r="A305" s="57">
        <v>1431</v>
      </c>
      <c r="B305" t="s">
        <v>2344</v>
      </c>
      <c r="C305" t="s">
        <v>2345</v>
      </c>
      <c r="D305" s="12">
        <v>46303</v>
      </c>
      <c r="E305" s="11">
        <v>324</v>
      </c>
      <c r="F305" s="11" t="s">
        <v>5409</v>
      </c>
      <c r="G305">
        <v>20210701</v>
      </c>
      <c r="I305" s="11" t="s">
        <v>63</v>
      </c>
      <c r="J305" s="72">
        <v>10497924</v>
      </c>
      <c r="K305" s="99">
        <f>_xlfn.XLOOKUP(_2__ROI_Daily_Update[[#This Row],[CSM id]],SHP!F:F,SHP!EE:EE,"-")</f>
        <v>0</v>
      </c>
      <c r="L305" s="12"/>
      <c r="N305" s="11"/>
      <c r="P305"/>
      <c r="Q305"/>
      <c r="W305" s="28"/>
      <c r="AA305"/>
    </row>
    <row r="306" spans="1:27" x14ac:dyDescent="0.45">
      <c r="A306" s="57">
        <v>1112</v>
      </c>
      <c r="B306" t="s">
        <v>1505</v>
      </c>
      <c r="C306" t="s">
        <v>1506</v>
      </c>
      <c r="D306" s="12">
        <v>46303</v>
      </c>
      <c r="E306" s="11">
        <v>12</v>
      </c>
      <c r="F306" s="11" t="s">
        <v>5905</v>
      </c>
      <c r="G306">
        <v>20260401</v>
      </c>
      <c r="I306" s="11" t="s">
        <v>63</v>
      </c>
      <c r="J306" s="72">
        <v>40623775</v>
      </c>
      <c r="K306" s="99">
        <f>_xlfn.XLOOKUP(_2__ROI_Daily_Update[[#This Row],[CSM id]],SHP!F:F,SHP!EE:EE,"-")</f>
        <v>0</v>
      </c>
      <c r="L306" s="12"/>
      <c r="N306" s="11"/>
      <c r="P306"/>
      <c r="Q306"/>
      <c r="W306" s="28"/>
      <c r="AA306"/>
    </row>
    <row r="307" spans="1:27" x14ac:dyDescent="0.45">
      <c r="A307" s="57">
        <v>1112</v>
      </c>
      <c r="B307" t="s">
        <v>1531</v>
      </c>
      <c r="C307" t="s">
        <v>1532</v>
      </c>
      <c r="D307" s="12">
        <v>46303</v>
      </c>
      <c r="E307" s="11">
        <v>28</v>
      </c>
      <c r="F307" s="11" t="s">
        <v>5910</v>
      </c>
      <c r="G307">
        <v>20261001</v>
      </c>
      <c r="I307" s="11" t="s">
        <v>63</v>
      </c>
      <c r="J307" s="72">
        <v>60637658</v>
      </c>
      <c r="K307" s="99">
        <f>_xlfn.XLOOKUP(_2__ROI_Daily_Update[[#This Row],[CSM id]],SHP!F:F,SHP!EE:EE,"-")</f>
        <v>0</v>
      </c>
      <c r="L307" s="12"/>
      <c r="N307" s="11"/>
      <c r="P307"/>
      <c r="Q307"/>
      <c r="W307" s="28"/>
      <c r="AA307"/>
    </row>
    <row r="308" spans="1:27" x14ac:dyDescent="0.45">
      <c r="A308" s="57">
        <v>1422</v>
      </c>
      <c r="B308" t="s">
        <v>2214</v>
      </c>
      <c r="C308" t="s">
        <v>2215</v>
      </c>
      <c r="D308" s="12">
        <v>46303</v>
      </c>
      <c r="E308" s="11">
        <v>600</v>
      </c>
      <c r="F308" s="11" t="s">
        <v>5409</v>
      </c>
      <c r="G308">
        <v>20170201</v>
      </c>
      <c r="I308" s="11" t="s">
        <v>63</v>
      </c>
      <c r="J308" s="72">
        <v>10328554</v>
      </c>
      <c r="K308" s="99">
        <f>_xlfn.XLOOKUP(_2__ROI_Daily_Update[[#This Row],[CSM id]],SHP!F:F,SHP!EE:EE,"-")</f>
        <v>0</v>
      </c>
      <c r="L308" s="12"/>
      <c r="N308" s="11"/>
      <c r="P308"/>
      <c r="Q308"/>
      <c r="W308" s="28"/>
      <c r="AA308"/>
    </row>
    <row r="309" spans="1:27" x14ac:dyDescent="0.45">
      <c r="A309" s="57">
        <v>1231</v>
      </c>
      <c r="B309" t="s">
        <v>1885</v>
      </c>
      <c r="C309" t="s">
        <v>1886</v>
      </c>
      <c r="D309" s="12">
        <v>46303</v>
      </c>
      <c r="E309" s="11">
        <v>30</v>
      </c>
      <c r="F309" s="11" t="s">
        <v>5905</v>
      </c>
      <c r="G309">
        <v>20180801</v>
      </c>
      <c r="I309" s="11" t="s">
        <v>63</v>
      </c>
      <c r="J309" s="72">
        <v>50372776</v>
      </c>
      <c r="K309" s="99">
        <f>_xlfn.XLOOKUP(_2__ROI_Daily_Update[[#This Row],[CSM id]],SHP!F:F,SHP!EE:EE,"-")</f>
        <v>0</v>
      </c>
      <c r="L309" s="12"/>
      <c r="N309" s="11"/>
      <c r="P309"/>
      <c r="Q309"/>
      <c r="W309" s="28"/>
      <c r="AA309"/>
    </row>
    <row r="310" spans="1:27" x14ac:dyDescent="0.45">
      <c r="A310" s="57">
        <v>1231</v>
      </c>
      <c r="B310" t="s">
        <v>1881</v>
      </c>
      <c r="C310" t="s">
        <v>1882</v>
      </c>
      <c r="D310" s="12">
        <v>46303</v>
      </c>
      <c r="E310" s="11">
        <v>44</v>
      </c>
      <c r="F310" s="11" t="s">
        <v>5907</v>
      </c>
      <c r="G310">
        <v>20260601</v>
      </c>
      <c r="I310" s="11" t="s">
        <v>63</v>
      </c>
      <c r="J310" s="72">
        <v>40617492</v>
      </c>
      <c r="K310" s="99">
        <f>_xlfn.XLOOKUP(_2__ROI_Daily_Update[[#This Row],[CSM id]],SHP!F:F,SHP!EE:EE,"-")</f>
        <v>0</v>
      </c>
      <c r="L310" s="12"/>
      <c r="N310" s="11"/>
      <c r="P310"/>
      <c r="Q310"/>
      <c r="W310" s="28"/>
      <c r="AA310"/>
    </row>
    <row r="311" spans="1:27" x14ac:dyDescent="0.45">
      <c r="A311" s="57">
        <v>1231</v>
      </c>
      <c r="B311" t="s">
        <v>1875</v>
      </c>
      <c r="C311" t="s">
        <v>1876</v>
      </c>
      <c r="D311" s="12">
        <v>46303</v>
      </c>
      <c r="E311" s="11">
        <v>132</v>
      </c>
      <c r="F311" s="11" t="s">
        <v>5905</v>
      </c>
      <c r="G311">
        <v>20250401</v>
      </c>
      <c r="I311" s="11" t="s">
        <v>63</v>
      </c>
      <c r="J311" s="72">
        <v>40598728</v>
      </c>
      <c r="K311" s="99">
        <f>_xlfn.XLOOKUP(_2__ROI_Daily_Update[[#This Row],[CSM id]],SHP!F:F,SHP!EE:EE,"-")</f>
        <v>0</v>
      </c>
      <c r="L311" s="12"/>
      <c r="N311" s="11"/>
      <c r="P311"/>
      <c r="Q311"/>
      <c r="W311" s="28"/>
      <c r="AA311"/>
    </row>
    <row r="312" spans="1:27" x14ac:dyDescent="0.45">
      <c r="A312" s="57">
        <v>972</v>
      </c>
      <c r="B312" t="s">
        <v>881</v>
      </c>
      <c r="C312" t="s">
        <v>882</v>
      </c>
      <c r="D312" s="12">
        <v>46303</v>
      </c>
      <c r="E312" s="11">
        <v>24</v>
      </c>
      <c r="F312" s="11" t="s">
        <v>5909</v>
      </c>
      <c r="G312">
        <v>20260101</v>
      </c>
      <c r="I312" s="11" t="s">
        <v>18</v>
      </c>
      <c r="J312" s="72">
        <v>40589352</v>
      </c>
      <c r="K312" s="99">
        <f>_xlfn.XLOOKUP(_2__ROI_Daily_Update[[#This Row],[CSM id]],SHP!F:F,SHP!EE:EE,"-")</f>
        <v>0</v>
      </c>
      <c r="L312" s="12"/>
      <c r="N312" s="11"/>
      <c r="P312"/>
      <c r="Q312"/>
      <c r="W312" s="28"/>
      <c r="AA312"/>
    </row>
    <row r="313" spans="1:27" x14ac:dyDescent="0.45">
      <c r="A313" s="57">
        <v>972</v>
      </c>
      <c r="B313" t="s">
        <v>879</v>
      </c>
      <c r="C313" t="s">
        <v>880</v>
      </c>
      <c r="D313" s="12">
        <v>46303</v>
      </c>
      <c r="E313" s="11">
        <v>120</v>
      </c>
      <c r="F313" s="11" t="s">
        <v>5907</v>
      </c>
      <c r="G313">
        <v>20161201</v>
      </c>
      <c r="I313" s="11" t="s">
        <v>63</v>
      </c>
      <c r="J313" s="72">
        <v>40359657</v>
      </c>
      <c r="K313" s="99">
        <f>_xlfn.XLOOKUP(_2__ROI_Daily_Update[[#This Row],[CSM id]],SHP!F:F,SHP!EE:EE,"-")</f>
        <v>0</v>
      </c>
      <c r="L313" s="12"/>
      <c r="N313" s="11"/>
      <c r="P313"/>
      <c r="Q313"/>
      <c r="W313" s="28"/>
      <c r="AA313"/>
    </row>
    <row r="314" spans="1:27" x14ac:dyDescent="0.45">
      <c r="A314" s="57">
        <v>1231</v>
      </c>
      <c r="B314" t="s">
        <v>1867</v>
      </c>
      <c r="C314" t="s">
        <v>1868</v>
      </c>
      <c r="D314" s="12">
        <v>46303</v>
      </c>
      <c r="E314" s="11">
        <v>16</v>
      </c>
      <c r="F314" s="11" t="s">
        <v>5905</v>
      </c>
      <c r="G314">
        <v>20260701</v>
      </c>
      <c r="I314" s="11" t="s">
        <v>63</v>
      </c>
      <c r="J314" s="72">
        <v>20636024</v>
      </c>
      <c r="K314" s="99">
        <f>_xlfn.XLOOKUP(_2__ROI_Daily_Update[[#This Row],[CSM id]],SHP!F:F,SHP!EE:EE,"-")</f>
        <v>0</v>
      </c>
      <c r="L314" s="12"/>
      <c r="N314" s="11"/>
      <c r="P314"/>
      <c r="Q314"/>
      <c r="W314" s="28"/>
      <c r="AA314"/>
    </row>
    <row r="315" spans="1:27" x14ac:dyDescent="0.45">
      <c r="A315" s="57">
        <v>1231</v>
      </c>
      <c r="B315" t="s">
        <v>1861</v>
      </c>
      <c r="C315" t="s">
        <v>1862</v>
      </c>
      <c r="D315" s="12">
        <v>46303</v>
      </c>
      <c r="E315" s="11">
        <v>32</v>
      </c>
      <c r="F315" s="11" t="s">
        <v>5910</v>
      </c>
      <c r="G315">
        <v>20260101</v>
      </c>
      <c r="I315" s="11" t="s">
        <v>63</v>
      </c>
      <c r="J315" s="72">
        <v>20623286</v>
      </c>
      <c r="K315" s="99">
        <f>_xlfn.XLOOKUP(_2__ROI_Daily_Update[[#This Row],[CSM id]],SHP!F:F,SHP!EE:EE,"-")</f>
        <v>0</v>
      </c>
      <c r="L315" s="12"/>
      <c r="N315" s="11"/>
      <c r="P315"/>
      <c r="Q315"/>
      <c r="W315" s="28"/>
      <c r="AA315"/>
    </row>
    <row r="316" spans="1:27" x14ac:dyDescent="0.45">
      <c r="A316" s="57">
        <v>1231</v>
      </c>
      <c r="B316" t="s">
        <v>1857</v>
      </c>
      <c r="C316" t="s">
        <v>1858</v>
      </c>
      <c r="D316" s="12">
        <v>46303</v>
      </c>
      <c r="E316" s="11">
        <v>32</v>
      </c>
      <c r="F316" s="11" t="s">
        <v>5910</v>
      </c>
      <c r="G316">
        <v>20180801</v>
      </c>
      <c r="I316" s="11" t="s">
        <v>63</v>
      </c>
      <c r="J316" s="72">
        <v>20368752</v>
      </c>
      <c r="K316" s="99">
        <f>_xlfn.XLOOKUP(_2__ROI_Daily_Update[[#This Row],[CSM id]],SHP!F:F,SHP!EE:EE,"-")</f>
        <v>0</v>
      </c>
      <c r="L316" s="12"/>
      <c r="N316" s="11"/>
      <c r="P316"/>
      <c r="Q316"/>
      <c r="W316" s="28"/>
      <c r="AA316"/>
    </row>
    <row r="317" spans="1:27" x14ac:dyDescent="0.45">
      <c r="A317" s="57">
        <v>966</v>
      </c>
      <c r="B317" t="s">
        <v>789</v>
      </c>
      <c r="C317" t="s">
        <v>790</v>
      </c>
      <c r="D317" s="12">
        <v>46303</v>
      </c>
      <c r="E317" s="11">
        <v>30</v>
      </c>
      <c r="F317" s="11" t="s">
        <v>5908</v>
      </c>
      <c r="G317">
        <v>20261001</v>
      </c>
      <c r="H317" s="12">
        <v>46661</v>
      </c>
      <c r="I317" s="11" t="s">
        <v>63</v>
      </c>
      <c r="J317" s="72">
        <v>60625165</v>
      </c>
      <c r="K317" s="99">
        <f>_xlfn.XLOOKUP(_2__ROI_Daily_Update[[#This Row],[CSM id]],SHP!F:F,SHP!EE:EE,"-")</f>
        <v>0</v>
      </c>
      <c r="L317" s="12"/>
      <c r="N317" s="11"/>
      <c r="P317"/>
      <c r="Q317"/>
      <c r="W317" s="28"/>
      <c r="AA317"/>
    </row>
    <row r="318" spans="1:27" x14ac:dyDescent="0.45">
      <c r="A318" s="57">
        <v>1231</v>
      </c>
      <c r="B318" t="s">
        <v>1855</v>
      </c>
      <c r="C318" t="s">
        <v>1856</v>
      </c>
      <c r="D318" s="12">
        <v>46303</v>
      </c>
      <c r="E318" s="11">
        <v>72</v>
      </c>
      <c r="F318" s="11" t="s">
        <v>5908</v>
      </c>
      <c r="G318">
        <v>20250701</v>
      </c>
      <c r="I318" s="11" t="s">
        <v>63</v>
      </c>
      <c r="J318" s="72">
        <v>10623423</v>
      </c>
      <c r="K318" s="99">
        <f>_xlfn.XLOOKUP(_2__ROI_Daily_Update[[#This Row],[CSM id]],SHP!F:F,SHP!EE:EE,"-")</f>
        <v>0</v>
      </c>
      <c r="L318" s="12"/>
      <c r="N318" s="11"/>
      <c r="P318"/>
      <c r="Q318"/>
      <c r="W318" s="28"/>
      <c r="AA318"/>
    </row>
    <row r="319" spans="1:27" x14ac:dyDescent="0.45">
      <c r="A319" s="57">
        <v>1231</v>
      </c>
      <c r="B319" t="s">
        <v>1843</v>
      </c>
      <c r="C319" t="s">
        <v>1844</v>
      </c>
      <c r="D319" s="12">
        <v>46303</v>
      </c>
      <c r="E319" s="11">
        <v>36</v>
      </c>
      <c r="F319" s="11" t="s">
        <v>5910</v>
      </c>
      <c r="G319">
        <v>20261001</v>
      </c>
      <c r="I319" s="11" t="s">
        <v>63</v>
      </c>
      <c r="J319" s="72">
        <v>625286</v>
      </c>
      <c r="K319" s="99">
        <f>_xlfn.XLOOKUP(_2__ROI_Daily_Update[[#This Row],[CSM id]],SHP!F:F,SHP!EE:EE,"-")</f>
        <v>0</v>
      </c>
      <c r="L319" s="12"/>
      <c r="N319" s="11"/>
      <c r="P319"/>
      <c r="Q319"/>
      <c r="W319" s="28"/>
      <c r="AA319"/>
    </row>
    <row r="320" spans="1:27" x14ac:dyDescent="0.45">
      <c r="A320" s="57">
        <v>1231</v>
      </c>
      <c r="B320" t="s">
        <v>1841</v>
      </c>
      <c r="C320" t="s">
        <v>1842</v>
      </c>
      <c r="D320" s="12">
        <v>46303</v>
      </c>
      <c r="E320" s="11">
        <v>80</v>
      </c>
      <c r="F320" s="11" t="s">
        <v>5906</v>
      </c>
      <c r="G320">
        <v>20260701</v>
      </c>
      <c r="I320" s="11" t="s">
        <v>63</v>
      </c>
      <c r="J320" s="72">
        <v>625267</v>
      </c>
      <c r="K320" s="99">
        <f>_xlfn.XLOOKUP(_2__ROI_Daily_Update[[#This Row],[CSM id]],SHP!F:F,SHP!EE:EE,"-")</f>
        <v>0</v>
      </c>
      <c r="L320" s="12"/>
      <c r="N320" s="11"/>
      <c r="P320"/>
      <c r="Q320"/>
      <c r="W320" s="28"/>
      <c r="AA320"/>
    </row>
    <row r="321" spans="1:27" x14ac:dyDescent="0.45">
      <c r="A321" s="57">
        <v>1231</v>
      </c>
      <c r="B321" t="s">
        <v>1895</v>
      </c>
      <c r="C321" t="s">
        <v>1896</v>
      </c>
      <c r="D321" s="12">
        <v>46303</v>
      </c>
      <c r="E321" s="11">
        <v>72</v>
      </c>
      <c r="F321" s="11" t="s">
        <v>5909</v>
      </c>
      <c r="G321">
        <v>20230401</v>
      </c>
      <c r="I321" s="11" t="s">
        <v>18</v>
      </c>
      <c r="J321" s="72">
        <v>60550711</v>
      </c>
      <c r="K321" s="99">
        <f>_xlfn.XLOOKUP(_2__ROI_Daily_Update[[#This Row],[CSM id]],SHP!F:F,SHP!EE:EE,"-")</f>
        <v>0</v>
      </c>
      <c r="L321" s="12"/>
      <c r="N321" s="11"/>
      <c r="P321"/>
      <c r="Q321"/>
      <c r="W321" s="28"/>
      <c r="AA321"/>
    </row>
    <row r="322" spans="1:27" x14ac:dyDescent="0.45">
      <c r="A322" s="57">
        <v>1231</v>
      </c>
      <c r="B322" t="s">
        <v>1841</v>
      </c>
      <c r="C322" t="s">
        <v>1842</v>
      </c>
      <c r="D322" s="12">
        <v>46303</v>
      </c>
      <c r="E322" s="11">
        <v>80</v>
      </c>
      <c r="F322" s="11" t="s">
        <v>5905</v>
      </c>
      <c r="G322">
        <v>20260701</v>
      </c>
      <c r="I322" s="11" t="s">
        <v>63</v>
      </c>
      <c r="J322" s="72">
        <v>625267</v>
      </c>
      <c r="K322" s="99">
        <f>_xlfn.XLOOKUP(_2__ROI_Daily_Update[[#This Row],[CSM id]],SHP!F:F,SHP!EE:EE,"-")</f>
        <v>0</v>
      </c>
      <c r="L322" s="12"/>
      <c r="N322" s="11"/>
      <c r="P322"/>
      <c r="Q322"/>
      <c r="W322" s="28"/>
      <c r="AA322"/>
    </row>
    <row r="323" spans="1:27" x14ac:dyDescent="0.45">
      <c r="A323" s="57">
        <v>1231</v>
      </c>
      <c r="B323" t="s">
        <v>1827</v>
      </c>
      <c r="C323" t="s">
        <v>1828</v>
      </c>
      <c r="D323" s="12">
        <v>46303</v>
      </c>
      <c r="E323" s="11">
        <v>120</v>
      </c>
      <c r="F323" s="11" t="s">
        <v>5908</v>
      </c>
      <c r="G323">
        <v>20240701</v>
      </c>
      <c r="I323" s="11" t="s">
        <v>63</v>
      </c>
      <c r="J323" s="72">
        <v>561802</v>
      </c>
      <c r="K323" s="99">
        <f>_xlfn.XLOOKUP(_2__ROI_Daily_Update[[#This Row],[CSM id]],SHP!F:F,SHP!EE:EE,"-")</f>
        <v>0</v>
      </c>
      <c r="L323" s="12"/>
      <c r="N323" s="11"/>
      <c r="P323"/>
      <c r="Q323"/>
      <c r="W323" s="28"/>
      <c r="AA323"/>
    </row>
    <row r="324" spans="1:27" x14ac:dyDescent="0.45">
      <c r="A324" s="57">
        <v>1214</v>
      </c>
      <c r="B324" t="s">
        <v>1821</v>
      </c>
      <c r="C324" t="s">
        <v>1822</v>
      </c>
      <c r="D324" s="12">
        <v>46303</v>
      </c>
      <c r="E324" s="11">
        <v>252</v>
      </c>
      <c r="F324" s="11" t="s">
        <v>5910</v>
      </c>
      <c r="G324">
        <v>20140801</v>
      </c>
      <c r="I324" s="11" t="s">
        <v>63</v>
      </c>
      <c r="J324" s="72">
        <v>70172804</v>
      </c>
      <c r="K324" s="99">
        <f>_xlfn.XLOOKUP(_2__ROI_Daily_Update[[#This Row],[CSM id]],SHP!F:F,SHP!EE:EE,"-")</f>
        <v>0</v>
      </c>
      <c r="L324" s="12"/>
      <c r="N324" s="11"/>
      <c r="P324"/>
      <c r="Q324"/>
      <c r="W324" s="28"/>
      <c r="AA324"/>
    </row>
    <row r="325" spans="1:27" x14ac:dyDescent="0.45">
      <c r="A325" s="57">
        <v>1214</v>
      </c>
      <c r="B325" t="s">
        <v>1817</v>
      </c>
      <c r="C325" t="s">
        <v>1818</v>
      </c>
      <c r="D325" s="12">
        <v>46303</v>
      </c>
      <c r="E325" s="11">
        <v>16</v>
      </c>
      <c r="F325" s="11" t="s">
        <v>5910</v>
      </c>
      <c r="G325">
        <v>20210401</v>
      </c>
      <c r="H325" s="12">
        <v>46478</v>
      </c>
      <c r="I325" s="11" t="s">
        <v>63</v>
      </c>
      <c r="J325" s="72">
        <v>50489700</v>
      </c>
      <c r="K325" s="99">
        <f>_xlfn.XLOOKUP(_2__ROI_Daily_Update[[#This Row],[CSM id]],SHP!F:F,SHP!EE:EE,"-")</f>
        <v>0</v>
      </c>
      <c r="L325" s="12"/>
      <c r="N325" s="11"/>
      <c r="P325"/>
      <c r="Q325"/>
      <c r="W325" s="28"/>
      <c r="AA325"/>
    </row>
    <row r="326" spans="1:27" x14ac:dyDescent="0.45">
      <c r="A326" s="57">
        <v>1214</v>
      </c>
      <c r="B326" t="s">
        <v>1815</v>
      </c>
      <c r="C326" t="s">
        <v>1816</v>
      </c>
      <c r="D326" s="12">
        <v>46303</v>
      </c>
      <c r="E326" s="11">
        <v>48</v>
      </c>
      <c r="F326" s="11" t="s">
        <v>5910</v>
      </c>
      <c r="G326">
        <v>20210401</v>
      </c>
      <c r="H326" s="12">
        <v>46478</v>
      </c>
      <c r="I326" s="11" t="s">
        <v>63</v>
      </c>
      <c r="J326" s="72">
        <v>50489535</v>
      </c>
      <c r="K326" s="99">
        <f>_xlfn.XLOOKUP(_2__ROI_Daily_Update[[#This Row],[CSM id]],SHP!F:F,SHP!EE:EE,"-")</f>
        <v>0</v>
      </c>
      <c r="L326" s="12"/>
      <c r="N326" s="11"/>
      <c r="P326"/>
      <c r="Q326"/>
      <c r="W326" s="28"/>
      <c r="AA326"/>
    </row>
    <row r="327" spans="1:27" x14ac:dyDescent="0.45">
      <c r="A327" s="57">
        <v>1214</v>
      </c>
      <c r="B327" t="s">
        <v>1813</v>
      </c>
      <c r="C327" t="s">
        <v>1814</v>
      </c>
      <c r="D327" s="12">
        <v>46303</v>
      </c>
      <c r="E327" s="11">
        <v>200</v>
      </c>
      <c r="F327" s="11" t="s">
        <v>5910</v>
      </c>
      <c r="G327">
        <v>20140801</v>
      </c>
      <c r="H327" s="12">
        <v>46478</v>
      </c>
      <c r="I327" s="11" t="s">
        <v>63</v>
      </c>
      <c r="J327" s="72">
        <v>40219898</v>
      </c>
      <c r="K327" s="99">
        <f>_xlfn.XLOOKUP(_2__ROI_Daily_Update[[#This Row],[CSM id]],SHP!F:F,SHP!EE:EE,"-")</f>
        <v>0</v>
      </c>
      <c r="L327" s="12"/>
      <c r="N327" s="11"/>
      <c r="P327"/>
      <c r="Q327"/>
      <c r="W327" s="28"/>
      <c r="AA327"/>
    </row>
    <row r="328" spans="1:27" x14ac:dyDescent="0.45">
      <c r="A328" s="57">
        <v>1214</v>
      </c>
      <c r="B328" t="s">
        <v>1811</v>
      </c>
      <c r="C328" t="s">
        <v>1812</v>
      </c>
      <c r="D328" s="12">
        <v>46303</v>
      </c>
      <c r="E328" s="11">
        <v>48</v>
      </c>
      <c r="F328" s="11" t="s">
        <v>5910</v>
      </c>
      <c r="G328">
        <v>20190201</v>
      </c>
      <c r="I328" s="11" t="s">
        <v>63</v>
      </c>
      <c r="J328" s="72">
        <v>30417436</v>
      </c>
      <c r="K328" s="99">
        <f>_xlfn.XLOOKUP(_2__ROI_Daily_Update[[#This Row],[CSM id]],SHP!F:F,SHP!EE:EE,"-")</f>
        <v>0</v>
      </c>
      <c r="L328" s="12"/>
      <c r="N328" s="11"/>
      <c r="P328"/>
      <c r="Q328"/>
      <c r="W328" s="28"/>
      <c r="AA328"/>
    </row>
    <row r="329" spans="1:27" x14ac:dyDescent="0.45">
      <c r="A329" s="57">
        <v>1822</v>
      </c>
      <c r="B329" t="s">
        <v>3558</v>
      </c>
      <c r="C329" t="s">
        <v>3559</v>
      </c>
      <c r="D329" s="12">
        <v>46303</v>
      </c>
      <c r="E329" s="11">
        <v>20</v>
      </c>
      <c r="F329" s="11" t="s">
        <v>5905</v>
      </c>
      <c r="G329">
        <v>20140801</v>
      </c>
      <c r="H329" s="12">
        <v>46388</v>
      </c>
      <c r="I329" s="11" t="s">
        <v>63</v>
      </c>
      <c r="J329" s="72">
        <v>50242657</v>
      </c>
      <c r="K329" s="99">
        <f>_xlfn.XLOOKUP(_2__ROI_Daily_Update[[#This Row],[CSM id]],SHP!F:F,SHP!EE:EE,"-")</f>
        <v>0</v>
      </c>
      <c r="L329" s="12"/>
      <c r="N329" s="11"/>
      <c r="P329"/>
      <c r="Q329"/>
      <c r="W329" s="28"/>
      <c r="AA329"/>
    </row>
    <row r="330" spans="1:27" x14ac:dyDescent="0.45">
      <c r="A330" s="57">
        <v>1214</v>
      </c>
      <c r="B330" t="s">
        <v>1807</v>
      </c>
      <c r="C330" t="s">
        <v>1808</v>
      </c>
      <c r="D330" s="12">
        <v>46303</v>
      </c>
      <c r="E330" s="11">
        <v>48</v>
      </c>
      <c r="F330" s="11" t="s">
        <v>5906</v>
      </c>
      <c r="G330">
        <v>20210401</v>
      </c>
      <c r="I330" s="11" t="s">
        <v>63</v>
      </c>
      <c r="J330" s="72">
        <v>20489532</v>
      </c>
      <c r="K330" s="99">
        <f>_xlfn.XLOOKUP(_2__ROI_Daily_Update[[#This Row],[CSM id]],SHP!F:F,SHP!EE:EE,"-")</f>
        <v>0</v>
      </c>
      <c r="L330" s="12"/>
      <c r="N330" s="11"/>
      <c r="P330"/>
      <c r="Q330"/>
      <c r="W330" s="28"/>
      <c r="AA330"/>
    </row>
    <row r="331" spans="1:27" x14ac:dyDescent="0.45">
      <c r="A331" s="57">
        <v>967</v>
      </c>
      <c r="B331" t="s">
        <v>798</v>
      </c>
      <c r="C331" t="s">
        <v>799</v>
      </c>
      <c r="D331" s="12">
        <v>46303</v>
      </c>
      <c r="E331" s="11">
        <v>240</v>
      </c>
      <c r="F331" s="11" t="s">
        <v>5907</v>
      </c>
      <c r="G331">
        <v>20260701</v>
      </c>
      <c r="I331" s="11" t="s">
        <v>63</v>
      </c>
      <c r="J331" s="72">
        <v>30465093</v>
      </c>
      <c r="K331" s="99">
        <f>_xlfn.XLOOKUP(_2__ROI_Daily_Update[[#This Row],[CSM id]],SHP!F:F,SHP!EE:EE,"-")</f>
        <v>0</v>
      </c>
      <c r="L331" s="12"/>
      <c r="N331" s="11"/>
      <c r="P331"/>
      <c r="Q331"/>
      <c r="W331" s="28"/>
      <c r="AA331"/>
    </row>
    <row r="332" spans="1:27" x14ac:dyDescent="0.45">
      <c r="A332" s="57">
        <v>1214</v>
      </c>
      <c r="B332" t="s">
        <v>1807</v>
      </c>
      <c r="C332" t="s">
        <v>1808</v>
      </c>
      <c r="D332" s="12">
        <v>46303</v>
      </c>
      <c r="E332" s="11">
        <v>48</v>
      </c>
      <c r="F332" s="11" t="s">
        <v>5905</v>
      </c>
      <c r="G332">
        <v>20210401</v>
      </c>
      <c r="I332" s="11" t="s">
        <v>63</v>
      </c>
      <c r="J332" s="72">
        <v>20489532</v>
      </c>
      <c r="K332" s="99">
        <f>_xlfn.XLOOKUP(_2__ROI_Daily_Update[[#This Row],[CSM id]],SHP!F:F,SHP!EE:EE,"-")</f>
        <v>0</v>
      </c>
      <c r="L332" s="12"/>
      <c r="N332" s="11"/>
      <c r="P332"/>
      <c r="Q332"/>
      <c r="W332" s="28"/>
      <c r="AA332"/>
    </row>
    <row r="333" spans="1:27" x14ac:dyDescent="0.45">
      <c r="A333" s="57">
        <v>1213</v>
      </c>
      <c r="B333" t="s">
        <v>1799</v>
      </c>
      <c r="C333" t="s">
        <v>1800</v>
      </c>
      <c r="D333" s="12">
        <v>46303</v>
      </c>
      <c r="E333" s="11">
        <v>12</v>
      </c>
      <c r="F333" s="11" t="s">
        <v>5905</v>
      </c>
      <c r="G333">
        <v>20190201</v>
      </c>
      <c r="I333" s="11" t="s">
        <v>63</v>
      </c>
      <c r="J333" s="72">
        <v>80380987</v>
      </c>
      <c r="K333" s="99">
        <f>_xlfn.XLOOKUP(_2__ROI_Daily_Update[[#This Row],[CSM id]],SHP!F:F,SHP!EE:EE,"-")</f>
        <v>0</v>
      </c>
      <c r="L333" s="12"/>
      <c r="N333" s="11"/>
      <c r="P333"/>
      <c r="Q333"/>
      <c r="W333" s="28"/>
      <c r="AA333"/>
    </row>
    <row r="334" spans="1:27" x14ac:dyDescent="0.45">
      <c r="A334" s="57">
        <v>967</v>
      </c>
      <c r="B334" t="s">
        <v>800</v>
      </c>
      <c r="C334" t="s">
        <v>801</v>
      </c>
      <c r="D334" s="12">
        <v>46303</v>
      </c>
      <c r="E334" s="11">
        <v>40</v>
      </c>
      <c r="F334" s="11" t="s">
        <v>5908</v>
      </c>
      <c r="G334">
        <v>20240701</v>
      </c>
      <c r="H334" s="12">
        <v>46569</v>
      </c>
      <c r="I334" s="11" t="s">
        <v>63</v>
      </c>
      <c r="J334" s="72">
        <v>50572370</v>
      </c>
      <c r="K334" s="99">
        <f>_xlfn.XLOOKUP(_2__ROI_Daily_Update[[#This Row],[CSM id]],SHP!F:F,SHP!EE:EE,"-")</f>
        <v>0</v>
      </c>
      <c r="L334" s="12"/>
      <c r="N334" s="11"/>
      <c r="P334"/>
      <c r="Q334"/>
      <c r="W334" s="28"/>
      <c r="AA334"/>
    </row>
    <row r="335" spans="1:27" x14ac:dyDescent="0.45">
      <c r="A335" s="57">
        <v>1231</v>
      </c>
      <c r="B335" t="s">
        <v>1833</v>
      </c>
      <c r="C335" t="s">
        <v>1834</v>
      </c>
      <c r="D335" s="12">
        <v>46303</v>
      </c>
      <c r="E335" s="11">
        <v>264</v>
      </c>
      <c r="F335" s="11" t="s">
        <v>5907</v>
      </c>
      <c r="G335">
        <v>20250401</v>
      </c>
      <c r="H335" s="12">
        <v>46569</v>
      </c>
      <c r="I335" s="11" t="s">
        <v>63</v>
      </c>
      <c r="J335" s="72">
        <v>603996</v>
      </c>
      <c r="K335" s="99">
        <f>_xlfn.XLOOKUP(_2__ROI_Daily_Update[[#This Row],[CSM id]],SHP!F:F,SHP!EE:EE,"-")</f>
        <v>0</v>
      </c>
      <c r="L335" s="12"/>
      <c r="N335" s="11"/>
      <c r="P335"/>
      <c r="Q335"/>
      <c r="W335" s="28"/>
      <c r="AA335"/>
    </row>
    <row r="336" spans="1:27" x14ac:dyDescent="0.45">
      <c r="A336" s="57">
        <v>1213</v>
      </c>
      <c r="B336" t="s">
        <v>1797</v>
      </c>
      <c r="C336" t="s">
        <v>1798</v>
      </c>
      <c r="D336" s="12">
        <v>46303</v>
      </c>
      <c r="E336" s="11">
        <v>48</v>
      </c>
      <c r="F336" s="11" t="s">
        <v>5910</v>
      </c>
      <c r="G336">
        <v>20150401</v>
      </c>
      <c r="I336" s="11" t="s">
        <v>63</v>
      </c>
      <c r="J336" s="72">
        <v>80290637</v>
      </c>
      <c r="K336" s="99">
        <f>_xlfn.XLOOKUP(_2__ROI_Daily_Update[[#This Row],[CSM id]],SHP!F:F,SHP!EE:EE,"-")</f>
        <v>0</v>
      </c>
      <c r="L336" s="12"/>
      <c r="N336" s="11"/>
      <c r="P336"/>
      <c r="Q336"/>
      <c r="W336" s="28"/>
      <c r="AA336"/>
    </row>
    <row r="337" spans="1:27" x14ac:dyDescent="0.45">
      <c r="A337" s="57">
        <v>1231</v>
      </c>
      <c r="B337" t="s">
        <v>1897</v>
      </c>
      <c r="C337" t="s">
        <v>1898</v>
      </c>
      <c r="D337" s="12">
        <v>46303</v>
      </c>
      <c r="E337" s="11">
        <v>20</v>
      </c>
      <c r="F337" s="11" t="s">
        <v>5907</v>
      </c>
      <c r="G337">
        <v>20250101</v>
      </c>
      <c r="I337" s="11" t="s">
        <v>63</v>
      </c>
      <c r="J337" s="72">
        <v>60588139</v>
      </c>
      <c r="K337" s="99">
        <f>_xlfn.XLOOKUP(_2__ROI_Daily_Update[[#This Row],[CSM id]],SHP!F:F,SHP!EE:EE,"-")</f>
        <v>0</v>
      </c>
      <c r="L337" s="12"/>
      <c r="N337" s="11"/>
      <c r="P337"/>
      <c r="Q337"/>
      <c r="W337" s="28"/>
      <c r="AA337"/>
    </row>
    <row r="338" spans="1:27" x14ac:dyDescent="0.45">
      <c r="A338" s="57">
        <v>1231</v>
      </c>
      <c r="B338" t="s">
        <v>1905</v>
      </c>
      <c r="C338" t="s">
        <v>1906</v>
      </c>
      <c r="D338" s="12">
        <v>46303</v>
      </c>
      <c r="E338" s="11">
        <v>36</v>
      </c>
      <c r="F338" s="11" t="s">
        <v>5910</v>
      </c>
      <c r="G338">
        <v>20261001</v>
      </c>
      <c r="I338" s="11" t="s">
        <v>63</v>
      </c>
      <c r="J338" s="72">
        <v>60636734</v>
      </c>
      <c r="K338" s="99">
        <f>_xlfn.XLOOKUP(_2__ROI_Daily_Update[[#This Row],[CSM id]],SHP!F:F,SHP!EE:EE,"-")</f>
        <v>0</v>
      </c>
      <c r="L338" s="12"/>
      <c r="N338" s="11"/>
      <c r="P338"/>
      <c r="Q338"/>
      <c r="W338" s="28"/>
      <c r="AA338"/>
    </row>
    <row r="339" spans="1:27" x14ac:dyDescent="0.45">
      <c r="A339" s="57">
        <v>1232</v>
      </c>
      <c r="B339" t="s">
        <v>1971</v>
      </c>
      <c r="C339" t="s">
        <v>1972</v>
      </c>
      <c r="D339" s="12">
        <v>46303</v>
      </c>
      <c r="E339" s="11">
        <v>24</v>
      </c>
      <c r="F339" s="11" t="s">
        <v>5908</v>
      </c>
      <c r="G339">
        <v>20230401</v>
      </c>
      <c r="I339" s="11" t="s">
        <v>63</v>
      </c>
      <c r="J339" s="72">
        <v>60549548</v>
      </c>
      <c r="K339" s="99">
        <f>_xlfn.XLOOKUP(_2__ROI_Daily_Update[[#This Row],[CSM id]],SHP!F:F,SHP!EE:EE,"-")</f>
        <v>0</v>
      </c>
      <c r="L339" s="12"/>
      <c r="N339" s="11"/>
      <c r="P339"/>
      <c r="Q339"/>
      <c r="W339" s="28"/>
      <c r="AA339"/>
    </row>
    <row r="340" spans="1:27" x14ac:dyDescent="0.45">
      <c r="A340" s="57">
        <v>962</v>
      </c>
      <c r="B340" t="s">
        <v>749</v>
      </c>
      <c r="C340" t="s">
        <v>750</v>
      </c>
      <c r="D340" s="12">
        <v>46303</v>
      </c>
      <c r="E340" s="11">
        <v>4</v>
      </c>
      <c r="F340" s="11" t="s">
        <v>5908</v>
      </c>
      <c r="G340">
        <v>20260701</v>
      </c>
      <c r="I340" s="11" t="s">
        <v>63</v>
      </c>
      <c r="J340" s="72">
        <v>80625126</v>
      </c>
      <c r="K340" s="99">
        <f>_xlfn.XLOOKUP(_2__ROI_Daily_Update[[#This Row],[CSM id]],SHP!F:F,SHP!EE:EE,"-")</f>
        <v>0</v>
      </c>
      <c r="L340" s="12"/>
      <c r="N340" s="11"/>
      <c r="P340"/>
      <c r="Q340"/>
      <c r="W340" s="28"/>
      <c r="AA340"/>
    </row>
    <row r="341" spans="1:27" x14ac:dyDescent="0.45">
      <c r="A341" s="57">
        <v>1232</v>
      </c>
      <c r="B341" t="s">
        <v>1963</v>
      </c>
      <c r="C341" t="s">
        <v>1964</v>
      </c>
      <c r="D341" s="12">
        <v>46303</v>
      </c>
      <c r="E341" s="11">
        <v>8</v>
      </c>
      <c r="F341" s="11" t="s">
        <v>5910</v>
      </c>
      <c r="G341">
        <v>20251001</v>
      </c>
      <c r="I341" s="11" t="s">
        <v>63</v>
      </c>
      <c r="J341" s="72">
        <v>30583464</v>
      </c>
      <c r="K341" s="99">
        <f>_xlfn.XLOOKUP(_2__ROI_Daily_Update[[#This Row],[CSM id]],SHP!F:F,SHP!EE:EE,"-")</f>
        <v>0</v>
      </c>
      <c r="L341" s="12"/>
      <c r="N341" s="11"/>
      <c r="P341"/>
      <c r="Q341"/>
      <c r="W341" s="28"/>
      <c r="AA341"/>
    </row>
    <row r="342" spans="1:27" x14ac:dyDescent="0.45">
      <c r="A342" s="57">
        <v>962</v>
      </c>
      <c r="B342" t="s">
        <v>753</v>
      </c>
      <c r="C342" t="s">
        <v>754</v>
      </c>
      <c r="D342" s="12">
        <v>46303</v>
      </c>
      <c r="E342" s="11">
        <v>576</v>
      </c>
      <c r="F342" s="11" t="s">
        <v>5906</v>
      </c>
      <c r="G342">
        <v>20260701</v>
      </c>
      <c r="I342" s="11" t="s">
        <v>63</v>
      </c>
      <c r="J342" s="72">
        <v>90628068</v>
      </c>
      <c r="K342" s="99">
        <f>_xlfn.XLOOKUP(_2__ROI_Daily_Update[[#This Row],[CSM id]],SHP!F:F,SHP!EE:EE,"-")</f>
        <v>0</v>
      </c>
      <c r="L342" s="12"/>
      <c r="N342" s="11"/>
      <c r="P342"/>
      <c r="Q342"/>
      <c r="W342" s="28"/>
      <c r="AA342"/>
    </row>
    <row r="343" spans="1:27" x14ac:dyDescent="0.45">
      <c r="A343" s="57">
        <v>1232</v>
      </c>
      <c r="B343" t="s">
        <v>1961</v>
      </c>
      <c r="C343" t="s">
        <v>1962</v>
      </c>
      <c r="D343" s="12">
        <v>46303</v>
      </c>
      <c r="E343" s="11">
        <v>28</v>
      </c>
      <c r="F343" s="11" t="s">
        <v>5910</v>
      </c>
      <c r="G343">
        <v>20260701</v>
      </c>
      <c r="I343" s="11" t="s">
        <v>63</v>
      </c>
      <c r="J343" s="72">
        <v>625309</v>
      </c>
      <c r="K343" s="99">
        <f>_xlfn.XLOOKUP(_2__ROI_Daily_Update[[#This Row],[CSM id]],SHP!F:F,SHP!EE:EE,"-")</f>
        <v>0</v>
      </c>
      <c r="L343" s="12"/>
      <c r="N343" s="11"/>
      <c r="P343"/>
      <c r="Q343"/>
      <c r="W343" s="28"/>
      <c r="AA343"/>
    </row>
    <row r="344" spans="1:27" x14ac:dyDescent="0.45">
      <c r="A344" s="57">
        <v>1122</v>
      </c>
      <c r="B344" t="s">
        <v>1609</v>
      </c>
      <c r="C344" t="s">
        <v>1610</v>
      </c>
      <c r="D344" s="12">
        <v>46303</v>
      </c>
      <c r="E344" s="11">
        <v>44</v>
      </c>
      <c r="F344" s="11" t="s">
        <v>5906</v>
      </c>
      <c r="G344">
        <v>20241001</v>
      </c>
      <c r="I344" s="11" t="s">
        <v>63</v>
      </c>
      <c r="J344" s="72">
        <v>30587141</v>
      </c>
      <c r="K344" s="99">
        <f>_xlfn.XLOOKUP(_2__ROI_Daily_Update[[#This Row],[CSM id]],SHP!F:F,SHP!EE:EE,"-")</f>
        <v>0</v>
      </c>
      <c r="L344" s="12"/>
      <c r="N344" s="11"/>
      <c r="P344"/>
      <c r="Q344"/>
      <c r="W344" s="28"/>
      <c r="AA344"/>
    </row>
    <row r="345" spans="1:27" x14ac:dyDescent="0.45">
      <c r="A345" s="57">
        <v>1821</v>
      </c>
      <c r="B345" t="s">
        <v>3552</v>
      </c>
      <c r="C345" t="s">
        <v>3553</v>
      </c>
      <c r="D345" s="12">
        <v>46303</v>
      </c>
      <c r="E345" s="11">
        <v>70</v>
      </c>
      <c r="F345" s="11" t="s">
        <v>5906</v>
      </c>
      <c r="G345">
        <v>20240101</v>
      </c>
      <c r="I345" s="11" t="s">
        <v>63</v>
      </c>
      <c r="J345" s="72">
        <v>70569932</v>
      </c>
      <c r="K345" s="99">
        <f>_xlfn.XLOOKUP(_2__ROI_Daily_Update[[#This Row],[CSM id]],SHP!F:F,SHP!EE:EE,"-")</f>
        <v>0</v>
      </c>
      <c r="L345" s="12"/>
      <c r="N345" s="11"/>
      <c r="P345"/>
      <c r="Q345"/>
      <c r="W345" s="28"/>
      <c r="AA345"/>
    </row>
    <row r="346" spans="1:27" x14ac:dyDescent="0.45">
      <c r="A346" s="57">
        <v>1231</v>
      </c>
      <c r="B346" t="s">
        <v>1949</v>
      </c>
      <c r="C346" t="s">
        <v>1950</v>
      </c>
      <c r="D346" s="12">
        <v>46303</v>
      </c>
      <c r="E346" s="11">
        <v>130</v>
      </c>
      <c r="F346" s="11" t="s">
        <v>5906</v>
      </c>
      <c r="G346">
        <v>20260401</v>
      </c>
      <c r="H346" s="12">
        <v>46569</v>
      </c>
      <c r="I346" s="11" t="s">
        <v>63</v>
      </c>
      <c r="J346" s="72">
        <v>90624386</v>
      </c>
      <c r="K346" s="99">
        <f>_xlfn.XLOOKUP(_2__ROI_Daily_Update[[#This Row],[CSM id]],SHP!F:F,SHP!EE:EE,"-")</f>
        <v>0</v>
      </c>
      <c r="L346" s="12"/>
      <c r="N346" s="11"/>
      <c r="P346"/>
      <c r="Q346"/>
      <c r="W346" s="28"/>
      <c r="AA346"/>
    </row>
    <row r="347" spans="1:27" x14ac:dyDescent="0.45">
      <c r="A347" s="57">
        <v>1231</v>
      </c>
      <c r="B347" t="s">
        <v>1949</v>
      </c>
      <c r="C347" t="s">
        <v>1950</v>
      </c>
      <c r="D347" s="12">
        <v>46303</v>
      </c>
      <c r="E347" s="11">
        <v>104</v>
      </c>
      <c r="F347" s="11" t="s">
        <v>5910</v>
      </c>
      <c r="G347">
        <v>20260401</v>
      </c>
      <c r="H347" s="12">
        <v>46569</v>
      </c>
      <c r="I347" s="11" t="s">
        <v>63</v>
      </c>
      <c r="J347" s="72">
        <v>90624386</v>
      </c>
      <c r="K347" s="99">
        <f>_xlfn.XLOOKUP(_2__ROI_Daily_Update[[#This Row],[CSM id]],SHP!F:F,SHP!EE:EE,"-")</f>
        <v>0</v>
      </c>
      <c r="L347" s="12"/>
      <c r="N347" s="11"/>
      <c r="P347"/>
      <c r="Q347"/>
      <c r="W347" s="28"/>
      <c r="AA347"/>
    </row>
    <row r="348" spans="1:27" x14ac:dyDescent="0.45">
      <c r="A348" s="57">
        <v>1231</v>
      </c>
      <c r="B348" t="s">
        <v>1945</v>
      </c>
      <c r="C348" t="s">
        <v>1946</v>
      </c>
      <c r="D348" s="12">
        <v>46303</v>
      </c>
      <c r="E348" s="11">
        <v>24</v>
      </c>
      <c r="F348" s="11" t="s">
        <v>5908</v>
      </c>
      <c r="G348">
        <v>20250401</v>
      </c>
      <c r="H348" s="12">
        <v>46569</v>
      </c>
      <c r="I348" s="11" t="s">
        <v>63</v>
      </c>
      <c r="J348" s="72">
        <v>90603987</v>
      </c>
      <c r="K348" s="99">
        <f>_xlfn.XLOOKUP(_2__ROI_Daily_Update[[#This Row],[CSM id]],SHP!F:F,SHP!EE:EE,"-")</f>
        <v>0</v>
      </c>
      <c r="L348" s="12"/>
      <c r="N348" s="11"/>
      <c r="P348"/>
      <c r="Q348"/>
      <c r="W348" s="28"/>
      <c r="AA348"/>
    </row>
    <row r="349" spans="1:27" x14ac:dyDescent="0.45">
      <c r="A349" s="57">
        <v>964</v>
      </c>
      <c r="B349" t="s">
        <v>755</v>
      </c>
      <c r="C349" t="s">
        <v>756</v>
      </c>
      <c r="D349" s="12">
        <v>46303</v>
      </c>
      <c r="E349" s="11">
        <v>24</v>
      </c>
      <c r="F349" s="11" t="s">
        <v>5911</v>
      </c>
      <c r="G349">
        <v>20250401</v>
      </c>
      <c r="H349" s="12">
        <v>46569</v>
      </c>
      <c r="I349" s="11" t="s">
        <v>63</v>
      </c>
      <c r="J349" s="72">
        <v>50595296</v>
      </c>
      <c r="K349" s="99">
        <f>_xlfn.XLOOKUP(_2__ROI_Daily_Update[[#This Row],[CSM id]],SHP!F:F,SHP!EE:EE,"-")</f>
        <v>0</v>
      </c>
      <c r="L349" s="12"/>
      <c r="N349" s="11"/>
      <c r="P349"/>
      <c r="Q349"/>
      <c r="W349" s="28"/>
      <c r="AA349"/>
    </row>
    <row r="350" spans="1:27" x14ac:dyDescent="0.45">
      <c r="A350" s="57">
        <v>1231</v>
      </c>
      <c r="B350" t="s">
        <v>1941</v>
      </c>
      <c r="C350" t="s">
        <v>1942</v>
      </c>
      <c r="D350" s="12">
        <v>46303</v>
      </c>
      <c r="E350" s="11">
        <v>18</v>
      </c>
      <c r="F350" s="11" t="s">
        <v>5907</v>
      </c>
      <c r="G350">
        <v>20240101</v>
      </c>
      <c r="I350" s="11" t="s">
        <v>63</v>
      </c>
      <c r="J350" s="72">
        <v>90570958</v>
      </c>
      <c r="K350" s="99">
        <f>_xlfn.XLOOKUP(_2__ROI_Daily_Update[[#This Row],[CSM id]],SHP!F:F,SHP!EE:EE,"-")</f>
        <v>0</v>
      </c>
      <c r="L350" s="12"/>
      <c r="N350" s="11"/>
      <c r="P350"/>
      <c r="Q350"/>
      <c r="W350" s="28"/>
      <c r="AA350"/>
    </row>
    <row r="351" spans="1:27" x14ac:dyDescent="0.45">
      <c r="A351" s="57">
        <v>1231</v>
      </c>
      <c r="B351" t="s">
        <v>1901</v>
      </c>
      <c r="C351" t="s">
        <v>1902</v>
      </c>
      <c r="D351" s="12">
        <v>46303</v>
      </c>
      <c r="E351" s="11">
        <v>44</v>
      </c>
      <c r="F351" s="11" t="s">
        <v>5910</v>
      </c>
      <c r="G351">
        <v>20260701</v>
      </c>
      <c r="I351" s="11" t="s">
        <v>63</v>
      </c>
      <c r="J351" s="72">
        <v>60632383</v>
      </c>
      <c r="K351" s="99">
        <f>_xlfn.XLOOKUP(_2__ROI_Daily_Update[[#This Row],[CSM id]],SHP!F:F,SHP!EE:EE,"-")</f>
        <v>0</v>
      </c>
      <c r="L351" s="12"/>
      <c r="N351" s="11"/>
      <c r="P351"/>
      <c r="Q351"/>
      <c r="W351" s="28"/>
      <c r="AA351"/>
    </row>
    <row r="352" spans="1:27" x14ac:dyDescent="0.45">
      <c r="A352" s="57">
        <v>964</v>
      </c>
      <c r="B352" t="s">
        <v>757</v>
      </c>
      <c r="C352" t="s">
        <v>758</v>
      </c>
      <c r="D352" s="12">
        <v>46303</v>
      </c>
      <c r="E352" s="11">
        <v>24</v>
      </c>
      <c r="F352" s="11" t="s">
        <v>5910</v>
      </c>
      <c r="G352">
        <v>20261001</v>
      </c>
      <c r="H352" s="12">
        <v>46661</v>
      </c>
      <c r="I352" s="11" t="s">
        <v>63</v>
      </c>
      <c r="J352" s="72">
        <v>60625146</v>
      </c>
      <c r="K352" s="99">
        <f>_xlfn.XLOOKUP(_2__ROI_Daily_Update[[#This Row],[CSM id]],SHP!F:F,SHP!EE:EE,"-")</f>
        <v>0</v>
      </c>
      <c r="L352" s="12"/>
      <c r="N352" s="11"/>
      <c r="P352"/>
      <c r="Q352"/>
      <c r="W352" s="28"/>
      <c r="AA352"/>
    </row>
    <row r="353" spans="1:27" x14ac:dyDescent="0.45">
      <c r="A353" s="57">
        <v>1231</v>
      </c>
      <c r="B353" t="s">
        <v>1933</v>
      </c>
      <c r="C353" t="s">
        <v>1934</v>
      </c>
      <c r="D353" s="12">
        <v>46303</v>
      </c>
      <c r="E353" s="11">
        <v>12</v>
      </c>
      <c r="F353" s="11" t="s">
        <v>5911</v>
      </c>
      <c r="G353">
        <v>20260101</v>
      </c>
      <c r="H353" s="12">
        <v>46388</v>
      </c>
      <c r="I353" s="11" t="s">
        <v>63</v>
      </c>
      <c r="J353" s="72">
        <v>80615113</v>
      </c>
      <c r="K353" s="99">
        <f>_xlfn.XLOOKUP(_2__ROI_Daily_Update[[#This Row],[CSM id]],SHP!F:F,SHP!EE:EE,"-")</f>
        <v>0</v>
      </c>
      <c r="L353" s="12"/>
      <c r="N353" s="11"/>
      <c r="P353"/>
      <c r="Q353"/>
      <c r="W353" s="28"/>
      <c r="AA353"/>
    </row>
    <row r="354" spans="1:27" x14ac:dyDescent="0.45">
      <c r="A354" s="57">
        <v>1231</v>
      </c>
      <c r="B354" t="s">
        <v>1927</v>
      </c>
      <c r="C354" t="s">
        <v>1928</v>
      </c>
      <c r="D354" s="12">
        <v>46303</v>
      </c>
      <c r="E354" s="11">
        <v>28</v>
      </c>
      <c r="F354" s="11" t="s">
        <v>5905</v>
      </c>
      <c r="G354">
        <v>20240101</v>
      </c>
      <c r="I354" s="11" t="s">
        <v>63</v>
      </c>
      <c r="J354" s="72">
        <v>80572420</v>
      </c>
      <c r="K354" s="99">
        <f>_xlfn.XLOOKUP(_2__ROI_Daily_Update[[#This Row],[CSM id]],SHP!F:F,SHP!EE:EE,"-")</f>
        <v>0</v>
      </c>
      <c r="L354" s="12"/>
      <c r="N354" s="11"/>
      <c r="P354"/>
      <c r="Q354"/>
      <c r="W354" s="28"/>
      <c r="AA354"/>
    </row>
    <row r="355" spans="1:27" x14ac:dyDescent="0.45">
      <c r="A355" s="57">
        <v>1231</v>
      </c>
      <c r="B355" t="s">
        <v>1925</v>
      </c>
      <c r="C355" t="s">
        <v>1926</v>
      </c>
      <c r="D355" s="12">
        <v>46303</v>
      </c>
      <c r="E355" s="11">
        <v>84</v>
      </c>
      <c r="F355" s="11" t="s">
        <v>5906</v>
      </c>
      <c r="G355">
        <v>20240401</v>
      </c>
      <c r="H355" s="12">
        <v>46388</v>
      </c>
      <c r="I355" s="11" t="s">
        <v>63</v>
      </c>
      <c r="J355" s="72">
        <v>80572199</v>
      </c>
      <c r="K355" s="99">
        <f>_xlfn.XLOOKUP(_2__ROI_Daily_Update[[#This Row],[CSM id]],SHP!F:F,SHP!EE:EE,"-")</f>
        <v>0</v>
      </c>
      <c r="L355" s="12"/>
      <c r="N355" s="11"/>
      <c r="P355"/>
      <c r="Q355"/>
      <c r="W355" s="28"/>
      <c r="AA355"/>
    </row>
    <row r="356" spans="1:27" x14ac:dyDescent="0.45">
      <c r="A356" s="57">
        <v>1231</v>
      </c>
      <c r="B356" t="s">
        <v>1921</v>
      </c>
      <c r="C356" t="s">
        <v>1922</v>
      </c>
      <c r="D356" s="12">
        <v>46303</v>
      </c>
      <c r="E356" s="11">
        <v>32</v>
      </c>
      <c r="F356" s="11" t="s">
        <v>5906</v>
      </c>
      <c r="G356">
        <v>20260701</v>
      </c>
      <c r="I356" s="11" t="s">
        <v>63</v>
      </c>
      <c r="J356" s="72">
        <v>70635989</v>
      </c>
      <c r="K356" s="99">
        <f>_xlfn.XLOOKUP(_2__ROI_Daily_Update[[#This Row],[CSM id]],SHP!F:F,SHP!EE:EE,"-")</f>
        <v>0</v>
      </c>
      <c r="L356" s="12"/>
      <c r="N356" s="11"/>
      <c r="P356"/>
      <c r="Q356"/>
      <c r="W356" s="28"/>
      <c r="AA356"/>
    </row>
    <row r="357" spans="1:27" x14ac:dyDescent="0.45">
      <c r="A357" s="57">
        <v>1231</v>
      </c>
      <c r="B357" t="s">
        <v>1919</v>
      </c>
      <c r="C357" t="s">
        <v>1920</v>
      </c>
      <c r="D357" s="12">
        <v>46303</v>
      </c>
      <c r="E357" s="11">
        <v>112</v>
      </c>
      <c r="F357" s="11" t="s">
        <v>5911</v>
      </c>
      <c r="G357">
        <v>20250401</v>
      </c>
      <c r="I357" s="11" t="s">
        <v>63</v>
      </c>
      <c r="J357" s="72">
        <v>70598736</v>
      </c>
      <c r="K357" s="99">
        <f>_xlfn.XLOOKUP(_2__ROI_Daily_Update[[#This Row],[CSM id]],SHP!F:F,SHP!EE:EE,"-")</f>
        <v>0</v>
      </c>
      <c r="L357" s="12"/>
      <c r="N357" s="11"/>
      <c r="P357"/>
      <c r="Q357"/>
      <c r="W357" s="28"/>
      <c r="AA357"/>
    </row>
    <row r="358" spans="1:27" x14ac:dyDescent="0.45">
      <c r="A358" s="57">
        <v>964</v>
      </c>
      <c r="B358" t="s">
        <v>761</v>
      </c>
      <c r="C358" t="s">
        <v>762</v>
      </c>
      <c r="D358" s="12">
        <v>46303</v>
      </c>
      <c r="E358" s="11">
        <v>14</v>
      </c>
      <c r="F358" s="11" t="s">
        <v>5906</v>
      </c>
      <c r="G358">
        <v>20260401</v>
      </c>
      <c r="H358" s="12">
        <v>46569</v>
      </c>
      <c r="I358" s="11" t="s">
        <v>63</v>
      </c>
      <c r="J358" s="72">
        <v>90629906</v>
      </c>
      <c r="K358" s="99">
        <f>_xlfn.XLOOKUP(_2__ROI_Daily_Update[[#This Row],[CSM id]],SHP!F:F,SHP!EE:EE,"-")</f>
        <v>0</v>
      </c>
      <c r="L358" s="12"/>
      <c r="N358" s="11"/>
      <c r="P358"/>
      <c r="Q358"/>
      <c r="W358" s="28"/>
      <c r="AA358"/>
    </row>
    <row r="359" spans="1:27" x14ac:dyDescent="0.45">
      <c r="A359" s="57">
        <v>965</v>
      </c>
      <c r="B359" t="s">
        <v>763</v>
      </c>
      <c r="C359" t="s">
        <v>764</v>
      </c>
      <c r="D359" s="12">
        <v>46303</v>
      </c>
      <c r="E359" s="11">
        <v>56</v>
      </c>
      <c r="F359" s="11" t="s">
        <v>5910</v>
      </c>
      <c r="G359">
        <v>20260401</v>
      </c>
      <c r="I359" s="11" t="s">
        <v>63</v>
      </c>
      <c r="J359" s="72">
        <v>622886</v>
      </c>
      <c r="K359" s="99">
        <f>_xlfn.XLOOKUP(_2__ROI_Daily_Update[[#This Row],[CSM id]],SHP!F:F,SHP!EE:EE,"-")</f>
        <v>0</v>
      </c>
      <c r="L359" s="12"/>
      <c r="N359" s="11"/>
      <c r="P359"/>
      <c r="Q359"/>
      <c r="W359" s="28"/>
      <c r="AA359"/>
    </row>
    <row r="360" spans="1:27" x14ac:dyDescent="0.45">
      <c r="A360" s="57">
        <v>1821</v>
      </c>
      <c r="B360" t="s">
        <v>3554</v>
      </c>
      <c r="C360" t="s">
        <v>3555</v>
      </c>
      <c r="D360" s="12">
        <v>46303</v>
      </c>
      <c r="E360" s="11">
        <v>96</v>
      </c>
      <c r="F360" s="11" t="s">
        <v>5906</v>
      </c>
      <c r="G360">
        <v>20250701</v>
      </c>
      <c r="I360" s="11" t="s">
        <v>63</v>
      </c>
      <c r="J360" s="72">
        <v>70606091</v>
      </c>
      <c r="K360" s="99">
        <f>_xlfn.XLOOKUP(_2__ROI_Daily_Update[[#This Row],[CSM id]],SHP!F:F,SHP!EE:EE,"-")</f>
        <v>0</v>
      </c>
      <c r="L360" s="12"/>
      <c r="N360" s="11"/>
      <c r="P360"/>
      <c r="Q360"/>
      <c r="W360" s="28"/>
      <c r="AA360"/>
    </row>
    <row r="361" spans="1:27" x14ac:dyDescent="0.45">
      <c r="A361" s="57">
        <v>972</v>
      </c>
      <c r="B361" t="s">
        <v>883</v>
      </c>
      <c r="C361" t="s">
        <v>884</v>
      </c>
      <c r="D361" s="12">
        <v>46303</v>
      </c>
      <c r="E361" s="11">
        <v>60</v>
      </c>
      <c r="F361" s="11" t="s">
        <v>5910</v>
      </c>
      <c r="G361">
        <v>20251001</v>
      </c>
      <c r="I361" s="11" t="s">
        <v>63</v>
      </c>
      <c r="J361" s="72">
        <v>50581893</v>
      </c>
      <c r="K361" s="99">
        <f>_xlfn.XLOOKUP(_2__ROI_Daily_Update[[#This Row],[CSM id]],SHP!F:F,SHP!EE:EE,"-")</f>
        <v>0</v>
      </c>
      <c r="L361" s="12"/>
      <c r="N361" s="11"/>
      <c r="P361"/>
      <c r="Q361"/>
      <c r="W361" s="28"/>
      <c r="AA361"/>
    </row>
    <row r="362" spans="1:27" x14ac:dyDescent="0.45">
      <c r="A362" s="57">
        <v>1122</v>
      </c>
      <c r="B362" t="s">
        <v>1611</v>
      </c>
      <c r="C362" t="s">
        <v>1612</v>
      </c>
      <c r="D362" s="12">
        <v>46303</v>
      </c>
      <c r="E362" s="11">
        <v>32</v>
      </c>
      <c r="F362" s="11" t="s">
        <v>5909</v>
      </c>
      <c r="G362">
        <v>20260401</v>
      </c>
      <c r="I362" s="11" t="s">
        <v>18</v>
      </c>
      <c r="J362" s="72">
        <v>30627199</v>
      </c>
      <c r="K362" s="99">
        <f>_xlfn.XLOOKUP(_2__ROI_Daily_Update[[#This Row],[CSM id]],SHP!F:F,SHP!EE:EE,"-")</f>
        <v>0</v>
      </c>
      <c r="L362" s="12"/>
      <c r="N362" s="11"/>
      <c r="P362"/>
      <c r="Q362"/>
      <c r="W362" s="28"/>
      <c r="AA362"/>
    </row>
    <row r="363" spans="1:27" x14ac:dyDescent="0.45">
      <c r="A363" s="57">
        <v>1833</v>
      </c>
      <c r="B363" t="s">
        <v>3634</v>
      </c>
      <c r="C363" t="s">
        <v>3635</v>
      </c>
      <c r="D363" s="12">
        <v>46303</v>
      </c>
      <c r="E363" s="11">
        <v>120</v>
      </c>
      <c r="F363" s="11" t="s">
        <v>5905</v>
      </c>
      <c r="G363">
        <v>20240101</v>
      </c>
      <c r="I363" s="11" t="s">
        <v>63</v>
      </c>
      <c r="J363" s="72">
        <v>70567749</v>
      </c>
      <c r="K363" s="99">
        <f>_xlfn.XLOOKUP(_2__ROI_Daily_Update[[#This Row],[CSM id]],SHP!F:F,SHP!EE:EE,"-")</f>
        <v>0</v>
      </c>
      <c r="L363" s="12"/>
      <c r="N363" s="11"/>
      <c r="P363"/>
      <c r="Q363"/>
      <c r="W363" s="28"/>
      <c r="AA363"/>
    </row>
    <row r="364" spans="1:27" x14ac:dyDescent="0.45">
      <c r="A364" s="57">
        <v>965</v>
      </c>
      <c r="B364" t="s">
        <v>773</v>
      </c>
      <c r="C364" t="s">
        <v>774</v>
      </c>
      <c r="D364" s="12">
        <v>46303</v>
      </c>
      <c r="E364" s="11">
        <v>8</v>
      </c>
      <c r="F364" s="11" t="s">
        <v>5905</v>
      </c>
      <c r="G364">
        <v>20260201</v>
      </c>
      <c r="I364" s="11" t="s">
        <v>63</v>
      </c>
      <c r="J364" s="72">
        <v>70602012</v>
      </c>
      <c r="K364" s="99">
        <f>_xlfn.XLOOKUP(_2__ROI_Daily_Update[[#This Row],[CSM id]],SHP!F:F,SHP!EE:EE,"-")</f>
        <v>0</v>
      </c>
      <c r="L364" s="12"/>
      <c r="N364" s="11"/>
      <c r="P364"/>
      <c r="Q364"/>
      <c r="W364" s="28"/>
      <c r="AA364"/>
    </row>
    <row r="365" spans="1:27" x14ac:dyDescent="0.45">
      <c r="A365" s="57">
        <v>1231</v>
      </c>
      <c r="B365" t="s">
        <v>1935</v>
      </c>
      <c r="C365" t="s">
        <v>1936</v>
      </c>
      <c r="D365" s="12">
        <v>46303</v>
      </c>
      <c r="E365" s="11">
        <v>104</v>
      </c>
      <c r="F365" s="11" t="s">
        <v>5907</v>
      </c>
      <c r="G365">
        <v>20260801</v>
      </c>
      <c r="H365" s="12">
        <v>46388</v>
      </c>
      <c r="I365" s="11" t="s">
        <v>63</v>
      </c>
      <c r="J365" s="72">
        <v>80632278</v>
      </c>
      <c r="K365" s="99">
        <f>_xlfn.XLOOKUP(_2__ROI_Daily_Update[[#This Row],[CSM id]],SHP!F:F,SHP!EE:EE,"-")</f>
        <v>0</v>
      </c>
      <c r="L365" s="12"/>
      <c r="N365" s="11"/>
      <c r="P365"/>
      <c r="Q365"/>
      <c r="W365" s="28"/>
      <c r="AA365"/>
    </row>
    <row r="366" spans="1:27" x14ac:dyDescent="0.45">
      <c r="A366" s="57">
        <v>1822</v>
      </c>
      <c r="B366" t="s">
        <v>3560</v>
      </c>
      <c r="C366" t="s">
        <v>3561</v>
      </c>
      <c r="D366" s="12">
        <v>46303</v>
      </c>
      <c r="E366" s="11">
        <v>100</v>
      </c>
      <c r="F366" s="11" t="s">
        <v>5905</v>
      </c>
      <c r="G366">
        <v>20231001</v>
      </c>
      <c r="I366" s="11" t="s">
        <v>63</v>
      </c>
      <c r="J366" s="72">
        <v>60563718</v>
      </c>
      <c r="K366" s="99">
        <f>_xlfn.XLOOKUP(_2__ROI_Daily_Update[[#This Row],[CSM id]],SHP!F:F,SHP!EE:EE,"-")</f>
        <v>0</v>
      </c>
      <c r="L366" s="12"/>
      <c r="N366" s="11"/>
      <c r="P366"/>
      <c r="Q366"/>
      <c r="W366" s="28"/>
      <c r="AA366"/>
    </row>
    <row r="367" spans="1:27" x14ac:dyDescent="0.45">
      <c r="A367" s="57">
        <v>1213</v>
      </c>
      <c r="B367" t="s">
        <v>1789</v>
      </c>
      <c r="C367" t="s">
        <v>1790</v>
      </c>
      <c r="D367" s="12">
        <v>46303</v>
      </c>
      <c r="E367" s="11">
        <v>54</v>
      </c>
      <c r="F367" s="11" t="s">
        <v>5910</v>
      </c>
      <c r="G367">
        <v>20220101</v>
      </c>
      <c r="I367" s="11" t="s">
        <v>63</v>
      </c>
      <c r="J367" s="72">
        <v>20506555</v>
      </c>
      <c r="K367" s="99">
        <f>_xlfn.XLOOKUP(_2__ROI_Daily_Update[[#This Row],[CSM id]],SHP!F:F,SHP!EE:EE,"-")</f>
        <v>0</v>
      </c>
      <c r="L367" s="12"/>
      <c r="N367" s="11"/>
      <c r="P367"/>
      <c r="Q367"/>
      <c r="W367" s="28"/>
      <c r="AA367"/>
    </row>
    <row r="368" spans="1:27" x14ac:dyDescent="0.45">
      <c r="A368" s="57">
        <v>1213</v>
      </c>
      <c r="B368" t="s">
        <v>1787</v>
      </c>
      <c r="C368" t="s">
        <v>1788</v>
      </c>
      <c r="D368" s="12">
        <v>46303</v>
      </c>
      <c r="E368" s="11">
        <v>6</v>
      </c>
      <c r="F368" s="11" t="s">
        <v>5905</v>
      </c>
      <c r="G368">
        <v>20240401</v>
      </c>
      <c r="H368" s="12">
        <v>46388</v>
      </c>
      <c r="I368" s="11" t="s">
        <v>63</v>
      </c>
      <c r="J368" s="72">
        <v>10584619</v>
      </c>
      <c r="K368" s="99">
        <f>_xlfn.XLOOKUP(_2__ROI_Daily_Update[[#This Row],[CSM id]],SHP!F:F,SHP!EE:EE,"-")</f>
        <v>0</v>
      </c>
      <c r="L368" s="12"/>
      <c r="N368" s="11"/>
      <c r="P368"/>
      <c r="Q368"/>
      <c r="W368" s="28"/>
      <c r="AA368"/>
    </row>
    <row r="369" spans="1:27" x14ac:dyDescent="0.45">
      <c r="A369" s="57">
        <v>1132</v>
      </c>
      <c r="B369" t="s">
        <v>1687</v>
      </c>
      <c r="C369" t="s">
        <v>1688</v>
      </c>
      <c r="D369" s="12">
        <v>46303</v>
      </c>
      <c r="E369" s="11">
        <v>172</v>
      </c>
      <c r="F369" s="11" t="s">
        <v>5910</v>
      </c>
      <c r="G369">
        <v>20250701</v>
      </c>
      <c r="H369" s="12">
        <v>46388</v>
      </c>
      <c r="I369" s="11" t="s">
        <v>63</v>
      </c>
      <c r="J369" s="72">
        <v>30610274</v>
      </c>
      <c r="K369" s="99">
        <f>_xlfn.XLOOKUP(_2__ROI_Daily_Update[[#This Row],[CSM id]],SHP!F:F,SHP!EE:EE,"-")</f>
        <v>0</v>
      </c>
      <c r="L369" s="12"/>
      <c r="N369" s="11"/>
      <c r="P369"/>
      <c r="Q369"/>
      <c r="W369" s="28"/>
      <c r="AA369"/>
    </row>
    <row r="370" spans="1:27" x14ac:dyDescent="0.45">
      <c r="A370" s="57">
        <v>1122</v>
      </c>
      <c r="B370" t="s">
        <v>1621</v>
      </c>
      <c r="C370" t="s">
        <v>1622</v>
      </c>
      <c r="D370" s="12">
        <v>46303</v>
      </c>
      <c r="E370" s="11">
        <v>12</v>
      </c>
      <c r="F370" s="11" t="s">
        <v>5909</v>
      </c>
      <c r="G370">
        <v>20250101</v>
      </c>
      <c r="H370" s="12">
        <v>46478</v>
      </c>
      <c r="I370" s="11" t="s">
        <v>32</v>
      </c>
      <c r="J370" s="72">
        <v>60596196</v>
      </c>
      <c r="K370" s="99">
        <f>_xlfn.XLOOKUP(_2__ROI_Daily_Update[[#This Row],[CSM id]],SHP!F:F,SHP!EE:EE,"-")</f>
        <v>0</v>
      </c>
      <c r="L370" s="12"/>
      <c r="N370" s="11"/>
      <c r="P370"/>
      <c r="Q370"/>
      <c r="W370" s="28"/>
      <c r="AA370"/>
    </row>
    <row r="371" spans="1:27" x14ac:dyDescent="0.45">
      <c r="A371" s="57">
        <v>1132</v>
      </c>
      <c r="B371" t="s">
        <v>1683</v>
      </c>
      <c r="C371" t="s">
        <v>1684</v>
      </c>
      <c r="D371" s="12">
        <v>46303</v>
      </c>
      <c r="E371" s="11">
        <v>250</v>
      </c>
      <c r="F371" s="11" t="s">
        <v>5906</v>
      </c>
      <c r="G371">
        <v>20260401</v>
      </c>
      <c r="I371" s="11" t="s">
        <v>63</v>
      </c>
      <c r="J371" s="72">
        <v>30557530</v>
      </c>
      <c r="K371" s="99">
        <f>_xlfn.XLOOKUP(_2__ROI_Daily_Update[[#This Row],[CSM id]],SHP!F:F,SHP!EE:EE,"-")</f>
        <v>0</v>
      </c>
      <c r="L371" s="12"/>
      <c r="N371" s="11"/>
      <c r="P371"/>
      <c r="Q371"/>
      <c r="W371" s="28"/>
      <c r="AA371"/>
    </row>
    <row r="372" spans="1:27" x14ac:dyDescent="0.45">
      <c r="A372" s="57">
        <v>1132</v>
      </c>
      <c r="B372" t="s">
        <v>1681</v>
      </c>
      <c r="C372" t="s">
        <v>1682</v>
      </c>
      <c r="D372" s="12">
        <v>46303</v>
      </c>
      <c r="E372" s="11">
        <v>320</v>
      </c>
      <c r="F372" s="11" t="s">
        <v>5909</v>
      </c>
      <c r="G372">
        <v>20240701</v>
      </c>
      <c r="I372" s="11" t="s">
        <v>18</v>
      </c>
      <c r="J372" s="72">
        <v>581904</v>
      </c>
      <c r="K372" s="99">
        <f>_xlfn.XLOOKUP(_2__ROI_Daily_Update[[#This Row],[CSM id]],SHP!F:F,SHP!EE:EE,"-")</f>
        <v>0</v>
      </c>
      <c r="L372" s="12"/>
      <c r="N372" s="11"/>
      <c r="P372"/>
      <c r="Q372"/>
      <c r="W372" s="28"/>
      <c r="AA372"/>
    </row>
    <row r="373" spans="1:27" x14ac:dyDescent="0.45">
      <c r="A373" s="57">
        <v>1131</v>
      </c>
      <c r="B373" t="s">
        <v>1679</v>
      </c>
      <c r="C373" t="s">
        <v>1680</v>
      </c>
      <c r="D373" s="12">
        <v>46303</v>
      </c>
      <c r="E373" s="11">
        <v>72</v>
      </c>
      <c r="F373" s="11" t="s">
        <v>5905</v>
      </c>
      <c r="G373">
        <v>20240701</v>
      </c>
      <c r="I373" s="11" t="s">
        <v>63</v>
      </c>
      <c r="J373" s="72">
        <v>90579671</v>
      </c>
      <c r="K373" s="99">
        <f>_xlfn.XLOOKUP(_2__ROI_Daily_Update[[#This Row],[CSM id]],SHP!F:F,SHP!EE:EE,"-")</f>
        <v>0</v>
      </c>
      <c r="L373" s="12"/>
      <c r="N373" s="11"/>
      <c r="P373"/>
      <c r="Q373"/>
      <c r="W373" s="28"/>
      <c r="AA373"/>
    </row>
    <row r="374" spans="1:27" x14ac:dyDescent="0.45">
      <c r="A374" s="57">
        <v>1131</v>
      </c>
      <c r="B374" t="s">
        <v>1675</v>
      </c>
      <c r="C374" t="s">
        <v>1676</v>
      </c>
      <c r="D374" s="12">
        <v>46303</v>
      </c>
      <c r="E374" s="11">
        <v>19</v>
      </c>
      <c r="F374" s="11" t="s">
        <v>5910</v>
      </c>
      <c r="G374">
        <v>20260101</v>
      </c>
      <c r="I374" s="11" t="s">
        <v>63</v>
      </c>
      <c r="J374" s="72">
        <v>70614406</v>
      </c>
      <c r="K374" s="99">
        <f>_xlfn.XLOOKUP(_2__ROI_Daily_Update[[#This Row],[CSM id]],SHP!F:F,SHP!EE:EE,"-")</f>
        <v>0</v>
      </c>
      <c r="L374" s="12"/>
      <c r="N374" s="11"/>
      <c r="P374"/>
      <c r="Q374"/>
      <c r="W374" s="28"/>
      <c r="AA374"/>
    </row>
    <row r="375" spans="1:27" x14ac:dyDescent="0.45">
      <c r="A375" s="57">
        <v>1131</v>
      </c>
      <c r="B375" t="s">
        <v>1673</v>
      </c>
      <c r="C375" t="s">
        <v>1674</v>
      </c>
      <c r="D375" s="12">
        <v>46303</v>
      </c>
      <c r="E375" s="11">
        <v>100</v>
      </c>
      <c r="F375" s="11" t="s">
        <v>5910</v>
      </c>
      <c r="G375">
        <v>20240701</v>
      </c>
      <c r="I375" s="11" t="s">
        <v>63</v>
      </c>
      <c r="J375" s="72">
        <v>70579714</v>
      </c>
      <c r="K375" s="99">
        <f>_xlfn.XLOOKUP(_2__ROI_Daily_Update[[#This Row],[CSM id]],SHP!F:F,SHP!EE:EE,"-")</f>
        <v>0</v>
      </c>
      <c r="L375" s="12"/>
      <c r="N375" s="11"/>
      <c r="P375"/>
      <c r="Q375"/>
      <c r="W375" s="28"/>
      <c r="AA375"/>
    </row>
    <row r="376" spans="1:27" x14ac:dyDescent="0.45">
      <c r="A376" s="57">
        <v>1131</v>
      </c>
      <c r="B376" t="s">
        <v>1671</v>
      </c>
      <c r="C376" t="s">
        <v>1672</v>
      </c>
      <c r="D376" s="12">
        <v>46303</v>
      </c>
      <c r="E376" s="11">
        <v>72</v>
      </c>
      <c r="F376" s="11" t="s">
        <v>5906</v>
      </c>
      <c r="G376">
        <v>20240701</v>
      </c>
      <c r="I376" s="11" t="s">
        <v>63</v>
      </c>
      <c r="J376" s="72">
        <v>70579691</v>
      </c>
      <c r="K376" s="99">
        <f>_xlfn.XLOOKUP(_2__ROI_Daily_Update[[#This Row],[CSM id]],SHP!F:F,SHP!EE:EE,"-")</f>
        <v>0</v>
      </c>
      <c r="L376" s="12"/>
      <c r="N376" s="11"/>
      <c r="P376"/>
      <c r="Q376"/>
      <c r="W376" s="28"/>
      <c r="AA376"/>
    </row>
    <row r="377" spans="1:27" x14ac:dyDescent="0.45">
      <c r="A377" s="57">
        <v>1131</v>
      </c>
      <c r="B377" t="s">
        <v>1669</v>
      </c>
      <c r="C377" t="s">
        <v>1670</v>
      </c>
      <c r="D377" s="12">
        <v>46303</v>
      </c>
      <c r="E377" s="11">
        <v>150</v>
      </c>
      <c r="F377" s="11" t="s">
        <v>5905</v>
      </c>
      <c r="G377">
        <v>20240701</v>
      </c>
      <c r="I377" s="11" t="s">
        <v>63</v>
      </c>
      <c r="J377" s="72">
        <v>70579667</v>
      </c>
      <c r="K377" s="99">
        <f>_xlfn.XLOOKUP(_2__ROI_Daily_Update[[#This Row],[CSM id]],SHP!F:F,SHP!EE:EE,"-")</f>
        <v>0</v>
      </c>
      <c r="L377" s="12"/>
      <c r="N377" s="11"/>
      <c r="P377"/>
      <c r="Q377"/>
      <c r="W377" s="28"/>
      <c r="AA377"/>
    </row>
    <row r="378" spans="1:27" x14ac:dyDescent="0.45">
      <c r="A378" s="57">
        <v>1131</v>
      </c>
      <c r="B378" t="s">
        <v>1667</v>
      </c>
      <c r="C378" t="s">
        <v>1668</v>
      </c>
      <c r="D378" s="12">
        <v>46303</v>
      </c>
      <c r="E378" s="11">
        <v>72</v>
      </c>
      <c r="F378" s="11" t="s">
        <v>5910</v>
      </c>
      <c r="G378">
        <v>20240701</v>
      </c>
      <c r="I378" s="11" t="s">
        <v>63</v>
      </c>
      <c r="J378" s="72">
        <v>70576032</v>
      </c>
      <c r="K378" s="99">
        <f>_xlfn.XLOOKUP(_2__ROI_Daily_Update[[#This Row],[CSM id]],SHP!F:F,SHP!EE:EE,"-")</f>
        <v>0</v>
      </c>
      <c r="L378" s="12"/>
      <c r="N378" s="11"/>
      <c r="P378"/>
      <c r="Q378"/>
      <c r="W378" s="28"/>
      <c r="AA378"/>
    </row>
    <row r="379" spans="1:27" x14ac:dyDescent="0.45">
      <c r="A379" s="57">
        <v>1822</v>
      </c>
      <c r="B379" t="s">
        <v>3564</v>
      </c>
      <c r="C379" t="s">
        <v>3565</v>
      </c>
      <c r="D379" s="12">
        <v>46303</v>
      </c>
      <c r="E379" s="11">
        <v>150</v>
      </c>
      <c r="F379" s="11" t="s">
        <v>5911</v>
      </c>
      <c r="G379">
        <v>20200801</v>
      </c>
      <c r="I379" s="11" t="s">
        <v>63</v>
      </c>
      <c r="J379" s="72">
        <v>90474179</v>
      </c>
      <c r="K379" s="99">
        <f>_xlfn.XLOOKUP(_2__ROI_Daily_Update[[#This Row],[CSM id]],SHP!F:F,SHP!EE:EE,"-")</f>
        <v>0</v>
      </c>
      <c r="L379" s="12"/>
      <c r="N379" s="11"/>
      <c r="P379"/>
      <c r="Q379"/>
      <c r="W379" s="28"/>
      <c r="AA379"/>
    </row>
    <row r="380" spans="1:27" x14ac:dyDescent="0.45">
      <c r="A380" s="57">
        <v>1131</v>
      </c>
      <c r="B380" t="s">
        <v>1665</v>
      </c>
      <c r="C380" t="s">
        <v>1666</v>
      </c>
      <c r="D380" s="12">
        <v>46303</v>
      </c>
      <c r="E380" s="11">
        <v>28</v>
      </c>
      <c r="F380" s="11" t="s">
        <v>5910</v>
      </c>
      <c r="G380">
        <v>20251001</v>
      </c>
      <c r="I380" s="11" t="s">
        <v>63</v>
      </c>
      <c r="J380" s="72">
        <v>60612097</v>
      </c>
      <c r="K380" s="99">
        <f>_xlfn.XLOOKUP(_2__ROI_Daily_Update[[#This Row],[CSM id]],SHP!F:F,SHP!EE:EE,"-")</f>
        <v>0</v>
      </c>
      <c r="L380" s="12"/>
      <c r="N380" s="11"/>
      <c r="P380"/>
      <c r="Q380"/>
      <c r="W380" s="28"/>
      <c r="AA380"/>
    </row>
    <row r="381" spans="1:27" x14ac:dyDescent="0.45">
      <c r="A381" s="57">
        <v>1132</v>
      </c>
      <c r="B381" t="s">
        <v>1687</v>
      </c>
      <c r="C381" t="s">
        <v>1688</v>
      </c>
      <c r="D381" s="12">
        <v>46303</v>
      </c>
      <c r="E381" s="11">
        <v>172</v>
      </c>
      <c r="F381" s="11" t="s">
        <v>5906</v>
      </c>
      <c r="G381">
        <v>20250701</v>
      </c>
      <c r="H381" s="12">
        <v>46388</v>
      </c>
      <c r="I381" s="11" t="s">
        <v>63</v>
      </c>
      <c r="J381" s="72">
        <v>30610274</v>
      </c>
      <c r="K381" s="99">
        <f>_xlfn.XLOOKUP(_2__ROI_Daily_Update[[#This Row],[CSM id]],SHP!F:F,SHP!EE:EE,"-")</f>
        <v>0</v>
      </c>
      <c r="L381" s="12"/>
      <c r="N381" s="11"/>
      <c r="P381"/>
      <c r="Q381"/>
      <c r="W381" s="28"/>
      <c r="AA381"/>
    </row>
    <row r="382" spans="1:27" x14ac:dyDescent="0.45">
      <c r="A382" s="57">
        <v>1131</v>
      </c>
      <c r="B382" t="s">
        <v>1663</v>
      </c>
      <c r="C382" t="s">
        <v>1664</v>
      </c>
      <c r="D382" s="12">
        <v>46303</v>
      </c>
      <c r="E382" s="11">
        <v>50</v>
      </c>
      <c r="F382" s="11" t="s">
        <v>5910</v>
      </c>
      <c r="G382">
        <v>20260101</v>
      </c>
      <c r="H382" s="12">
        <v>46569</v>
      </c>
      <c r="I382" s="11" t="s">
        <v>63</v>
      </c>
      <c r="J382" s="72">
        <v>50614365</v>
      </c>
      <c r="K382" s="99">
        <f>_xlfn.XLOOKUP(_2__ROI_Daily_Update[[#This Row],[CSM id]],SHP!F:F,SHP!EE:EE,"-")</f>
        <v>0</v>
      </c>
      <c r="L382" s="12"/>
      <c r="N382" s="11"/>
      <c r="P382"/>
      <c r="Q382"/>
      <c r="W382" s="28"/>
      <c r="AA382"/>
    </row>
    <row r="383" spans="1:27" x14ac:dyDescent="0.45">
      <c r="A383" s="57">
        <v>1131</v>
      </c>
      <c r="B383" t="s">
        <v>1659</v>
      </c>
      <c r="C383" t="s">
        <v>1660</v>
      </c>
      <c r="D383" s="12">
        <v>46303</v>
      </c>
      <c r="E383" s="11">
        <v>128</v>
      </c>
      <c r="F383" s="11" t="s">
        <v>5905</v>
      </c>
      <c r="G383">
        <v>20251001</v>
      </c>
      <c r="H383" s="12">
        <v>46478</v>
      </c>
      <c r="I383" s="11" t="s">
        <v>63</v>
      </c>
      <c r="J383" s="72">
        <v>50612026</v>
      </c>
      <c r="K383" s="99">
        <f>_xlfn.XLOOKUP(_2__ROI_Daily_Update[[#This Row],[CSM id]],SHP!F:F,SHP!EE:EE,"-")</f>
        <v>0</v>
      </c>
      <c r="L383" s="12"/>
      <c r="N383" s="11"/>
      <c r="P383"/>
      <c r="Q383"/>
      <c r="W383" s="28"/>
      <c r="AA383"/>
    </row>
    <row r="384" spans="1:27" x14ac:dyDescent="0.45">
      <c r="A384" s="57">
        <v>1131</v>
      </c>
      <c r="B384" t="s">
        <v>1657</v>
      </c>
      <c r="C384" t="s">
        <v>1658</v>
      </c>
      <c r="D384" s="12">
        <v>46303</v>
      </c>
      <c r="E384" s="11">
        <v>50</v>
      </c>
      <c r="F384" s="11" t="s">
        <v>5906</v>
      </c>
      <c r="G384">
        <v>20240701</v>
      </c>
      <c r="I384" s="11" t="s">
        <v>63</v>
      </c>
      <c r="J384" s="72">
        <v>50576028</v>
      </c>
      <c r="K384" s="99">
        <f>_xlfn.XLOOKUP(_2__ROI_Daily_Update[[#This Row],[CSM id]],SHP!F:F,SHP!EE:EE,"-")</f>
        <v>0</v>
      </c>
      <c r="L384" s="12"/>
      <c r="N384" s="11"/>
      <c r="P384"/>
      <c r="Q384"/>
      <c r="W384" s="28"/>
      <c r="AA384"/>
    </row>
    <row r="385" spans="1:27" x14ac:dyDescent="0.45">
      <c r="A385" s="57">
        <v>1131</v>
      </c>
      <c r="B385" t="s">
        <v>1649</v>
      </c>
      <c r="C385" t="s">
        <v>1650</v>
      </c>
      <c r="D385" s="12">
        <v>46303</v>
      </c>
      <c r="E385" s="11">
        <v>144</v>
      </c>
      <c r="F385" s="11" t="s">
        <v>5905</v>
      </c>
      <c r="G385">
        <v>20260101</v>
      </c>
      <c r="H385" s="12">
        <v>46569</v>
      </c>
      <c r="I385" s="11" t="s">
        <v>63</v>
      </c>
      <c r="J385" s="72">
        <v>30614371</v>
      </c>
      <c r="K385" s="99">
        <f>_xlfn.XLOOKUP(_2__ROI_Daily_Update[[#This Row],[CSM id]],SHP!F:F,SHP!EE:EE,"-")</f>
        <v>0</v>
      </c>
      <c r="L385" s="12"/>
      <c r="N385" s="11"/>
      <c r="P385"/>
      <c r="Q385"/>
      <c r="W385" s="28"/>
      <c r="AA385"/>
    </row>
    <row r="386" spans="1:27" x14ac:dyDescent="0.45">
      <c r="A386" s="57">
        <v>1131</v>
      </c>
      <c r="B386" t="s">
        <v>1643</v>
      </c>
      <c r="C386" t="s">
        <v>1644</v>
      </c>
      <c r="D386" s="12">
        <v>46303</v>
      </c>
      <c r="E386" s="11">
        <v>110</v>
      </c>
      <c r="F386" s="11" t="s">
        <v>5905</v>
      </c>
      <c r="G386">
        <v>20251001</v>
      </c>
      <c r="I386" s="11" t="s">
        <v>63</v>
      </c>
      <c r="J386" s="72">
        <v>10612071</v>
      </c>
      <c r="K386" s="99">
        <f>_xlfn.XLOOKUP(_2__ROI_Daily_Update[[#This Row],[CSM id]],SHP!F:F,SHP!EE:EE,"-")</f>
        <v>0</v>
      </c>
      <c r="L386" s="12"/>
      <c r="N386" s="11"/>
      <c r="P386"/>
      <c r="Q386"/>
      <c r="W386" s="28"/>
      <c r="AA386"/>
    </row>
    <row r="387" spans="1:27" x14ac:dyDescent="0.45">
      <c r="A387" s="57">
        <v>972</v>
      </c>
      <c r="B387" t="s">
        <v>859</v>
      </c>
      <c r="C387" t="s">
        <v>860</v>
      </c>
      <c r="D387" s="12">
        <v>46303</v>
      </c>
      <c r="E387" s="11">
        <v>90</v>
      </c>
      <c r="F387" s="11" t="s">
        <v>5909</v>
      </c>
      <c r="G387">
        <v>20171001</v>
      </c>
      <c r="I387" s="11" t="s">
        <v>32</v>
      </c>
      <c r="J387" s="72">
        <v>330067</v>
      </c>
      <c r="K387" s="99">
        <f>_xlfn.XLOOKUP(_2__ROI_Daily_Update[[#This Row],[CSM id]],SHP!F:F,SHP!EE:EE,"-")</f>
        <v>0</v>
      </c>
      <c r="L387" s="12"/>
      <c r="N387" s="11"/>
      <c r="P387"/>
      <c r="Q387"/>
      <c r="W387" s="28"/>
      <c r="AA387"/>
    </row>
    <row r="388" spans="1:27" x14ac:dyDescent="0.45">
      <c r="A388" s="57">
        <v>1131</v>
      </c>
      <c r="B388" t="s">
        <v>1639</v>
      </c>
      <c r="C388" t="s">
        <v>1640</v>
      </c>
      <c r="D388" s="12">
        <v>46303</v>
      </c>
      <c r="E388" s="11">
        <v>108</v>
      </c>
      <c r="F388" s="11" t="s">
        <v>5910</v>
      </c>
      <c r="G388">
        <v>20240701</v>
      </c>
      <c r="H388" s="12">
        <v>46388</v>
      </c>
      <c r="I388" s="11" t="s">
        <v>63</v>
      </c>
      <c r="J388" s="72">
        <v>576040</v>
      </c>
      <c r="K388" s="99">
        <f>_xlfn.XLOOKUP(_2__ROI_Daily_Update[[#This Row],[CSM id]],SHP!F:F,SHP!EE:EE,"-")</f>
        <v>0</v>
      </c>
      <c r="L388" s="12"/>
      <c r="N388" s="11"/>
      <c r="P388"/>
      <c r="Q388"/>
      <c r="W388" s="28"/>
      <c r="AA388"/>
    </row>
    <row r="389" spans="1:27" x14ac:dyDescent="0.45">
      <c r="A389" s="57">
        <v>1123</v>
      </c>
      <c r="B389" t="s">
        <v>1637</v>
      </c>
      <c r="C389" t="s">
        <v>1638</v>
      </c>
      <c r="D389" s="12">
        <v>46303</v>
      </c>
      <c r="E389" s="11">
        <v>60</v>
      </c>
      <c r="F389" s="11" t="s">
        <v>5906</v>
      </c>
      <c r="G389">
        <v>20221001</v>
      </c>
      <c r="I389" s="11" t="s">
        <v>63</v>
      </c>
      <c r="J389" s="72">
        <v>90531293</v>
      </c>
      <c r="K389" s="99">
        <f>_xlfn.XLOOKUP(_2__ROI_Daily_Update[[#This Row],[CSM id]],SHP!F:F,SHP!EE:EE,"-")</f>
        <v>0</v>
      </c>
      <c r="L389" s="12"/>
      <c r="N389" s="11"/>
      <c r="P389"/>
      <c r="Q389"/>
      <c r="W389" s="28"/>
      <c r="AA389"/>
    </row>
    <row r="390" spans="1:27" x14ac:dyDescent="0.45">
      <c r="A390" s="57">
        <v>1122</v>
      </c>
      <c r="B390" t="s">
        <v>1623</v>
      </c>
      <c r="C390" t="s">
        <v>1624</v>
      </c>
      <c r="D390" s="12">
        <v>46303</v>
      </c>
      <c r="E390" s="11">
        <v>66</v>
      </c>
      <c r="F390" s="11" t="s">
        <v>5909</v>
      </c>
      <c r="G390">
        <v>20190801</v>
      </c>
      <c r="H390" s="12">
        <v>46388</v>
      </c>
      <c r="I390" s="11" t="s">
        <v>32</v>
      </c>
      <c r="J390" s="72">
        <v>70444367</v>
      </c>
      <c r="K390" s="99">
        <f>_xlfn.XLOOKUP(_2__ROI_Daily_Update[[#This Row],[CSM id]],SHP!F:F,SHP!EE:EE,"-")</f>
        <v>0</v>
      </c>
      <c r="L390" s="12"/>
      <c r="N390" s="11"/>
      <c r="P390"/>
      <c r="Q390"/>
      <c r="W390" s="28"/>
      <c r="AA390"/>
    </row>
    <row r="391" spans="1:27" x14ac:dyDescent="0.45">
      <c r="A391" s="57">
        <v>972</v>
      </c>
      <c r="B391" t="s">
        <v>861</v>
      </c>
      <c r="C391" t="s">
        <v>862</v>
      </c>
      <c r="D391" s="12">
        <v>46303</v>
      </c>
      <c r="E391" s="11">
        <v>24</v>
      </c>
      <c r="F391" s="11" t="s">
        <v>5905</v>
      </c>
      <c r="G391">
        <v>20230401</v>
      </c>
      <c r="I391" s="11" t="s">
        <v>63</v>
      </c>
      <c r="J391" s="72">
        <v>544643</v>
      </c>
      <c r="K391" s="99">
        <f>_xlfn.XLOOKUP(_2__ROI_Daily_Update[[#This Row],[CSM id]],SHP!F:F,SHP!EE:EE,"-")</f>
        <v>0</v>
      </c>
      <c r="L391" s="12"/>
      <c r="N391" s="11"/>
      <c r="P391"/>
      <c r="Q391"/>
      <c r="W391" s="28"/>
      <c r="AA391"/>
    </row>
    <row r="392" spans="1:27" x14ac:dyDescent="0.45">
      <c r="A392" s="57">
        <v>1123</v>
      </c>
      <c r="B392" t="s">
        <v>1631</v>
      </c>
      <c r="C392" t="s">
        <v>1632</v>
      </c>
      <c r="D392" s="12">
        <v>46303</v>
      </c>
      <c r="E392" s="11">
        <v>40</v>
      </c>
      <c r="F392" s="11" t="s">
        <v>5906</v>
      </c>
      <c r="G392">
        <v>20221001</v>
      </c>
      <c r="I392" s="11" t="s">
        <v>63</v>
      </c>
      <c r="J392" s="72">
        <v>10531287</v>
      </c>
      <c r="K392" s="99">
        <f>_xlfn.XLOOKUP(_2__ROI_Daily_Update[[#This Row],[CSM id]],SHP!F:F,SHP!EE:EE,"-")</f>
        <v>0</v>
      </c>
      <c r="L392" s="12"/>
      <c r="N392" s="11"/>
      <c r="P392"/>
      <c r="Q392"/>
      <c r="W392" s="28"/>
      <c r="AA392"/>
    </row>
    <row r="393" spans="1:27" x14ac:dyDescent="0.45">
      <c r="A393" s="57">
        <v>1122</v>
      </c>
      <c r="B393" t="s">
        <v>1629</v>
      </c>
      <c r="C393" t="s">
        <v>1630</v>
      </c>
      <c r="D393" s="12">
        <v>46303</v>
      </c>
      <c r="E393" s="11">
        <v>32</v>
      </c>
      <c r="F393" s="11" t="s">
        <v>5905</v>
      </c>
      <c r="G393">
        <v>20241001</v>
      </c>
      <c r="I393" s="11" t="s">
        <v>63</v>
      </c>
      <c r="J393" s="72">
        <v>90587119</v>
      </c>
      <c r="K393" s="99">
        <f>_xlfn.XLOOKUP(_2__ROI_Daily_Update[[#This Row],[CSM id]],SHP!F:F,SHP!EE:EE,"-")</f>
        <v>0</v>
      </c>
      <c r="L393" s="12"/>
      <c r="N393" s="11"/>
      <c r="P393"/>
      <c r="Q393"/>
      <c r="W393" s="28"/>
      <c r="AA393"/>
    </row>
    <row r="394" spans="1:27" x14ac:dyDescent="0.45">
      <c r="A394" s="57">
        <v>1122</v>
      </c>
      <c r="B394" t="s">
        <v>1625</v>
      </c>
      <c r="C394" t="s">
        <v>1626</v>
      </c>
      <c r="D394" s="12">
        <v>46303</v>
      </c>
      <c r="E394" s="11">
        <v>50</v>
      </c>
      <c r="F394" s="11" t="s">
        <v>5909</v>
      </c>
      <c r="G394">
        <v>20190801</v>
      </c>
      <c r="H394" s="12">
        <v>46478</v>
      </c>
      <c r="I394" s="11" t="s">
        <v>18</v>
      </c>
      <c r="J394" s="72">
        <v>80446097</v>
      </c>
      <c r="K394" s="99">
        <f>_xlfn.XLOOKUP(_2__ROI_Daily_Update[[#This Row],[CSM id]],SHP!F:F,SHP!EE:EE,"-")</f>
        <v>0</v>
      </c>
      <c r="L394" s="12"/>
      <c r="N394" s="11"/>
      <c r="P394"/>
      <c r="Q394"/>
      <c r="W394" s="28"/>
      <c r="AA394"/>
    </row>
    <row r="395" spans="1:27" x14ac:dyDescent="0.45">
      <c r="A395" s="57">
        <v>1131</v>
      </c>
      <c r="B395" t="s">
        <v>1661</v>
      </c>
      <c r="C395" t="s">
        <v>1662</v>
      </c>
      <c r="D395" s="12">
        <v>46303</v>
      </c>
      <c r="E395" s="11">
        <v>28</v>
      </c>
      <c r="F395" s="11" t="s">
        <v>5905</v>
      </c>
      <c r="G395">
        <v>20251001</v>
      </c>
      <c r="I395" s="11" t="s">
        <v>63</v>
      </c>
      <c r="J395" s="72">
        <v>50612045</v>
      </c>
      <c r="K395" s="99">
        <f>_xlfn.XLOOKUP(_2__ROI_Daily_Update[[#This Row],[CSM id]],SHP!F:F,SHP!EE:EE,"-")</f>
        <v>0</v>
      </c>
      <c r="L395" s="12"/>
      <c r="N395" s="11"/>
      <c r="P395"/>
      <c r="Q395"/>
      <c r="W395" s="28"/>
      <c r="AA395"/>
    </row>
    <row r="396" spans="1:27" x14ac:dyDescent="0.45">
      <c r="A396" s="57">
        <v>1132</v>
      </c>
      <c r="B396" t="s">
        <v>1689</v>
      </c>
      <c r="C396" t="s">
        <v>1690</v>
      </c>
      <c r="D396" s="12">
        <v>46303</v>
      </c>
      <c r="E396" s="11">
        <v>172</v>
      </c>
      <c r="F396" s="11" t="s">
        <v>5909</v>
      </c>
      <c r="G396">
        <v>20250701</v>
      </c>
      <c r="I396" s="11" t="s">
        <v>18</v>
      </c>
      <c r="J396" s="72">
        <v>80610262</v>
      </c>
      <c r="K396" s="99">
        <f>_xlfn.XLOOKUP(_2__ROI_Daily_Update[[#This Row],[CSM id]],SHP!F:F,SHP!EE:EE,"-")</f>
        <v>0</v>
      </c>
      <c r="L396" s="12"/>
      <c r="N396" s="11"/>
      <c r="P396"/>
      <c r="Q396"/>
      <c r="W396" s="28"/>
      <c r="AA396"/>
    </row>
    <row r="397" spans="1:27" x14ac:dyDescent="0.45">
      <c r="A397" s="57">
        <v>1132</v>
      </c>
      <c r="B397" t="s">
        <v>1691</v>
      </c>
      <c r="C397" t="s">
        <v>1692</v>
      </c>
      <c r="D397" s="12">
        <v>46303</v>
      </c>
      <c r="E397" s="11">
        <v>20</v>
      </c>
      <c r="F397" s="11" t="s">
        <v>5910</v>
      </c>
      <c r="G397">
        <v>20261001</v>
      </c>
      <c r="I397" s="11" t="s">
        <v>63</v>
      </c>
      <c r="J397" s="72">
        <v>80623274</v>
      </c>
      <c r="K397" s="99">
        <f>_xlfn.XLOOKUP(_2__ROI_Daily_Update[[#This Row],[CSM id]],SHP!F:F,SHP!EE:EE,"-")</f>
        <v>0</v>
      </c>
      <c r="L397" s="12"/>
      <c r="N397" s="11"/>
      <c r="P397"/>
      <c r="Q397"/>
      <c r="W397" s="28"/>
      <c r="AA397"/>
    </row>
    <row r="398" spans="1:27" x14ac:dyDescent="0.45">
      <c r="A398" s="57">
        <v>1822</v>
      </c>
      <c r="B398" t="s">
        <v>3562</v>
      </c>
      <c r="C398" t="s">
        <v>3563</v>
      </c>
      <c r="D398" s="12">
        <v>46303</v>
      </c>
      <c r="E398" s="11">
        <v>16</v>
      </c>
      <c r="F398" s="11" t="s">
        <v>5906</v>
      </c>
      <c r="G398">
        <v>20260601</v>
      </c>
      <c r="I398" s="11" t="s">
        <v>63</v>
      </c>
      <c r="J398" s="72">
        <v>80618710</v>
      </c>
      <c r="K398" s="99">
        <f>_xlfn.XLOOKUP(_2__ROI_Daily_Update[[#This Row],[CSM id]],SHP!F:F,SHP!EE:EE,"-")</f>
        <v>0</v>
      </c>
      <c r="L398" s="12"/>
      <c r="N398" s="11"/>
      <c r="P398"/>
      <c r="Q398"/>
      <c r="W398" s="28"/>
      <c r="AA398"/>
    </row>
    <row r="399" spans="1:27" x14ac:dyDescent="0.45">
      <c r="A399" s="57">
        <v>1213</v>
      </c>
      <c r="B399" t="s">
        <v>1785</v>
      </c>
      <c r="C399" t="s">
        <v>1786</v>
      </c>
      <c r="D399" s="12">
        <v>46303</v>
      </c>
      <c r="E399" s="11">
        <v>48</v>
      </c>
      <c r="F399" s="11" t="s">
        <v>5905</v>
      </c>
      <c r="G399">
        <v>20220101</v>
      </c>
      <c r="I399" s="11" t="s">
        <v>63</v>
      </c>
      <c r="J399" s="72">
        <v>10506551</v>
      </c>
      <c r="K399" s="99">
        <f>_xlfn.XLOOKUP(_2__ROI_Daily_Update[[#This Row],[CSM id]],SHP!F:F,SHP!EE:EE,"-")</f>
        <v>0</v>
      </c>
      <c r="L399" s="12"/>
      <c r="N399" s="11"/>
      <c r="P399"/>
      <c r="Q399"/>
      <c r="W399" s="28"/>
      <c r="AA399"/>
    </row>
    <row r="400" spans="1:27" x14ac:dyDescent="0.45">
      <c r="A400" s="57">
        <v>1213</v>
      </c>
      <c r="B400" t="s">
        <v>1783</v>
      </c>
      <c r="C400" t="s">
        <v>1784</v>
      </c>
      <c r="D400" s="12">
        <v>46303</v>
      </c>
      <c r="E400" s="11">
        <v>16</v>
      </c>
      <c r="F400" s="11" t="s">
        <v>5905</v>
      </c>
      <c r="G400">
        <v>20190201</v>
      </c>
      <c r="I400" s="11" t="s">
        <v>63</v>
      </c>
      <c r="J400" s="72">
        <v>10380995</v>
      </c>
      <c r="K400" s="99">
        <f>_xlfn.XLOOKUP(_2__ROI_Daily_Update[[#This Row],[CSM id]],SHP!F:F,SHP!EE:EE,"-")</f>
        <v>0</v>
      </c>
      <c r="L400" s="12"/>
      <c r="N400" s="11"/>
      <c r="P400"/>
      <c r="Q400"/>
      <c r="W400" s="28"/>
      <c r="AA400"/>
    </row>
    <row r="401" spans="1:27" x14ac:dyDescent="0.45">
      <c r="A401" s="57">
        <v>1211</v>
      </c>
      <c r="B401" t="s">
        <v>1775</v>
      </c>
      <c r="C401" t="s">
        <v>1776</v>
      </c>
      <c r="D401" s="12">
        <v>46303</v>
      </c>
      <c r="E401" s="11">
        <v>4</v>
      </c>
      <c r="F401" s="11" t="s">
        <v>5905</v>
      </c>
      <c r="G401">
        <v>20240101</v>
      </c>
      <c r="I401" s="11" t="s">
        <v>63</v>
      </c>
      <c r="J401" s="72">
        <v>90559673</v>
      </c>
      <c r="K401" s="99">
        <f>_xlfn.XLOOKUP(_2__ROI_Daily_Update[[#This Row],[CSM id]],SHP!F:F,SHP!EE:EE,"-")</f>
        <v>0</v>
      </c>
      <c r="L401" s="12"/>
      <c r="N401" s="11"/>
      <c r="P401"/>
      <c r="Q401"/>
      <c r="W401" s="28"/>
      <c r="AA401"/>
    </row>
    <row r="402" spans="1:27" x14ac:dyDescent="0.45">
      <c r="A402" s="57">
        <v>1211</v>
      </c>
      <c r="B402" t="s">
        <v>1773</v>
      </c>
      <c r="C402" t="s">
        <v>1774</v>
      </c>
      <c r="D402" s="12">
        <v>46303</v>
      </c>
      <c r="E402" s="11">
        <v>32</v>
      </c>
      <c r="F402" s="11" t="s">
        <v>5907</v>
      </c>
      <c r="G402">
        <v>20261001</v>
      </c>
      <c r="I402" s="11" t="s">
        <v>63</v>
      </c>
      <c r="J402" s="72">
        <v>80637167</v>
      </c>
      <c r="K402" s="99">
        <f>_xlfn.XLOOKUP(_2__ROI_Daily_Update[[#This Row],[CSM id]],SHP!F:F,SHP!EE:EE,"-")</f>
        <v>0</v>
      </c>
      <c r="L402" s="12"/>
      <c r="N402" s="11"/>
      <c r="P402"/>
      <c r="Q402"/>
      <c r="W402" s="28"/>
      <c r="AA402"/>
    </row>
    <row r="403" spans="1:27" x14ac:dyDescent="0.45">
      <c r="A403" s="57">
        <v>1211</v>
      </c>
      <c r="B403" t="s">
        <v>1767</v>
      </c>
      <c r="C403" t="s">
        <v>1768</v>
      </c>
      <c r="D403" s="12">
        <v>46303</v>
      </c>
      <c r="E403" s="11">
        <v>20</v>
      </c>
      <c r="F403" s="11" t="s">
        <v>5906</v>
      </c>
      <c r="G403">
        <v>20241001</v>
      </c>
      <c r="I403" s="11" t="s">
        <v>63</v>
      </c>
      <c r="J403" s="72">
        <v>80297554</v>
      </c>
      <c r="K403" s="99">
        <f>_xlfn.XLOOKUP(_2__ROI_Daily_Update[[#This Row],[CSM id]],SHP!F:F,SHP!EE:EE,"-")</f>
        <v>0</v>
      </c>
      <c r="L403" s="12"/>
      <c r="N403" s="11"/>
      <c r="P403"/>
      <c r="Q403"/>
      <c r="W403" s="28"/>
      <c r="AA403"/>
    </row>
    <row r="404" spans="1:27" x14ac:dyDescent="0.45">
      <c r="A404" s="57">
        <v>1122</v>
      </c>
      <c r="B404" t="s">
        <v>1619</v>
      </c>
      <c r="C404" t="s">
        <v>1620</v>
      </c>
      <c r="D404" s="12">
        <v>46303</v>
      </c>
      <c r="E404" s="11">
        <v>50</v>
      </c>
      <c r="F404" s="11" t="s">
        <v>5909</v>
      </c>
      <c r="G404">
        <v>20230101</v>
      </c>
      <c r="I404" s="11" t="s">
        <v>18</v>
      </c>
      <c r="J404" s="72">
        <v>60544881</v>
      </c>
      <c r="K404" s="99">
        <f>_xlfn.XLOOKUP(_2__ROI_Daily_Update[[#This Row],[CSM id]],SHP!F:F,SHP!EE:EE,"-")</f>
        <v>0</v>
      </c>
      <c r="L404" s="12"/>
      <c r="N404" s="11"/>
      <c r="P404"/>
      <c r="Q404"/>
      <c r="W404" s="28"/>
      <c r="AA404"/>
    </row>
    <row r="405" spans="1:27" x14ac:dyDescent="0.45">
      <c r="A405" s="57">
        <v>1211</v>
      </c>
      <c r="B405" t="s">
        <v>1761</v>
      </c>
      <c r="C405" t="s">
        <v>1762</v>
      </c>
      <c r="D405" s="12">
        <v>46303</v>
      </c>
      <c r="E405" s="11">
        <v>72</v>
      </c>
      <c r="F405" s="11" t="s">
        <v>5906</v>
      </c>
      <c r="G405">
        <v>20260701</v>
      </c>
      <c r="I405" s="11" t="s">
        <v>63</v>
      </c>
      <c r="J405" s="72">
        <v>60633764</v>
      </c>
      <c r="K405" s="99">
        <f>_xlfn.XLOOKUP(_2__ROI_Daily_Update[[#This Row],[CSM id]],SHP!F:F,SHP!EE:EE,"-")</f>
        <v>0</v>
      </c>
      <c r="L405" s="12"/>
      <c r="N405" s="11"/>
      <c r="P405"/>
      <c r="Q405"/>
      <c r="W405" s="28"/>
      <c r="AA405"/>
    </row>
    <row r="406" spans="1:27" x14ac:dyDescent="0.45">
      <c r="A406" s="57">
        <v>972</v>
      </c>
      <c r="B406" t="s">
        <v>877</v>
      </c>
      <c r="C406" t="s">
        <v>878</v>
      </c>
      <c r="D406" s="12">
        <v>46303</v>
      </c>
      <c r="E406" s="11">
        <v>15</v>
      </c>
      <c r="F406" s="11" t="s">
        <v>5909</v>
      </c>
      <c r="G406">
        <v>20160401</v>
      </c>
      <c r="I406" s="11" t="s">
        <v>32</v>
      </c>
      <c r="J406" s="72">
        <v>40319973</v>
      </c>
      <c r="K406" s="99">
        <f>_xlfn.XLOOKUP(_2__ROI_Daily_Update[[#This Row],[CSM id]],SHP!F:F,SHP!EE:EE,"-")</f>
        <v>0</v>
      </c>
      <c r="L406" s="12"/>
      <c r="N406" s="11"/>
      <c r="P406"/>
      <c r="Q406"/>
      <c r="W406" s="28"/>
      <c r="AA406"/>
    </row>
    <row r="407" spans="1:27" x14ac:dyDescent="0.45">
      <c r="A407" s="57">
        <v>1211</v>
      </c>
      <c r="B407" t="s">
        <v>1761</v>
      </c>
      <c r="C407" t="s">
        <v>1762</v>
      </c>
      <c r="D407" s="12">
        <v>46303</v>
      </c>
      <c r="E407" s="11">
        <v>18</v>
      </c>
      <c r="F407" s="11" t="s">
        <v>5905</v>
      </c>
      <c r="G407">
        <v>20260701</v>
      </c>
      <c r="I407" s="11" t="s">
        <v>63</v>
      </c>
      <c r="J407" s="72">
        <v>60633764</v>
      </c>
      <c r="K407" s="99">
        <f>_xlfn.XLOOKUP(_2__ROI_Daily_Update[[#This Row],[CSM id]],SHP!F:F,SHP!EE:EE,"-")</f>
        <v>0</v>
      </c>
      <c r="L407" s="12"/>
      <c r="N407" s="11"/>
      <c r="P407"/>
      <c r="Q407"/>
      <c r="W407" s="28"/>
      <c r="AA407"/>
    </row>
    <row r="408" spans="1:27" x14ac:dyDescent="0.45">
      <c r="A408" s="57">
        <v>1211</v>
      </c>
      <c r="B408" t="s">
        <v>1759</v>
      </c>
      <c r="C408" t="s">
        <v>1760</v>
      </c>
      <c r="D408" s="12">
        <v>46303</v>
      </c>
      <c r="E408" s="11">
        <v>18</v>
      </c>
      <c r="F408" s="11" t="s">
        <v>5905</v>
      </c>
      <c r="G408">
        <v>20250401</v>
      </c>
      <c r="I408" s="11" t="s">
        <v>63</v>
      </c>
      <c r="J408" s="72">
        <v>60597172</v>
      </c>
      <c r="K408" s="99">
        <f>_xlfn.XLOOKUP(_2__ROI_Daily_Update[[#This Row],[CSM id]],SHP!F:F,SHP!EE:EE,"-")</f>
        <v>0</v>
      </c>
      <c r="L408" s="12"/>
      <c r="N408" s="11"/>
      <c r="P408"/>
      <c r="Q408"/>
      <c r="W408" s="28"/>
      <c r="AA408"/>
    </row>
    <row r="409" spans="1:27" x14ac:dyDescent="0.45">
      <c r="A409" s="57">
        <v>1211</v>
      </c>
      <c r="B409" t="s">
        <v>1755</v>
      </c>
      <c r="C409" t="s">
        <v>1756</v>
      </c>
      <c r="D409" s="12">
        <v>46303</v>
      </c>
      <c r="E409" s="11">
        <v>25</v>
      </c>
      <c r="F409" s="11" t="s">
        <v>5905</v>
      </c>
      <c r="G409">
        <v>20261001</v>
      </c>
      <c r="I409" s="11" t="s">
        <v>63</v>
      </c>
      <c r="J409" s="72">
        <v>50640562</v>
      </c>
      <c r="K409" s="99">
        <f>_xlfn.XLOOKUP(_2__ROI_Daily_Update[[#This Row],[CSM id]],SHP!F:F,SHP!EE:EE,"-")</f>
        <v>0</v>
      </c>
      <c r="L409" s="12"/>
      <c r="N409" s="11"/>
      <c r="P409"/>
      <c r="Q409"/>
      <c r="W409" s="28"/>
      <c r="AA409"/>
    </row>
    <row r="410" spans="1:27" x14ac:dyDescent="0.45">
      <c r="A410" s="57">
        <v>1211</v>
      </c>
      <c r="B410" t="s">
        <v>1753</v>
      </c>
      <c r="C410" t="s">
        <v>1754</v>
      </c>
      <c r="D410" s="12">
        <v>46303</v>
      </c>
      <c r="E410" s="11">
        <v>198</v>
      </c>
      <c r="F410" s="11" t="s">
        <v>5909</v>
      </c>
      <c r="G410">
        <v>20250401</v>
      </c>
      <c r="I410" s="11" t="s">
        <v>18</v>
      </c>
      <c r="J410" s="72">
        <v>50602150</v>
      </c>
      <c r="K410" s="99">
        <f>_xlfn.XLOOKUP(_2__ROI_Daily_Update[[#This Row],[CSM id]],SHP!F:F,SHP!EE:EE,"-")</f>
        <v>0</v>
      </c>
      <c r="L410" s="12"/>
      <c r="N410" s="11"/>
      <c r="P410"/>
      <c r="Q410"/>
      <c r="W410" s="28"/>
      <c r="AA410"/>
    </row>
    <row r="411" spans="1:27" x14ac:dyDescent="0.45">
      <c r="A411" s="57">
        <v>1211</v>
      </c>
      <c r="B411" t="s">
        <v>1751</v>
      </c>
      <c r="C411" t="s">
        <v>1752</v>
      </c>
      <c r="D411" s="12">
        <v>46303</v>
      </c>
      <c r="E411" s="11">
        <v>12</v>
      </c>
      <c r="F411" s="11" t="s">
        <v>5905</v>
      </c>
      <c r="G411">
        <v>20230401</v>
      </c>
      <c r="H411" s="12">
        <v>46388</v>
      </c>
      <c r="I411" s="11" t="s">
        <v>63</v>
      </c>
      <c r="J411" s="72">
        <v>50539074</v>
      </c>
      <c r="K411" s="99">
        <f>_xlfn.XLOOKUP(_2__ROI_Daily_Update[[#This Row],[CSM id]],SHP!F:F,SHP!EE:EE,"-")</f>
        <v>0</v>
      </c>
      <c r="L411" s="12"/>
      <c r="N411" s="11"/>
      <c r="P411"/>
      <c r="Q411"/>
      <c r="W411" s="28"/>
      <c r="AA411"/>
    </row>
    <row r="412" spans="1:27" x14ac:dyDescent="0.45">
      <c r="A412" s="57">
        <v>1211</v>
      </c>
      <c r="B412" t="s">
        <v>1747</v>
      </c>
      <c r="C412" t="s">
        <v>1748</v>
      </c>
      <c r="D412" s="12">
        <v>46303</v>
      </c>
      <c r="E412" s="11">
        <v>21</v>
      </c>
      <c r="F412" s="11" t="s">
        <v>5906</v>
      </c>
      <c r="G412">
        <v>20250101</v>
      </c>
      <c r="H412" s="12">
        <v>46478</v>
      </c>
      <c r="I412" s="11" t="s">
        <v>63</v>
      </c>
      <c r="J412" s="72">
        <v>40594891</v>
      </c>
      <c r="K412" s="99">
        <f>_xlfn.XLOOKUP(_2__ROI_Daily_Update[[#This Row],[CSM id]],SHP!F:F,SHP!EE:EE,"-")</f>
        <v>0</v>
      </c>
      <c r="L412" s="12"/>
      <c r="N412" s="11"/>
      <c r="P412"/>
      <c r="Q412"/>
      <c r="W412" s="28"/>
      <c r="AA412"/>
    </row>
    <row r="413" spans="1:27" x14ac:dyDescent="0.45">
      <c r="A413" s="57">
        <v>1211</v>
      </c>
      <c r="B413" t="s">
        <v>1743</v>
      </c>
      <c r="C413" t="s">
        <v>1744</v>
      </c>
      <c r="D413" s="12">
        <v>46303</v>
      </c>
      <c r="E413" s="11">
        <v>72</v>
      </c>
      <c r="F413" s="11" t="s">
        <v>5907</v>
      </c>
      <c r="G413">
        <v>20261001</v>
      </c>
      <c r="I413" s="11" t="s">
        <v>63</v>
      </c>
      <c r="J413" s="72">
        <v>30637160</v>
      </c>
      <c r="K413" s="99">
        <f>_xlfn.XLOOKUP(_2__ROI_Daily_Update[[#This Row],[CSM id]],SHP!F:F,SHP!EE:EE,"-")</f>
        <v>0</v>
      </c>
      <c r="L413" s="12"/>
      <c r="N413" s="11"/>
      <c r="P413"/>
      <c r="Q413"/>
      <c r="W413" s="28"/>
      <c r="AA413"/>
    </row>
    <row r="414" spans="1:27" x14ac:dyDescent="0.45">
      <c r="A414" s="57">
        <v>1211</v>
      </c>
      <c r="B414" t="s">
        <v>1741</v>
      </c>
      <c r="C414" t="s">
        <v>1742</v>
      </c>
      <c r="D414" s="12">
        <v>46303</v>
      </c>
      <c r="E414" s="11">
        <v>24</v>
      </c>
      <c r="F414" s="11" t="s">
        <v>5910</v>
      </c>
      <c r="G414">
        <v>20230401</v>
      </c>
      <c r="I414" s="11" t="s">
        <v>63</v>
      </c>
      <c r="J414" s="72">
        <v>30539065</v>
      </c>
      <c r="K414" s="99">
        <f>_xlfn.XLOOKUP(_2__ROI_Daily_Update[[#This Row],[CSM id]],SHP!F:F,SHP!EE:EE,"-")</f>
        <v>0</v>
      </c>
      <c r="L414" s="12"/>
      <c r="N414" s="11"/>
      <c r="P414"/>
      <c r="Q414"/>
      <c r="W414" s="28"/>
      <c r="AA414"/>
    </row>
    <row r="415" spans="1:27" x14ac:dyDescent="0.45">
      <c r="A415" s="57">
        <v>1211</v>
      </c>
      <c r="B415" t="s">
        <v>1737</v>
      </c>
      <c r="C415" t="s">
        <v>1738</v>
      </c>
      <c r="D415" s="12">
        <v>46303</v>
      </c>
      <c r="E415" s="11">
        <v>72</v>
      </c>
      <c r="F415" s="11" t="s">
        <v>5905</v>
      </c>
      <c r="G415">
        <v>20250401</v>
      </c>
      <c r="I415" s="11" t="s">
        <v>63</v>
      </c>
      <c r="J415" s="72">
        <v>20602161</v>
      </c>
      <c r="K415" s="99">
        <f>_xlfn.XLOOKUP(_2__ROI_Daily_Update[[#This Row],[CSM id]],SHP!F:F,SHP!EE:EE,"-")</f>
        <v>0</v>
      </c>
      <c r="L415" s="12"/>
      <c r="N415" s="11"/>
      <c r="P415"/>
      <c r="Q415"/>
      <c r="W415" s="28"/>
      <c r="AA415"/>
    </row>
    <row r="416" spans="1:27" x14ac:dyDescent="0.45">
      <c r="A416" s="57">
        <v>1211</v>
      </c>
      <c r="B416" t="s">
        <v>1735</v>
      </c>
      <c r="C416" t="s">
        <v>1736</v>
      </c>
      <c r="D416" s="12">
        <v>46303</v>
      </c>
      <c r="E416" s="11">
        <v>24</v>
      </c>
      <c r="F416" s="11" t="s">
        <v>5910</v>
      </c>
      <c r="G416">
        <v>20250401</v>
      </c>
      <c r="I416" s="11" t="s">
        <v>63</v>
      </c>
      <c r="J416" s="72">
        <v>20597169</v>
      </c>
      <c r="K416" s="99">
        <f>_xlfn.XLOOKUP(_2__ROI_Daily_Update[[#This Row],[CSM id]],SHP!F:F,SHP!EE:EE,"-")</f>
        <v>0</v>
      </c>
      <c r="L416" s="12"/>
      <c r="N416" s="11"/>
      <c r="P416"/>
      <c r="Q416"/>
      <c r="W416" s="28"/>
      <c r="AA416"/>
    </row>
    <row r="417" spans="1:27" x14ac:dyDescent="0.45">
      <c r="A417" s="57">
        <v>1211</v>
      </c>
      <c r="B417" t="s">
        <v>1733</v>
      </c>
      <c r="C417" t="s">
        <v>1734</v>
      </c>
      <c r="D417" s="12">
        <v>46303</v>
      </c>
      <c r="E417" s="11">
        <v>36</v>
      </c>
      <c r="F417" s="11" t="s">
        <v>5906</v>
      </c>
      <c r="G417">
        <v>20211001</v>
      </c>
      <c r="H417" s="12">
        <v>46478</v>
      </c>
      <c r="I417" s="11" t="s">
        <v>63</v>
      </c>
      <c r="J417" s="72">
        <v>20509969</v>
      </c>
      <c r="K417" s="99">
        <f>_xlfn.XLOOKUP(_2__ROI_Daily_Update[[#This Row],[CSM id]],SHP!F:F,SHP!EE:EE,"-")</f>
        <v>0</v>
      </c>
      <c r="L417" s="12"/>
      <c r="N417" s="11"/>
      <c r="P417"/>
      <c r="Q417"/>
      <c r="W417" s="28"/>
      <c r="AA417"/>
    </row>
    <row r="418" spans="1:27" x14ac:dyDescent="0.45">
      <c r="A418" s="57">
        <v>1211</v>
      </c>
      <c r="B418" t="s">
        <v>1727</v>
      </c>
      <c r="C418" t="s">
        <v>1728</v>
      </c>
      <c r="D418" s="12">
        <v>46303</v>
      </c>
      <c r="E418" s="11">
        <v>7</v>
      </c>
      <c r="F418" s="11" t="s">
        <v>5910</v>
      </c>
      <c r="G418">
        <v>20241001</v>
      </c>
      <c r="H418" s="12">
        <v>46478</v>
      </c>
      <c r="I418" s="11" t="s">
        <v>63</v>
      </c>
      <c r="J418" s="72">
        <v>10417814</v>
      </c>
      <c r="K418" s="99">
        <f>_xlfn.XLOOKUP(_2__ROI_Daily_Update[[#This Row],[CSM id]],SHP!F:F,SHP!EE:EE,"-")</f>
        <v>0</v>
      </c>
      <c r="L418" s="12"/>
      <c r="N418" s="11"/>
      <c r="P418"/>
      <c r="Q418"/>
      <c r="W418" s="28"/>
      <c r="AA418"/>
    </row>
    <row r="419" spans="1:27" x14ac:dyDescent="0.45">
      <c r="A419" s="57">
        <v>1211</v>
      </c>
      <c r="B419" t="s">
        <v>1725</v>
      </c>
      <c r="C419" t="s">
        <v>1726</v>
      </c>
      <c r="D419" s="12">
        <v>46303</v>
      </c>
      <c r="E419" s="11">
        <v>7</v>
      </c>
      <c r="F419" s="11" t="s">
        <v>5905</v>
      </c>
      <c r="G419">
        <v>20170201</v>
      </c>
      <c r="H419" s="12">
        <v>46478</v>
      </c>
      <c r="I419" s="11" t="s">
        <v>63</v>
      </c>
      <c r="J419" s="72">
        <v>10346751</v>
      </c>
      <c r="K419" s="99">
        <f>_xlfn.XLOOKUP(_2__ROI_Daily_Update[[#This Row],[CSM id]],SHP!F:F,SHP!EE:EE,"-")</f>
        <v>0</v>
      </c>
      <c r="L419" s="12"/>
      <c r="N419" s="11"/>
      <c r="P419"/>
      <c r="Q419"/>
      <c r="W419" s="28"/>
      <c r="AA419"/>
    </row>
    <row r="420" spans="1:27" x14ac:dyDescent="0.45">
      <c r="A420" s="57">
        <v>1211</v>
      </c>
      <c r="B420" t="s">
        <v>1717</v>
      </c>
      <c r="C420" t="s">
        <v>1718</v>
      </c>
      <c r="D420" s="12">
        <v>46303</v>
      </c>
      <c r="E420" s="11">
        <v>5</v>
      </c>
      <c r="F420" s="11" t="s">
        <v>5910</v>
      </c>
      <c r="G420">
        <v>20240701</v>
      </c>
      <c r="H420" s="12">
        <v>46388</v>
      </c>
      <c r="I420" s="11" t="s">
        <v>63</v>
      </c>
      <c r="J420" s="72">
        <v>583390</v>
      </c>
      <c r="K420" s="99">
        <f>_xlfn.XLOOKUP(_2__ROI_Daily_Update[[#This Row],[CSM id]],SHP!F:F,SHP!EE:EE,"-")</f>
        <v>0</v>
      </c>
      <c r="L420" s="12"/>
      <c r="N420" s="11"/>
      <c r="P420"/>
      <c r="Q420"/>
      <c r="W420" s="28"/>
      <c r="AA420"/>
    </row>
    <row r="421" spans="1:27" x14ac:dyDescent="0.45">
      <c r="A421" s="57">
        <v>1135</v>
      </c>
      <c r="B421" t="s">
        <v>1713</v>
      </c>
      <c r="C421" t="s">
        <v>1714</v>
      </c>
      <c r="D421" s="12">
        <v>46303</v>
      </c>
      <c r="E421" s="11">
        <v>48</v>
      </c>
      <c r="F421" s="11" t="s">
        <v>5905</v>
      </c>
      <c r="G421">
        <v>20261001</v>
      </c>
      <c r="I421" s="11" t="s">
        <v>63</v>
      </c>
      <c r="J421" s="72">
        <v>50636715</v>
      </c>
      <c r="K421" s="99">
        <f>_xlfn.XLOOKUP(_2__ROI_Daily_Update[[#This Row],[CSM id]],SHP!F:F,SHP!EE:EE,"-")</f>
        <v>0</v>
      </c>
      <c r="L421" s="12"/>
      <c r="N421" s="11"/>
      <c r="P421"/>
      <c r="Q421"/>
      <c r="W421" s="28"/>
      <c r="AA421"/>
    </row>
    <row r="422" spans="1:27" x14ac:dyDescent="0.45">
      <c r="A422" s="57">
        <v>1135</v>
      </c>
      <c r="B422" t="s">
        <v>1707</v>
      </c>
      <c r="C422" t="s">
        <v>1708</v>
      </c>
      <c r="D422" s="12">
        <v>46303</v>
      </c>
      <c r="E422" s="11">
        <v>100</v>
      </c>
      <c r="F422" s="11" t="s">
        <v>5907</v>
      </c>
      <c r="G422">
        <v>20250701</v>
      </c>
      <c r="H422" s="12">
        <v>46388</v>
      </c>
      <c r="I422" s="11" t="s">
        <v>63</v>
      </c>
      <c r="J422" s="72">
        <v>10611868</v>
      </c>
      <c r="K422" s="99">
        <f>_xlfn.XLOOKUP(_2__ROI_Daily_Update[[#This Row],[CSM id]],SHP!F:F,SHP!EE:EE,"-")</f>
        <v>0</v>
      </c>
      <c r="L422" s="12"/>
      <c r="N422" s="11"/>
      <c r="P422"/>
      <c r="Q422"/>
      <c r="W422" s="28"/>
      <c r="AA422"/>
    </row>
    <row r="423" spans="1:27" x14ac:dyDescent="0.45">
      <c r="A423" s="57">
        <v>1133</v>
      </c>
      <c r="B423" t="s">
        <v>1701</v>
      </c>
      <c r="C423" t="s">
        <v>1702</v>
      </c>
      <c r="D423" s="12">
        <v>46303</v>
      </c>
      <c r="E423" s="11">
        <v>120</v>
      </c>
      <c r="F423" s="11" t="s">
        <v>5906</v>
      </c>
      <c r="G423">
        <v>20160801</v>
      </c>
      <c r="I423" s="11" t="s">
        <v>63</v>
      </c>
      <c r="J423" s="72">
        <v>70314974</v>
      </c>
      <c r="K423" s="99">
        <f>_xlfn.XLOOKUP(_2__ROI_Daily_Update[[#This Row],[CSM id]],SHP!F:F,SHP!EE:EE,"-")</f>
        <v>0</v>
      </c>
      <c r="L423" s="12"/>
      <c r="N423" s="11"/>
      <c r="P423"/>
      <c r="Q423"/>
      <c r="W423" s="28"/>
      <c r="AA423"/>
    </row>
    <row r="424" spans="1:27" x14ac:dyDescent="0.45">
      <c r="A424" s="57">
        <v>1133</v>
      </c>
      <c r="B424" t="s">
        <v>1695</v>
      </c>
      <c r="C424" t="s">
        <v>1696</v>
      </c>
      <c r="D424" s="12">
        <v>46303</v>
      </c>
      <c r="E424" s="11">
        <v>20</v>
      </c>
      <c r="F424" s="11" t="s">
        <v>5905</v>
      </c>
      <c r="G424">
        <v>20210701</v>
      </c>
      <c r="H424" s="12">
        <v>46569</v>
      </c>
      <c r="I424" s="11" t="s">
        <v>63</v>
      </c>
      <c r="J424" s="72">
        <v>40496758</v>
      </c>
      <c r="K424" s="99">
        <f>_xlfn.XLOOKUP(_2__ROI_Daily_Update[[#This Row],[CSM id]],SHP!F:F,SHP!EE:EE,"-")</f>
        <v>0</v>
      </c>
      <c r="L424" s="12"/>
      <c r="N424" s="11"/>
      <c r="P424"/>
      <c r="Q424"/>
      <c r="W424" s="28"/>
      <c r="AA424"/>
    </row>
    <row r="425" spans="1:27" x14ac:dyDescent="0.45">
      <c r="A425" s="57">
        <v>1133</v>
      </c>
      <c r="B425" t="s">
        <v>1693</v>
      </c>
      <c r="C425" t="s">
        <v>1694</v>
      </c>
      <c r="D425" s="12">
        <v>46303</v>
      </c>
      <c r="E425" s="11">
        <v>36</v>
      </c>
      <c r="F425" s="11" t="s">
        <v>5906</v>
      </c>
      <c r="G425">
        <v>20240701</v>
      </c>
      <c r="I425" s="11" t="s">
        <v>63</v>
      </c>
      <c r="J425" s="72">
        <v>20591148</v>
      </c>
      <c r="K425" s="99">
        <f>_xlfn.XLOOKUP(_2__ROI_Daily_Update[[#This Row],[CSM id]],SHP!F:F,SHP!EE:EE,"-")</f>
        <v>0</v>
      </c>
      <c r="L425" s="12"/>
      <c r="N425" s="11"/>
      <c r="P425"/>
      <c r="Q425"/>
      <c r="W425" s="28"/>
      <c r="AA425"/>
    </row>
    <row r="426" spans="1:27" x14ac:dyDescent="0.45">
      <c r="A426" s="57">
        <v>962</v>
      </c>
      <c r="B426" t="s">
        <v>747</v>
      </c>
      <c r="C426" t="s">
        <v>748</v>
      </c>
      <c r="D426" s="12">
        <v>46303</v>
      </c>
      <c r="E426" s="11">
        <v>9</v>
      </c>
      <c r="F426" s="11" t="s">
        <v>5910</v>
      </c>
      <c r="G426">
        <v>20200201</v>
      </c>
      <c r="H426" s="12">
        <v>46478</v>
      </c>
      <c r="I426" s="11" t="s">
        <v>63</v>
      </c>
      <c r="J426" s="72">
        <v>70453903</v>
      </c>
      <c r="K426" s="99">
        <f>_xlfn.XLOOKUP(_2__ROI_Daily_Update[[#This Row],[CSM id]],SHP!F:F,SHP!EE:EE,"-")</f>
        <v>0</v>
      </c>
      <c r="L426" s="12"/>
      <c r="N426" s="11"/>
      <c r="P426"/>
      <c r="Q426"/>
      <c r="W426" s="28"/>
      <c r="AA426"/>
    </row>
    <row r="427" spans="1:27" x14ac:dyDescent="0.45">
      <c r="A427" s="57">
        <v>974</v>
      </c>
      <c r="B427" t="s">
        <v>927</v>
      </c>
      <c r="C427" t="s">
        <v>928</v>
      </c>
      <c r="D427" s="12">
        <v>46303</v>
      </c>
      <c r="E427" s="11">
        <v>180</v>
      </c>
      <c r="F427" s="11" t="s">
        <v>5905</v>
      </c>
      <c r="G427">
        <v>20220701</v>
      </c>
      <c r="I427" s="11" t="s">
        <v>63</v>
      </c>
      <c r="J427" s="72">
        <v>40513885</v>
      </c>
      <c r="K427" s="99">
        <f>_xlfn.XLOOKUP(_2__ROI_Daily_Update[[#This Row],[CSM id]],SHP!F:F,SHP!EE:EE,"-")</f>
        <v>0</v>
      </c>
      <c r="L427" s="12"/>
      <c r="N427" s="11"/>
      <c r="P427"/>
      <c r="Q427"/>
      <c r="W427" s="28"/>
      <c r="AA427"/>
    </row>
    <row r="428" spans="1:27" x14ac:dyDescent="0.45">
      <c r="A428" s="57">
        <v>1833</v>
      </c>
      <c r="B428" t="s">
        <v>3638</v>
      </c>
      <c r="C428" t="s">
        <v>3639</v>
      </c>
      <c r="D428" s="12">
        <v>46303</v>
      </c>
      <c r="E428" s="11">
        <v>48</v>
      </c>
      <c r="F428" s="11" t="s">
        <v>5906</v>
      </c>
      <c r="G428">
        <v>20240101</v>
      </c>
      <c r="I428" s="11" t="s">
        <v>63</v>
      </c>
      <c r="J428" s="72">
        <v>80569856</v>
      </c>
      <c r="K428" s="99">
        <f>_xlfn.XLOOKUP(_2__ROI_Daily_Update[[#This Row],[CSM id]],SHP!F:F,SHP!EE:EE,"-")</f>
        <v>0</v>
      </c>
      <c r="L428" s="12"/>
      <c r="N428" s="11"/>
      <c r="P428"/>
      <c r="Q428"/>
      <c r="W428" s="28"/>
      <c r="AA428"/>
    </row>
    <row r="429" spans="1:27" x14ac:dyDescent="0.45">
      <c r="A429" s="57">
        <v>1122</v>
      </c>
      <c r="B429" t="s">
        <v>1603</v>
      </c>
      <c r="C429" t="s">
        <v>1604</v>
      </c>
      <c r="D429" s="12">
        <v>46303</v>
      </c>
      <c r="E429" s="11">
        <v>32</v>
      </c>
      <c r="F429" s="11" t="s">
        <v>5910</v>
      </c>
      <c r="G429">
        <v>20230101</v>
      </c>
      <c r="I429" s="11" t="s">
        <v>63</v>
      </c>
      <c r="J429" s="72">
        <v>10547151</v>
      </c>
      <c r="K429" s="99">
        <f>_xlfn.XLOOKUP(_2__ROI_Daily_Update[[#This Row],[CSM id]],SHP!F:F,SHP!EE:EE,"-")</f>
        <v>0</v>
      </c>
      <c r="L429" s="12"/>
      <c r="N429" s="11"/>
      <c r="P429"/>
      <c r="Q429"/>
      <c r="W429" s="28"/>
      <c r="AA429"/>
    </row>
    <row r="430" spans="1:27" x14ac:dyDescent="0.45">
      <c r="A430" s="57">
        <v>1112</v>
      </c>
      <c r="B430" t="s">
        <v>1541</v>
      </c>
      <c r="C430" t="s">
        <v>1542</v>
      </c>
      <c r="D430" s="12">
        <v>46303</v>
      </c>
      <c r="E430" s="11">
        <v>8</v>
      </c>
      <c r="F430" s="11" t="s">
        <v>5905</v>
      </c>
      <c r="G430">
        <v>20251001</v>
      </c>
      <c r="I430" s="11" t="s">
        <v>63</v>
      </c>
      <c r="J430" s="72">
        <v>70611276</v>
      </c>
      <c r="K430" s="99">
        <f>_xlfn.XLOOKUP(_2__ROI_Daily_Update[[#This Row],[CSM id]],SHP!F:F,SHP!EE:EE,"-")</f>
        <v>0</v>
      </c>
      <c r="L430" s="12"/>
      <c r="N430" s="11"/>
      <c r="P430"/>
      <c r="Q430"/>
      <c r="W430" s="28"/>
      <c r="AA430"/>
    </row>
    <row r="431" spans="1:27" x14ac:dyDescent="0.45">
      <c r="A431" s="57">
        <v>1821</v>
      </c>
      <c r="B431" t="s">
        <v>3508</v>
      </c>
      <c r="C431" t="s">
        <v>3509</v>
      </c>
      <c r="D431" s="12">
        <v>46303</v>
      </c>
      <c r="E431" s="11">
        <v>80</v>
      </c>
      <c r="F431" s="11" t="s">
        <v>5910</v>
      </c>
      <c r="G431">
        <v>20160801</v>
      </c>
      <c r="I431" s="11" t="s">
        <v>63</v>
      </c>
      <c r="J431" s="72">
        <v>20303727</v>
      </c>
      <c r="K431" s="99">
        <f>_xlfn.XLOOKUP(_2__ROI_Daily_Update[[#This Row],[CSM id]],SHP!F:F,SHP!EE:EE,"-")</f>
        <v>0</v>
      </c>
      <c r="L431" s="12"/>
      <c r="N431" s="11"/>
      <c r="P431"/>
      <c r="Q431"/>
      <c r="W431" s="28"/>
      <c r="AA431"/>
    </row>
    <row r="432" spans="1:27" x14ac:dyDescent="0.45">
      <c r="A432" s="57">
        <v>823</v>
      </c>
      <c r="B432" t="s">
        <v>659</v>
      </c>
      <c r="C432" t="s">
        <v>660</v>
      </c>
      <c r="D432" s="12">
        <v>46303</v>
      </c>
      <c r="E432" s="11">
        <v>40</v>
      </c>
      <c r="F432" s="11" t="s">
        <v>5909</v>
      </c>
      <c r="G432">
        <v>20180401</v>
      </c>
      <c r="I432" s="11" t="s">
        <v>32</v>
      </c>
      <c r="J432" s="72">
        <v>10404878</v>
      </c>
      <c r="K432" s="99">
        <f>_xlfn.XLOOKUP(_2__ROI_Daily_Update[[#This Row],[CSM id]],SHP!F:F,SHP!EE:EE,"-")</f>
        <v>0</v>
      </c>
      <c r="L432" s="12"/>
      <c r="N432" s="11"/>
      <c r="P432"/>
      <c r="Q432"/>
      <c r="W432" s="28"/>
      <c r="AA432"/>
    </row>
    <row r="433" spans="1:27" x14ac:dyDescent="0.45">
      <c r="A433" s="57">
        <v>1414</v>
      </c>
      <c r="B433" t="s">
        <v>2166</v>
      </c>
      <c r="C433" t="s">
        <v>2167</v>
      </c>
      <c r="D433" s="12">
        <v>46303</v>
      </c>
      <c r="E433" s="11">
        <v>112</v>
      </c>
      <c r="F433" s="11" t="s">
        <v>5409</v>
      </c>
      <c r="G433">
        <v>20141201</v>
      </c>
      <c r="I433" s="11" t="s">
        <v>63</v>
      </c>
      <c r="J433" s="72">
        <v>174463</v>
      </c>
      <c r="K433" s="99">
        <f>_xlfn.XLOOKUP(_2__ROI_Daily_Update[[#This Row],[CSM id]],SHP!F:F,SHP!EE:EE,"-")</f>
        <v>0</v>
      </c>
      <c r="L433" s="12"/>
      <c r="N433" s="11"/>
      <c r="P433"/>
      <c r="Q433"/>
      <c r="W433" s="28"/>
      <c r="AA433"/>
    </row>
    <row r="434" spans="1:27" x14ac:dyDescent="0.45">
      <c r="A434" s="57">
        <v>1413</v>
      </c>
      <c r="B434" t="s">
        <v>2164</v>
      </c>
      <c r="C434" t="s">
        <v>2165</v>
      </c>
      <c r="D434" s="12">
        <v>46303</v>
      </c>
      <c r="E434" s="11">
        <v>48</v>
      </c>
      <c r="F434" s="11" t="s">
        <v>5404</v>
      </c>
      <c r="G434">
        <v>20221001</v>
      </c>
      <c r="H434" s="12">
        <v>46478</v>
      </c>
      <c r="I434" s="11" t="s">
        <v>63</v>
      </c>
      <c r="J434" s="72">
        <v>40513866</v>
      </c>
      <c r="K434" s="99">
        <f>_xlfn.XLOOKUP(_2__ROI_Daily_Update[[#This Row],[CSM id]],SHP!F:F,SHP!EE:EE,"-")</f>
        <v>0</v>
      </c>
      <c r="L434" s="12"/>
      <c r="N434" s="11"/>
      <c r="P434"/>
      <c r="Q434"/>
      <c r="W434" s="28"/>
      <c r="AA434"/>
    </row>
    <row r="435" spans="1:27" x14ac:dyDescent="0.45">
      <c r="A435" s="57">
        <v>824</v>
      </c>
      <c r="B435" t="s">
        <v>663</v>
      </c>
      <c r="C435" t="s">
        <v>664</v>
      </c>
      <c r="D435" s="12">
        <v>46303</v>
      </c>
      <c r="E435" s="11">
        <v>20</v>
      </c>
      <c r="F435" s="11" t="s">
        <v>5909</v>
      </c>
      <c r="G435">
        <v>20250401</v>
      </c>
      <c r="I435" s="11" t="s">
        <v>18</v>
      </c>
      <c r="J435" s="72">
        <v>10592761</v>
      </c>
      <c r="K435" s="99">
        <f>_xlfn.XLOOKUP(_2__ROI_Daily_Update[[#This Row],[CSM id]],SHP!F:F,SHP!EE:EE,"-")</f>
        <v>0</v>
      </c>
      <c r="L435" s="12"/>
      <c r="N435" s="11"/>
      <c r="P435"/>
      <c r="Q435"/>
      <c r="W435" s="28"/>
      <c r="AA435"/>
    </row>
    <row r="436" spans="1:27" x14ac:dyDescent="0.45">
      <c r="A436" s="57">
        <v>1112</v>
      </c>
      <c r="B436" t="s">
        <v>1543</v>
      </c>
      <c r="C436" t="s">
        <v>1544</v>
      </c>
      <c r="D436" s="12">
        <v>46303</v>
      </c>
      <c r="E436" s="11">
        <v>15</v>
      </c>
      <c r="F436" s="11" t="s">
        <v>5910</v>
      </c>
      <c r="G436">
        <v>20260101</v>
      </c>
      <c r="H436" s="12">
        <v>46753</v>
      </c>
      <c r="I436" s="11" t="s">
        <v>63</v>
      </c>
      <c r="J436" s="72">
        <v>70622005</v>
      </c>
      <c r="K436" s="99">
        <f>_xlfn.XLOOKUP(_2__ROI_Daily_Update[[#This Row],[CSM id]],SHP!F:F,SHP!EE:EE,"-")</f>
        <v>0</v>
      </c>
      <c r="L436" s="12"/>
      <c r="N436" s="11"/>
      <c r="P436"/>
      <c r="Q436"/>
      <c r="W436" s="28"/>
      <c r="AA436"/>
    </row>
    <row r="437" spans="1:27" x14ac:dyDescent="0.45">
      <c r="A437" s="57">
        <v>1821</v>
      </c>
      <c r="B437" t="s">
        <v>3510</v>
      </c>
      <c r="C437" t="s">
        <v>3511</v>
      </c>
      <c r="D437" s="12">
        <v>46303</v>
      </c>
      <c r="E437" s="11">
        <v>42</v>
      </c>
      <c r="F437" s="11" t="s">
        <v>5907</v>
      </c>
      <c r="G437">
        <v>20180201</v>
      </c>
      <c r="I437" s="11" t="s">
        <v>63</v>
      </c>
      <c r="J437" s="72">
        <v>20321632</v>
      </c>
      <c r="K437" s="99">
        <f>_xlfn.XLOOKUP(_2__ROI_Daily_Update[[#This Row],[CSM id]],SHP!F:F,SHP!EE:EE,"-")</f>
        <v>0</v>
      </c>
      <c r="L437" s="12"/>
      <c r="N437" s="11"/>
      <c r="P437"/>
      <c r="Q437"/>
      <c r="W437" s="28"/>
      <c r="AA437"/>
    </row>
    <row r="438" spans="1:27" x14ac:dyDescent="0.45">
      <c r="A438" s="57">
        <v>1112</v>
      </c>
      <c r="B438" t="s">
        <v>1545</v>
      </c>
      <c r="C438" t="s">
        <v>1546</v>
      </c>
      <c r="D438" s="12">
        <v>46303</v>
      </c>
      <c r="E438" s="11">
        <v>21</v>
      </c>
      <c r="F438" s="11" t="s">
        <v>5905</v>
      </c>
      <c r="G438">
        <v>20260701</v>
      </c>
      <c r="I438" s="11" t="s">
        <v>63</v>
      </c>
      <c r="J438" s="72">
        <v>70632919</v>
      </c>
      <c r="K438" s="99">
        <f>_xlfn.XLOOKUP(_2__ROI_Daily_Update[[#This Row],[CSM id]],SHP!F:F,SHP!EE:EE,"-")</f>
        <v>0</v>
      </c>
      <c r="L438" s="12"/>
      <c r="N438" s="11"/>
      <c r="P438"/>
      <c r="Q438"/>
      <c r="W438" s="28"/>
      <c r="AA438"/>
    </row>
    <row r="439" spans="1:27" x14ac:dyDescent="0.45">
      <c r="A439" s="57">
        <v>1413</v>
      </c>
      <c r="B439" t="s">
        <v>2158</v>
      </c>
      <c r="C439" t="s">
        <v>2159</v>
      </c>
      <c r="D439" s="12">
        <v>46303</v>
      </c>
      <c r="E439" s="11">
        <v>135</v>
      </c>
      <c r="F439" s="11" t="s">
        <v>5409</v>
      </c>
      <c r="G439">
        <v>20141201</v>
      </c>
      <c r="I439" s="11" t="s">
        <v>63</v>
      </c>
      <c r="J439" s="72">
        <v>20174645</v>
      </c>
      <c r="K439" s="99">
        <f>_xlfn.XLOOKUP(_2__ROI_Daily_Update[[#This Row],[CSM id]],SHP!F:F,SHP!EE:EE,"-")</f>
        <v>0</v>
      </c>
      <c r="L439" s="12"/>
      <c r="N439" s="11"/>
      <c r="P439"/>
      <c r="Q439"/>
      <c r="W439" s="28"/>
      <c r="AA439"/>
    </row>
    <row r="440" spans="1:27" x14ac:dyDescent="0.45">
      <c r="A440" s="57">
        <v>1413</v>
      </c>
      <c r="B440" t="s">
        <v>2155</v>
      </c>
      <c r="C440" t="s">
        <v>2156</v>
      </c>
      <c r="D440" s="12">
        <v>46303</v>
      </c>
      <c r="E440" s="11">
        <v>30</v>
      </c>
      <c r="F440" s="11" t="s">
        <v>5404</v>
      </c>
      <c r="G440">
        <v>20221001</v>
      </c>
      <c r="H440" s="12">
        <v>46478</v>
      </c>
      <c r="I440" s="11" t="s">
        <v>63</v>
      </c>
      <c r="J440" s="72">
        <v>10513877</v>
      </c>
      <c r="K440" s="99">
        <f>_xlfn.XLOOKUP(_2__ROI_Daily_Update[[#This Row],[CSM id]],SHP!F:F,SHP!EE:EE,"-")</f>
        <v>0</v>
      </c>
      <c r="L440" s="12"/>
      <c r="N440" s="11"/>
      <c r="P440"/>
      <c r="Q440"/>
      <c r="W440" s="28"/>
      <c r="AA440"/>
    </row>
    <row r="441" spans="1:27" x14ac:dyDescent="0.45">
      <c r="A441" s="57">
        <v>1112</v>
      </c>
      <c r="B441" t="s">
        <v>1549</v>
      </c>
      <c r="C441" t="s">
        <v>1550</v>
      </c>
      <c r="D441" s="12">
        <v>46303</v>
      </c>
      <c r="E441" s="11">
        <v>70</v>
      </c>
      <c r="F441" s="11" t="s">
        <v>5905</v>
      </c>
      <c r="G441">
        <v>20170401</v>
      </c>
      <c r="I441" s="11" t="s">
        <v>63</v>
      </c>
      <c r="J441" s="72">
        <v>80337164</v>
      </c>
      <c r="K441" s="99">
        <f>_xlfn.XLOOKUP(_2__ROI_Daily_Update[[#This Row],[CSM id]],SHP!F:F,SHP!EE:EE,"-")</f>
        <v>0</v>
      </c>
      <c r="L441" s="12"/>
      <c r="N441" s="11"/>
      <c r="P441"/>
      <c r="Q441"/>
      <c r="W441" s="28"/>
      <c r="AA441"/>
    </row>
    <row r="442" spans="1:27" x14ac:dyDescent="0.45">
      <c r="A442" s="57">
        <v>1414</v>
      </c>
      <c r="B442" t="s">
        <v>2168</v>
      </c>
      <c r="C442" t="s">
        <v>2169</v>
      </c>
      <c r="D442" s="12">
        <v>46303</v>
      </c>
      <c r="E442" s="11">
        <v>338</v>
      </c>
      <c r="F442" s="11" t="s">
        <v>5409</v>
      </c>
      <c r="G442">
        <v>20210401</v>
      </c>
      <c r="I442" s="11" t="s">
        <v>63</v>
      </c>
      <c r="J442" s="72">
        <v>485549</v>
      </c>
      <c r="K442" s="99">
        <f>_xlfn.XLOOKUP(_2__ROI_Daily_Update[[#This Row],[CSM id]],SHP!F:F,SHP!EE:EE,"-")</f>
        <v>0</v>
      </c>
      <c r="L442" s="12"/>
      <c r="N442" s="11"/>
      <c r="P442"/>
      <c r="Q442"/>
      <c r="W442" s="28"/>
      <c r="AA442"/>
    </row>
    <row r="443" spans="1:27" x14ac:dyDescent="0.45">
      <c r="A443" s="57">
        <v>1836</v>
      </c>
      <c r="B443" t="s">
        <v>3644</v>
      </c>
      <c r="C443" t="s">
        <v>3645</v>
      </c>
      <c r="D443" s="12">
        <v>46303</v>
      </c>
      <c r="E443" s="11">
        <v>54</v>
      </c>
      <c r="F443" s="11" t="s">
        <v>5908</v>
      </c>
      <c r="G443">
        <v>20210401</v>
      </c>
      <c r="I443" s="11" t="s">
        <v>63</v>
      </c>
      <c r="J443" s="72">
        <v>30485227</v>
      </c>
      <c r="K443" s="99">
        <f>_xlfn.XLOOKUP(_2__ROI_Daily_Update[[#This Row],[CSM id]],SHP!F:F,SHP!EE:EE,"-")</f>
        <v>0</v>
      </c>
      <c r="L443" s="12"/>
      <c r="N443" s="11"/>
      <c r="P443"/>
      <c r="Q443"/>
      <c r="W443" s="28"/>
      <c r="AA443"/>
    </row>
    <row r="444" spans="1:27" x14ac:dyDescent="0.45">
      <c r="A444" s="57">
        <v>1412</v>
      </c>
      <c r="B444" t="s">
        <v>2148</v>
      </c>
      <c r="C444" t="s">
        <v>2149</v>
      </c>
      <c r="D444" s="12">
        <v>46303</v>
      </c>
      <c r="E444" s="11">
        <v>24</v>
      </c>
      <c r="F444" s="11" t="s">
        <v>5264</v>
      </c>
      <c r="G444">
        <v>20250401</v>
      </c>
      <c r="I444" s="11" t="s">
        <v>18</v>
      </c>
      <c r="J444" s="72">
        <v>90580716</v>
      </c>
      <c r="K444" s="99">
        <f>_xlfn.XLOOKUP(_2__ROI_Daily_Update[[#This Row],[CSM id]],SHP!F:F,SHP!EE:EE,"-")</f>
        <v>0</v>
      </c>
      <c r="L444" s="12"/>
      <c r="N444" s="11"/>
      <c r="P444"/>
      <c r="Q444"/>
      <c r="W444" s="28"/>
      <c r="AA444"/>
    </row>
    <row r="445" spans="1:27" x14ac:dyDescent="0.45">
      <c r="A445" s="57">
        <v>921</v>
      </c>
      <c r="B445" t="s">
        <v>674</v>
      </c>
      <c r="C445" t="s">
        <v>675</v>
      </c>
      <c r="D445" s="12">
        <v>46303</v>
      </c>
      <c r="E445" s="11">
        <v>32</v>
      </c>
      <c r="F445" s="11" t="s">
        <v>5906</v>
      </c>
      <c r="G445">
        <v>20220701</v>
      </c>
      <c r="I445" s="11" t="s">
        <v>63</v>
      </c>
      <c r="J445" s="72">
        <v>10518455</v>
      </c>
      <c r="K445" s="99">
        <f>_xlfn.XLOOKUP(_2__ROI_Daily_Update[[#This Row],[CSM id]],SHP!F:F,SHP!EE:EE,"-")</f>
        <v>0</v>
      </c>
      <c r="L445" s="12"/>
      <c r="N445" s="11"/>
      <c r="P445"/>
      <c r="Q445"/>
      <c r="W445" s="28"/>
      <c r="AA445"/>
    </row>
    <row r="446" spans="1:27" x14ac:dyDescent="0.45">
      <c r="A446" s="57">
        <v>1821</v>
      </c>
      <c r="B446" t="s">
        <v>3517</v>
      </c>
      <c r="C446" t="s">
        <v>3518</v>
      </c>
      <c r="D446" s="12">
        <v>46303</v>
      </c>
      <c r="E446" s="11">
        <v>156</v>
      </c>
      <c r="F446" s="11" t="s">
        <v>5905</v>
      </c>
      <c r="G446">
        <v>20180201</v>
      </c>
      <c r="I446" s="11" t="s">
        <v>63</v>
      </c>
      <c r="J446" s="72">
        <v>30321617</v>
      </c>
      <c r="K446" s="99">
        <f>_xlfn.XLOOKUP(_2__ROI_Daily_Update[[#This Row],[CSM id]],SHP!F:F,SHP!EE:EE,"-")</f>
        <v>0</v>
      </c>
      <c r="L446" s="12"/>
      <c r="N446" s="11"/>
      <c r="P446"/>
      <c r="Q446"/>
      <c r="W446" s="28"/>
      <c r="AA446"/>
    </row>
    <row r="447" spans="1:27" x14ac:dyDescent="0.45">
      <c r="A447" s="57">
        <v>921</v>
      </c>
      <c r="B447" t="s">
        <v>676</v>
      </c>
      <c r="C447" t="s">
        <v>677</v>
      </c>
      <c r="D447" s="12">
        <v>46303</v>
      </c>
      <c r="E447" s="11">
        <v>32</v>
      </c>
      <c r="F447" s="11" t="s">
        <v>5906</v>
      </c>
      <c r="G447">
        <v>20220701</v>
      </c>
      <c r="I447" s="11" t="s">
        <v>63</v>
      </c>
      <c r="J447" s="72">
        <v>10530075</v>
      </c>
      <c r="K447" s="99">
        <f>_xlfn.XLOOKUP(_2__ROI_Daily_Update[[#This Row],[CSM id]],SHP!F:F,SHP!EE:EE,"-")</f>
        <v>0</v>
      </c>
      <c r="L447" s="12"/>
      <c r="N447" s="11"/>
      <c r="P447"/>
      <c r="Q447"/>
      <c r="W447" s="28"/>
      <c r="AA447"/>
    </row>
    <row r="448" spans="1:27" x14ac:dyDescent="0.45">
      <c r="A448" s="57">
        <v>1821</v>
      </c>
      <c r="B448" t="s">
        <v>3519</v>
      </c>
      <c r="C448" t="s">
        <v>3520</v>
      </c>
      <c r="D448" s="12">
        <v>46303</v>
      </c>
      <c r="E448" s="11">
        <v>48</v>
      </c>
      <c r="F448" s="11" t="s">
        <v>5906</v>
      </c>
      <c r="G448">
        <v>20180401</v>
      </c>
      <c r="I448" s="11" t="s">
        <v>63</v>
      </c>
      <c r="J448" s="72">
        <v>30334926</v>
      </c>
      <c r="K448" s="99">
        <f>_xlfn.XLOOKUP(_2__ROI_Daily_Update[[#This Row],[CSM id]],SHP!F:F,SHP!EE:EE,"-")</f>
        <v>0</v>
      </c>
      <c r="L448" s="12"/>
      <c r="N448" s="11"/>
      <c r="P448"/>
      <c r="Q448"/>
      <c r="W448" s="28"/>
      <c r="AA448"/>
    </row>
    <row r="449" spans="1:27" x14ac:dyDescent="0.45">
      <c r="A449" s="57">
        <v>1412</v>
      </c>
      <c r="B449" t="s">
        <v>2144</v>
      </c>
      <c r="C449" t="s">
        <v>2145</v>
      </c>
      <c r="D449" s="12">
        <v>46303</v>
      </c>
      <c r="E449" s="11">
        <v>6</v>
      </c>
      <c r="F449" s="11" t="s">
        <v>5409</v>
      </c>
      <c r="G449">
        <v>20220101</v>
      </c>
      <c r="I449" s="11" t="s">
        <v>63</v>
      </c>
      <c r="J449" s="72">
        <v>80484254</v>
      </c>
      <c r="K449" s="99">
        <f>_xlfn.XLOOKUP(_2__ROI_Daily_Update[[#This Row],[CSM id]],SHP!F:F,SHP!EE:EE,"-")</f>
        <v>0</v>
      </c>
      <c r="L449" s="12"/>
      <c r="N449" s="11"/>
      <c r="P449"/>
      <c r="Q449"/>
      <c r="W449" s="28"/>
      <c r="AA449"/>
    </row>
    <row r="450" spans="1:27" x14ac:dyDescent="0.45">
      <c r="A450" s="57">
        <v>973</v>
      </c>
      <c r="B450" t="s">
        <v>909</v>
      </c>
      <c r="C450" t="s">
        <v>910</v>
      </c>
      <c r="D450" s="12">
        <v>46303</v>
      </c>
      <c r="E450" s="11">
        <v>360</v>
      </c>
      <c r="F450" s="11" t="s">
        <v>5905</v>
      </c>
      <c r="G450">
        <v>20261001</v>
      </c>
      <c r="H450" s="12">
        <v>46661</v>
      </c>
      <c r="I450" s="11" t="s">
        <v>63</v>
      </c>
      <c r="J450" s="72">
        <v>60625028</v>
      </c>
      <c r="K450" s="99">
        <f>_xlfn.XLOOKUP(_2__ROI_Daily_Update[[#This Row],[CSM id]],SHP!F:F,SHP!EE:EE,"-")</f>
        <v>0</v>
      </c>
      <c r="L450" s="12"/>
      <c r="N450" s="11"/>
      <c r="P450"/>
      <c r="Q450"/>
      <c r="W450" s="28"/>
      <c r="AA450"/>
    </row>
    <row r="451" spans="1:27" x14ac:dyDescent="0.45">
      <c r="A451" s="57">
        <v>1821</v>
      </c>
      <c r="B451" t="s">
        <v>3523</v>
      </c>
      <c r="C451" t="s">
        <v>3524</v>
      </c>
      <c r="D451" s="12">
        <v>46303</v>
      </c>
      <c r="E451" s="11">
        <v>140</v>
      </c>
      <c r="F451" s="11" t="s">
        <v>5905</v>
      </c>
      <c r="G451">
        <v>20180201</v>
      </c>
      <c r="I451" s="11" t="s">
        <v>63</v>
      </c>
      <c r="J451" s="72">
        <v>30335619</v>
      </c>
      <c r="K451" s="99">
        <f>_xlfn.XLOOKUP(_2__ROI_Daily_Update[[#This Row],[CSM id]],SHP!F:F,SHP!EE:EE,"-")</f>
        <v>0</v>
      </c>
      <c r="L451" s="12"/>
      <c r="N451" s="11"/>
      <c r="P451"/>
      <c r="Q451"/>
      <c r="W451" s="28"/>
      <c r="AA451"/>
    </row>
    <row r="452" spans="1:27" x14ac:dyDescent="0.45">
      <c r="A452" s="57">
        <v>921</v>
      </c>
      <c r="B452" t="s">
        <v>684</v>
      </c>
      <c r="C452" t="s">
        <v>685</v>
      </c>
      <c r="D452" s="12">
        <v>46303</v>
      </c>
      <c r="E452" s="11">
        <v>256</v>
      </c>
      <c r="F452" s="11" t="s">
        <v>5909</v>
      </c>
      <c r="G452">
        <v>20250101</v>
      </c>
      <c r="I452" s="11" t="s">
        <v>18</v>
      </c>
      <c r="J452" s="72">
        <v>30582073</v>
      </c>
      <c r="K452" s="99">
        <f>_xlfn.XLOOKUP(_2__ROI_Daily_Update[[#This Row],[CSM id]],SHP!F:F,SHP!EE:EE,"-")</f>
        <v>0</v>
      </c>
      <c r="L452" s="12"/>
      <c r="N452" s="11"/>
      <c r="P452"/>
      <c r="Q452"/>
      <c r="W452" s="28"/>
      <c r="AA452"/>
    </row>
    <row r="453" spans="1:27" x14ac:dyDescent="0.45">
      <c r="A453" s="57">
        <v>1112</v>
      </c>
      <c r="B453" t="s">
        <v>1555</v>
      </c>
      <c r="C453" t="s">
        <v>1556</v>
      </c>
      <c r="D453" s="12">
        <v>46303</v>
      </c>
      <c r="E453" s="11">
        <v>8</v>
      </c>
      <c r="F453" s="11" t="s">
        <v>5910</v>
      </c>
      <c r="G453">
        <v>20251001</v>
      </c>
      <c r="I453" s="11" t="s">
        <v>63</v>
      </c>
      <c r="J453" s="72">
        <v>80610945</v>
      </c>
      <c r="K453" s="99">
        <f>_xlfn.XLOOKUP(_2__ROI_Daily_Update[[#This Row],[CSM id]],SHP!F:F,SHP!EE:EE,"-")</f>
        <v>0</v>
      </c>
      <c r="L453" s="12"/>
      <c r="N453" s="11"/>
      <c r="P453"/>
      <c r="Q453"/>
      <c r="W453" s="28"/>
      <c r="AA453"/>
    </row>
    <row r="454" spans="1:27" x14ac:dyDescent="0.45">
      <c r="A454" s="57">
        <v>1412</v>
      </c>
      <c r="B454" t="s">
        <v>2132</v>
      </c>
      <c r="C454" t="s">
        <v>2133</v>
      </c>
      <c r="D454" s="12">
        <v>46303</v>
      </c>
      <c r="E454" s="11">
        <v>24</v>
      </c>
      <c r="F454" s="11" t="s">
        <v>5409</v>
      </c>
      <c r="G454">
        <v>20240401</v>
      </c>
      <c r="H454" s="12">
        <v>46569</v>
      </c>
      <c r="I454" s="11" t="s">
        <v>63</v>
      </c>
      <c r="J454" s="72">
        <v>60580096</v>
      </c>
      <c r="K454" s="99">
        <f>_xlfn.XLOOKUP(_2__ROI_Daily_Update[[#This Row],[CSM id]],SHP!F:F,SHP!EE:EE,"-")</f>
        <v>0</v>
      </c>
      <c r="L454" s="12"/>
      <c r="N454" s="11"/>
      <c r="P454"/>
      <c r="Q454"/>
      <c r="W454" s="28"/>
      <c r="AA454"/>
    </row>
    <row r="455" spans="1:27" x14ac:dyDescent="0.45">
      <c r="A455" s="57">
        <v>1836</v>
      </c>
      <c r="B455" t="s">
        <v>3642</v>
      </c>
      <c r="C455" t="s">
        <v>3643</v>
      </c>
      <c r="D455" s="12">
        <v>46303</v>
      </c>
      <c r="E455" s="11">
        <v>992</v>
      </c>
      <c r="F455" s="11" t="s">
        <v>5908</v>
      </c>
      <c r="G455">
        <v>20220401</v>
      </c>
      <c r="H455" s="12">
        <v>46388</v>
      </c>
      <c r="I455" s="11" t="s">
        <v>63</v>
      </c>
      <c r="J455" s="72">
        <v>10517677</v>
      </c>
      <c r="K455" s="99">
        <f>_xlfn.XLOOKUP(_2__ROI_Daily_Update[[#This Row],[CSM id]],SHP!F:F,SHP!EE:EE,"-")</f>
        <v>0</v>
      </c>
      <c r="L455" s="12"/>
      <c r="N455" s="11"/>
      <c r="P455"/>
      <c r="Q455"/>
      <c r="W455" s="28"/>
      <c r="AA455"/>
    </row>
    <row r="456" spans="1:27" x14ac:dyDescent="0.45">
      <c r="A456" s="57">
        <v>973</v>
      </c>
      <c r="B456" t="s">
        <v>911</v>
      </c>
      <c r="C456" t="s">
        <v>912</v>
      </c>
      <c r="D456" s="12">
        <v>46303</v>
      </c>
      <c r="E456" s="11">
        <v>228</v>
      </c>
      <c r="F456" s="11" t="s">
        <v>5908</v>
      </c>
      <c r="G456">
        <v>20140801</v>
      </c>
      <c r="I456" s="11" t="s">
        <v>63</v>
      </c>
      <c r="J456" s="72">
        <v>70193316</v>
      </c>
      <c r="K456" s="99">
        <f>_xlfn.XLOOKUP(_2__ROI_Daily_Update[[#This Row],[CSM id]],SHP!F:F,SHP!EE:EE,"-")</f>
        <v>0</v>
      </c>
      <c r="L456" s="12"/>
      <c r="N456" s="11"/>
      <c r="P456"/>
      <c r="Q456"/>
      <c r="W456" s="28"/>
      <c r="AA456"/>
    </row>
    <row r="457" spans="1:27" x14ac:dyDescent="0.45">
      <c r="A457" s="57">
        <v>1412</v>
      </c>
      <c r="B457" t="s">
        <v>2130</v>
      </c>
      <c r="C457" t="s">
        <v>2131</v>
      </c>
      <c r="D457" s="12">
        <v>46303</v>
      </c>
      <c r="E457" s="11">
        <v>925</v>
      </c>
      <c r="F457" s="11" t="s">
        <v>5264</v>
      </c>
      <c r="G457">
        <v>20250101</v>
      </c>
      <c r="I457" s="11" t="s">
        <v>18</v>
      </c>
      <c r="J457" s="72">
        <v>50587178</v>
      </c>
      <c r="K457" s="99">
        <f>_xlfn.XLOOKUP(_2__ROI_Daily_Update[[#This Row],[CSM id]],SHP!F:F,SHP!EE:EE,"-")</f>
        <v>0</v>
      </c>
      <c r="L457" s="12"/>
      <c r="N457" s="11"/>
      <c r="P457"/>
      <c r="Q457"/>
      <c r="W457" s="28"/>
      <c r="AA457"/>
    </row>
    <row r="458" spans="1:27" x14ac:dyDescent="0.45">
      <c r="A458" s="57">
        <v>1821</v>
      </c>
      <c r="B458" t="s">
        <v>3506</v>
      </c>
      <c r="C458" t="s">
        <v>3507</v>
      </c>
      <c r="D458" s="12">
        <v>46303</v>
      </c>
      <c r="E458" s="11">
        <v>60</v>
      </c>
      <c r="F458" s="11" t="s">
        <v>5906</v>
      </c>
      <c r="G458">
        <v>20220401</v>
      </c>
      <c r="I458" s="11" t="s">
        <v>63</v>
      </c>
      <c r="J458" s="72">
        <v>10519884</v>
      </c>
      <c r="K458" s="99">
        <f>_xlfn.XLOOKUP(_2__ROI_Daily_Update[[#This Row],[CSM id]],SHP!F:F,SHP!EE:EE,"-")</f>
        <v>0</v>
      </c>
      <c r="L458" s="12"/>
      <c r="N458" s="11"/>
      <c r="P458"/>
      <c r="Q458"/>
      <c r="W458" s="28"/>
      <c r="AA458"/>
    </row>
    <row r="459" spans="1:27" x14ac:dyDescent="0.45">
      <c r="A459" s="57">
        <v>973</v>
      </c>
      <c r="B459" t="s">
        <v>915</v>
      </c>
      <c r="C459" t="s">
        <v>916</v>
      </c>
      <c r="D459" s="12">
        <v>46303</v>
      </c>
      <c r="E459" s="11">
        <v>108</v>
      </c>
      <c r="F459" s="11" t="s">
        <v>5905</v>
      </c>
      <c r="G459">
        <v>20261001</v>
      </c>
      <c r="H459" s="12">
        <v>46661</v>
      </c>
      <c r="I459" s="11" t="s">
        <v>63</v>
      </c>
      <c r="J459" s="72">
        <v>70620134</v>
      </c>
      <c r="K459" s="99">
        <f>_xlfn.XLOOKUP(_2__ROI_Daily_Update[[#This Row],[CSM id]],SHP!F:F,SHP!EE:EE,"-")</f>
        <v>0</v>
      </c>
      <c r="L459" s="12"/>
      <c r="N459" s="11"/>
      <c r="P459"/>
      <c r="Q459"/>
      <c r="W459" s="28"/>
      <c r="AA459"/>
    </row>
    <row r="460" spans="1:27" x14ac:dyDescent="0.45">
      <c r="A460" s="57">
        <v>1112</v>
      </c>
      <c r="B460" t="s">
        <v>1509</v>
      </c>
      <c r="C460" t="s">
        <v>1510</v>
      </c>
      <c r="D460" s="12">
        <v>46303</v>
      </c>
      <c r="E460" s="11">
        <v>40</v>
      </c>
      <c r="F460" s="11" t="s">
        <v>5905</v>
      </c>
      <c r="G460">
        <v>20160801</v>
      </c>
      <c r="I460" s="11" t="s">
        <v>63</v>
      </c>
      <c r="J460" s="72">
        <v>50318567</v>
      </c>
      <c r="K460" s="99">
        <f>_xlfn.XLOOKUP(_2__ROI_Daily_Update[[#This Row],[CSM id]],SHP!F:F,SHP!EE:EE,"-")</f>
        <v>0</v>
      </c>
      <c r="L460" s="12"/>
      <c r="N460" s="11"/>
      <c r="P460"/>
      <c r="Q460"/>
      <c r="W460" s="28"/>
      <c r="AA460"/>
    </row>
    <row r="461" spans="1:27" x14ac:dyDescent="0.45">
      <c r="A461" s="57">
        <v>1422</v>
      </c>
      <c r="B461" t="s">
        <v>2210</v>
      </c>
      <c r="C461" t="s">
        <v>2211</v>
      </c>
      <c r="D461" s="12">
        <v>46303</v>
      </c>
      <c r="E461" s="11">
        <v>320</v>
      </c>
      <c r="F461" s="11" t="s">
        <v>5409</v>
      </c>
      <c r="G461">
        <v>20260401</v>
      </c>
      <c r="I461" s="11" t="s">
        <v>63</v>
      </c>
      <c r="J461" s="72">
        <v>618691</v>
      </c>
      <c r="K461" s="99">
        <f>_xlfn.XLOOKUP(_2__ROI_Daily_Update[[#This Row],[CSM id]],SHP!F:F,SHP!EE:EE,"-")</f>
        <v>0</v>
      </c>
      <c r="L461" s="12"/>
      <c r="N461" s="11"/>
      <c r="P461"/>
      <c r="Q461"/>
      <c r="W461" s="28"/>
      <c r="AA461"/>
    </row>
    <row r="462" spans="1:27" x14ac:dyDescent="0.45">
      <c r="A462" s="57">
        <v>1815</v>
      </c>
      <c r="B462" t="s">
        <v>3482</v>
      </c>
      <c r="C462" t="s">
        <v>3483</v>
      </c>
      <c r="D462" s="12">
        <v>46303</v>
      </c>
      <c r="E462" s="11">
        <v>400</v>
      </c>
      <c r="F462" s="11" t="s">
        <v>5906</v>
      </c>
      <c r="G462">
        <v>20260701</v>
      </c>
      <c r="I462" s="11" t="s">
        <v>63</v>
      </c>
      <c r="J462" s="72">
        <v>60644282</v>
      </c>
      <c r="K462" s="99">
        <f>_xlfn.XLOOKUP(_2__ROI_Daily_Update[[#This Row],[CSM id]],SHP!F:F,SHP!EE:EE,"-")</f>
        <v>0</v>
      </c>
      <c r="L462" s="12"/>
      <c r="N462" s="11"/>
      <c r="P462"/>
      <c r="Q462"/>
      <c r="W462" s="28"/>
      <c r="AA462"/>
    </row>
    <row r="463" spans="1:27" x14ac:dyDescent="0.45">
      <c r="A463" s="57">
        <v>1421</v>
      </c>
      <c r="B463" t="s">
        <v>2206</v>
      </c>
      <c r="C463" t="s">
        <v>2207</v>
      </c>
      <c r="D463" s="12">
        <v>46303</v>
      </c>
      <c r="E463" s="11">
        <v>36</v>
      </c>
      <c r="F463" s="11" t="s">
        <v>5409</v>
      </c>
      <c r="G463">
        <v>20230701</v>
      </c>
      <c r="I463" s="11" t="s">
        <v>63</v>
      </c>
      <c r="J463" s="72">
        <v>90555199</v>
      </c>
      <c r="K463" s="99">
        <f>_xlfn.XLOOKUP(_2__ROI_Daily_Update[[#This Row],[CSM id]],SHP!F:F,SHP!EE:EE,"-")</f>
        <v>0</v>
      </c>
      <c r="L463" s="12"/>
      <c r="N463" s="11"/>
      <c r="P463"/>
      <c r="Q463"/>
      <c r="W463" s="28"/>
      <c r="AA463"/>
    </row>
    <row r="464" spans="1:27" x14ac:dyDescent="0.45">
      <c r="A464" s="57">
        <v>1815</v>
      </c>
      <c r="B464" t="s">
        <v>3484</v>
      </c>
      <c r="C464" t="s">
        <v>3485</v>
      </c>
      <c r="D464" s="12">
        <v>46303</v>
      </c>
      <c r="E464" s="11">
        <v>60</v>
      </c>
      <c r="F464" s="11" t="s">
        <v>5905</v>
      </c>
      <c r="G464">
        <v>20140801</v>
      </c>
      <c r="I464" s="11" t="s">
        <v>63</v>
      </c>
      <c r="J464" s="72">
        <v>70180875</v>
      </c>
      <c r="K464" s="99">
        <f>_xlfn.XLOOKUP(_2__ROI_Daily_Update[[#This Row],[CSM id]],SHP!F:F,SHP!EE:EE,"-")</f>
        <v>0</v>
      </c>
      <c r="L464" s="12"/>
      <c r="N464" s="11"/>
      <c r="P464"/>
      <c r="Q464"/>
      <c r="W464" s="28"/>
      <c r="AA464"/>
    </row>
    <row r="465" spans="1:27" x14ac:dyDescent="0.45">
      <c r="A465" s="57">
        <v>1112</v>
      </c>
      <c r="B465" t="s">
        <v>1511</v>
      </c>
      <c r="C465" t="s">
        <v>1512</v>
      </c>
      <c r="D465" s="12">
        <v>46303</v>
      </c>
      <c r="E465" s="11">
        <v>12</v>
      </c>
      <c r="F465" s="11" t="s">
        <v>5910</v>
      </c>
      <c r="G465">
        <v>20160801</v>
      </c>
      <c r="I465" s="11" t="s">
        <v>63</v>
      </c>
      <c r="J465" s="72">
        <v>50318671</v>
      </c>
      <c r="K465" s="99">
        <f>_xlfn.XLOOKUP(_2__ROI_Daily_Update[[#This Row],[CSM id]],SHP!F:F,SHP!EE:EE,"-")</f>
        <v>0</v>
      </c>
      <c r="L465" s="12"/>
      <c r="N465" s="11"/>
      <c r="P465"/>
      <c r="Q465"/>
      <c r="W465" s="28"/>
      <c r="AA465"/>
    </row>
    <row r="466" spans="1:27" x14ac:dyDescent="0.45">
      <c r="A466" s="57">
        <v>1421</v>
      </c>
      <c r="B466" t="s">
        <v>2202</v>
      </c>
      <c r="C466" t="s">
        <v>2203</v>
      </c>
      <c r="D466" s="12">
        <v>46303</v>
      </c>
      <c r="E466" s="11">
        <v>120</v>
      </c>
      <c r="F466" s="11" t="s">
        <v>5409</v>
      </c>
      <c r="G466">
        <v>20250701</v>
      </c>
      <c r="I466" s="11" t="s">
        <v>63</v>
      </c>
      <c r="J466" s="72">
        <v>50599666</v>
      </c>
      <c r="K466" s="99">
        <f>_xlfn.XLOOKUP(_2__ROI_Daily_Update[[#This Row],[CSM id]],SHP!F:F,SHP!EE:EE,"-")</f>
        <v>0</v>
      </c>
      <c r="L466" s="12"/>
      <c r="N466" s="11"/>
      <c r="P466"/>
      <c r="Q466"/>
      <c r="W466" s="28"/>
      <c r="AA466"/>
    </row>
    <row r="467" spans="1:27" x14ac:dyDescent="0.45">
      <c r="A467" s="57">
        <v>1112</v>
      </c>
      <c r="B467" t="s">
        <v>1511</v>
      </c>
      <c r="C467" t="s">
        <v>1512</v>
      </c>
      <c r="D467" s="12">
        <v>46303</v>
      </c>
      <c r="E467" s="11">
        <v>12</v>
      </c>
      <c r="F467" s="11" t="s">
        <v>5906</v>
      </c>
      <c r="G467">
        <v>20160801</v>
      </c>
      <c r="I467" s="11" t="s">
        <v>63</v>
      </c>
      <c r="J467" s="72">
        <v>50318671</v>
      </c>
      <c r="K467" s="99">
        <f>_xlfn.XLOOKUP(_2__ROI_Daily_Update[[#This Row],[CSM id]],SHP!F:F,SHP!EE:EE,"-")</f>
        <v>0</v>
      </c>
      <c r="L467" s="12"/>
      <c r="N467" s="11"/>
      <c r="P467"/>
      <c r="Q467"/>
      <c r="W467" s="28"/>
      <c r="AA467"/>
    </row>
    <row r="468" spans="1:27" x14ac:dyDescent="0.45">
      <c r="A468" s="57">
        <v>1815</v>
      </c>
      <c r="B468" t="s">
        <v>3496</v>
      </c>
      <c r="C468" t="s">
        <v>3497</v>
      </c>
      <c r="D468" s="12">
        <v>46303</v>
      </c>
      <c r="E468" s="11">
        <v>180</v>
      </c>
      <c r="F468" s="11" t="s">
        <v>5909</v>
      </c>
      <c r="G468">
        <v>20260701</v>
      </c>
      <c r="I468" s="11" t="s">
        <v>18</v>
      </c>
      <c r="J468" s="72">
        <v>90644285</v>
      </c>
      <c r="K468" s="99">
        <f>_xlfn.XLOOKUP(_2__ROI_Daily_Update[[#This Row],[CSM id]],SHP!F:F,SHP!EE:EE,"-")</f>
        <v>0</v>
      </c>
      <c r="L468" s="12"/>
      <c r="N468" s="11"/>
      <c r="P468"/>
      <c r="Q468"/>
      <c r="W468" s="28"/>
      <c r="AA468"/>
    </row>
    <row r="469" spans="1:27" x14ac:dyDescent="0.45">
      <c r="A469" s="57">
        <v>973</v>
      </c>
      <c r="B469" t="s">
        <v>923</v>
      </c>
      <c r="C469" t="s">
        <v>924</v>
      </c>
      <c r="D469" s="12">
        <v>46303</v>
      </c>
      <c r="E469" s="11">
        <v>8</v>
      </c>
      <c r="F469" s="11" t="s">
        <v>5910</v>
      </c>
      <c r="G469">
        <v>20230701</v>
      </c>
      <c r="H469" s="12">
        <v>46478</v>
      </c>
      <c r="I469" s="11" t="s">
        <v>63</v>
      </c>
      <c r="J469" s="72">
        <v>90544238</v>
      </c>
      <c r="K469" s="99">
        <f>_xlfn.XLOOKUP(_2__ROI_Daily_Update[[#This Row],[CSM id]],SHP!F:F,SHP!EE:EE,"-")</f>
        <v>0</v>
      </c>
      <c r="L469" s="12"/>
      <c r="N469" s="11"/>
      <c r="P469"/>
      <c r="Q469"/>
      <c r="W469" s="28"/>
      <c r="AA469"/>
    </row>
    <row r="470" spans="1:27" x14ac:dyDescent="0.45">
      <c r="A470" s="57">
        <v>821</v>
      </c>
      <c r="B470" t="s">
        <v>641</v>
      </c>
      <c r="C470" t="s">
        <v>642</v>
      </c>
      <c r="D470" s="12">
        <v>46303</v>
      </c>
      <c r="E470" s="11">
        <v>24</v>
      </c>
      <c r="F470" s="11" t="s">
        <v>5906</v>
      </c>
      <c r="G470">
        <v>20260101</v>
      </c>
      <c r="I470" s="11" t="s">
        <v>63</v>
      </c>
      <c r="J470" s="72">
        <v>70611672</v>
      </c>
      <c r="K470" s="99">
        <f>_xlfn.XLOOKUP(_2__ROI_Daily_Update[[#This Row],[CSM id]],SHP!F:F,SHP!EE:EE,"-")</f>
        <v>0</v>
      </c>
      <c r="L470" s="12"/>
      <c r="N470" s="11"/>
      <c r="P470"/>
      <c r="Q470"/>
      <c r="W470" s="28"/>
      <c r="AA470"/>
    </row>
    <row r="471" spans="1:27" x14ac:dyDescent="0.45">
      <c r="A471" s="57">
        <v>1112</v>
      </c>
      <c r="B471" t="s">
        <v>1517</v>
      </c>
      <c r="C471" t="s">
        <v>1518</v>
      </c>
      <c r="D471" s="12">
        <v>46303</v>
      </c>
      <c r="E471" s="11">
        <v>3</v>
      </c>
      <c r="F471" s="11" t="s">
        <v>5905</v>
      </c>
      <c r="G471">
        <v>20250701</v>
      </c>
      <c r="H471" s="12">
        <v>46569</v>
      </c>
      <c r="I471" s="11" t="s">
        <v>63</v>
      </c>
      <c r="J471" s="72">
        <v>60600589</v>
      </c>
      <c r="K471" s="99">
        <f>_xlfn.XLOOKUP(_2__ROI_Daily_Update[[#This Row],[CSM id]],SHP!F:F,SHP!EE:EE,"-")</f>
        <v>0</v>
      </c>
      <c r="L471" s="12"/>
      <c r="N471" s="11"/>
      <c r="P471"/>
      <c r="Q471"/>
      <c r="W471" s="28"/>
      <c r="AA471"/>
    </row>
    <row r="472" spans="1:27" x14ac:dyDescent="0.45">
      <c r="A472" s="57">
        <v>1112</v>
      </c>
      <c r="B472" t="s">
        <v>1535</v>
      </c>
      <c r="C472" t="s">
        <v>1536</v>
      </c>
      <c r="D472" s="12">
        <v>46303</v>
      </c>
      <c r="E472" s="11">
        <v>9</v>
      </c>
      <c r="F472" s="11" t="s">
        <v>5905</v>
      </c>
      <c r="G472">
        <v>20241001</v>
      </c>
      <c r="I472" s="11" t="s">
        <v>63</v>
      </c>
      <c r="J472" s="72">
        <v>70591971</v>
      </c>
      <c r="K472" s="99">
        <f>_xlfn.XLOOKUP(_2__ROI_Daily_Update[[#This Row],[CSM id]],SHP!F:F,SHP!EE:EE,"-")</f>
        <v>0</v>
      </c>
      <c r="L472" s="12"/>
      <c r="N472" s="11"/>
      <c r="P472"/>
      <c r="Q472"/>
      <c r="W472" s="28"/>
      <c r="AA472"/>
    </row>
    <row r="473" spans="1:27" x14ac:dyDescent="0.45">
      <c r="A473" s="57">
        <v>1421</v>
      </c>
      <c r="B473" t="s">
        <v>2196</v>
      </c>
      <c r="C473" t="s">
        <v>2197</v>
      </c>
      <c r="D473" s="12">
        <v>46303</v>
      </c>
      <c r="E473" s="11">
        <v>222</v>
      </c>
      <c r="F473" s="11" t="s">
        <v>5907</v>
      </c>
      <c r="G473">
        <v>20251001</v>
      </c>
      <c r="I473" s="11" t="s">
        <v>63</v>
      </c>
      <c r="J473" s="72">
        <v>609677</v>
      </c>
      <c r="K473" s="99">
        <f>_xlfn.XLOOKUP(_2__ROI_Daily_Update[[#This Row],[CSM id]],SHP!F:F,SHP!EE:EE,"-")</f>
        <v>0</v>
      </c>
      <c r="L473" s="12"/>
      <c r="N473" s="11"/>
      <c r="P473"/>
      <c r="Q473"/>
      <c r="W473" s="28"/>
      <c r="AA473"/>
    </row>
    <row r="474" spans="1:27" x14ac:dyDescent="0.45">
      <c r="A474" s="57">
        <v>973</v>
      </c>
      <c r="B474" t="s">
        <v>919</v>
      </c>
      <c r="C474" t="s">
        <v>920</v>
      </c>
      <c r="D474" s="12">
        <v>46303</v>
      </c>
      <c r="E474" s="11">
        <v>108</v>
      </c>
      <c r="F474" s="11" t="s">
        <v>5905</v>
      </c>
      <c r="G474">
        <v>20140801</v>
      </c>
      <c r="I474" s="11" t="s">
        <v>63</v>
      </c>
      <c r="J474" s="72">
        <v>90193320</v>
      </c>
      <c r="K474" s="99">
        <f>_xlfn.XLOOKUP(_2__ROI_Daily_Update[[#This Row],[CSM id]],SHP!F:F,SHP!EE:EE,"-")</f>
        <v>0</v>
      </c>
      <c r="L474" s="12"/>
      <c r="N474" s="11"/>
      <c r="P474"/>
      <c r="Q474"/>
      <c r="W474" s="28"/>
      <c r="AA474"/>
    </row>
    <row r="475" spans="1:27" x14ac:dyDescent="0.45">
      <c r="A475" s="57">
        <v>1414</v>
      </c>
      <c r="B475" t="s">
        <v>2188</v>
      </c>
      <c r="C475" t="s">
        <v>2189</v>
      </c>
      <c r="D475" s="12">
        <v>46303</v>
      </c>
      <c r="E475" s="11">
        <v>108</v>
      </c>
      <c r="F475" s="11" t="s">
        <v>5409</v>
      </c>
      <c r="G475">
        <v>20210201</v>
      </c>
      <c r="I475" s="11" t="s">
        <v>63</v>
      </c>
      <c r="J475" s="72">
        <v>90485272</v>
      </c>
      <c r="K475" s="99">
        <f>_xlfn.XLOOKUP(_2__ROI_Daily_Update[[#This Row],[CSM id]],SHP!F:F,SHP!EE:EE,"-")</f>
        <v>0</v>
      </c>
      <c r="L475" s="12"/>
      <c r="N475" s="11"/>
      <c r="P475"/>
      <c r="Q475"/>
      <c r="W475" s="28"/>
      <c r="AA475"/>
    </row>
    <row r="476" spans="1:27" x14ac:dyDescent="0.45">
      <c r="A476" s="57">
        <v>1414</v>
      </c>
      <c r="B476" t="s">
        <v>2186</v>
      </c>
      <c r="C476" t="s">
        <v>2187</v>
      </c>
      <c r="D476" s="12">
        <v>46303</v>
      </c>
      <c r="E476" s="11">
        <v>14</v>
      </c>
      <c r="F476" s="11" t="s">
        <v>5409</v>
      </c>
      <c r="G476">
        <v>20201001</v>
      </c>
      <c r="H476" s="12">
        <v>46388</v>
      </c>
      <c r="I476" s="11" t="s">
        <v>63</v>
      </c>
      <c r="J476" s="72">
        <v>70480162</v>
      </c>
      <c r="K476" s="99">
        <f>_xlfn.XLOOKUP(_2__ROI_Daily_Update[[#This Row],[CSM id]],SHP!F:F,SHP!EE:EE,"-")</f>
        <v>0</v>
      </c>
      <c r="L476" s="12"/>
      <c r="N476" s="11"/>
      <c r="P476"/>
      <c r="Q476"/>
      <c r="W476" s="28"/>
      <c r="AA476"/>
    </row>
    <row r="477" spans="1:27" x14ac:dyDescent="0.45">
      <c r="A477" s="57">
        <v>1112</v>
      </c>
      <c r="B477" t="s">
        <v>1521</v>
      </c>
      <c r="C477" t="s">
        <v>1522</v>
      </c>
      <c r="D477" s="12">
        <v>46303</v>
      </c>
      <c r="E477" s="11">
        <v>36</v>
      </c>
      <c r="F477" s="11" t="s">
        <v>5910</v>
      </c>
      <c r="G477">
        <v>20260701</v>
      </c>
      <c r="I477" s="11" t="s">
        <v>63</v>
      </c>
      <c r="J477" s="72">
        <v>60632458</v>
      </c>
      <c r="K477" s="99">
        <f>_xlfn.XLOOKUP(_2__ROI_Daily_Update[[#This Row],[CSM id]],SHP!F:F,SHP!EE:EE,"-")</f>
        <v>0</v>
      </c>
      <c r="L477" s="12"/>
      <c r="N477" s="11"/>
      <c r="P477"/>
      <c r="Q477"/>
      <c r="W477" s="28"/>
      <c r="AA477"/>
    </row>
    <row r="478" spans="1:27" x14ac:dyDescent="0.45">
      <c r="A478" s="57">
        <v>1112</v>
      </c>
      <c r="B478" t="s">
        <v>1523</v>
      </c>
      <c r="C478" t="s">
        <v>1524</v>
      </c>
      <c r="D478" s="12">
        <v>46303</v>
      </c>
      <c r="E478" s="11">
        <v>3</v>
      </c>
      <c r="F478" s="11" t="s">
        <v>5905</v>
      </c>
      <c r="G478">
        <v>20260701</v>
      </c>
      <c r="I478" s="11" t="s">
        <v>63</v>
      </c>
      <c r="J478" s="72">
        <v>60632665</v>
      </c>
      <c r="K478" s="99">
        <f>_xlfn.XLOOKUP(_2__ROI_Daily_Update[[#This Row],[CSM id]],SHP!F:F,SHP!EE:EE,"-")</f>
        <v>0</v>
      </c>
      <c r="L478" s="12"/>
      <c r="N478" s="11"/>
      <c r="P478"/>
      <c r="Q478"/>
      <c r="W478" s="28"/>
      <c r="AA478"/>
    </row>
    <row r="479" spans="1:27" x14ac:dyDescent="0.45">
      <c r="A479" s="57">
        <v>1821</v>
      </c>
      <c r="B479" t="s">
        <v>3500</v>
      </c>
      <c r="C479" t="s">
        <v>3501</v>
      </c>
      <c r="D479" s="12">
        <v>46303</v>
      </c>
      <c r="E479" s="11">
        <v>240</v>
      </c>
      <c r="F479" s="11" t="s">
        <v>5910</v>
      </c>
      <c r="G479">
        <v>20180201</v>
      </c>
      <c r="I479" s="11" t="s">
        <v>63</v>
      </c>
      <c r="J479" s="72">
        <v>10320794</v>
      </c>
      <c r="K479" s="99">
        <f>_xlfn.XLOOKUP(_2__ROI_Daily_Update[[#This Row],[CSM id]],SHP!F:F,SHP!EE:EE,"-")</f>
        <v>0</v>
      </c>
      <c r="L479" s="12"/>
      <c r="N479" s="11"/>
      <c r="P479"/>
      <c r="Q479"/>
      <c r="W479" s="28"/>
      <c r="AA479"/>
    </row>
    <row r="480" spans="1:27" x14ac:dyDescent="0.45">
      <c r="A480" s="57">
        <v>1112</v>
      </c>
      <c r="B480" t="s">
        <v>1525</v>
      </c>
      <c r="C480" t="s">
        <v>1526</v>
      </c>
      <c r="D480" s="12">
        <v>46303</v>
      </c>
      <c r="E480" s="11">
        <v>21</v>
      </c>
      <c r="F480" s="11" t="s">
        <v>5906</v>
      </c>
      <c r="G480">
        <v>20260701</v>
      </c>
      <c r="I480" s="11" t="s">
        <v>63</v>
      </c>
      <c r="J480" s="72">
        <v>60632873</v>
      </c>
      <c r="K480" s="99">
        <f>_xlfn.XLOOKUP(_2__ROI_Daily_Update[[#This Row],[CSM id]],SHP!F:F,SHP!EE:EE,"-")</f>
        <v>0</v>
      </c>
      <c r="L480" s="12"/>
      <c r="N480" s="11"/>
      <c r="P480"/>
      <c r="Q480"/>
      <c r="W480" s="28"/>
      <c r="AA480"/>
    </row>
    <row r="481" spans="1:27" x14ac:dyDescent="0.45">
      <c r="A481" s="57">
        <v>1414</v>
      </c>
      <c r="B481" t="s">
        <v>2182</v>
      </c>
      <c r="C481" t="s">
        <v>2183</v>
      </c>
      <c r="D481" s="12">
        <v>46303</v>
      </c>
      <c r="E481" s="11">
        <v>18</v>
      </c>
      <c r="F481" s="11" t="s">
        <v>5409</v>
      </c>
      <c r="G481">
        <v>20160401</v>
      </c>
      <c r="I481" s="11" t="s">
        <v>63</v>
      </c>
      <c r="J481" s="72">
        <v>50289249</v>
      </c>
      <c r="K481" s="99">
        <f>_xlfn.XLOOKUP(_2__ROI_Daily_Update[[#This Row],[CSM id]],SHP!F:F,SHP!EE:EE,"-")</f>
        <v>0</v>
      </c>
      <c r="L481" s="12"/>
      <c r="N481" s="11"/>
      <c r="P481"/>
      <c r="Q481"/>
      <c r="W481" s="28"/>
      <c r="AA481"/>
    </row>
    <row r="482" spans="1:27" x14ac:dyDescent="0.45">
      <c r="A482" s="57">
        <v>1431</v>
      </c>
      <c r="B482" t="s">
        <v>2434</v>
      </c>
      <c r="C482" t="s">
        <v>2435</v>
      </c>
      <c r="D482" s="12">
        <v>46303</v>
      </c>
      <c r="E482" s="11">
        <v>12</v>
      </c>
      <c r="F482" s="11" t="s">
        <v>5409</v>
      </c>
      <c r="G482">
        <v>20260401</v>
      </c>
      <c r="I482" s="11" t="s">
        <v>63</v>
      </c>
      <c r="J482" s="72">
        <v>80623735</v>
      </c>
      <c r="K482" s="99">
        <f>_xlfn.XLOOKUP(_2__ROI_Daily_Update[[#This Row],[CSM id]],SHP!F:F,SHP!EE:EE,"-")</f>
        <v>0</v>
      </c>
      <c r="L482" s="12"/>
      <c r="N482" s="11"/>
      <c r="P482"/>
      <c r="Q482"/>
      <c r="W482" s="28"/>
      <c r="AA482"/>
    </row>
    <row r="483" spans="1:27" x14ac:dyDescent="0.45">
      <c r="A483" s="57">
        <v>821</v>
      </c>
      <c r="B483" t="s">
        <v>653</v>
      </c>
      <c r="C483" t="s">
        <v>654</v>
      </c>
      <c r="D483" s="12">
        <v>46303</v>
      </c>
      <c r="E483" s="11">
        <v>40</v>
      </c>
      <c r="F483" s="11" t="s">
        <v>5910</v>
      </c>
      <c r="G483">
        <v>20260101</v>
      </c>
      <c r="I483" s="11" t="s">
        <v>63</v>
      </c>
      <c r="J483" s="72">
        <v>90611794</v>
      </c>
      <c r="K483" s="99">
        <f>_xlfn.XLOOKUP(_2__ROI_Daily_Update[[#This Row],[CSM id]],SHP!F:F,SHP!EE:EE,"-")</f>
        <v>0</v>
      </c>
      <c r="L483" s="12"/>
      <c r="N483" s="11"/>
      <c r="P483"/>
      <c r="Q483"/>
      <c r="W483" s="28"/>
      <c r="AA483"/>
    </row>
    <row r="484" spans="1:27" x14ac:dyDescent="0.45">
      <c r="A484" s="57">
        <v>1821</v>
      </c>
      <c r="B484" t="s">
        <v>3502</v>
      </c>
      <c r="C484" t="s">
        <v>3503</v>
      </c>
      <c r="D484" s="12">
        <v>46303</v>
      </c>
      <c r="E484" s="11">
        <v>20</v>
      </c>
      <c r="F484" s="11" t="s">
        <v>5911</v>
      </c>
      <c r="G484">
        <v>20200201</v>
      </c>
      <c r="I484" s="11" t="s">
        <v>63</v>
      </c>
      <c r="J484" s="72">
        <v>10440367</v>
      </c>
      <c r="K484" s="99">
        <f>_xlfn.XLOOKUP(_2__ROI_Daily_Update[[#This Row],[CSM id]],SHP!F:F,SHP!EE:EE,"-")</f>
        <v>0</v>
      </c>
      <c r="L484" s="12"/>
      <c r="N484" s="11"/>
      <c r="P484"/>
      <c r="Q484"/>
      <c r="W484" s="28"/>
      <c r="AA484"/>
    </row>
    <row r="485" spans="1:27" x14ac:dyDescent="0.45">
      <c r="A485" s="57">
        <v>1112</v>
      </c>
      <c r="B485" t="s">
        <v>1533</v>
      </c>
      <c r="C485" t="s">
        <v>1534</v>
      </c>
      <c r="D485" s="12">
        <v>46303</v>
      </c>
      <c r="E485" s="11">
        <v>12</v>
      </c>
      <c r="F485" s="11" t="s">
        <v>5910</v>
      </c>
      <c r="G485">
        <v>20240701</v>
      </c>
      <c r="I485" s="11" t="s">
        <v>63</v>
      </c>
      <c r="J485" s="72">
        <v>70579101</v>
      </c>
      <c r="K485" s="99">
        <f>_xlfn.XLOOKUP(_2__ROI_Daily_Update[[#This Row],[CSM id]],SHP!F:F,SHP!EE:EE,"-")</f>
        <v>0</v>
      </c>
      <c r="L485" s="12"/>
      <c r="N485" s="11"/>
      <c r="P485"/>
      <c r="Q485"/>
      <c r="W485" s="28"/>
      <c r="AA485"/>
    </row>
    <row r="486" spans="1:27" x14ac:dyDescent="0.45">
      <c r="A486" s="57">
        <v>1415</v>
      </c>
      <c r="B486" t="s">
        <v>2192</v>
      </c>
      <c r="C486" t="s">
        <v>2193</v>
      </c>
      <c r="D486" s="12">
        <v>46303</v>
      </c>
      <c r="E486" s="11">
        <v>1260</v>
      </c>
      <c r="F486" s="11" t="s">
        <v>5908</v>
      </c>
      <c r="G486">
        <v>20201001</v>
      </c>
      <c r="I486" s="11" t="s">
        <v>63</v>
      </c>
      <c r="J486" s="72">
        <v>80476348</v>
      </c>
      <c r="K486" s="99">
        <f>_xlfn.XLOOKUP(_2__ROI_Daily_Update[[#This Row],[CSM id]],SHP!F:F,SHP!EE:EE,"-")</f>
        <v>0</v>
      </c>
      <c r="L486" s="12"/>
      <c r="N486" s="11"/>
      <c r="P486"/>
      <c r="Q486"/>
      <c r="W486" s="28"/>
      <c r="AA486"/>
    </row>
    <row r="487" spans="1:27" x14ac:dyDescent="0.45">
      <c r="A487" s="57">
        <v>1112</v>
      </c>
      <c r="B487" t="s">
        <v>1557</v>
      </c>
      <c r="C487" t="s">
        <v>1558</v>
      </c>
      <c r="D487" s="12">
        <v>46303</v>
      </c>
      <c r="E487" s="11">
        <v>3</v>
      </c>
      <c r="F487" s="11" t="s">
        <v>5906</v>
      </c>
      <c r="G487">
        <v>20260701</v>
      </c>
      <c r="I487" s="11" t="s">
        <v>63</v>
      </c>
      <c r="J487" s="72">
        <v>80632481</v>
      </c>
      <c r="K487" s="99">
        <f>_xlfn.XLOOKUP(_2__ROI_Daily_Update[[#This Row],[CSM id]],SHP!F:F,SHP!EE:EE,"-")</f>
        <v>0</v>
      </c>
      <c r="L487" s="12"/>
      <c r="N487" s="11"/>
      <c r="P487"/>
      <c r="Q487"/>
      <c r="W487" s="28"/>
      <c r="AA487"/>
    </row>
    <row r="488" spans="1:27" x14ac:dyDescent="0.45">
      <c r="A488" s="57">
        <v>1412</v>
      </c>
      <c r="B488" t="s">
        <v>2124</v>
      </c>
      <c r="C488" t="s">
        <v>2125</v>
      </c>
      <c r="D488" s="12">
        <v>46303</v>
      </c>
      <c r="E488" s="11">
        <v>30</v>
      </c>
      <c r="F488" s="11" t="s">
        <v>5264</v>
      </c>
      <c r="G488">
        <v>20250401</v>
      </c>
      <c r="H488" s="12">
        <v>46388</v>
      </c>
      <c r="I488" s="11" t="s">
        <v>18</v>
      </c>
      <c r="J488" s="72">
        <v>30545226</v>
      </c>
      <c r="K488" s="99">
        <f>_xlfn.XLOOKUP(_2__ROI_Daily_Update[[#This Row],[CSM id]],SHP!F:F,SHP!EE:EE,"-")</f>
        <v>0</v>
      </c>
      <c r="L488" s="12"/>
      <c r="N488" s="11"/>
      <c r="P488"/>
      <c r="Q488"/>
      <c r="W488" s="28"/>
      <c r="AA488"/>
    </row>
    <row r="489" spans="1:27" x14ac:dyDescent="0.45">
      <c r="A489" s="57">
        <v>1112</v>
      </c>
      <c r="B489" t="s">
        <v>1561</v>
      </c>
      <c r="C489" t="s">
        <v>1562</v>
      </c>
      <c r="D489" s="12">
        <v>46303</v>
      </c>
      <c r="E489" s="11">
        <v>30</v>
      </c>
      <c r="F489" s="11" t="s">
        <v>5907</v>
      </c>
      <c r="G489">
        <v>20250701</v>
      </c>
      <c r="I489" s="11" t="s">
        <v>63</v>
      </c>
      <c r="J489" s="72">
        <v>90600516</v>
      </c>
      <c r="K489" s="99">
        <f>_xlfn.XLOOKUP(_2__ROI_Daily_Update[[#This Row],[CSM id]],SHP!F:F,SHP!EE:EE,"-")</f>
        <v>0</v>
      </c>
      <c r="L489" s="12"/>
      <c r="N489" s="11"/>
      <c r="P489"/>
      <c r="Q489"/>
      <c r="W489" s="28"/>
      <c r="AA489"/>
    </row>
    <row r="490" spans="1:27" x14ac:dyDescent="0.45">
      <c r="A490" s="57">
        <v>1314</v>
      </c>
      <c r="B490" t="s">
        <v>2056</v>
      </c>
      <c r="C490" t="s">
        <v>2057</v>
      </c>
      <c r="D490" s="12">
        <v>46303</v>
      </c>
      <c r="E490" s="11">
        <v>108</v>
      </c>
      <c r="F490" s="11" t="s">
        <v>5906</v>
      </c>
      <c r="G490">
        <v>20250701</v>
      </c>
      <c r="H490" s="12">
        <v>46569</v>
      </c>
      <c r="I490" s="11" t="s">
        <v>63</v>
      </c>
      <c r="J490" s="72">
        <v>20610788</v>
      </c>
      <c r="K490" s="99">
        <f>_xlfn.XLOOKUP(_2__ROI_Daily_Update[[#This Row],[CSM id]],SHP!F:F,SHP!EE:EE,"-")</f>
        <v>0</v>
      </c>
      <c r="L490" s="12"/>
      <c r="N490" s="11"/>
      <c r="P490"/>
      <c r="Q490"/>
      <c r="W490" s="28"/>
      <c r="AA490"/>
    </row>
    <row r="491" spans="1:27" x14ac:dyDescent="0.45">
      <c r="A491" s="57">
        <v>1121</v>
      </c>
      <c r="B491" t="s">
        <v>1591</v>
      </c>
      <c r="C491" t="s">
        <v>1592</v>
      </c>
      <c r="D491" s="12">
        <v>46303</v>
      </c>
      <c r="E491" s="11">
        <v>48</v>
      </c>
      <c r="F491" s="11" t="s">
        <v>5905</v>
      </c>
      <c r="G491">
        <v>20200201</v>
      </c>
      <c r="I491" s="11" t="s">
        <v>63</v>
      </c>
      <c r="J491" s="72">
        <v>70457449</v>
      </c>
      <c r="K491" s="99">
        <f>_xlfn.XLOOKUP(_2__ROI_Daily_Update[[#This Row],[CSM id]],SHP!F:F,SHP!EE:EE,"-")</f>
        <v>0</v>
      </c>
      <c r="L491" s="12"/>
      <c r="N491" s="11"/>
      <c r="P491"/>
      <c r="Q491"/>
      <c r="W491" s="28"/>
      <c r="AA491"/>
    </row>
    <row r="492" spans="1:27" x14ac:dyDescent="0.45">
      <c r="A492" s="57">
        <v>1121</v>
      </c>
      <c r="B492" t="s">
        <v>1593</v>
      </c>
      <c r="C492" t="s">
        <v>1594</v>
      </c>
      <c r="D492" s="12">
        <v>46303</v>
      </c>
      <c r="E492" s="11">
        <v>24</v>
      </c>
      <c r="F492" s="11" t="s">
        <v>5910</v>
      </c>
      <c r="G492">
        <v>20200401</v>
      </c>
      <c r="I492" s="11" t="s">
        <v>63</v>
      </c>
      <c r="J492" s="72">
        <v>80459283</v>
      </c>
      <c r="K492" s="99">
        <f>_xlfn.XLOOKUP(_2__ROI_Daily_Update[[#This Row],[CSM id]],SHP!F:F,SHP!EE:EE,"-")</f>
        <v>0</v>
      </c>
      <c r="L492" s="12"/>
      <c r="N492" s="11"/>
      <c r="P492"/>
      <c r="Q492"/>
      <c r="W492" s="28"/>
      <c r="AA492"/>
    </row>
    <row r="493" spans="1:27" x14ac:dyDescent="0.45">
      <c r="A493" s="57">
        <v>1821</v>
      </c>
      <c r="B493" t="s">
        <v>3542</v>
      </c>
      <c r="C493" t="s">
        <v>3543</v>
      </c>
      <c r="D493" s="12">
        <v>46303</v>
      </c>
      <c r="E493" s="11">
        <v>56</v>
      </c>
      <c r="F493" s="11" t="s">
        <v>5905</v>
      </c>
      <c r="G493">
        <v>20240101</v>
      </c>
      <c r="I493" s="11" t="s">
        <v>63</v>
      </c>
      <c r="J493" s="72">
        <v>60569923</v>
      </c>
      <c r="K493" s="99">
        <f>_xlfn.XLOOKUP(_2__ROI_Daily_Update[[#This Row],[CSM id]],SHP!F:F,SHP!EE:EE,"-")</f>
        <v>0</v>
      </c>
      <c r="L493" s="12"/>
      <c r="N493" s="11"/>
      <c r="P493"/>
      <c r="Q493"/>
      <c r="W493" s="28"/>
      <c r="AA493"/>
    </row>
    <row r="494" spans="1:27" x14ac:dyDescent="0.45">
      <c r="A494" s="57">
        <v>1314</v>
      </c>
      <c r="B494" t="s">
        <v>2054</v>
      </c>
      <c r="C494" t="s">
        <v>2055</v>
      </c>
      <c r="D494" s="12">
        <v>46303</v>
      </c>
      <c r="E494" s="11">
        <v>44</v>
      </c>
      <c r="F494" s="11" t="s">
        <v>5905</v>
      </c>
      <c r="G494">
        <v>20190401</v>
      </c>
      <c r="I494" s="11" t="s">
        <v>63</v>
      </c>
      <c r="J494" s="72">
        <v>20426281</v>
      </c>
      <c r="K494" s="99">
        <f>_xlfn.XLOOKUP(_2__ROI_Daily_Update[[#This Row],[CSM id]],SHP!F:F,SHP!EE:EE,"-")</f>
        <v>0</v>
      </c>
      <c r="L494" s="12"/>
      <c r="N494" s="11"/>
      <c r="P494"/>
      <c r="Q494"/>
      <c r="W494" s="28"/>
      <c r="AA494"/>
    </row>
    <row r="495" spans="1:27" x14ac:dyDescent="0.45">
      <c r="A495" s="57">
        <v>1314</v>
      </c>
      <c r="B495" t="s">
        <v>2052</v>
      </c>
      <c r="C495" t="s">
        <v>2053</v>
      </c>
      <c r="D495" s="12">
        <v>46303</v>
      </c>
      <c r="E495" s="11">
        <v>165</v>
      </c>
      <c r="F495" s="11" t="s">
        <v>5907</v>
      </c>
      <c r="G495">
        <v>20140801</v>
      </c>
      <c r="I495" s="11" t="s">
        <v>63</v>
      </c>
      <c r="J495" s="72">
        <v>10212676</v>
      </c>
      <c r="K495" s="99">
        <f>_xlfn.XLOOKUP(_2__ROI_Daily_Update[[#This Row],[CSM id]],SHP!F:F,SHP!EE:EE,"-")</f>
        <v>0</v>
      </c>
      <c r="L495" s="12"/>
      <c r="N495" s="11"/>
      <c r="P495"/>
      <c r="Q495"/>
      <c r="W495" s="28"/>
      <c r="AA495"/>
    </row>
    <row r="496" spans="1:27" x14ac:dyDescent="0.45">
      <c r="A496" s="57">
        <v>1314</v>
      </c>
      <c r="B496" t="s">
        <v>2050</v>
      </c>
      <c r="C496" t="s">
        <v>2051</v>
      </c>
      <c r="D496" s="12">
        <v>46303</v>
      </c>
      <c r="E496" s="11">
        <v>12</v>
      </c>
      <c r="F496" s="11" t="s">
        <v>5907</v>
      </c>
      <c r="G496">
        <v>20250401</v>
      </c>
      <c r="H496" s="12">
        <v>46569</v>
      </c>
      <c r="I496" s="11" t="s">
        <v>63</v>
      </c>
      <c r="J496" s="72">
        <v>600969</v>
      </c>
      <c r="K496" s="99">
        <f>_xlfn.XLOOKUP(_2__ROI_Daily_Update[[#This Row],[CSM id]],SHP!F:F,SHP!EE:EE,"-")</f>
        <v>0</v>
      </c>
      <c r="L496" s="12"/>
      <c r="N496" s="11"/>
      <c r="P496"/>
      <c r="Q496"/>
      <c r="W496" s="28"/>
      <c r="AA496"/>
    </row>
    <row r="497" spans="1:27" x14ac:dyDescent="0.45">
      <c r="A497" s="57">
        <v>1314</v>
      </c>
      <c r="B497" t="s">
        <v>2048</v>
      </c>
      <c r="C497" t="s">
        <v>2049</v>
      </c>
      <c r="D497" s="12">
        <v>46303</v>
      </c>
      <c r="E497" s="11">
        <v>368</v>
      </c>
      <c r="F497" s="11" t="s">
        <v>5906</v>
      </c>
      <c r="G497">
        <v>20181001</v>
      </c>
      <c r="I497" s="11" t="s">
        <v>63</v>
      </c>
      <c r="J497" s="72">
        <v>406335</v>
      </c>
      <c r="K497" s="99">
        <f>_xlfn.XLOOKUP(_2__ROI_Daily_Update[[#This Row],[CSM id]],SHP!F:F,SHP!EE:EE,"-")</f>
        <v>0</v>
      </c>
      <c r="L497" s="12"/>
      <c r="N497" s="11"/>
      <c r="P497"/>
      <c r="Q497"/>
      <c r="W497" s="28"/>
      <c r="AA497"/>
    </row>
    <row r="498" spans="1:27" x14ac:dyDescent="0.45">
      <c r="A498" s="57">
        <v>922</v>
      </c>
      <c r="B498" t="s">
        <v>726</v>
      </c>
      <c r="C498" t="s">
        <v>727</v>
      </c>
      <c r="D498" s="12">
        <v>46303</v>
      </c>
      <c r="E498" s="11">
        <v>144</v>
      </c>
      <c r="F498" s="11" t="s">
        <v>5905</v>
      </c>
      <c r="G498">
        <v>20240101</v>
      </c>
      <c r="H498" s="12">
        <v>46569</v>
      </c>
      <c r="I498" s="11" t="s">
        <v>63</v>
      </c>
      <c r="J498" s="72">
        <v>60574161</v>
      </c>
      <c r="K498" s="99">
        <f>_xlfn.XLOOKUP(_2__ROI_Daily_Update[[#This Row],[CSM id]],SHP!F:F,SHP!EE:EE,"-")</f>
        <v>0</v>
      </c>
      <c r="L498" s="12"/>
      <c r="N498" s="11"/>
      <c r="P498"/>
      <c r="Q498"/>
      <c r="W498" s="28"/>
      <c r="AA498"/>
    </row>
    <row r="499" spans="1:27" x14ac:dyDescent="0.45">
      <c r="A499" s="57">
        <v>1314</v>
      </c>
      <c r="B499" t="s">
        <v>2048</v>
      </c>
      <c r="C499" t="s">
        <v>2049</v>
      </c>
      <c r="D499" s="12">
        <v>46303</v>
      </c>
      <c r="E499" s="11">
        <v>368</v>
      </c>
      <c r="F499" s="11" t="s">
        <v>5905</v>
      </c>
      <c r="G499">
        <v>20181001</v>
      </c>
      <c r="I499" s="11" t="s">
        <v>63</v>
      </c>
      <c r="J499" s="72">
        <v>406335</v>
      </c>
      <c r="K499" s="99">
        <f>_xlfn.XLOOKUP(_2__ROI_Daily_Update[[#This Row],[CSM id]],SHP!F:F,SHP!EE:EE,"-")</f>
        <v>0</v>
      </c>
      <c r="L499" s="12"/>
      <c r="N499" s="11"/>
      <c r="P499"/>
      <c r="Q499"/>
      <c r="W499" s="28"/>
      <c r="AA499"/>
    </row>
    <row r="500" spans="1:27" x14ac:dyDescent="0.45">
      <c r="A500" s="57">
        <v>1313</v>
      </c>
      <c r="B500" t="s">
        <v>2046</v>
      </c>
      <c r="C500" t="s">
        <v>2047</v>
      </c>
      <c r="D500" s="12">
        <v>46303</v>
      </c>
      <c r="E500" s="11">
        <v>56</v>
      </c>
      <c r="F500" s="11" t="s">
        <v>5908</v>
      </c>
      <c r="G500">
        <v>20261001</v>
      </c>
      <c r="H500" s="12">
        <v>46388</v>
      </c>
      <c r="I500" s="11" t="s">
        <v>63</v>
      </c>
      <c r="J500" s="72">
        <v>60633698</v>
      </c>
      <c r="K500" s="99">
        <f>_xlfn.XLOOKUP(_2__ROI_Daily_Update[[#This Row],[CSM id]],SHP!F:F,SHP!EE:EE,"-")</f>
        <v>0</v>
      </c>
      <c r="L500" s="12"/>
      <c r="N500" s="11"/>
      <c r="P500"/>
      <c r="Q500"/>
      <c r="W500" s="28"/>
      <c r="AA500"/>
    </row>
    <row r="501" spans="1:27" x14ac:dyDescent="0.45">
      <c r="A501" s="57">
        <v>1313</v>
      </c>
      <c r="B501" t="s">
        <v>2044</v>
      </c>
      <c r="C501" t="s">
        <v>2045</v>
      </c>
      <c r="D501" s="12">
        <v>46303</v>
      </c>
      <c r="E501" s="11">
        <v>28</v>
      </c>
      <c r="F501" s="11" t="s">
        <v>5906</v>
      </c>
      <c r="G501">
        <v>20250401</v>
      </c>
      <c r="H501" s="12">
        <v>46388</v>
      </c>
      <c r="I501" s="11" t="s">
        <v>63</v>
      </c>
      <c r="J501" s="72">
        <v>20600954</v>
      </c>
      <c r="K501" s="99">
        <f>_xlfn.XLOOKUP(_2__ROI_Daily_Update[[#This Row],[CSM id]],SHP!F:F,SHP!EE:EE,"-")</f>
        <v>0</v>
      </c>
      <c r="L501" s="12"/>
      <c r="N501" s="11"/>
      <c r="P501"/>
      <c r="Q501"/>
      <c r="W501" s="28"/>
      <c r="AA501"/>
    </row>
    <row r="502" spans="1:27" x14ac:dyDescent="0.45">
      <c r="A502" s="57">
        <v>1314</v>
      </c>
      <c r="B502" t="s">
        <v>2060</v>
      </c>
      <c r="C502" t="s">
        <v>2061</v>
      </c>
      <c r="D502" s="12">
        <v>46303</v>
      </c>
      <c r="E502" s="11">
        <v>44</v>
      </c>
      <c r="F502" s="11" t="s">
        <v>5906</v>
      </c>
      <c r="G502">
        <v>20190401</v>
      </c>
      <c r="I502" s="11" t="s">
        <v>63</v>
      </c>
      <c r="J502" s="72">
        <v>40426280</v>
      </c>
      <c r="K502" s="99">
        <f>_xlfn.XLOOKUP(_2__ROI_Daily_Update[[#This Row],[CSM id]],SHP!F:F,SHP!EE:EE,"-")</f>
        <v>0</v>
      </c>
      <c r="L502" s="12"/>
      <c r="N502" s="11"/>
      <c r="P502"/>
      <c r="Q502"/>
      <c r="W502" s="28"/>
      <c r="AA502"/>
    </row>
    <row r="503" spans="1:27" x14ac:dyDescent="0.45">
      <c r="A503" s="57">
        <v>1311</v>
      </c>
      <c r="B503" t="s">
        <v>2040</v>
      </c>
      <c r="C503" t="s">
        <v>2041</v>
      </c>
      <c r="D503" s="12">
        <v>46303</v>
      </c>
      <c r="E503" s="11">
        <v>40</v>
      </c>
      <c r="F503" s="11" t="s">
        <v>5907</v>
      </c>
      <c r="G503">
        <v>20190401</v>
      </c>
      <c r="I503" s="11" t="s">
        <v>63</v>
      </c>
      <c r="J503" s="72">
        <v>90425527</v>
      </c>
      <c r="K503" s="99">
        <f>_xlfn.XLOOKUP(_2__ROI_Daily_Update[[#This Row],[CSM id]],SHP!F:F,SHP!EE:EE,"-")</f>
        <v>0</v>
      </c>
      <c r="L503" s="12"/>
      <c r="N503" s="11"/>
      <c r="P503"/>
      <c r="Q503"/>
      <c r="W503" s="28"/>
      <c r="AA503"/>
    </row>
    <row r="504" spans="1:27" x14ac:dyDescent="0.45">
      <c r="A504" s="57">
        <v>1311</v>
      </c>
      <c r="B504" t="s">
        <v>2020</v>
      </c>
      <c r="C504" t="s">
        <v>2021</v>
      </c>
      <c r="D504" s="12">
        <v>46303</v>
      </c>
      <c r="E504" s="11">
        <v>9</v>
      </c>
      <c r="F504" s="11" t="s">
        <v>5908</v>
      </c>
      <c r="G504">
        <v>20251001</v>
      </c>
      <c r="I504" s="11" t="s">
        <v>63</v>
      </c>
      <c r="J504" s="72">
        <v>30614253</v>
      </c>
      <c r="K504" s="99">
        <f>_xlfn.XLOOKUP(_2__ROI_Daily_Update[[#This Row],[CSM id]],SHP!F:F,SHP!EE:EE,"-")</f>
        <v>0</v>
      </c>
      <c r="L504" s="12"/>
      <c r="N504" s="11"/>
      <c r="P504"/>
      <c r="Q504"/>
      <c r="W504" s="28"/>
      <c r="AA504"/>
    </row>
    <row r="505" spans="1:27" x14ac:dyDescent="0.45">
      <c r="A505" s="57">
        <v>922</v>
      </c>
      <c r="B505" t="s">
        <v>730</v>
      </c>
      <c r="C505" t="s">
        <v>731</v>
      </c>
      <c r="D505" s="12">
        <v>46303</v>
      </c>
      <c r="E505" s="11">
        <v>144</v>
      </c>
      <c r="F505" s="11" t="s">
        <v>5911</v>
      </c>
      <c r="G505">
        <v>20260401</v>
      </c>
      <c r="I505" s="11" t="s">
        <v>63</v>
      </c>
      <c r="J505" s="72">
        <v>70618555</v>
      </c>
      <c r="K505" s="99">
        <f>_xlfn.XLOOKUP(_2__ROI_Daily_Update[[#This Row],[CSM id]],SHP!F:F,SHP!EE:EE,"-")</f>
        <v>0</v>
      </c>
      <c r="L505" s="12"/>
      <c r="N505" s="11"/>
      <c r="P505"/>
      <c r="Q505"/>
      <c r="W505" s="28"/>
      <c r="AA505"/>
    </row>
    <row r="506" spans="1:27" x14ac:dyDescent="0.45">
      <c r="A506" s="57">
        <v>1311</v>
      </c>
      <c r="B506" t="s">
        <v>2018</v>
      </c>
      <c r="C506" t="s">
        <v>2019</v>
      </c>
      <c r="D506" s="12">
        <v>46303</v>
      </c>
      <c r="E506" s="11">
        <v>20</v>
      </c>
      <c r="F506" s="11" t="s">
        <v>5905</v>
      </c>
      <c r="G506">
        <v>20260701</v>
      </c>
      <c r="I506" s="11" t="s">
        <v>63</v>
      </c>
      <c r="J506" s="72">
        <v>20623229</v>
      </c>
      <c r="K506" s="99">
        <f>_xlfn.XLOOKUP(_2__ROI_Daily_Update[[#This Row],[CSM id]],SHP!F:F,SHP!EE:EE,"-")</f>
        <v>0</v>
      </c>
      <c r="L506" s="12"/>
      <c r="N506" s="11"/>
      <c r="P506"/>
      <c r="Q506"/>
      <c r="W506" s="28"/>
      <c r="AA506"/>
    </row>
    <row r="507" spans="1:27" x14ac:dyDescent="0.45">
      <c r="A507" s="57">
        <v>1311</v>
      </c>
      <c r="B507" t="s">
        <v>2016</v>
      </c>
      <c r="C507" t="s">
        <v>2017</v>
      </c>
      <c r="D507" s="12">
        <v>46303</v>
      </c>
      <c r="E507" s="11">
        <v>16</v>
      </c>
      <c r="F507" s="11" t="s">
        <v>5911</v>
      </c>
      <c r="G507">
        <v>20190401</v>
      </c>
      <c r="I507" s="11" t="s">
        <v>63</v>
      </c>
      <c r="J507" s="72">
        <v>425536</v>
      </c>
      <c r="K507" s="99">
        <f>_xlfn.XLOOKUP(_2__ROI_Daily_Update[[#This Row],[CSM id]],SHP!F:F,SHP!EE:EE,"-")</f>
        <v>0</v>
      </c>
      <c r="L507" s="12"/>
      <c r="N507" s="11"/>
      <c r="P507"/>
      <c r="Q507"/>
      <c r="W507" s="28"/>
      <c r="AA507"/>
    </row>
    <row r="508" spans="1:27" x14ac:dyDescent="0.45">
      <c r="A508" s="57">
        <v>1233</v>
      </c>
      <c r="B508" t="s">
        <v>2008</v>
      </c>
      <c r="C508" t="s">
        <v>2009</v>
      </c>
      <c r="D508" s="12">
        <v>46303</v>
      </c>
      <c r="E508" s="11">
        <v>96</v>
      </c>
      <c r="F508" s="11" t="s">
        <v>5905</v>
      </c>
      <c r="G508">
        <v>20261001</v>
      </c>
      <c r="I508" s="11" t="s">
        <v>63</v>
      </c>
      <c r="J508" s="72">
        <v>70636267</v>
      </c>
      <c r="K508" s="99">
        <f>_xlfn.XLOOKUP(_2__ROI_Daily_Update[[#This Row],[CSM id]],SHP!F:F,SHP!EE:EE,"-")</f>
        <v>0</v>
      </c>
      <c r="L508" s="12"/>
      <c r="N508" s="11"/>
      <c r="P508"/>
      <c r="Q508"/>
      <c r="W508" s="28"/>
      <c r="AA508"/>
    </row>
    <row r="509" spans="1:27" x14ac:dyDescent="0.45">
      <c r="A509" s="57">
        <v>972</v>
      </c>
      <c r="B509" t="s">
        <v>899</v>
      </c>
      <c r="C509" t="s">
        <v>900</v>
      </c>
      <c r="D509" s="12">
        <v>46303</v>
      </c>
      <c r="E509" s="11">
        <v>40</v>
      </c>
      <c r="F509" s="11" t="s">
        <v>5906</v>
      </c>
      <c r="G509">
        <v>20260201</v>
      </c>
      <c r="I509" s="11" t="s">
        <v>63</v>
      </c>
      <c r="J509" s="72">
        <v>90611925</v>
      </c>
      <c r="K509" s="99">
        <f>_xlfn.XLOOKUP(_2__ROI_Daily_Update[[#This Row],[CSM id]],SHP!F:F,SHP!EE:EE,"-")</f>
        <v>0</v>
      </c>
      <c r="L509" s="12"/>
      <c r="N509" s="11"/>
      <c r="P509"/>
      <c r="Q509"/>
      <c r="W509" s="28"/>
      <c r="AA509"/>
    </row>
    <row r="510" spans="1:27" x14ac:dyDescent="0.45">
      <c r="A510" s="57">
        <v>972</v>
      </c>
      <c r="B510" t="s">
        <v>899</v>
      </c>
      <c r="C510" t="s">
        <v>900</v>
      </c>
      <c r="D510" s="12">
        <v>46303</v>
      </c>
      <c r="E510" s="11">
        <v>24</v>
      </c>
      <c r="F510" s="11" t="s">
        <v>5905</v>
      </c>
      <c r="G510">
        <v>20260201</v>
      </c>
      <c r="I510" s="11" t="s">
        <v>63</v>
      </c>
      <c r="J510" s="72">
        <v>90611925</v>
      </c>
      <c r="K510" s="99">
        <f>_xlfn.XLOOKUP(_2__ROI_Daily_Update[[#This Row],[CSM id]],SHP!F:F,SHP!EE:EE,"-")</f>
        <v>0</v>
      </c>
      <c r="L510" s="12"/>
      <c r="N510" s="11"/>
      <c r="P510"/>
      <c r="Q510"/>
      <c r="W510" s="28"/>
      <c r="AA510"/>
    </row>
    <row r="511" spans="1:27" x14ac:dyDescent="0.45">
      <c r="A511" s="57">
        <v>1233</v>
      </c>
      <c r="B511" t="s">
        <v>1994</v>
      </c>
      <c r="C511" t="s">
        <v>1995</v>
      </c>
      <c r="D511" s="12">
        <v>46303</v>
      </c>
      <c r="E511" s="11">
        <v>200</v>
      </c>
      <c r="F511" s="11" t="s">
        <v>5909</v>
      </c>
      <c r="G511">
        <v>20250401</v>
      </c>
      <c r="I511" s="11" t="s">
        <v>18</v>
      </c>
      <c r="J511" s="72">
        <v>50599280</v>
      </c>
      <c r="K511" s="99">
        <f>_xlfn.XLOOKUP(_2__ROI_Daily_Update[[#This Row],[CSM id]],SHP!F:F,SHP!EE:EE,"-")</f>
        <v>0</v>
      </c>
      <c r="L511" s="12"/>
      <c r="N511" s="11"/>
      <c r="P511"/>
      <c r="Q511"/>
      <c r="W511" s="28"/>
      <c r="AA511"/>
    </row>
    <row r="512" spans="1:27" x14ac:dyDescent="0.45">
      <c r="A512" s="57">
        <v>1233</v>
      </c>
      <c r="B512" t="s">
        <v>1990</v>
      </c>
      <c r="C512" t="s">
        <v>1991</v>
      </c>
      <c r="D512" s="12">
        <v>46303</v>
      </c>
      <c r="E512" s="11">
        <v>108</v>
      </c>
      <c r="F512" s="11" t="s">
        <v>5906</v>
      </c>
      <c r="G512">
        <v>20260401</v>
      </c>
      <c r="I512" s="11" t="s">
        <v>63</v>
      </c>
      <c r="J512" s="72">
        <v>10641243</v>
      </c>
      <c r="K512" s="99">
        <f>_xlfn.XLOOKUP(_2__ROI_Daily_Update[[#This Row],[CSM id]],SHP!F:F,SHP!EE:EE,"-")</f>
        <v>0</v>
      </c>
      <c r="L512" s="12"/>
      <c r="N512" s="11"/>
      <c r="P512"/>
      <c r="Q512"/>
      <c r="W512" s="28"/>
      <c r="AA512"/>
    </row>
    <row r="513" spans="1:27" x14ac:dyDescent="0.45">
      <c r="A513" s="57">
        <v>1233</v>
      </c>
      <c r="B513" t="s">
        <v>1990</v>
      </c>
      <c r="C513" t="s">
        <v>1991</v>
      </c>
      <c r="D513" s="12">
        <v>46303</v>
      </c>
      <c r="E513" s="11">
        <v>36</v>
      </c>
      <c r="F513" s="11" t="s">
        <v>5910</v>
      </c>
      <c r="G513">
        <v>20260401</v>
      </c>
      <c r="I513" s="11" t="s">
        <v>63</v>
      </c>
      <c r="J513" s="72">
        <v>10641243</v>
      </c>
      <c r="K513" s="99">
        <f>_xlfn.XLOOKUP(_2__ROI_Daily_Update[[#This Row],[CSM id]],SHP!F:F,SHP!EE:EE,"-")</f>
        <v>0</v>
      </c>
      <c r="L513" s="12"/>
      <c r="N513" s="11"/>
      <c r="P513"/>
      <c r="Q513"/>
      <c r="W513" s="28"/>
      <c r="AA513"/>
    </row>
    <row r="514" spans="1:27" x14ac:dyDescent="0.45">
      <c r="A514" s="57">
        <v>972</v>
      </c>
      <c r="B514" t="s">
        <v>891</v>
      </c>
      <c r="C514" t="s">
        <v>892</v>
      </c>
      <c r="D514" s="12">
        <v>46303</v>
      </c>
      <c r="E514" s="11">
        <v>81</v>
      </c>
      <c r="F514" s="11" t="s">
        <v>5906</v>
      </c>
      <c r="G514">
        <v>20211001</v>
      </c>
      <c r="I514" s="11" t="s">
        <v>63</v>
      </c>
      <c r="J514" s="72">
        <v>70506685</v>
      </c>
      <c r="K514" s="99">
        <f>_xlfn.XLOOKUP(_2__ROI_Daily_Update[[#This Row],[CSM id]],SHP!F:F,SHP!EE:EE,"-")</f>
        <v>0</v>
      </c>
      <c r="L514" s="12"/>
      <c r="N514" s="11"/>
      <c r="P514"/>
      <c r="Q514"/>
      <c r="W514" s="28"/>
      <c r="AA514"/>
    </row>
    <row r="515" spans="1:27" x14ac:dyDescent="0.45">
      <c r="A515" s="57">
        <v>962</v>
      </c>
      <c r="B515" t="s">
        <v>743</v>
      </c>
      <c r="C515" t="s">
        <v>744</v>
      </c>
      <c r="D515" s="12">
        <v>46303</v>
      </c>
      <c r="E515" s="11">
        <v>15</v>
      </c>
      <c r="F515" s="11" t="s">
        <v>5910</v>
      </c>
      <c r="G515">
        <v>20180201</v>
      </c>
      <c r="H515" s="12">
        <v>46569</v>
      </c>
      <c r="I515" s="11" t="s">
        <v>63</v>
      </c>
      <c r="J515" s="72">
        <v>40373045</v>
      </c>
      <c r="K515" s="99">
        <f>_xlfn.XLOOKUP(_2__ROI_Daily_Update[[#This Row],[CSM id]],SHP!F:F,SHP!EE:EE,"-")</f>
        <v>0</v>
      </c>
      <c r="L515" s="12"/>
      <c r="N515" s="11"/>
      <c r="P515"/>
      <c r="Q515"/>
      <c r="W515" s="28"/>
      <c r="AA515"/>
    </row>
    <row r="516" spans="1:27" x14ac:dyDescent="0.45">
      <c r="A516" s="57">
        <v>1311</v>
      </c>
      <c r="B516" t="s">
        <v>2024</v>
      </c>
      <c r="C516" t="s">
        <v>2025</v>
      </c>
      <c r="D516" s="12">
        <v>46303</v>
      </c>
      <c r="E516" s="11">
        <v>20</v>
      </c>
      <c r="F516" s="11" t="s">
        <v>5908</v>
      </c>
      <c r="G516">
        <v>20260101</v>
      </c>
      <c r="I516" s="11" t="s">
        <v>63</v>
      </c>
      <c r="J516" s="72">
        <v>30621791</v>
      </c>
      <c r="K516" s="99">
        <f>_xlfn.XLOOKUP(_2__ROI_Daily_Update[[#This Row],[CSM id]],SHP!F:F,SHP!EE:EE,"-")</f>
        <v>0</v>
      </c>
      <c r="L516" s="12"/>
      <c r="N516" s="11"/>
      <c r="P516"/>
      <c r="Q516"/>
      <c r="W516" s="28"/>
      <c r="AA516"/>
    </row>
    <row r="517" spans="1:27" x14ac:dyDescent="0.45">
      <c r="A517" s="57">
        <v>1121</v>
      </c>
      <c r="B517" t="s">
        <v>1587</v>
      </c>
      <c r="C517" t="s">
        <v>1588</v>
      </c>
      <c r="D517" s="12">
        <v>46303</v>
      </c>
      <c r="E517" s="11">
        <v>14</v>
      </c>
      <c r="F517" s="11" t="s">
        <v>5906</v>
      </c>
      <c r="G517">
        <v>20200401</v>
      </c>
      <c r="I517" s="11" t="s">
        <v>63</v>
      </c>
      <c r="J517" s="72">
        <v>50459289</v>
      </c>
      <c r="K517" s="99">
        <f>_xlfn.XLOOKUP(_2__ROI_Daily_Update[[#This Row],[CSM id]],SHP!F:F,SHP!EE:EE,"-")</f>
        <v>0</v>
      </c>
      <c r="L517" s="12"/>
      <c r="N517" s="11"/>
      <c r="P517"/>
      <c r="Q517"/>
      <c r="W517" s="28"/>
      <c r="AA517"/>
    </row>
    <row r="518" spans="1:27" x14ac:dyDescent="0.45">
      <c r="A518" s="57">
        <v>1411</v>
      </c>
      <c r="B518" t="s">
        <v>2074</v>
      </c>
      <c r="C518" t="s">
        <v>2075</v>
      </c>
      <c r="D518" s="12">
        <v>46303</v>
      </c>
      <c r="E518" s="11">
        <v>72</v>
      </c>
      <c r="F518" s="11" t="s">
        <v>5905</v>
      </c>
      <c r="G518">
        <v>20251001</v>
      </c>
      <c r="I518" s="11" t="s">
        <v>63</v>
      </c>
      <c r="J518" s="72">
        <v>10611057</v>
      </c>
      <c r="K518" s="99">
        <f>_xlfn.XLOOKUP(_2__ROI_Daily_Update[[#This Row],[CSM id]],SHP!F:F,SHP!EE:EE,"-")</f>
        <v>0</v>
      </c>
      <c r="L518" s="12"/>
      <c r="N518" s="11"/>
      <c r="P518"/>
      <c r="Q518"/>
      <c r="W518" s="28"/>
      <c r="AA518"/>
    </row>
    <row r="519" spans="1:27" x14ac:dyDescent="0.45">
      <c r="A519" s="57">
        <v>973</v>
      </c>
      <c r="B519" t="s">
        <v>901</v>
      </c>
      <c r="C519" t="s">
        <v>902</v>
      </c>
      <c r="D519" s="12">
        <v>46303</v>
      </c>
      <c r="E519" s="11">
        <v>30</v>
      </c>
      <c r="F519" s="11" t="s">
        <v>5909</v>
      </c>
      <c r="G519">
        <v>20210701</v>
      </c>
      <c r="I519" s="11" t="s">
        <v>32</v>
      </c>
      <c r="J519" s="72">
        <v>10488967</v>
      </c>
      <c r="K519" s="99">
        <f>_xlfn.XLOOKUP(_2__ROI_Daily_Update[[#This Row],[CSM id]],SHP!F:F,SHP!EE:EE,"-")</f>
        <v>0</v>
      </c>
      <c r="L519" s="12"/>
      <c r="N519" s="11"/>
      <c r="P519"/>
      <c r="Q519"/>
      <c r="W519" s="28"/>
      <c r="AA519"/>
    </row>
    <row r="520" spans="1:27" x14ac:dyDescent="0.45">
      <c r="A520" s="57">
        <v>1112</v>
      </c>
      <c r="B520" t="s">
        <v>1563</v>
      </c>
      <c r="C520" t="s">
        <v>1564</v>
      </c>
      <c r="D520" s="12">
        <v>46303</v>
      </c>
      <c r="E520" s="11">
        <v>30</v>
      </c>
      <c r="F520" s="11" t="s">
        <v>5911</v>
      </c>
      <c r="G520">
        <v>20250701</v>
      </c>
      <c r="H520" s="12">
        <v>46569</v>
      </c>
      <c r="I520" s="11" t="s">
        <v>63</v>
      </c>
      <c r="J520" s="72">
        <v>90600601</v>
      </c>
      <c r="K520" s="99">
        <f>_xlfn.XLOOKUP(_2__ROI_Daily_Update[[#This Row],[CSM id]],SHP!F:F,SHP!EE:EE,"-")</f>
        <v>0</v>
      </c>
      <c r="L520" s="12"/>
      <c r="N520" s="11"/>
      <c r="P520"/>
      <c r="Q520"/>
      <c r="W520" s="28"/>
      <c r="AA520"/>
    </row>
    <row r="521" spans="1:27" x14ac:dyDescent="0.45">
      <c r="A521" s="57">
        <v>1121</v>
      </c>
      <c r="B521" t="s">
        <v>1567</v>
      </c>
      <c r="C521" t="s">
        <v>1568</v>
      </c>
      <c r="D521" s="12">
        <v>46303</v>
      </c>
      <c r="E521" s="11">
        <v>34</v>
      </c>
      <c r="F521" s="11" t="s">
        <v>5905</v>
      </c>
      <c r="G521">
        <v>20200201</v>
      </c>
      <c r="I521" s="11" t="s">
        <v>63</v>
      </c>
      <c r="J521" s="72">
        <v>10457452</v>
      </c>
      <c r="K521" s="99">
        <f>_xlfn.XLOOKUP(_2__ROI_Daily_Update[[#This Row],[CSM id]],SHP!F:F,SHP!EE:EE,"-")</f>
        <v>0</v>
      </c>
      <c r="L521" s="12"/>
      <c r="N521" s="11"/>
      <c r="P521"/>
      <c r="Q521"/>
      <c r="W521" s="28"/>
      <c r="AA521"/>
    </row>
    <row r="522" spans="1:27" x14ac:dyDescent="0.45">
      <c r="A522" s="57">
        <v>1412</v>
      </c>
      <c r="B522" t="s">
        <v>2120</v>
      </c>
      <c r="C522" t="s">
        <v>2121</v>
      </c>
      <c r="D522" s="12">
        <v>46303</v>
      </c>
      <c r="E522" s="11">
        <v>352</v>
      </c>
      <c r="F522" s="11" t="s">
        <v>5409</v>
      </c>
      <c r="G522">
        <v>20250701</v>
      </c>
      <c r="H522" s="12">
        <v>46388</v>
      </c>
      <c r="I522" s="11" t="s">
        <v>63</v>
      </c>
      <c r="J522" s="72">
        <v>20581154</v>
      </c>
      <c r="K522" s="99">
        <f>_xlfn.XLOOKUP(_2__ROI_Daily_Update[[#This Row],[CSM id]],SHP!F:F,SHP!EE:EE,"-")</f>
        <v>0</v>
      </c>
      <c r="L522" s="12"/>
      <c r="N522" s="11"/>
      <c r="P522"/>
      <c r="Q522"/>
      <c r="W522" s="28"/>
      <c r="AA522"/>
    </row>
    <row r="523" spans="1:27" x14ac:dyDescent="0.45">
      <c r="A523" s="57">
        <v>1121</v>
      </c>
      <c r="B523" t="s">
        <v>1571</v>
      </c>
      <c r="C523" t="s">
        <v>1572</v>
      </c>
      <c r="D523" s="12">
        <v>46303</v>
      </c>
      <c r="E523" s="11">
        <v>16</v>
      </c>
      <c r="F523" s="11" t="s">
        <v>5905</v>
      </c>
      <c r="G523">
        <v>20200401</v>
      </c>
      <c r="I523" s="11" t="s">
        <v>63</v>
      </c>
      <c r="J523" s="72">
        <v>10459286</v>
      </c>
      <c r="K523" s="99">
        <f>_xlfn.XLOOKUP(_2__ROI_Daily_Update[[#This Row],[CSM id]],SHP!F:F,SHP!EE:EE,"-")</f>
        <v>0</v>
      </c>
      <c r="L523" s="12"/>
      <c r="N523" s="11"/>
      <c r="P523"/>
      <c r="Q523"/>
      <c r="W523" s="28"/>
      <c r="AA523"/>
    </row>
    <row r="524" spans="1:27" x14ac:dyDescent="0.45">
      <c r="A524" s="57">
        <v>1412</v>
      </c>
      <c r="B524" t="s">
        <v>2118</v>
      </c>
      <c r="C524" t="s">
        <v>2119</v>
      </c>
      <c r="D524" s="12">
        <v>46303</v>
      </c>
      <c r="E524" s="11">
        <v>120</v>
      </c>
      <c r="F524" s="11" t="s">
        <v>5409</v>
      </c>
      <c r="G524">
        <v>20250101</v>
      </c>
      <c r="I524" s="11" t="s">
        <v>63</v>
      </c>
      <c r="J524" s="72">
        <v>10587175</v>
      </c>
      <c r="K524" s="99">
        <f>_xlfn.XLOOKUP(_2__ROI_Daily_Update[[#This Row],[CSM id]],SHP!F:F,SHP!EE:EE,"-")</f>
        <v>0</v>
      </c>
      <c r="L524" s="12"/>
      <c r="N524" s="11"/>
      <c r="P524"/>
      <c r="Q524"/>
      <c r="W524" s="28"/>
      <c r="AA524"/>
    </row>
    <row r="525" spans="1:27" x14ac:dyDescent="0.45">
      <c r="A525" s="57">
        <v>1412</v>
      </c>
      <c r="B525" t="s">
        <v>2116</v>
      </c>
      <c r="C525" t="s">
        <v>2117</v>
      </c>
      <c r="D525" s="12">
        <v>46303</v>
      </c>
      <c r="E525" s="11">
        <v>224</v>
      </c>
      <c r="F525" s="11" t="s">
        <v>5264</v>
      </c>
      <c r="G525">
        <v>20250401</v>
      </c>
      <c r="I525" s="11" t="s">
        <v>18</v>
      </c>
      <c r="J525" s="72">
        <v>10580701</v>
      </c>
      <c r="K525" s="99">
        <f>_xlfn.XLOOKUP(_2__ROI_Daily_Update[[#This Row],[CSM id]],SHP!F:F,SHP!EE:EE,"-")</f>
        <v>0</v>
      </c>
      <c r="L525" s="12"/>
      <c r="N525" s="11"/>
      <c r="P525"/>
      <c r="Q525"/>
      <c r="W525" s="28"/>
      <c r="AA525"/>
    </row>
    <row r="526" spans="1:27" x14ac:dyDescent="0.45">
      <c r="A526" s="57">
        <v>921</v>
      </c>
      <c r="B526" t="s">
        <v>698</v>
      </c>
      <c r="C526" t="s">
        <v>699</v>
      </c>
      <c r="D526" s="12">
        <v>46303</v>
      </c>
      <c r="E526" s="11">
        <v>36</v>
      </c>
      <c r="F526" s="11" t="s">
        <v>5908</v>
      </c>
      <c r="G526">
        <v>20251001</v>
      </c>
      <c r="H526" s="12">
        <v>46388</v>
      </c>
      <c r="I526" s="11" t="s">
        <v>63</v>
      </c>
      <c r="J526" s="72">
        <v>70614642</v>
      </c>
      <c r="K526" s="99">
        <f>_xlfn.XLOOKUP(_2__ROI_Daily_Update[[#This Row],[CSM id]],SHP!F:F,SHP!EE:EE,"-")</f>
        <v>0</v>
      </c>
      <c r="L526" s="12"/>
      <c r="N526" s="11"/>
      <c r="P526"/>
      <c r="Q526"/>
      <c r="W526" s="28"/>
      <c r="AA526"/>
    </row>
    <row r="527" spans="1:27" x14ac:dyDescent="0.45">
      <c r="A527" s="57">
        <v>1412</v>
      </c>
      <c r="B527" t="s">
        <v>2112</v>
      </c>
      <c r="C527" t="s">
        <v>2113</v>
      </c>
      <c r="D527" s="12">
        <v>46303</v>
      </c>
      <c r="E527" s="11">
        <v>96</v>
      </c>
      <c r="F527" s="11" t="s">
        <v>5264</v>
      </c>
      <c r="G527">
        <v>20250401</v>
      </c>
      <c r="I527" s="11" t="s">
        <v>18</v>
      </c>
      <c r="J527" s="72">
        <v>10463698</v>
      </c>
      <c r="K527" s="99">
        <f>_xlfn.XLOOKUP(_2__ROI_Daily_Update[[#This Row],[CSM id]],SHP!F:F,SHP!EE:EE,"-")</f>
        <v>0</v>
      </c>
      <c r="L527" s="12"/>
      <c r="N527" s="11"/>
      <c r="P527"/>
      <c r="Q527"/>
      <c r="W527" s="28"/>
      <c r="AA527"/>
    </row>
    <row r="528" spans="1:27" x14ac:dyDescent="0.45">
      <c r="A528" s="57">
        <v>973</v>
      </c>
      <c r="B528" t="s">
        <v>905</v>
      </c>
      <c r="C528" t="s">
        <v>906</v>
      </c>
      <c r="D528" s="12">
        <v>46303</v>
      </c>
      <c r="E528" s="11">
        <v>84</v>
      </c>
      <c r="F528" s="11" t="s">
        <v>5907</v>
      </c>
      <c r="G528">
        <v>20140801</v>
      </c>
      <c r="I528" s="11" t="s">
        <v>63</v>
      </c>
      <c r="J528" s="72">
        <v>20193272</v>
      </c>
      <c r="K528" s="99">
        <f>_xlfn.XLOOKUP(_2__ROI_Daily_Update[[#This Row],[CSM id]],SHP!F:F,SHP!EE:EE,"-")</f>
        <v>0</v>
      </c>
      <c r="L528" s="12"/>
      <c r="N528" s="11"/>
      <c r="P528"/>
      <c r="Q528"/>
      <c r="W528" s="28"/>
      <c r="AA528"/>
    </row>
    <row r="529" spans="1:27" x14ac:dyDescent="0.45">
      <c r="A529" s="57">
        <v>921</v>
      </c>
      <c r="B529" t="s">
        <v>704</v>
      </c>
      <c r="C529" t="s">
        <v>705</v>
      </c>
      <c r="D529" s="12">
        <v>46303</v>
      </c>
      <c r="E529" s="11">
        <v>10</v>
      </c>
      <c r="F529" s="11" t="s">
        <v>5910</v>
      </c>
      <c r="G529">
        <v>20260101</v>
      </c>
      <c r="I529" s="11" t="s">
        <v>63</v>
      </c>
      <c r="J529" s="72">
        <v>90615396</v>
      </c>
      <c r="K529" s="99">
        <f>_xlfn.XLOOKUP(_2__ROI_Daily_Update[[#This Row],[CSM id]],SHP!F:F,SHP!EE:EE,"-")</f>
        <v>0</v>
      </c>
      <c r="L529" s="12"/>
      <c r="N529" s="11"/>
      <c r="P529"/>
      <c r="Q529"/>
      <c r="W529" s="28"/>
      <c r="AA529"/>
    </row>
    <row r="530" spans="1:27" x14ac:dyDescent="0.45">
      <c r="A530" s="57">
        <v>921</v>
      </c>
      <c r="B530" t="s">
        <v>704</v>
      </c>
      <c r="C530" t="s">
        <v>705</v>
      </c>
      <c r="D530" s="12">
        <v>46303</v>
      </c>
      <c r="E530" s="11">
        <v>10</v>
      </c>
      <c r="F530" s="11" t="s">
        <v>5906</v>
      </c>
      <c r="G530">
        <v>20260101</v>
      </c>
      <c r="I530" s="11" t="s">
        <v>63</v>
      </c>
      <c r="J530" s="72">
        <v>90615396</v>
      </c>
      <c r="K530" s="99">
        <f>_xlfn.XLOOKUP(_2__ROI_Daily_Update[[#This Row],[CSM id]],SHP!F:F,SHP!EE:EE,"-")</f>
        <v>0</v>
      </c>
      <c r="L530" s="12"/>
      <c r="N530" s="11"/>
      <c r="P530"/>
      <c r="Q530"/>
      <c r="W530" s="28"/>
      <c r="AA530"/>
    </row>
    <row r="531" spans="1:27" x14ac:dyDescent="0.45">
      <c r="A531" s="57">
        <v>1412</v>
      </c>
      <c r="B531" t="s">
        <v>2110</v>
      </c>
      <c r="C531" t="s">
        <v>2111</v>
      </c>
      <c r="D531" s="12">
        <v>46303</v>
      </c>
      <c r="E531" s="11">
        <v>28</v>
      </c>
      <c r="F531" s="11" t="s">
        <v>5409</v>
      </c>
      <c r="G531">
        <v>20250701</v>
      </c>
      <c r="I531" s="11" t="s">
        <v>63</v>
      </c>
      <c r="J531" s="72">
        <v>602510</v>
      </c>
      <c r="K531" s="99">
        <f>_xlfn.XLOOKUP(_2__ROI_Daily_Update[[#This Row],[CSM id]],SHP!F:F,SHP!EE:EE,"-")</f>
        <v>0</v>
      </c>
      <c r="L531" s="12"/>
      <c r="N531" s="11"/>
      <c r="P531"/>
      <c r="Q531"/>
      <c r="W531" s="28"/>
      <c r="AA531"/>
    </row>
    <row r="532" spans="1:27" x14ac:dyDescent="0.45">
      <c r="A532" s="57">
        <v>1411</v>
      </c>
      <c r="B532" t="s">
        <v>2108</v>
      </c>
      <c r="C532" t="s">
        <v>2109</v>
      </c>
      <c r="D532" s="12">
        <v>46303</v>
      </c>
      <c r="E532" s="11">
        <v>8</v>
      </c>
      <c r="F532" s="11" t="s">
        <v>5409</v>
      </c>
      <c r="G532">
        <v>20220401</v>
      </c>
      <c r="I532" s="11" t="s">
        <v>63</v>
      </c>
      <c r="J532" s="72">
        <v>90513147</v>
      </c>
      <c r="K532" s="99">
        <f>_xlfn.XLOOKUP(_2__ROI_Daily_Update[[#This Row],[CSM id]],SHP!F:F,SHP!EE:EE,"-")</f>
        <v>0</v>
      </c>
      <c r="L532" s="12"/>
      <c r="N532" s="11"/>
      <c r="P532"/>
      <c r="Q532"/>
      <c r="W532" s="28"/>
      <c r="AA532"/>
    </row>
    <row r="533" spans="1:27" x14ac:dyDescent="0.45">
      <c r="A533" s="57">
        <v>973</v>
      </c>
      <c r="B533" t="s">
        <v>903</v>
      </c>
      <c r="C533" t="s">
        <v>904</v>
      </c>
      <c r="D533" s="12">
        <v>46303</v>
      </c>
      <c r="E533" s="11">
        <v>180</v>
      </c>
      <c r="F533" s="11" t="s">
        <v>5907</v>
      </c>
      <c r="G533">
        <v>20140801</v>
      </c>
      <c r="H533" s="12">
        <v>46478</v>
      </c>
      <c r="I533" s="11" t="s">
        <v>63</v>
      </c>
      <c r="J533" s="72">
        <v>20169899</v>
      </c>
      <c r="K533" s="99">
        <f>_xlfn.XLOOKUP(_2__ROI_Daily_Update[[#This Row],[CSM id]],SHP!F:F,SHP!EE:EE,"-")</f>
        <v>0</v>
      </c>
      <c r="L533" s="12"/>
      <c r="N533" s="11"/>
      <c r="P533"/>
      <c r="Q533"/>
      <c r="W533" s="28"/>
      <c r="AA533"/>
    </row>
    <row r="534" spans="1:27" x14ac:dyDescent="0.45">
      <c r="A534" s="57">
        <v>1411</v>
      </c>
      <c r="B534" t="s">
        <v>2104</v>
      </c>
      <c r="C534" t="s">
        <v>2105</v>
      </c>
      <c r="D534" s="12">
        <v>46303</v>
      </c>
      <c r="E534" s="11">
        <v>99</v>
      </c>
      <c r="F534" s="11" t="s">
        <v>5409</v>
      </c>
      <c r="G534">
        <v>20261001</v>
      </c>
      <c r="I534" s="11" t="s">
        <v>63</v>
      </c>
      <c r="J534" s="72">
        <v>70650362</v>
      </c>
      <c r="K534" s="99">
        <f>_xlfn.XLOOKUP(_2__ROI_Daily_Update[[#This Row],[CSM id]],SHP!F:F,SHP!EE:EE,"-")</f>
        <v>0</v>
      </c>
      <c r="L534" s="12"/>
      <c r="N534" s="11"/>
      <c r="P534"/>
      <c r="Q534"/>
      <c r="W534" s="28"/>
      <c r="AA534"/>
    </row>
    <row r="535" spans="1:27" x14ac:dyDescent="0.45">
      <c r="A535" s="57">
        <v>1411</v>
      </c>
      <c r="B535" t="s">
        <v>2100</v>
      </c>
      <c r="C535" t="s">
        <v>2101</v>
      </c>
      <c r="D535" s="12">
        <v>46303</v>
      </c>
      <c r="E535" s="11">
        <v>36</v>
      </c>
      <c r="F535" s="11" t="s">
        <v>5409</v>
      </c>
      <c r="G535">
        <v>20220401</v>
      </c>
      <c r="I535" s="11" t="s">
        <v>63</v>
      </c>
      <c r="J535" s="72">
        <v>60513139</v>
      </c>
      <c r="K535" s="99">
        <f>_xlfn.XLOOKUP(_2__ROI_Daily_Update[[#This Row],[CSM id]],SHP!F:F,SHP!EE:EE,"-")</f>
        <v>0</v>
      </c>
      <c r="L535" s="12"/>
      <c r="N535" s="11"/>
      <c r="P535"/>
      <c r="Q535"/>
      <c r="W535" s="28"/>
      <c r="AA535"/>
    </row>
    <row r="536" spans="1:27" x14ac:dyDescent="0.45">
      <c r="A536" s="57">
        <v>922</v>
      </c>
      <c r="B536" t="s">
        <v>710</v>
      </c>
      <c r="C536" t="s">
        <v>711</v>
      </c>
      <c r="D536" s="12">
        <v>46303</v>
      </c>
      <c r="E536" s="11">
        <v>66</v>
      </c>
      <c r="F536" s="11" t="s">
        <v>5909</v>
      </c>
      <c r="G536">
        <v>20231001</v>
      </c>
      <c r="I536" s="11" t="s">
        <v>32</v>
      </c>
      <c r="J536" s="72">
        <v>20550176</v>
      </c>
      <c r="K536" s="99">
        <f>_xlfn.XLOOKUP(_2__ROI_Daily_Update[[#This Row],[CSM id]],SHP!F:F,SHP!EE:EE,"-")</f>
        <v>0</v>
      </c>
      <c r="L536" s="12"/>
      <c r="N536" s="11"/>
      <c r="P536"/>
      <c r="Q536"/>
      <c r="W536" s="28"/>
      <c r="AA536"/>
    </row>
    <row r="537" spans="1:27" x14ac:dyDescent="0.45">
      <c r="A537" s="57">
        <v>1411</v>
      </c>
      <c r="B537" t="s">
        <v>2096</v>
      </c>
      <c r="C537" t="s">
        <v>2097</v>
      </c>
      <c r="D537" s="12">
        <v>46303</v>
      </c>
      <c r="E537" s="11">
        <v>9</v>
      </c>
      <c r="F537" s="11" t="s">
        <v>5409</v>
      </c>
      <c r="G537">
        <v>20261001</v>
      </c>
      <c r="I537" s="11" t="s">
        <v>63</v>
      </c>
      <c r="J537" s="72">
        <v>50650363</v>
      </c>
      <c r="K537" s="99">
        <f>_xlfn.XLOOKUP(_2__ROI_Daily_Update[[#This Row],[CSM id]],SHP!F:F,SHP!EE:EE,"-")</f>
        <v>0</v>
      </c>
      <c r="L537" s="12"/>
      <c r="N537" s="11"/>
      <c r="P537"/>
      <c r="Q537"/>
      <c r="W537" s="28"/>
      <c r="AA537"/>
    </row>
    <row r="538" spans="1:27" x14ac:dyDescent="0.45">
      <c r="A538" s="57">
        <v>1411</v>
      </c>
      <c r="B538" t="s">
        <v>2092</v>
      </c>
      <c r="C538" t="s">
        <v>2093</v>
      </c>
      <c r="D538" s="12">
        <v>46303</v>
      </c>
      <c r="E538" s="11">
        <v>64</v>
      </c>
      <c r="F538" s="11" t="s">
        <v>5264</v>
      </c>
      <c r="G538">
        <v>20160401</v>
      </c>
      <c r="I538" s="11" t="s">
        <v>18</v>
      </c>
      <c r="J538" s="72">
        <v>50298475</v>
      </c>
      <c r="K538" s="99">
        <f>_xlfn.XLOOKUP(_2__ROI_Daily_Update[[#This Row],[CSM id]],SHP!F:F,SHP!EE:EE,"-")</f>
        <v>0</v>
      </c>
      <c r="L538" s="12"/>
      <c r="N538" s="11"/>
      <c r="P538"/>
      <c r="Q538"/>
      <c r="W538" s="28"/>
      <c r="AA538"/>
    </row>
    <row r="539" spans="1:27" x14ac:dyDescent="0.45">
      <c r="A539" s="57">
        <v>1411</v>
      </c>
      <c r="B539" t="s">
        <v>2090</v>
      </c>
      <c r="C539" t="s">
        <v>2091</v>
      </c>
      <c r="D539" s="12">
        <v>46303</v>
      </c>
      <c r="E539" s="11">
        <v>60</v>
      </c>
      <c r="F539" s="11" t="s">
        <v>5264</v>
      </c>
      <c r="G539">
        <v>20220101</v>
      </c>
      <c r="I539" s="11" t="s">
        <v>18</v>
      </c>
      <c r="J539" s="72">
        <v>40484251</v>
      </c>
      <c r="K539" s="99">
        <f>_xlfn.XLOOKUP(_2__ROI_Daily_Update[[#This Row],[CSM id]],SHP!F:F,SHP!EE:EE,"-")</f>
        <v>0</v>
      </c>
      <c r="L539" s="12"/>
      <c r="N539" s="11"/>
      <c r="P539"/>
      <c r="Q539"/>
      <c r="W539" s="28"/>
      <c r="AA539"/>
    </row>
    <row r="540" spans="1:27" x14ac:dyDescent="0.45">
      <c r="A540" s="57">
        <v>1411</v>
      </c>
      <c r="B540" t="s">
        <v>2088</v>
      </c>
      <c r="C540" t="s">
        <v>2089</v>
      </c>
      <c r="D540" s="12">
        <v>46303</v>
      </c>
      <c r="E540" s="11">
        <v>204</v>
      </c>
      <c r="F540" s="11" t="s">
        <v>5910</v>
      </c>
      <c r="G540">
        <v>20140801</v>
      </c>
      <c r="I540" s="11" t="s">
        <v>63</v>
      </c>
      <c r="J540" s="72">
        <v>40176455</v>
      </c>
      <c r="K540" s="99">
        <f>_xlfn.XLOOKUP(_2__ROI_Daily_Update[[#This Row],[CSM id]],SHP!F:F,SHP!EE:EE,"-")</f>
        <v>0</v>
      </c>
      <c r="L540" s="12"/>
      <c r="N540" s="11"/>
      <c r="P540"/>
      <c r="Q540"/>
      <c r="W540" s="28"/>
      <c r="AA540"/>
    </row>
    <row r="541" spans="1:27" x14ac:dyDescent="0.45">
      <c r="A541" s="57">
        <v>1121</v>
      </c>
      <c r="B541" t="s">
        <v>1579</v>
      </c>
      <c r="C541" t="s">
        <v>1580</v>
      </c>
      <c r="D541" s="12">
        <v>46303</v>
      </c>
      <c r="E541" s="11">
        <v>62</v>
      </c>
      <c r="F541" s="11" t="s">
        <v>5906</v>
      </c>
      <c r="G541">
        <v>20250401</v>
      </c>
      <c r="I541" s="11" t="s">
        <v>63</v>
      </c>
      <c r="J541" s="72">
        <v>30602387</v>
      </c>
      <c r="K541" s="99">
        <f>_xlfn.XLOOKUP(_2__ROI_Daily_Update[[#This Row],[CSM id]],SHP!F:F,SHP!EE:EE,"-")</f>
        <v>0</v>
      </c>
      <c r="L541" s="12"/>
      <c r="N541" s="11"/>
      <c r="P541"/>
      <c r="Q541"/>
      <c r="W541" s="28"/>
      <c r="AA541"/>
    </row>
    <row r="542" spans="1:27" x14ac:dyDescent="0.45">
      <c r="A542" s="57">
        <v>922</v>
      </c>
      <c r="B542" t="s">
        <v>714</v>
      </c>
      <c r="C542" t="s">
        <v>715</v>
      </c>
      <c r="D542" s="12">
        <v>46303</v>
      </c>
      <c r="E542" s="11">
        <v>15</v>
      </c>
      <c r="F542" s="11" t="s">
        <v>5910</v>
      </c>
      <c r="G542">
        <v>20260101</v>
      </c>
      <c r="I542" s="11" t="s">
        <v>63</v>
      </c>
      <c r="J542" s="72">
        <v>20614569</v>
      </c>
      <c r="K542" s="99">
        <f>_xlfn.XLOOKUP(_2__ROI_Daily_Update[[#This Row],[CSM id]],SHP!F:F,SHP!EE:EE,"-")</f>
        <v>0</v>
      </c>
      <c r="L542" s="12"/>
      <c r="N542" s="11"/>
      <c r="P542"/>
      <c r="Q542"/>
      <c r="W542" s="28"/>
      <c r="AA542"/>
    </row>
    <row r="543" spans="1:27" x14ac:dyDescent="0.45">
      <c r="A543" s="57">
        <v>1411</v>
      </c>
      <c r="B543" t="s">
        <v>2084</v>
      </c>
      <c r="C543" t="s">
        <v>2085</v>
      </c>
      <c r="D543" s="12">
        <v>46303</v>
      </c>
      <c r="E543" s="11">
        <v>532</v>
      </c>
      <c r="F543" s="11" t="s">
        <v>5905</v>
      </c>
      <c r="G543">
        <v>20140801</v>
      </c>
      <c r="I543" s="11" t="s">
        <v>63</v>
      </c>
      <c r="J543" s="72">
        <v>30175277</v>
      </c>
      <c r="K543" s="99">
        <f>_xlfn.XLOOKUP(_2__ROI_Daily_Update[[#This Row],[CSM id]],SHP!F:F,SHP!EE:EE,"-")</f>
        <v>0</v>
      </c>
      <c r="L543" s="12"/>
      <c r="N543" s="11"/>
      <c r="P543"/>
      <c r="Q543"/>
      <c r="W543" s="28"/>
      <c r="AA543"/>
    </row>
    <row r="544" spans="1:27" x14ac:dyDescent="0.45">
      <c r="A544" s="57">
        <v>1411</v>
      </c>
      <c r="B544" t="s">
        <v>2082</v>
      </c>
      <c r="C544" t="s">
        <v>2083</v>
      </c>
      <c r="D544" s="12">
        <v>46303</v>
      </c>
      <c r="E544" s="11">
        <v>45</v>
      </c>
      <c r="F544" s="11" t="s">
        <v>5264</v>
      </c>
      <c r="G544">
        <v>20250101</v>
      </c>
      <c r="I544" s="11" t="s">
        <v>18</v>
      </c>
      <c r="J544" s="72">
        <v>20587170</v>
      </c>
      <c r="K544" s="99">
        <f>_xlfn.XLOOKUP(_2__ROI_Daily_Update[[#This Row],[CSM id]],SHP!F:F,SHP!EE:EE,"-")</f>
        <v>0</v>
      </c>
      <c r="L544" s="12"/>
      <c r="N544" s="11"/>
      <c r="P544"/>
      <c r="Q544"/>
      <c r="W544" s="28"/>
      <c r="AA544"/>
    </row>
    <row r="545" spans="1:27" x14ac:dyDescent="0.45">
      <c r="A545" s="57">
        <v>1411</v>
      </c>
      <c r="B545" t="s">
        <v>2078</v>
      </c>
      <c r="C545" t="s">
        <v>2079</v>
      </c>
      <c r="D545" s="12">
        <v>46303</v>
      </c>
      <c r="E545" s="11">
        <v>16</v>
      </c>
      <c r="F545" s="11" t="s">
        <v>5264</v>
      </c>
      <c r="G545">
        <v>20220101</v>
      </c>
      <c r="I545" s="11" t="s">
        <v>18</v>
      </c>
      <c r="J545" s="72">
        <v>20484271</v>
      </c>
      <c r="K545" s="99">
        <f>_xlfn.XLOOKUP(_2__ROI_Daily_Update[[#This Row],[CSM id]],SHP!F:F,SHP!EE:EE,"-")</f>
        <v>0</v>
      </c>
      <c r="L545" s="12"/>
      <c r="N545" s="11"/>
      <c r="P545"/>
      <c r="Q545"/>
      <c r="W545" s="28"/>
      <c r="AA545"/>
    </row>
    <row r="546" spans="1:27" x14ac:dyDescent="0.45">
      <c r="A546" s="57">
        <v>922</v>
      </c>
      <c r="B546" t="s">
        <v>718</v>
      </c>
      <c r="C546" t="s">
        <v>719</v>
      </c>
      <c r="D546" s="12">
        <v>46303</v>
      </c>
      <c r="E546" s="11">
        <v>80</v>
      </c>
      <c r="F546" s="11" t="s">
        <v>5906</v>
      </c>
      <c r="G546">
        <v>20260201</v>
      </c>
      <c r="I546" s="11" t="s">
        <v>63</v>
      </c>
      <c r="J546" s="72">
        <v>30603179</v>
      </c>
      <c r="K546" s="99">
        <f>_xlfn.XLOOKUP(_2__ROI_Daily_Update[[#This Row],[CSM id]],SHP!F:F,SHP!EE:EE,"-")</f>
        <v>0</v>
      </c>
      <c r="L546" s="12"/>
      <c r="N546" s="11"/>
      <c r="P546"/>
      <c r="Q546"/>
      <c r="W546" s="28"/>
      <c r="AA546"/>
    </row>
    <row r="547" spans="1:27" x14ac:dyDescent="0.45">
      <c r="A547" s="57">
        <v>962</v>
      </c>
      <c r="B547" t="s">
        <v>745</v>
      </c>
      <c r="C547" t="s">
        <v>746</v>
      </c>
      <c r="D547" s="12">
        <v>46303</v>
      </c>
      <c r="E547" s="11">
        <v>90</v>
      </c>
      <c r="F547" s="11" t="s">
        <v>5906</v>
      </c>
      <c r="G547">
        <v>20180201</v>
      </c>
      <c r="H547" s="12">
        <v>46569</v>
      </c>
      <c r="I547" s="11" t="s">
        <v>63</v>
      </c>
      <c r="J547" s="72">
        <v>50373059</v>
      </c>
      <c r="K547" s="99">
        <f>_xlfn.XLOOKUP(_2__ROI_Daily_Update[[#This Row],[CSM id]],SHP!F:F,SHP!EE:EE,"-")</f>
        <v>0</v>
      </c>
      <c r="L547" s="12"/>
      <c r="N547" s="11"/>
      <c r="P547"/>
      <c r="Q547"/>
      <c r="W547" s="28"/>
      <c r="AA547"/>
    </row>
    <row r="548" spans="1:27" x14ac:dyDescent="0.45">
      <c r="A548" s="57">
        <v>1111</v>
      </c>
      <c r="B548" t="s">
        <v>1367</v>
      </c>
      <c r="C548" t="s">
        <v>1368</v>
      </c>
      <c r="D548" s="12">
        <v>46303</v>
      </c>
      <c r="E548" s="11">
        <v>12</v>
      </c>
      <c r="F548" s="11" t="s">
        <v>5910</v>
      </c>
      <c r="G548">
        <v>20241001</v>
      </c>
      <c r="I548" s="11" t="s">
        <v>63</v>
      </c>
      <c r="J548" s="72">
        <v>20590200</v>
      </c>
      <c r="K548" s="99">
        <f>_xlfn.XLOOKUP(_2__ROI_Daily_Update[[#This Row],[CSM id]],SHP!F:F,SHP!EE:EE,"-")</f>
        <v>0</v>
      </c>
      <c r="L548" s="12"/>
      <c r="N548" s="11"/>
      <c r="P548"/>
      <c r="Q548"/>
      <c r="W548" s="28"/>
      <c r="AA548"/>
    </row>
    <row r="549" spans="1:27" x14ac:dyDescent="0.45">
      <c r="A549" s="57">
        <v>1433</v>
      </c>
      <c r="B549" t="s">
        <v>2472</v>
      </c>
      <c r="C549" t="s">
        <v>2473</v>
      </c>
      <c r="D549" s="12">
        <v>46303</v>
      </c>
      <c r="E549" s="11">
        <v>64</v>
      </c>
      <c r="F549" s="11" t="s">
        <v>5906</v>
      </c>
      <c r="G549">
        <v>20210201</v>
      </c>
      <c r="I549" s="11" t="s">
        <v>63</v>
      </c>
      <c r="J549" s="72">
        <v>80473868</v>
      </c>
      <c r="K549" s="99">
        <f>_xlfn.XLOOKUP(_2__ROI_Daily_Update[[#This Row],[CSM id]],SHP!F:F,SHP!EE:EE,"-")</f>
        <v>0</v>
      </c>
      <c r="L549" s="12"/>
      <c r="N549" s="11"/>
      <c r="P549"/>
      <c r="Q549"/>
      <c r="W549" s="28"/>
      <c r="AA549"/>
    </row>
    <row r="550" spans="1:27" x14ac:dyDescent="0.45">
      <c r="A550" s="57">
        <v>622</v>
      </c>
      <c r="B550" t="s">
        <v>514</v>
      </c>
      <c r="C550" t="s">
        <v>515</v>
      </c>
      <c r="D550" s="12">
        <v>46303</v>
      </c>
      <c r="E550" s="11">
        <v>72</v>
      </c>
      <c r="F550" s="11" t="s">
        <v>5910</v>
      </c>
      <c r="G550">
        <v>20200801</v>
      </c>
      <c r="I550" s="11" t="s">
        <v>63</v>
      </c>
      <c r="J550" s="72">
        <v>30428703</v>
      </c>
      <c r="K550" s="99">
        <f>_xlfn.XLOOKUP(_2__ROI_Daily_Update[[#This Row],[CSM id]],SHP!F:F,SHP!EE:EE,"-")</f>
        <v>0</v>
      </c>
      <c r="L550" s="12"/>
      <c r="N550" s="11"/>
      <c r="P550"/>
      <c r="Q550"/>
      <c r="W550" s="28"/>
      <c r="AA550"/>
    </row>
    <row r="551" spans="1:27" x14ac:dyDescent="0.45">
      <c r="A551" s="57">
        <v>1621</v>
      </c>
      <c r="B551" t="s">
        <v>2849</v>
      </c>
      <c r="C551" t="s">
        <v>2850</v>
      </c>
      <c r="D551" s="12">
        <v>46303</v>
      </c>
      <c r="E551" s="11">
        <v>12</v>
      </c>
      <c r="F551" s="11" t="s">
        <v>5911</v>
      </c>
      <c r="G551">
        <v>20261001</v>
      </c>
      <c r="I551" s="11" t="s">
        <v>63</v>
      </c>
      <c r="J551" s="72">
        <v>10630169</v>
      </c>
      <c r="K551" s="99">
        <f>_xlfn.XLOOKUP(_2__ROI_Daily_Update[[#This Row],[CSM id]],SHP!F:F,SHP!EE:EE,"-")</f>
        <v>0</v>
      </c>
      <c r="L551" s="12"/>
      <c r="N551" s="11"/>
      <c r="P551"/>
      <c r="Q551"/>
      <c r="W551" s="28"/>
      <c r="AA551"/>
    </row>
    <row r="552" spans="1:27" x14ac:dyDescent="0.45">
      <c r="A552" s="57">
        <v>1642</v>
      </c>
      <c r="B552" t="s">
        <v>3211</v>
      </c>
      <c r="C552" t="s">
        <v>3212</v>
      </c>
      <c r="D552" s="12">
        <v>46303</v>
      </c>
      <c r="E552" s="11">
        <v>10</v>
      </c>
      <c r="F552" s="11" t="s">
        <v>5911</v>
      </c>
      <c r="G552">
        <v>20260701</v>
      </c>
      <c r="H552" s="12">
        <v>46388</v>
      </c>
      <c r="I552" s="11" t="s">
        <v>63</v>
      </c>
      <c r="J552" s="72">
        <v>80623924</v>
      </c>
      <c r="K552" s="99">
        <f>_xlfn.XLOOKUP(_2__ROI_Daily_Update[[#This Row],[CSM id]],SHP!F:F,SHP!EE:EE,"-")</f>
        <v>0</v>
      </c>
      <c r="L552" s="12"/>
      <c r="N552" s="11"/>
      <c r="P552"/>
      <c r="Q552"/>
      <c r="W552" s="28"/>
      <c r="AA552"/>
    </row>
    <row r="553" spans="1:27" x14ac:dyDescent="0.45">
      <c r="A553" s="57">
        <v>1552</v>
      </c>
      <c r="B553" t="s">
        <v>2847</v>
      </c>
      <c r="C553" t="s">
        <v>2848</v>
      </c>
      <c r="D553" s="12">
        <v>46303</v>
      </c>
      <c r="E553" s="11">
        <v>16</v>
      </c>
      <c r="F553" s="11" t="s">
        <v>5409</v>
      </c>
      <c r="G553">
        <v>20230401</v>
      </c>
      <c r="I553" s="11" t="s">
        <v>63</v>
      </c>
      <c r="J553" s="72">
        <v>90532725</v>
      </c>
      <c r="K553" s="99">
        <f>_xlfn.XLOOKUP(_2__ROI_Daily_Update[[#This Row],[CSM id]],SHP!F:F,SHP!EE:EE,"-")</f>
        <v>0</v>
      </c>
      <c r="L553" s="12"/>
      <c r="N553" s="11"/>
      <c r="P553"/>
      <c r="Q553"/>
      <c r="W553" s="28"/>
      <c r="AA553"/>
    </row>
    <row r="554" spans="1:27" x14ac:dyDescent="0.45">
      <c r="A554" s="57">
        <v>1881</v>
      </c>
      <c r="B554" t="s">
        <v>3723</v>
      </c>
      <c r="C554" t="s">
        <v>3724</v>
      </c>
      <c r="D554" s="12">
        <v>46303</v>
      </c>
      <c r="E554" s="11">
        <v>16</v>
      </c>
      <c r="F554" s="11" t="s">
        <v>5905</v>
      </c>
      <c r="G554">
        <v>20250401</v>
      </c>
      <c r="I554" s="11" t="s">
        <v>63</v>
      </c>
      <c r="J554" s="72">
        <v>10578251</v>
      </c>
      <c r="K554" s="99">
        <f>_xlfn.XLOOKUP(_2__ROI_Daily_Update[[#This Row],[CSM id]],SHP!F:F,SHP!EE:EE,"-")</f>
        <v>0</v>
      </c>
      <c r="L554" s="12"/>
      <c r="N554" s="11"/>
      <c r="P554"/>
      <c r="Q554"/>
      <c r="W554" s="28"/>
      <c r="AA554"/>
    </row>
    <row r="555" spans="1:27" x14ac:dyDescent="0.45">
      <c r="A555" s="57">
        <v>1881</v>
      </c>
      <c r="B555" t="s">
        <v>3721</v>
      </c>
      <c r="C555" t="s">
        <v>3722</v>
      </c>
      <c r="D555" s="12">
        <v>46303</v>
      </c>
      <c r="E555" s="11">
        <v>144</v>
      </c>
      <c r="F555" s="11" t="s">
        <v>5905</v>
      </c>
      <c r="G555">
        <v>20250101</v>
      </c>
      <c r="I555" s="11" t="s">
        <v>63</v>
      </c>
      <c r="J555" s="72">
        <v>573230</v>
      </c>
      <c r="K555" s="99">
        <f>_xlfn.XLOOKUP(_2__ROI_Daily_Update[[#This Row],[CSM id]],SHP!F:F,SHP!EE:EE,"-")</f>
        <v>0</v>
      </c>
      <c r="L555" s="12"/>
      <c r="N555" s="11"/>
      <c r="P555"/>
      <c r="Q555"/>
      <c r="W555" s="28"/>
      <c r="AA555"/>
    </row>
    <row r="556" spans="1:27" x14ac:dyDescent="0.45">
      <c r="A556" s="57">
        <v>1014</v>
      </c>
      <c r="B556" t="s">
        <v>1138</v>
      </c>
      <c r="C556" t="s">
        <v>1139</v>
      </c>
      <c r="D556" s="12">
        <v>46303</v>
      </c>
      <c r="E556" s="11">
        <v>8</v>
      </c>
      <c r="F556" s="11" t="s">
        <v>5906</v>
      </c>
      <c r="G556">
        <v>20250101</v>
      </c>
      <c r="I556" s="11" t="s">
        <v>63</v>
      </c>
      <c r="J556" s="72">
        <v>90513736</v>
      </c>
      <c r="K556" s="99">
        <f>_xlfn.XLOOKUP(_2__ROI_Daily_Update[[#This Row],[CSM id]],SHP!F:F,SHP!EE:EE,"-")</f>
        <v>0</v>
      </c>
      <c r="L556" s="12"/>
      <c r="N556" s="11"/>
      <c r="P556"/>
      <c r="Q556"/>
      <c r="W556" s="28"/>
      <c r="AA556"/>
    </row>
    <row r="557" spans="1:27" x14ac:dyDescent="0.45">
      <c r="A557" s="57">
        <v>1016</v>
      </c>
      <c r="B557" t="s">
        <v>1140</v>
      </c>
      <c r="C557" t="s">
        <v>1141</v>
      </c>
      <c r="D557" s="12">
        <v>46303</v>
      </c>
      <c r="E557" s="11">
        <v>114</v>
      </c>
      <c r="F557" s="11" t="s">
        <v>5910</v>
      </c>
      <c r="G557">
        <v>20260401</v>
      </c>
      <c r="I557" s="11" t="s">
        <v>63</v>
      </c>
      <c r="J557" s="72">
        <v>612854</v>
      </c>
      <c r="K557" s="99">
        <f>_xlfn.XLOOKUP(_2__ROI_Daily_Update[[#This Row],[CSM id]],SHP!F:F,SHP!EE:EE,"-")</f>
        <v>0</v>
      </c>
      <c r="L557" s="12"/>
      <c r="N557" s="11"/>
      <c r="P557"/>
      <c r="Q557"/>
      <c r="W557" s="28"/>
      <c r="AA557"/>
    </row>
    <row r="558" spans="1:27" x14ac:dyDescent="0.45">
      <c r="A558" s="57">
        <v>216</v>
      </c>
      <c r="B558" t="s">
        <v>60</v>
      </c>
      <c r="C558" t="s">
        <v>61</v>
      </c>
      <c r="D558" s="12">
        <v>46303</v>
      </c>
      <c r="E558" s="11">
        <v>36</v>
      </c>
      <c r="F558" s="11" t="s">
        <v>5905</v>
      </c>
      <c r="G558">
        <v>20251001</v>
      </c>
      <c r="I558" s="11" t="s">
        <v>63</v>
      </c>
      <c r="J558" s="72">
        <v>80595799</v>
      </c>
      <c r="K558" s="99">
        <f>_xlfn.XLOOKUP(_2__ROI_Daily_Update[[#This Row],[CSM id]],SHP!F:F,SHP!EE:EE,"-")</f>
        <v>0</v>
      </c>
      <c r="L558" s="12"/>
      <c r="N558" s="11"/>
      <c r="P558"/>
      <c r="Q558"/>
      <c r="W558" s="28"/>
      <c r="AA558"/>
    </row>
    <row r="559" spans="1:27" x14ac:dyDescent="0.45">
      <c r="A559" s="57">
        <v>1642</v>
      </c>
      <c r="B559" t="s">
        <v>3213</v>
      </c>
      <c r="C559" t="s">
        <v>3214</v>
      </c>
      <c r="D559" s="12">
        <v>46303</v>
      </c>
      <c r="E559" s="11">
        <v>18</v>
      </c>
      <c r="F559" s="11" t="s">
        <v>5911</v>
      </c>
      <c r="G559">
        <v>20260701</v>
      </c>
      <c r="H559" s="12">
        <v>46388</v>
      </c>
      <c r="I559" s="11" t="s">
        <v>63</v>
      </c>
      <c r="J559" s="72">
        <v>80624018</v>
      </c>
      <c r="K559" s="99">
        <f>_xlfn.XLOOKUP(_2__ROI_Daily_Update[[#This Row],[CSM id]],SHP!F:F,SHP!EE:EE,"-")</f>
        <v>0</v>
      </c>
      <c r="L559" s="12"/>
      <c r="N559" s="11"/>
      <c r="P559"/>
      <c r="Q559"/>
      <c r="W559" s="28"/>
      <c r="AA559"/>
    </row>
    <row r="560" spans="1:27" x14ac:dyDescent="0.45">
      <c r="A560" s="57">
        <v>1552</v>
      </c>
      <c r="B560" t="s">
        <v>2841</v>
      </c>
      <c r="C560" t="s">
        <v>2842</v>
      </c>
      <c r="D560" s="12">
        <v>46303</v>
      </c>
      <c r="E560" s="11">
        <v>24</v>
      </c>
      <c r="F560" s="11" t="s">
        <v>5409</v>
      </c>
      <c r="G560">
        <v>20150401</v>
      </c>
      <c r="I560" s="11" t="s">
        <v>63</v>
      </c>
      <c r="J560" s="72">
        <v>60297847</v>
      </c>
      <c r="K560" s="99">
        <f>_xlfn.XLOOKUP(_2__ROI_Daily_Update[[#This Row],[CSM id]],SHP!F:F,SHP!EE:EE,"-")</f>
        <v>0</v>
      </c>
      <c r="L560" s="12"/>
      <c r="N560" s="11"/>
      <c r="P560"/>
      <c r="Q560"/>
      <c r="W560" s="28"/>
      <c r="AA560"/>
    </row>
    <row r="561" spans="1:27" x14ac:dyDescent="0.45">
      <c r="A561" s="57">
        <v>1016</v>
      </c>
      <c r="B561" t="s">
        <v>1142</v>
      </c>
      <c r="C561" t="s">
        <v>1143</v>
      </c>
      <c r="D561" s="12">
        <v>46303</v>
      </c>
      <c r="E561" s="11">
        <v>6</v>
      </c>
      <c r="F561" s="11" t="s">
        <v>5911</v>
      </c>
      <c r="G561">
        <v>20260701</v>
      </c>
      <c r="I561" s="11" t="s">
        <v>63</v>
      </c>
      <c r="J561" s="72">
        <v>60610852</v>
      </c>
      <c r="K561" s="99">
        <f>_xlfn.XLOOKUP(_2__ROI_Daily_Update[[#This Row],[CSM id]],SHP!F:F,SHP!EE:EE,"-")</f>
        <v>0</v>
      </c>
      <c r="L561" s="12"/>
      <c r="N561" s="11"/>
      <c r="P561"/>
      <c r="Q561"/>
      <c r="W561" s="28"/>
      <c r="AA561"/>
    </row>
    <row r="562" spans="1:27" x14ac:dyDescent="0.45">
      <c r="A562" s="57">
        <v>1621</v>
      </c>
      <c r="B562" t="s">
        <v>2851</v>
      </c>
      <c r="C562" t="s">
        <v>2852</v>
      </c>
      <c r="D562" s="12">
        <v>46303</v>
      </c>
      <c r="E562" s="11">
        <v>10</v>
      </c>
      <c r="F562" s="11" t="s">
        <v>5908</v>
      </c>
      <c r="G562">
        <v>20261001</v>
      </c>
      <c r="I562" s="11" t="s">
        <v>63</v>
      </c>
      <c r="J562" s="72">
        <v>10642582</v>
      </c>
      <c r="K562" s="99">
        <f>_xlfn.XLOOKUP(_2__ROI_Daily_Update[[#This Row],[CSM id]],SHP!F:F,SHP!EE:EE,"-")</f>
        <v>0</v>
      </c>
      <c r="L562" s="12"/>
      <c r="N562" s="11"/>
      <c r="P562"/>
      <c r="Q562"/>
      <c r="W562" s="28"/>
      <c r="AA562"/>
    </row>
    <row r="563" spans="1:27" x14ac:dyDescent="0.45">
      <c r="A563" s="57">
        <v>1016</v>
      </c>
      <c r="B563" t="s">
        <v>1144</v>
      </c>
      <c r="C563" t="s">
        <v>1145</v>
      </c>
      <c r="D563" s="12">
        <v>46303</v>
      </c>
      <c r="E563" s="11">
        <v>60</v>
      </c>
      <c r="F563" s="11" t="s">
        <v>5910</v>
      </c>
      <c r="G563">
        <v>20190801</v>
      </c>
      <c r="I563" s="11" t="s">
        <v>63</v>
      </c>
      <c r="J563" s="72">
        <v>90350126</v>
      </c>
      <c r="K563" s="99">
        <f>_xlfn.XLOOKUP(_2__ROI_Daily_Update[[#This Row],[CSM id]],SHP!F:F,SHP!EE:EE,"-")</f>
        <v>0</v>
      </c>
      <c r="L563" s="12"/>
      <c r="N563" s="11"/>
      <c r="P563"/>
      <c r="Q563"/>
      <c r="W563" s="28"/>
      <c r="AA563"/>
    </row>
    <row r="564" spans="1:27" x14ac:dyDescent="0.45">
      <c r="A564" s="57">
        <v>1011</v>
      </c>
      <c r="B564" t="s">
        <v>1024</v>
      </c>
      <c r="C564" t="s">
        <v>1025</v>
      </c>
      <c r="D564" s="12">
        <v>46303</v>
      </c>
      <c r="E564" s="11">
        <v>16</v>
      </c>
      <c r="F564" s="11" t="s">
        <v>5905</v>
      </c>
      <c r="G564">
        <v>20210201</v>
      </c>
      <c r="I564" s="11" t="s">
        <v>63</v>
      </c>
      <c r="J564" s="72">
        <v>50455489</v>
      </c>
      <c r="K564" s="99">
        <f>_xlfn.XLOOKUP(_2__ROI_Daily_Update[[#This Row],[CSM id]],SHP!F:F,SHP!EE:EE,"-")</f>
        <v>0</v>
      </c>
      <c r="L564" s="12"/>
      <c r="N564" s="11"/>
      <c r="P564"/>
      <c r="Q564"/>
      <c r="W564" s="28"/>
      <c r="AA564"/>
    </row>
    <row r="565" spans="1:27" x14ac:dyDescent="0.45">
      <c r="A565" s="57">
        <v>1551</v>
      </c>
      <c r="B565" t="s">
        <v>2833</v>
      </c>
      <c r="C565" t="s">
        <v>2834</v>
      </c>
      <c r="D565" s="12">
        <v>46303</v>
      </c>
      <c r="E565" s="11">
        <v>60</v>
      </c>
      <c r="F565" s="11" t="s">
        <v>5409</v>
      </c>
      <c r="G565">
        <v>20251001</v>
      </c>
      <c r="I565" s="11" t="s">
        <v>63</v>
      </c>
      <c r="J565" s="72">
        <v>90603690</v>
      </c>
      <c r="K565" s="99">
        <f>_xlfn.XLOOKUP(_2__ROI_Daily_Update[[#This Row],[CSM id]],SHP!F:F,SHP!EE:EE,"-")</f>
        <v>0</v>
      </c>
      <c r="L565" s="12"/>
      <c r="N565" s="11"/>
      <c r="P565"/>
      <c r="Q565"/>
      <c r="W565" s="28"/>
      <c r="AA565"/>
    </row>
    <row r="566" spans="1:27" x14ac:dyDescent="0.45">
      <c r="A566" s="57">
        <v>1643</v>
      </c>
      <c r="B566" t="s">
        <v>3217</v>
      </c>
      <c r="C566" t="s">
        <v>3218</v>
      </c>
      <c r="D566" s="12">
        <v>46303</v>
      </c>
      <c r="E566" s="11">
        <v>126</v>
      </c>
      <c r="F566" s="11" t="s">
        <v>5905</v>
      </c>
      <c r="G566">
        <v>20260401</v>
      </c>
      <c r="I566" s="11" t="s">
        <v>63</v>
      </c>
      <c r="J566" s="72">
        <v>619704</v>
      </c>
      <c r="K566" s="99">
        <f>_xlfn.XLOOKUP(_2__ROI_Daily_Update[[#This Row],[CSM id]],SHP!F:F,SHP!EE:EE,"-")</f>
        <v>0</v>
      </c>
      <c r="L566" s="12"/>
      <c r="N566" s="11"/>
      <c r="P566"/>
      <c r="Q566"/>
      <c r="W566" s="28"/>
      <c r="AA566"/>
    </row>
    <row r="567" spans="1:27" x14ac:dyDescent="0.45">
      <c r="A567" s="57">
        <v>1018</v>
      </c>
      <c r="B567" t="s">
        <v>1150</v>
      </c>
      <c r="C567" t="s">
        <v>1151</v>
      </c>
      <c r="D567" s="12">
        <v>46303</v>
      </c>
      <c r="E567" s="11">
        <v>27</v>
      </c>
      <c r="F567" s="11" t="s">
        <v>5906</v>
      </c>
      <c r="G567">
        <v>20260201</v>
      </c>
      <c r="I567" s="11" t="s">
        <v>63</v>
      </c>
      <c r="J567" s="72">
        <v>20603523</v>
      </c>
      <c r="K567" s="99">
        <f>_xlfn.XLOOKUP(_2__ROI_Daily_Update[[#This Row],[CSM id]],SHP!F:F,SHP!EE:EE,"-")</f>
        <v>0</v>
      </c>
      <c r="L567" s="12"/>
      <c r="N567" s="11"/>
      <c r="P567"/>
      <c r="Q567"/>
      <c r="W567" s="28"/>
      <c r="AA567"/>
    </row>
    <row r="568" spans="1:27" x14ac:dyDescent="0.45">
      <c r="A568" s="57">
        <v>1551</v>
      </c>
      <c r="B568" t="s">
        <v>2829</v>
      </c>
      <c r="C568" t="s">
        <v>2830</v>
      </c>
      <c r="D568" s="12">
        <v>46303</v>
      </c>
      <c r="E568" s="11">
        <v>60</v>
      </c>
      <c r="F568" s="11" t="s">
        <v>5409</v>
      </c>
      <c r="G568">
        <v>20261001</v>
      </c>
      <c r="I568" s="11" t="s">
        <v>63</v>
      </c>
      <c r="J568" s="72">
        <v>80635502</v>
      </c>
      <c r="K568" s="99">
        <f>_xlfn.XLOOKUP(_2__ROI_Daily_Update[[#This Row],[CSM id]],SHP!F:F,SHP!EE:EE,"-")</f>
        <v>0</v>
      </c>
      <c r="L568" s="12"/>
      <c r="N568" s="11"/>
      <c r="P568"/>
      <c r="Q568"/>
      <c r="W568" s="28"/>
      <c r="AA568"/>
    </row>
    <row r="569" spans="1:27" x14ac:dyDescent="0.45">
      <c r="A569" s="57">
        <v>1551</v>
      </c>
      <c r="B569" t="s">
        <v>2827</v>
      </c>
      <c r="C569" t="s">
        <v>2828</v>
      </c>
      <c r="D569" s="12">
        <v>46303</v>
      </c>
      <c r="E569" s="11">
        <v>48</v>
      </c>
      <c r="F569" s="11" t="s">
        <v>5404</v>
      </c>
      <c r="G569">
        <v>20260801</v>
      </c>
      <c r="H569" s="12">
        <v>46388</v>
      </c>
      <c r="I569" s="11" t="s">
        <v>63</v>
      </c>
      <c r="J569" s="72">
        <v>70633018</v>
      </c>
      <c r="K569" s="99">
        <f>_xlfn.XLOOKUP(_2__ROI_Daily_Update[[#This Row],[CSM id]],SHP!F:F,SHP!EE:EE,"-")</f>
        <v>0</v>
      </c>
      <c r="L569" s="12"/>
      <c r="N569" s="11"/>
      <c r="P569"/>
      <c r="Q569"/>
      <c r="W569" s="28"/>
      <c r="AA569"/>
    </row>
    <row r="570" spans="1:27" x14ac:dyDescent="0.45">
      <c r="A570" s="57">
        <v>231</v>
      </c>
      <c r="B570" t="s">
        <v>95</v>
      </c>
      <c r="C570" t="s">
        <v>96</v>
      </c>
      <c r="D570" s="12">
        <v>46303</v>
      </c>
      <c r="E570" s="11">
        <v>24</v>
      </c>
      <c r="F570" s="11" t="s">
        <v>5910</v>
      </c>
      <c r="G570">
        <v>20260701</v>
      </c>
      <c r="I570" s="11" t="s">
        <v>63</v>
      </c>
      <c r="J570" s="72">
        <v>10625525</v>
      </c>
      <c r="K570" s="99">
        <f>_xlfn.XLOOKUP(_2__ROI_Daily_Update[[#This Row],[CSM id]],SHP!F:F,SHP!EE:EE,"-")</f>
        <v>0</v>
      </c>
      <c r="L570" s="12"/>
      <c r="N570" s="11"/>
      <c r="P570"/>
      <c r="Q570"/>
      <c r="W570" s="28"/>
      <c r="AA570"/>
    </row>
    <row r="571" spans="1:27" x14ac:dyDescent="0.45">
      <c r="A571" s="57">
        <v>1551</v>
      </c>
      <c r="B571" t="s">
        <v>2823</v>
      </c>
      <c r="C571" t="s">
        <v>2824</v>
      </c>
      <c r="D571" s="12">
        <v>46303</v>
      </c>
      <c r="E571" s="11">
        <v>72</v>
      </c>
      <c r="F571" s="11" t="s">
        <v>5404</v>
      </c>
      <c r="G571">
        <v>20261001</v>
      </c>
      <c r="I571" s="11" t="s">
        <v>63</v>
      </c>
      <c r="J571" s="72">
        <v>60636531</v>
      </c>
      <c r="K571" s="99">
        <f>_xlfn.XLOOKUP(_2__ROI_Daily_Update[[#This Row],[CSM id]],SHP!F:F,SHP!EE:EE,"-")</f>
        <v>0</v>
      </c>
      <c r="L571" s="12"/>
      <c r="N571" s="11"/>
      <c r="P571"/>
      <c r="Q571"/>
      <c r="W571" s="28"/>
      <c r="AA571"/>
    </row>
    <row r="572" spans="1:27" x14ac:dyDescent="0.45">
      <c r="A572" s="57">
        <v>241</v>
      </c>
      <c r="B572" t="s">
        <v>337</v>
      </c>
      <c r="C572" t="s">
        <v>338</v>
      </c>
      <c r="D572" s="12">
        <v>46303</v>
      </c>
      <c r="E572" s="11">
        <v>9</v>
      </c>
      <c r="F572" s="11" t="s">
        <v>5911</v>
      </c>
      <c r="G572">
        <v>20170201</v>
      </c>
      <c r="I572" s="11" t="s">
        <v>63</v>
      </c>
      <c r="J572" s="72">
        <v>20334663</v>
      </c>
      <c r="K572" s="99">
        <f>_xlfn.XLOOKUP(_2__ROI_Daily_Update[[#This Row],[CSM id]],SHP!F:F,SHP!EE:EE,"-")</f>
        <v>0</v>
      </c>
      <c r="L572" s="12"/>
      <c r="N572" s="11"/>
      <c r="P572"/>
      <c r="Q572"/>
      <c r="W572" s="28"/>
      <c r="AA572"/>
    </row>
    <row r="573" spans="1:27" x14ac:dyDescent="0.45">
      <c r="A573" s="57">
        <v>1852</v>
      </c>
      <c r="B573" t="s">
        <v>3719</v>
      </c>
      <c r="C573" t="s">
        <v>3720</v>
      </c>
      <c r="D573" s="12">
        <v>46303</v>
      </c>
      <c r="E573" s="11">
        <v>30</v>
      </c>
      <c r="F573" s="11" t="s">
        <v>5907</v>
      </c>
      <c r="G573">
        <v>20250701</v>
      </c>
      <c r="H573" s="12">
        <v>46388</v>
      </c>
      <c r="I573" s="11" t="s">
        <v>63</v>
      </c>
      <c r="J573" s="72">
        <v>90595949</v>
      </c>
      <c r="K573" s="99">
        <f>_xlfn.XLOOKUP(_2__ROI_Daily_Update[[#This Row],[CSM id]],SHP!F:F,SHP!EE:EE,"-")</f>
        <v>0</v>
      </c>
      <c r="L573" s="12"/>
      <c r="N573" s="11"/>
      <c r="P573"/>
      <c r="Q573"/>
      <c r="W573" s="28"/>
      <c r="AA573"/>
    </row>
    <row r="574" spans="1:27" x14ac:dyDescent="0.45">
      <c r="A574" s="57">
        <v>1018</v>
      </c>
      <c r="B574" t="s">
        <v>1152</v>
      </c>
      <c r="C574" t="s">
        <v>1153</v>
      </c>
      <c r="D574" s="12">
        <v>46303</v>
      </c>
      <c r="E574" s="11">
        <v>12</v>
      </c>
      <c r="F574" s="11" t="s">
        <v>5905</v>
      </c>
      <c r="G574">
        <v>20200801</v>
      </c>
      <c r="H574" s="12">
        <v>46569</v>
      </c>
      <c r="I574" s="11" t="s">
        <v>63</v>
      </c>
      <c r="J574" s="72">
        <v>40487754</v>
      </c>
      <c r="K574" s="99">
        <f>_xlfn.XLOOKUP(_2__ROI_Daily_Update[[#This Row],[CSM id]],SHP!F:F,SHP!EE:EE,"-")</f>
        <v>0</v>
      </c>
      <c r="L574" s="12"/>
      <c r="N574" s="11"/>
      <c r="P574"/>
      <c r="Q574"/>
      <c r="W574" s="28"/>
      <c r="AA574"/>
    </row>
    <row r="575" spans="1:27" x14ac:dyDescent="0.45">
      <c r="A575" s="57">
        <v>1018</v>
      </c>
      <c r="B575" t="s">
        <v>1146</v>
      </c>
      <c r="C575" t="s">
        <v>1147</v>
      </c>
      <c r="D575" s="12">
        <v>46303</v>
      </c>
      <c r="E575" s="11">
        <v>24</v>
      </c>
      <c r="F575" s="11" t="s">
        <v>5910</v>
      </c>
      <c r="G575">
        <v>20200201</v>
      </c>
      <c r="I575" s="11" t="s">
        <v>63</v>
      </c>
      <c r="J575" s="72">
        <v>20440786</v>
      </c>
      <c r="K575" s="99">
        <f>_xlfn.XLOOKUP(_2__ROI_Daily_Update[[#This Row],[CSM id]],SHP!F:F,SHP!EE:EE,"-")</f>
        <v>0</v>
      </c>
      <c r="L575" s="12"/>
      <c r="N575" s="11"/>
      <c r="P575"/>
      <c r="Q575"/>
      <c r="W575" s="28"/>
      <c r="AA575"/>
    </row>
    <row r="576" spans="1:27" x14ac:dyDescent="0.45">
      <c r="A576" s="57">
        <v>1551</v>
      </c>
      <c r="B576" t="s">
        <v>2817</v>
      </c>
      <c r="C576" t="s">
        <v>2818</v>
      </c>
      <c r="D576" s="12">
        <v>46303</v>
      </c>
      <c r="E576" s="11">
        <v>48</v>
      </c>
      <c r="F576" s="11" t="s">
        <v>5404</v>
      </c>
      <c r="G576">
        <v>20260801</v>
      </c>
      <c r="H576" s="12">
        <v>46388</v>
      </c>
      <c r="I576" s="11" t="s">
        <v>63</v>
      </c>
      <c r="J576" s="72">
        <v>50633019</v>
      </c>
      <c r="K576" s="99">
        <f>_xlfn.XLOOKUP(_2__ROI_Daily_Update[[#This Row],[CSM id]],SHP!F:F,SHP!EE:EE,"-")</f>
        <v>0</v>
      </c>
      <c r="L576" s="12"/>
      <c r="N576" s="11"/>
      <c r="P576"/>
      <c r="Q576"/>
      <c r="W576" s="28"/>
      <c r="AA576"/>
    </row>
    <row r="577" spans="1:27" x14ac:dyDescent="0.45">
      <c r="A577" s="57">
        <v>1881</v>
      </c>
      <c r="B577" t="s">
        <v>3725</v>
      </c>
      <c r="C577" t="s">
        <v>3726</v>
      </c>
      <c r="D577" s="12">
        <v>46303</v>
      </c>
      <c r="E577" s="11">
        <v>220</v>
      </c>
      <c r="F577" s="11" t="s">
        <v>5910</v>
      </c>
      <c r="G577">
        <v>20231001</v>
      </c>
      <c r="I577" s="11" t="s">
        <v>63</v>
      </c>
      <c r="J577" s="72">
        <v>50568085</v>
      </c>
      <c r="K577" s="99">
        <f>_xlfn.XLOOKUP(_2__ROI_Daily_Update[[#This Row],[CSM id]],SHP!F:F,SHP!EE:EE,"-")</f>
        <v>0</v>
      </c>
      <c r="L577" s="12"/>
      <c r="N577" s="11"/>
      <c r="P577"/>
      <c r="Q577"/>
      <c r="W577" s="28"/>
      <c r="AA577"/>
    </row>
    <row r="578" spans="1:27" x14ac:dyDescent="0.45">
      <c r="A578" s="57">
        <v>1014</v>
      </c>
      <c r="B578" t="s">
        <v>1136</v>
      </c>
      <c r="C578" t="s">
        <v>1137</v>
      </c>
      <c r="D578" s="12">
        <v>46303</v>
      </c>
      <c r="E578" s="11">
        <v>4</v>
      </c>
      <c r="F578" s="11" t="s">
        <v>5906</v>
      </c>
      <c r="G578">
        <v>20260101</v>
      </c>
      <c r="I578" s="11" t="s">
        <v>63</v>
      </c>
      <c r="J578" s="72">
        <v>80601583</v>
      </c>
      <c r="K578" s="99">
        <f>_xlfn.XLOOKUP(_2__ROI_Daily_Update[[#This Row],[CSM id]],SHP!F:F,SHP!EE:EE,"-")</f>
        <v>0</v>
      </c>
      <c r="L578" s="12"/>
      <c r="N578" s="11"/>
      <c r="P578"/>
      <c r="Q578"/>
      <c r="W578" s="28"/>
      <c r="AA578"/>
    </row>
    <row r="579" spans="1:27" x14ac:dyDescent="0.45">
      <c r="A579" s="57">
        <v>1623</v>
      </c>
      <c r="B579" t="s">
        <v>2922</v>
      </c>
      <c r="C579" t="s">
        <v>2923</v>
      </c>
      <c r="D579" s="12">
        <v>46303</v>
      </c>
      <c r="E579" s="11">
        <v>40</v>
      </c>
      <c r="F579" s="11" t="s">
        <v>5906</v>
      </c>
      <c r="G579">
        <v>20260701</v>
      </c>
      <c r="I579" s="11" t="s">
        <v>63</v>
      </c>
      <c r="J579" s="72">
        <v>90630066</v>
      </c>
      <c r="K579" s="99">
        <f>_xlfn.XLOOKUP(_2__ROI_Daily_Update[[#This Row],[CSM id]],SHP!F:F,SHP!EE:EE,"-")</f>
        <v>0</v>
      </c>
      <c r="L579" s="12"/>
      <c r="N579" s="11"/>
      <c r="P579"/>
      <c r="Q579"/>
      <c r="W579" s="28"/>
      <c r="AA579"/>
    </row>
    <row r="580" spans="1:27" x14ac:dyDescent="0.45">
      <c r="A580" s="57">
        <v>215</v>
      </c>
      <c r="B580" t="s">
        <v>263</v>
      </c>
      <c r="C580" t="s">
        <v>264</v>
      </c>
      <c r="D580" s="12">
        <v>46303</v>
      </c>
      <c r="E580" s="11">
        <v>36</v>
      </c>
      <c r="F580" s="11" t="s">
        <v>5910</v>
      </c>
      <c r="G580">
        <v>20260701</v>
      </c>
      <c r="H580" s="12">
        <v>46569</v>
      </c>
      <c r="I580" s="11" t="s">
        <v>63</v>
      </c>
      <c r="J580" s="72">
        <v>10621481</v>
      </c>
      <c r="K580" s="99">
        <f>_xlfn.XLOOKUP(_2__ROI_Daily_Update[[#This Row],[CSM id]],SHP!F:F,SHP!EE:EE,"-")</f>
        <v>0</v>
      </c>
      <c r="L580" s="12"/>
      <c r="N580" s="11"/>
      <c r="P580"/>
      <c r="Q580"/>
      <c r="W580" s="28"/>
      <c r="AA580"/>
    </row>
    <row r="581" spans="1:27" x14ac:dyDescent="0.45">
      <c r="A581" s="57">
        <v>1014</v>
      </c>
      <c r="B581" t="s">
        <v>1130</v>
      </c>
      <c r="C581" t="s">
        <v>1131</v>
      </c>
      <c r="D581" s="12">
        <v>46303</v>
      </c>
      <c r="E581" s="11">
        <v>4</v>
      </c>
      <c r="F581" s="11" t="s">
        <v>5905</v>
      </c>
      <c r="G581">
        <v>20250401</v>
      </c>
      <c r="I581" s="11" t="s">
        <v>63</v>
      </c>
      <c r="J581" s="72">
        <v>40592514</v>
      </c>
      <c r="K581" s="99">
        <f>_xlfn.XLOOKUP(_2__ROI_Daily_Update[[#This Row],[CSM id]],SHP!F:F,SHP!EE:EE,"-")</f>
        <v>0</v>
      </c>
      <c r="L581" s="12"/>
      <c r="N581" s="11"/>
      <c r="P581"/>
      <c r="Q581"/>
      <c r="W581" s="28"/>
      <c r="AA581"/>
    </row>
    <row r="582" spans="1:27" x14ac:dyDescent="0.45">
      <c r="A582" s="57">
        <v>1623</v>
      </c>
      <c r="B582" t="s">
        <v>2916</v>
      </c>
      <c r="C582" t="s">
        <v>2917</v>
      </c>
      <c r="D582" s="12">
        <v>46303</v>
      </c>
      <c r="E582" s="11">
        <v>8</v>
      </c>
      <c r="F582" s="11" t="s">
        <v>5906</v>
      </c>
      <c r="G582">
        <v>20260701</v>
      </c>
      <c r="I582" s="11" t="s">
        <v>63</v>
      </c>
      <c r="J582" s="72">
        <v>20626398</v>
      </c>
      <c r="K582" s="99">
        <f>_xlfn.XLOOKUP(_2__ROI_Daily_Update[[#This Row],[CSM id]],SHP!F:F,SHP!EE:EE,"-")</f>
        <v>0</v>
      </c>
      <c r="L582" s="12"/>
      <c r="N582" s="11"/>
      <c r="P582"/>
      <c r="Q582"/>
      <c r="W582" s="28"/>
      <c r="AA582"/>
    </row>
    <row r="583" spans="1:27" x14ac:dyDescent="0.45">
      <c r="A583" s="57">
        <v>1014</v>
      </c>
      <c r="B583" t="s">
        <v>1132</v>
      </c>
      <c r="C583" t="s">
        <v>1133</v>
      </c>
      <c r="D583" s="12">
        <v>46303</v>
      </c>
      <c r="E583" s="11">
        <v>12</v>
      </c>
      <c r="F583" s="11" t="s">
        <v>5905</v>
      </c>
      <c r="G583">
        <v>20140801</v>
      </c>
      <c r="I583" s="11" t="s">
        <v>63</v>
      </c>
      <c r="J583" s="72">
        <v>70284298</v>
      </c>
      <c r="K583" s="99">
        <f>_xlfn.XLOOKUP(_2__ROI_Daily_Update[[#This Row],[CSM id]],SHP!F:F,SHP!EE:EE,"-")</f>
        <v>0</v>
      </c>
      <c r="L583" s="12"/>
      <c r="N583" s="11"/>
      <c r="P583"/>
      <c r="Q583"/>
      <c r="W583" s="28"/>
      <c r="AA583"/>
    </row>
    <row r="584" spans="1:27" x14ac:dyDescent="0.45">
      <c r="A584" s="57">
        <v>1623</v>
      </c>
      <c r="B584" t="s">
        <v>2914</v>
      </c>
      <c r="C584" t="s">
        <v>2915</v>
      </c>
      <c r="D584" s="12">
        <v>46303</v>
      </c>
      <c r="E584" s="11">
        <v>8</v>
      </c>
      <c r="F584" s="11" t="s">
        <v>5905</v>
      </c>
      <c r="G584">
        <v>20260101</v>
      </c>
      <c r="I584" s="11" t="s">
        <v>63</v>
      </c>
      <c r="J584" s="72">
        <v>20610608</v>
      </c>
      <c r="K584" s="99">
        <f>_xlfn.XLOOKUP(_2__ROI_Daily_Update[[#This Row],[CSM id]],SHP!F:F,SHP!EE:EE,"-")</f>
        <v>0</v>
      </c>
      <c r="L584" s="12"/>
      <c r="N584" s="11"/>
      <c r="P584"/>
      <c r="Q584"/>
      <c r="W584" s="28"/>
      <c r="AA584"/>
    </row>
    <row r="585" spans="1:27" x14ac:dyDescent="0.45">
      <c r="A585" s="57">
        <v>215</v>
      </c>
      <c r="B585" t="s">
        <v>295</v>
      </c>
      <c r="C585" t="s">
        <v>296</v>
      </c>
      <c r="D585" s="12">
        <v>46303</v>
      </c>
      <c r="E585" s="11">
        <v>28</v>
      </c>
      <c r="F585" s="11" t="s">
        <v>5909</v>
      </c>
      <c r="G585">
        <v>20211001</v>
      </c>
      <c r="I585" s="11" t="s">
        <v>18</v>
      </c>
      <c r="J585" s="72">
        <v>90487817</v>
      </c>
      <c r="K585" s="99">
        <f>_xlfn.XLOOKUP(_2__ROI_Daily_Update[[#This Row],[CSM id]],SHP!F:F,SHP!EE:EE,"-")</f>
        <v>0</v>
      </c>
      <c r="L585" s="12"/>
      <c r="N585" s="11"/>
      <c r="P585"/>
      <c r="Q585"/>
      <c r="W585" s="28"/>
      <c r="AA585"/>
    </row>
    <row r="586" spans="1:27" x14ac:dyDescent="0.45">
      <c r="A586" s="57">
        <v>1623</v>
      </c>
      <c r="B586" t="s">
        <v>2913</v>
      </c>
      <c r="C586" t="s">
        <v>6798</v>
      </c>
      <c r="D586" s="12">
        <v>46303</v>
      </c>
      <c r="E586" s="11">
        <v>55</v>
      </c>
      <c r="F586" s="11" t="s">
        <v>5905</v>
      </c>
      <c r="G586">
        <v>20260701</v>
      </c>
      <c r="I586" s="11" t="s">
        <v>63</v>
      </c>
      <c r="J586" s="72">
        <v>10630065</v>
      </c>
      <c r="K586" s="99">
        <f>_xlfn.XLOOKUP(_2__ROI_Daily_Update[[#This Row],[CSM id]],SHP!F:F,SHP!EE:EE,"-")</f>
        <v>0</v>
      </c>
      <c r="L586" s="12"/>
      <c r="N586" s="11"/>
      <c r="P586"/>
      <c r="Q586"/>
      <c r="W586" s="28"/>
      <c r="AA586"/>
    </row>
    <row r="587" spans="1:27" x14ac:dyDescent="0.45">
      <c r="A587" s="57">
        <v>1623</v>
      </c>
      <c r="B587" t="s">
        <v>2911</v>
      </c>
      <c r="C587" t="s">
        <v>2912</v>
      </c>
      <c r="D587" s="12">
        <v>46303</v>
      </c>
      <c r="E587" s="11">
        <v>6</v>
      </c>
      <c r="F587" s="11" t="s">
        <v>5905</v>
      </c>
      <c r="G587">
        <v>20250701</v>
      </c>
      <c r="H587" s="12">
        <v>46569</v>
      </c>
      <c r="I587" s="11" t="s">
        <v>63</v>
      </c>
      <c r="J587" s="72">
        <v>10600898</v>
      </c>
      <c r="K587" s="99">
        <f>_xlfn.XLOOKUP(_2__ROI_Daily_Update[[#This Row],[CSM id]],SHP!F:F,SHP!EE:EE,"-")</f>
        <v>0</v>
      </c>
      <c r="L587" s="12"/>
      <c r="N587" s="11"/>
      <c r="P587"/>
      <c r="Q587"/>
      <c r="W587" s="28"/>
      <c r="AA587"/>
    </row>
    <row r="588" spans="1:27" x14ac:dyDescent="0.45">
      <c r="A588" s="57">
        <v>1642</v>
      </c>
      <c r="B588" t="s">
        <v>3203</v>
      </c>
      <c r="C588" t="s">
        <v>3204</v>
      </c>
      <c r="D588" s="12">
        <v>46303</v>
      </c>
      <c r="E588" s="11">
        <v>5</v>
      </c>
      <c r="F588" s="11" t="s">
        <v>5911</v>
      </c>
      <c r="G588">
        <v>20260701</v>
      </c>
      <c r="I588" s="11" t="s">
        <v>63</v>
      </c>
      <c r="J588" s="72">
        <v>40623474</v>
      </c>
      <c r="K588" s="99">
        <f>_xlfn.XLOOKUP(_2__ROI_Daily_Update[[#This Row],[CSM id]],SHP!F:F,SHP!EE:EE,"-")</f>
        <v>0</v>
      </c>
      <c r="L588" s="12"/>
      <c r="N588" s="11"/>
      <c r="P588"/>
      <c r="Q588"/>
      <c r="W588" s="28"/>
      <c r="AA588"/>
    </row>
    <row r="589" spans="1:27" x14ac:dyDescent="0.45">
      <c r="A589" s="57">
        <v>1642</v>
      </c>
      <c r="B589" t="s">
        <v>3205</v>
      </c>
      <c r="C589" t="s">
        <v>3206</v>
      </c>
      <c r="D589" s="12">
        <v>46303</v>
      </c>
      <c r="E589" s="11">
        <v>16</v>
      </c>
      <c r="F589" s="11" t="s">
        <v>5907</v>
      </c>
      <c r="G589">
        <v>20250701</v>
      </c>
      <c r="I589" s="11" t="s">
        <v>63</v>
      </c>
      <c r="J589" s="72">
        <v>70601965</v>
      </c>
      <c r="K589" s="99">
        <f>_xlfn.XLOOKUP(_2__ROI_Daily_Update[[#This Row],[CSM id]],SHP!F:F,SHP!EE:EE,"-")</f>
        <v>0</v>
      </c>
      <c r="L589" s="12"/>
      <c r="N589" s="11"/>
      <c r="P589"/>
      <c r="Q589"/>
      <c r="W589" s="28"/>
      <c r="AA589"/>
    </row>
    <row r="590" spans="1:27" x14ac:dyDescent="0.45">
      <c r="A590" s="57">
        <v>1621</v>
      </c>
      <c r="B590" t="s">
        <v>2853</v>
      </c>
      <c r="C590" t="s">
        <v>2854</v>
      </c>
      <c r="D590" s="12">
        <v>46303</v>
      </c>
      <c r="E590" s="11">
        <v>30</v>
      </c>
      <c r="F590" s="11" t="s">
        <v>5906</v>
      </c>
      <c r="G590">
        <v>20210401</v>
      </c>
      <c r="I590" s="11" t="s">
        <v>63</v>
      </c>
      <c r="J590" s="72">
        <v>20478350</v>
      </c>
      <c r="K590" s="99">
        <f>_xlfn.XLOOKUP(_2__ROI_Daily_Update[[#This Row],[CSM id]],SHP!F:F,SHP!EE:EE,"-")</f>
        <v>0</v>
      </c>
      <c r="L590" s="12"/>
      <c r="N590" s="11"/>
      <c r="P590"/>
      <c r="Q590"/>
      <c r="W590" s="28"/>
      <c r="AA590"/>
    </row>
    <row r="591" spans="1:27" x14ac:dyDescent="0.45">
      <c r="A591" s="57">
        <v>1642</v>
      </c>
      <c r="B591" t="s">
        <v>3207</v>
      </c>
      <c r="C591" t="s">
        <v>3208</v>
      </c>
      <c r="D591" s="12">
        <v>46303</v>
      </c>
      <c r="E591" s="11">
        <v>9</v>
      </c>
      <c r="F591" s="11" t="s">
        <v>5907</v>
      </c>
      <c r="G591">
        <v>20260701</v>
      </c>
      <c r="H591" s="12">
        <v>46569</v>
      </c>
      <c r="I591" s="11" t="s">
        <v>63</v>
      </c>
      <c r="J591" s="72">
        <v>70623868</v>
      </c>
      <c r="K591" s="99">
        <f>_xlfn.XLOOKUP(_2__ROI_Daily_Update[[#This Row],[CSM id]],SHP!F:F,SHP!EE:EE,"-")</f>
        <v>0</v>
      </c>
      <c r="L591" s="12"/>
      <c r="N591" s="11"/>
      <c r="P591"/>
      <c r="Q591"/>
      <c r="W591" s="28"/>
      <c r="AA591"/>
    </row>
    <row r="592" spans="1:27" x14ac:dyDescent="0.45">
      <c r="A592" s="57">
        <v>1621</v>
      </c>
      <c r="B592" t="s">
        <v>2889</v>
      </c>
      <c r="C592" t="s">
        <v>2890</v>
      </c>
      <c r="D592" s="12">
        <v>46303</v>
      </c>
      <c r="E592" s="11">
        <v>140</v>
      </c>
      <c r="F592" s="11" t="s">
        <v>5906</v>
      </c>
      <c r="G592">
        <v>20210201</v>
      </c>
      <c r="I592" s="11" t="s">
        <v>63</v>
      </c>
      <c r="J592" s="72">
        <v>90454893</v>
      </c>
      <c r="K592" s="99">
        <f>_xlfn.XLOOKUP(_2__ROI_Daily_Update[[#This Row],[CSM id]],SHP!F:F,SHP!EE:EE,"-")</f>
        <v>0</v>
      </c>
      <c r="L592" s="12"/>
      <c r="N592" s="11"/>
      <c r="P592"/>
      <c r="Q592"/>
      <c r="W592" s="28"/>
      <c r="AA592"/>
    </row>
    <row r="593" spans="1:27" x14ac:dyDescent="0.45">
      <c r="A593" s="57">
        <v>1621</v>
      </c>
      <c r="B593" t="s">
        <v>2883</v>
      </c>
      <c r="C593" t="s">
        <v>2884</v>
      </c>
      <c r="D593" s="12">
        <v>46303</v>
      </c>
      <c r="E593" s="11">
        <v>90</v>
      </c>
      <c r="F593" s="11" t="s">
        <v>5908</v>
      </c>
      <c r="G593">
        <v>20260101</v>
      </c>
      <c r="I593" s="11" t="s">
        <v>63</v>
      </c>
      <c r="J593" s="72">
        <v>80610610</v>
      </c>
      <c r="K593" s="99">
        <f>_xlfn.XLOOKUP(_2__ROI_Daily_Update[[#This Row],[CSM id]],SHP!F:F,SHP!EE:EE,"-")</f>
        <v>0</v>
      </c>
      <c r="L593" s="12"/>
      <c r="N593" s="11"/>
      <c r="P593"/>
      <c r="Q593"/>
      <c r="W593" s="28"/>
      <c r="AA593"/>
    </row>
    <row r="594" spans="1:27" x14ac:dyDescent="0.45">
      <c r="A594" s="57">
        <v>1621</v>
      </c>
      <c r="B594" t="s">
        <v>2881</v>
      </c>
      <c r="C594" t="s">
        <v>2882</v>
      </c>
      <c r="D594" s="12">
        <v>46303</v>
      </c>
      <c r="E594" s="11">
        <v>12</v>
      </c>
      <c r="F594" s="11" t="s">
        <v>5906</v>
      </c>
      <c r="G594">
        <v>20250401</v>
      </c>
      <c r="H594" s="12">
        <v>46569</v>
      </c>
      <c r="I594" s="11" t="s">
        <v>63</v>
      </c>
      <c r="J594" s="72">
        <v>80570869</v>
      </c>
      <c r="K594" s="99">
        <f>_xlfn.XLOOKUP(_2__ROI_Daily_Update[[#This Row],[CSM id]],SHP!F:F,SHP!EE:EE,"-")</f>
        <v>0</v>
      </c>
      <c r="L594" s="12"/>
      <c r="N594" s="11"/>
      <c r="P594"/>
      <c r="Q594"/>
      <c r="W594" s="28"/>
      <c r="AA594"/>
    </row>
    <row r="595" spans="1:27" x14ac:dyDescent="0.45">
      <c r="A595" s="57">
        <v>1642</v>
      </c>
      <c r="B595" t="s">
        <v>3209</v>
      </c>
      <c r="C595" t="s">
        <v>3210</v>
      </c>
      <c r="D595" s="12">
        <v>46303</v>
      </c>
      <c r="E595" s="11">
        <v>4</v>
      </c>
      <c r="F595" s="11" t="s">
        <v>5908</v>
      </c>
      <c r="G595">
        <v>20260701</v>
      </c>
      <c r="I595" s="11" t="s">
        <v>63</v>
      </c>
      <c r="J595" s="72">
        <v>80623858</v>
      </c>
      <c r="K595" s="99">
        <f>_xlfn.XLOOKUP(_2__ROI_Daily_Update[[#This Row],[CSM id]],SHP!F:F,SHP!EE:EE,"-")</f>
        <v>0</v>
      </c>
      <c r="L595" s="12"/>
      <c r="N595" s="11"/>
      <c r="P595"/>
      <c r="Q595"/>
      <c r="W595" s="28"/>
      <c r="AA595"/>
    </row>
    <row r="596" spans="1:27" x14ac:dyDescent="0.45">
      <c r="A596" s="57">
        <v>1621</v>
      </c>
      <c r="B596" t="s">
        <v>2869</v>
      </c>
      <c r="C596" t="s">
        <v>2870</v>
      </c>
      <c r="D596" s="12">
        <v>46303</v>
      </c>
      <c r="E596" s="11">
        <v>18</v>
      </c>
      <c r="F596" s="11" t="s">
        <v>5906</v>
      </c>
      <c r="G596">
        <v>20260401</v>
      </c>
      <c r="I596" s="11" t="s">
        <v>63</v>
      </c>
      <c r="J596" s="72">
        <v>50632821</v>
      </c>
      <c r="K596" s="99">
        <f>_xlfn.XLOOKUP(_2__ROI_Daily_Update[[#This Row],[CSM id]],SHP!F:F,SHP!EE:EE,"-")</f>
        <v>0</v>
      </c>
      <c r="L596" s="12"/>
      <c r="N596" s="11"/>
      <c r="P596"/>
      <c r="Q596"/>
      <c r="W596" s="28"/>
      <c r="AA596"/>
    </row>
    <row r="597" spans="1:27" x14ac:dyDescent="0.45">
      <c r="A597" s="57">
        <v>1621</v>
      </c>
      <c r="B597" t="s">
        <v>2867</v>
      </c>
      <c r="C597" t="s">
        <v>2868</v>
      </c>
      <c r="D597" s="12">
        <v>46303</v>
      </c>
      <c r="E597" s="11">
        <v>48</v>
      </c>
      <c r="F597" s="11" t="s">
        <v>5908</v>
      </c>
      <c r="G597">
        <v>20220101</v>
      </c>
      <c r="I597" s="11" t="s">
        <v>63</v>
      </c>
      <c r="J597" s="72">
        <v>50510829</v>
      </c>
      <c r="K597" s="99">
        <f>_xlfn.XLOOKUP(_2__ROI_Daily_Update[[#This Row],[CSM id]],SHP!F:F,SHP!EE:EE,"-")</f>
        <v>0</v>
      </c>
      <c r="L597" s="12"/>
      <c r="N597" s="11"/>
      <c r="P597"/>
      <c r="Q597"/>
      <c r="W597" s="28"/>
      <c r="AA597"/>
    </row>
    <row r="598" spans="1:27" x14ac:dyDescent="0.45">
      <c r="A598" s="57">
        <v>1621</v>
      </c>
      <c r="B598" t="s">
        <v>2863</v>
      </c>
      <c r="C598" t="s">
        <v>2864</v>
      </c>
      <c r="D598" s="12">
        <v>46303</v>
      </c>
      <c r="E598" s="11">
        <v>12</v>
      </c>
      <c r="F598" s="11" t="s">
        <v>5907</v>
      </c>
      <c r="G598">
        <v>20260401</v>
      </c>
      <c r="I598" s="11" t="s">
        <v>63</v>
      </c>
      <c r="J598" s="72">
        <v>40627189</v>
      </c>
      <c r="K598" s="99">
        <f>_xlfn.XLOOKUP(_2__ROI_Daily_Update[[#This Row],[CSM id]],SHP!F:F,SHP!EE:EE,"-")</f>
        <v>0</v>
      </c>
      <c r="L598" s="12"/>
      <c r="N598" s="11"/>
      <c r="P598"/>
      <c r="Q598"/>
      <c r="W598" s="28"/>
      <c r="AA598"/>
    </row>
    <row r="599" spans="1:27" x14ac:dyDescent="0.45">
      <c r="A599" s="57">
        <v>1621</v>
      </c>
      <c r="B599" t="s">
        <v>2859</v>
      </c>
      <c r="C599" t="s">
        <v>2860</v>
      </c>
      <c r="D599" s="12">
        <v>46303</v>
      </c>
      <c r="E599" s="11">
        <v>18</v>
      </c>
      <c r="F599" s="11" t="s">
        <v>5911</v>
      </c>
      <c r="G599">
        <v>20260101</v>
      </c>
      <c r="I599" s="11" t="s">
        <v>63</v>
      </c>
      <c r="J599" s="72">
        <v>20628284</v>
      </c>
      <c r="K599" s="99">
        <f>_xlfn.XLOOKUP(_2__ROI_Daily_Update[[#This Row],[CSM id]],SHP!F:F,SHP!EE:EE,"-")</f>
        <v>0</v>
      </c>
      <c r="L599" s="12"/>
      <c r="N599" s="11"/>
      <c r="P599"/>
      <c r="Q599"/>
      <c r="W599" s="28"/>
      <c r="AA599"/>
    </row>
    <row r="600" spans="1:27" x14ac:dyDescent="0.45">
      <c r="A600" s="57">
        <v>1881</v>
      </c>
      <c r="B600" t="s">
        <v>3729</v>
      </c>
      <c r="C600" t="s">
        <v>3730</v>
      </c>
      <c r="D600" s="12">
        <v>46303</v>
      </c>
      <c r="E600" s="11">
        <v>48</v>
      </c>
      <c r="F600" s="11" t="s">
        <v>5906</v>
      </c>
      <c r="G600">
        <v>20231001</v>
      </c>
      <c r="I600" s="11" t="s">
        <v>63</v>
      </c>
      <c r="J600" s="72">
        <v>70563746</v>
      </c>
      <c r="K600" s="99">
        <f>_xlfn.XLOOKUP(_2__ROI_Daily_Update[[#This Row],[CSM id]],SHP!F:F,SHP!EE:EE,"-")</f>
        <v>0</v>
      </c>
      <c r="L600" s="12"/>
      <c r="N600" s="11"/>
      <c r="P600"/>
      <c r="Q600"/>
      <c r="W600" s="28"/>
      <c r="AA600"/>
    </row>
    <row r="601" spans="1:27" x14ac:dyDescent="0.45">
      <c r="A601" s="57">
        <v>1621</v>
      </c>
      <c r="B601" t="s">
        <v>2857</v>
      </c>
      <c r="C601" t="s">
        <v>2858</v>
      </c>
      <c r="D601" s="12">
        <v>46303</v>
      </c>
      <c r="E601" s="11">
        <v>6</v>
      </c>
      <c r="F601" s="11" t="s">
        <v>5908</v>
      </c>
      <c r="G601">
        <v>20260101</v>
      </c>
      <c r="I601" s="11" t="s">
        <v>63</v>
      </c>
      <c r="J601" s="72">
        <v>20623291</v>
      </c>
      <c r="K601" s="99">
        <f>_xlfn.XLOOKUP(_2__ROI_Daily_Update[[#This Row],[CSM id]],SHP!F:F,SHP!EE:EE,"-")</f>
        <v>0</v>
      </c>
      <c r="L601" s="12"/>
      <c r="N601" s="11"/>
      <c r="P601"/>
      <c r="Q601"/>
      <c r="W601" s="28"/>
      <c r="AA601"/>
    </row>
    <row r="602" spans="1:27" x14ac:dyDescent="0.45">
      <c r="A602" s="57">
        <v>1881</v>
      </c>
      <c r="B602" t="s">
        <v>3727</v>
      </c>
      <c r="C602" t="s">
        <v>3728</v>
      </c>
      <c r="D602" s="12">
        <v>46303</v>
      </c>
      <c r="E602" s="11">
        <v>60</v>
      </c>
      <c r="F602" s="11" t="s">
        <v>5905</v>
      </c>
      <c r="G602">
        <v>20231001</v>
      </c>
      <c r="I602" s="11" t="s">
        <v>63</v>
      </c>
      <c r="J602" s="72">
        <v>70563727</v>
      </c>
      <c r="K602" s="99">
        <f>_xlfn.XLOOKUP(_2__ROI_Daily_Update[[#This Row],[CSM id]],SHP!F:F,SHP!EE:EE,"-")</f>
        <v>0</v>
      </c>
      <c r="L602" s="12"/>
      <c r="N602" s="11"/>
      <c r="P602"/>
      <c r="Q602"/>
      <c r="W602" s="28"/>
      <c r="AA602"/>
    </row>
    <row r="603" spans="1:27" x14ac:dyDescent="0.45">
      <c r="A603" s="57">
        <v>1621</v>
      </c>
      <c r="B603" t="s">
        <v>2891</v>
      </c>
      <c r="C603" t="s">
        <v>2892</v>
      </c>
      <c r="D603" s="12">
        <v>46303</v>
      </c>
      <c r="E603" s="11">
        <v>70</v>
      </c>
      <c r="F603" s="11" t="s">
        <v>5911</v>
      </c>
      <c r="G603">
        <v>20220101</v>
      </c>
      <c r="I603" s="11" t="s">
        <v>63</v>
      </c>
      <c r="J603" s="72">
        <v>90510827</v>
      </c>
      <c r="K603" s="99">
        <f>_xlfn.XLOOKUP(_2__ROI_Daily_Update[[#This Row],[CSM id]],SHP!F:F,SHP!EE:EE,"-")</f>
        <v>0</v>
      </c>
      <c r="L603" s="12"/>
      <c r="N603" s="11"/>
      <c r="P603"/>
      <c r="Q603"/>
      <c r="W603" s="28"/>
      <c r="AA603"/>
    </row>
    <row r="604" spans="1:27" x14ac:dyDescent="0.45">
      <c r="A604" s="57">
        <v>1018</v>
      </c>
      <c r="B604" t="s">
        <v>1154</v>
      </c>
      <c r="C604" t="s">
        <v>1155</v>
      </c>
      <c r="D604" s="12">
        <v>46303</v>
      </c>
      <c r="E604" s="11">
        <v>27</v>
      </c>
      <c r="F604" s="11" t="s">
        <v>5906</v>
      </c>
      <c r="G604">
        <v>20260701</v>
      </c>
      <c r="I604" s="11" t="s">
        <v>63</v>
      </c>
      <c r="J604" s="72">
        <v>40624299</v>
      </c>
      <c r="K604" s="99">
        <f>_xlfn.XLOOKUP(_2__ROI_Daily_Update[[#This Row],[CSM id]],SHP!F:F,SHP!EE:EE,"-")</f>
        <v>0</v>
      </c>
      <c r="L604" s="12"/>
      <c r="N604" s="11"/>
      <c r="P604"/>
      <c r="Q604"/>
      <c r="W604" s="28"/>
      <c r="AA604"/>
    </row>
    <row r="605" spans="1:27" x14ac:dyDescent="0.45">
      <c r="A605" s="57">
        <v>1018</v>
      </c>
      <c r="B605" t="s">
        <v>1156</v>
      </c>
      <c r="C605" t="s">
        <v>1157</v>
      </c>
      <c r="D605" s="12">
        <v>46303</v>
      </c>
      <c r="E605" s="11">
        <v>24</v>
      </c>
      <c r="F605" s="11" t="s">
        <v>5906</v>
      </c>
      <c r="G605">
        <v>20180801</v>
      </c>
      <c r="I605" s="11" t="s">
        <v>63</v>
      </c>
      <c r="J605" s="72">
        <v>50325474</v>
      </c>
      <c r="K605" s="99">
        <f>_xlfn.XLOOKUP(_2__ROI_Daily_Update[[#This Row],[CSM id]],SHP!F:F,SHP!EE:EE,"-")</f>
        <v>0</v>
      </c>
      <c r="L605" s="12"/>
      <c r="N605" s="11"/>
      <c r="P605"/>
      <c r="Q605"/>
      <c r="W605" s="28"/>
      <c r="AA605"/>
    </row>
    <row r="606" spans="1:27" x14ac:dyDescent="0.45">
      <c r="A606" s="57">
        <v>241</v>
      </c>
      <c r="B606" t="s">
        <v>335</v>
      </c>
      <c r="C606" t="s">
        <v>336</v>
      </c>
      <c r="D606" s="12">
        <v>46303</v>
      </c>
      <c r="E606" s="11">
        <v>27</v>
      </c>
      <c r="F606" s="11" t="s">
        <v>5909</v>
      </c>
      <c r="G606">
        <v>20140801</v>
      </c>
      <c r="I606" s="11" t="s">
        <v>18</v>
      </c>
      <c r="J606" s="72">
        <v>167207</v>
      </c>
      <c r="K606" s="99">
        <f>_xlfn.XLOOKUP(_2__ROI_Daily_Update[[#This Row],[CSM id]],SHP!F:F,SHP!EE:EE,"-")</f>
        <v>0</v>
      </c>
      <c r="L606" s="12"/>
      <c r="N606" s="11"/>
      <c r="P606"/>
      <c r="Q606"/>
      <c r="W606" s="28"/>
      <c r="AA606"/>
    </row>
    <row r="607" spans="1:27" x14ac:dyDescent="0.45">
      <c r="A607" s="57">
        <v>1541</v>
      </c>
      <c r="B607" t="s">
        <v>2762</v>
      </c>
      <c r="C607" t="s">
        <v>2763</v>
      </c>
      <c r="D607" s="12">
        <v>46303</v>
      </c>
      <c r="E607" s="11">
        <v>240</v>
      </c>
      <c r="F607" s="11" t="s">
        <v>5404</v>
      </c>
      <c r="G607">
        <v>20250701</v>
      </c>
      <c r="I607" s="11" t="s">
        <v>63</v>
      </c>
      <c r="J607" s="72">
        <v>10459168</v>
      </c>
      <c r="K607" s="99">
        <f>_xlfn.XLOOKUP(_2__ROI_Daily_Update[[#This Row],[CSM id]],SHP!F:F,SHP!EE:EE,"-")</f>
        <v>0</v>
      </c>
      <c r="L607" s="12"/>
      <c r="N607" s="11"/>
      <c r="P607"/>
      <c r="Q607"/>
      <c r="W607" s="28"/>
      <c r="AA607"/>
    </row>
    <row r="608" spans="1:27" x14ac:dyDescent="0.45">
      <c r="A608" s="57">
        <v>1541</v>
      </c>
      <c r="B608" t="s">
        <v>2760</v>
      </c>
      <c r="C608" t="s">
        <v>2761</v>
      </c>
      <c r="D608" s="12">
        <v>46303</v>
      </c>
      <c r="E608" s="11">
        <v>36</v>
      </c>
      <c r="F608" s="11" t="s">
        <v>5908</v>
      </c>
      <c r="G608">
        <v>20230701</v>
      </c>
      <c r="I608" s="11" t="s">
        <v>63</v>
      </c>
      <c r="J608" s="72">
        <v>559187</v>
      </c>
      <c r="K608" s="99">
        <f>_xlfn.XLOOKUP(_2__ROI_Daily_Update[[#This Row],[CSM id]],SHP!F:F,SHP!EE:EE,"-")</f>
        <v>0</v>
      </c>
      <c r="L608" s="12"/>
      <c r="N608" s="11"/>
      <c r="P608"/>
      <c r="Q608"/>
      <c r="W608" s="28"/>
      <c r="AA608"/>
    </row>
    <row r="609" spans="1:27" x14ac:dyDescent="0.45">
      <c r="A609" s="57">
        <v>341</v>
      </c>
      <c r="B609" t="s">
        <v>128</v>
      </c>
      <c r="C609" t="s">
        <v>129</v>
      </c>
      <c r="D609" s="12">
        <v>46303</v>
      </c>
      <c r="E609" s="11">
        <v>8</v>
      </c>
      <c r="F609" s="11" t="s">
        <v>5910</v>
      </c>
      <c r="G609">
        <v>20260401</v>
      </c>
      <c r="I609" s="11" t="s">
        <v>63</v>
      </c>
      <c r="J609" s="72">
        <v>590791</v>
      </c>
      <c r="K609" s="99">
        <f>_xlfn.XLOOKUP(_2__ROI_Daily_Update[[#This Row],[CSM id]],SHP!F:F,SHP!EE:EE,"-")</f>
        <v>0</v>
      </c>
      <c r="L609" s="12"/>
      <c r="N609" s="11"/>
      <c r="P609"/>
      <c r="Q609"/>
      <c r="W609" s="28"/>
      <c r="AA609"/>
    </row>
    <row r="610" spans="1:27" x14ac:dyDescent="0.45">
      <c r="A610" s="57">
        <v>341</v>
      </c>
      <c r="B610" t="s">
        <v>128</v>
      </c>
      <c r="C610" t="s">
        <v>129</v>
      </c>
      <c r="D610" s="12">
        <v>46303</v>
      </c>
      <c r="E610" s="11">
        <v>8</v>
      </c>
      <c r="F610" s="11" t="s">
        <v>5905</v>
      </c>
      <c r="G610">
        <v>20260401</v>
      </c>
      <c r="I610" s="11" t="s">
        <v>63</v>
      </c>
      <c r="J610" s="72">
        <v>590791</v>
      </c>
      <c r="K610" s="99">
        <f>_xlfn.XLOOKUP(_2__ROI_Daily_Update[[#This Row],[CSM id]],SHP!F:F,SHP!EE:EE,"-")</f>
        <v>0</v>
      </c>
      <c r="L610" s="12"/>
      <c r="N610" s="11"/>
      <c r="P610"/>
      <c r="Q610"/>
      <c r="W610" s="28"/>
      <c r="AA610"/>
    </row>
    <row r="611" spans="1:27" x14ac:dyDescent="0.45">
      <c r="A611" s="57">
        <v>622</v>
      </c>
      <c r="B611" t="s">
        <v>524</v>
      </c>
      <c r="C611" t="s">
        <v>525</v>
      </c>
      <c r="D611" s="12">
        <v>46303</v>
      </c>
      <c r="E611" s="11">
        <v>35</v>
      </c>
      <c r="F611" s="11" t="s">
        <v>5910</v>
      </c>
      <c r="G611">
        <v>20261001</v>
      </c>
      <c r="I611" s="11" t="s">
        <v>63</v>
      </c>
      <c r="J611" s="72">
        <v>90632094</v>
      </c>
      <c r="K611" s="99">
        <f>_xlfn.XLOOKUP(_2__ROI_Daily_Update[[#This Row],[CSM id]],SHP!F:F,SHP!EE:EE,"-")</f>
        <v>0</v>
      </c>
      <c r="L611" s="12"/>
      <c r="N611" s="11"/>
      <c r="P611"/>
      <c r="Q611"/>
      <c r="W611" s="28"/>
      <c r="AA611"/>
    </row>
    <row r="612" spans="1:27" x14ac:dyDescent="0.45">
      <c r="A612" s="57">
        <v>1019</v>
      </c>
      <c r="B612" t="s">
        <v>1172</v>
      </c>
      <c r="C612" t="s">
        <v>1173</v>
      </c>
      <c r="D612" s="12">
        <v>46303</v>
      </c>
      <c r="E612" s="11">
        <v>54</v>
      </c>
      <c r="F612" s="11" t="s">
        <v>5910</v>
      </c>
      <c r="G612">
        <v>20140801</v>
      </c>
      <c r="I612" s="11" t="s">
        <v>63</v>
      </c>
      <c r="J612" s="72">
        <v>50283916</v>
      </c>
      <c r="K612" s="99">
        <f>_xlfn.XLOOKUP(_2__ROI_Daily_Update[[#This Row],[CSM id]],SHP!F:F,SHP!EE:EE,"-")</f>
        <v>0</v>
      </c>
      <c r="L612" s="12"/>
      <c r="N612" s="11"/>
      <c r="P612"/>
      <c r="Q612"/>
      <c r="W612" s="28"/>
      <c r="AA612"/>
    </row>
    <row r="613" spans="1:27" x14ac:dyDescent="0.45">
      <c r="A613" s="57">
        <v>1531</v>
      </c>
      <c r="B613" t="s">
        <v>2756</v>
      </c>
      <c r="C613" t="s">
        <v>2757</v>
      </c>
      <c r="D613" s="12">
        <v>46303</v>
      </c>
      <c r="E613" s="11">
        <v>108</v>
      </c>
      <c r="F613" s="11" t="s">
        <v>5409</v>
      </c>
      <c r="G613">
        <v>20141201</v>
      </c>
      <c r="H613" s="12">
        <v>46569</v>
      </c>
      <c r="I613" s="11" t="s">
        <v>63</v>
      </c>
      <c r="J613" s="72">
        <v>90177589</v>
      </c>
      <c r="K613" s="99">
        <f>_xlfn.XLOOKUP(_2__ROI_Daily_Update[[#This Row],[CSM id]],SHP!F:F,SHP!EE:EE,"-")</f>
        <v>0</v>
      </c>
      <c r="L613" s="12"/>
      <c r="N613" s="11"/>
      <c r="P613"/>
      <c r="Q613"/>
      <c r="W613" s="28"/>
      <c r="AA613"/>
    </row>
    <row r="614" spans="1:27" x14ac:dyDescent="0.45">
      <c r="A614" s="57">
        <v>1531</v>
      </c>
      <c r="B614" t="s">
        <v>2754</v>
      </c>
      <c r="C614" t="s">
        <v>2755</v>
      </c>
      <c r="D614" s="12">
        <v>46303</v>
      </c>
      <c r="E614" s="11">
        <v>75</v>
      </c>
      <c r="F614" s="11" t="s">
        <v>5409</v>
      </c>
      <c r="G614">
        <v>20190801</v>
      </c>
      <c r="I614" s="11" t="s">
        <v>63</v>
      </c>
      <c r="J614" s="72">
        <v>80428480</v>
      </c>
      <c r="K614" s="99">
        <f>_xlfn.XLOOKUP(_2__ROI_Daily_Update[[#This Row],[CSM id]],SHP!F:F,SHP!EE:EE,"-")</f>
        <v>0</v>
      </c>
      <c r="L614" s="12"/>
      <c r="N614" s="11"/>
      <c r="P614"/>
      <c r="Q614"/>
      <c r="W614" s="28"/>
      <c r="AA614"/>
    </row>
    <row r="615" spans="1:27" x14ac:dyDescent="0.45">
      <c r="A615" s="57">
        <v>1019</v>
      </c>
      <c r="B615" t="s">
        <v>1174</v>
      </c>
      <c r="C615" t="s">
        <v>1175</v>
      </c>
      <c r="D615" s="12">
        <v>46303</v>
      </c>
      <c r="E615" s="11">
        <v>72</v>
      </c>
      <c r="F615" s="11" t="s">
        <v>5905</v>
      </c>
      <c r="G615">
        <v>20190401</v>
      </c>
      <c r="I615" s="11" t="s">
        <v>63</v>
      </c>
      <c r="J615" s="72">
        <v>50445711</v>
      </c>
      <c r="K615" s="99">
        <f>_xlfn.XLOOKUP(_2__ROI_Daily_Update[[#This Row],[CSM id]],SHP!F:F,SHP!EE:EE,"-")</f>
        <v>0</v>
      </c>
      <c r="L615" s="12"/>
      <c r="N615" s="11"/>
      <c r="P615"/>
      <c r="Q615"/>
      <c r="W615" s="28"/>
      <c r="AA615"/>
    </row>
    <row r="616" spans="1:27" x14ac:dyDescent="0.45">
      <c r="A616" s="57">
        <v>1643</v>
      </c>
      <c r="B616" t="s">
        <v>3239</v>
      </c>
      <c r="C616" t="s">
        <v>3240</v>
      </c>
      <c r="D616" s="12">
        <v>46303</v>
      </c>
      <c r="E616" s="11">
        <v>60</v>
      </c>
      <c r="F616" s="11" t="s">
        <v>5910</v>
      </c>
      <c r="G616">
        <v>20260401</v>
      </c>
      <c r="H616" s="12">
        <v>46569</v>
      </c>
      <c r="I616" s="11" t="s">
        <v>63</v>
      </c>
      <c r="J616" s="72">
        <v>60619701</v>
      </c>
      <c r="K616" s="99">
        <f>_xlfn.XLOOKUP(_2__ROI_Daily_Update[[#This Row],[CSM id]],SHP!F:F,SHP!EE:EE,"-")</f>
        <v>0</v>
      </c>
      <c r="L616" s="12"/>
      <c r="N616" s="11"/>
      <c r="P616"/>
      <c r="Q616"/>
      <c r="W616" s="28"/>
      <c r="AA616"/>
    </row>
    <row r="617" spans="1:27" x14ac:dyDescent="0.45">
      <c r="A617" s="57">
        <v>1019</v>
      </c>
      <c r="B617" t="s">
        <v>1176</v>
      </c>
      <c r="C617" t="s">
        <v>1177</v>
      </c>
      <c r="D617" s="12">
        <v>46303</v>
      </c>
      <c r="E617" s="11">
        <v>50</v>
      </c>
      <c r="F617" s="11" t="s">
        <v>5905</v>
      </c>
      <c r="G617">
        <v>20200401</v>
      </c>
      <c r="I617" s="11" t="s">
        <v>63</v>
      </c>
      <c r="J617" s="72">
        <v>50449894</v>
      </c>
      <c r="K617" s="99">
        <f>_xlfn.XLOOKUP(_2__ROI_Daily_Update[[#This Row],[CSM id]],SHP!F:F,SHP!EE:EE,"-")</f>
        <v>0</v>
      </c>
      <c r="L617" s="12"/>
      <c r="N617" s="11"/>
      <c r="P617"/>
      <c r="Q617"/>
      <c r="W617" s="28"/>
      <c r="AA617"/>
    </row>
    <row r="618" spans="1:27" x14ac:dyDescent="0.45">
      <c r="A618" s="57">
        <v>1019</v>
      </c>
      <c r="B618" t="s">
        <v>1170</v>
      </c>
      <c r="C618" t="s">
        <v>1171</v>
      </c>
      <c r="D618" s="12">
        <v>46303</v>
      </c>
      <c r="E618" s="11">
        <v>48</v>
      </c>
      <c r="F618" s="11" t="s">
        <v>5911</v>
      </c>
      <c r="G618">
        <v>20231001</v>
      </c>
      <c r="I618" s="11" t="s">
        <v>63</v>
      </c>
      <c r="J618" s="72">
        <v>20552316</v>
      </c>
      <c r="K618" s="99">
        <f>_xlfn.XLOOKUP(_2__ROI_Daily_Update[[#This Row],[CSM id]],SHP!F:F,SHP!EE:EE,"-")</f>
        <v>0</v>
      </c>
      <c r="L618" s="12"/>
      <c r="N618" s="11"/>
      <c r="P618"/>
      <c r="Q618"/>
      <c r="W618" s="28"/>
      <c r="AA618"/>
    </row>
    <row r="619" spans="1:27" x14ac:dyDescent="0.45">
      <c r="A619" s="57">
        <v>1643</v>
      </c>
      <c r="B619" t="s">
        <v>3241</v>
      </c>
      <c r="C619" t="s">
        <v>3242</v>
      </c>
      <c r="D619" s="12">
        <v>46303</v>
      </c>
      <c r="E619" s="11">
        <v>84</v>
      </c>
      <c r="F619" s="11" t="s">
        <v>5910</v>
      </c>
      <c r="G619">
        <v>20260401</v>
      </c>
      <c r="I619" s="11" t="s">
        <v>63</v>
      </c>
      <c r="J619" s="72">
        <v>60620455</v>
      </c>
      <c r="K619" s="99">
        <f>_xlfn.XLOOKUP(_2__ROI_Daily_Update[[#This Row],[CSM id]],SHP!F:F,SHP!EE:EE,"-")</f>
        <v>0</v>
      </c>
      <c r="L619" s="12"/>
      <c r="N619" s="11"/>
      <c r="P619"/>
      <c r="Q619"/>
      <c r="W619" s="28"/>
      <c r="AA619"/>
    </row>
    <row r="620" spans="1:27" x14ac:dyDescent="0.45">
      <c r="A620" s="57">
        <v>1019</v>
      </c>
      <c r="B620" t="s">
        <v>1178</v>
      </c>
      <c r="C620" t="s">
        <v>1179</v>
      </c>
      <c r="D620" s="12">
        <v>46303</v>
      </c>
      <c r="E620" s="11">
        <v>16</v>
      </c>
      <c r="F620" s="11" t="s">
        <v>5906</v>
      </c>
      <c r="G620">
        <v>20250101</v>
      </c>
      <c r="I620" s="11" t="s">
        <v>63</v>
      </c>
      <c r="J620" s="72">
        <v>50583439</v>
      </c>
      <c r="K620" s="99">
        <f>_xlfn.XLOOKUP(_2__ROI_Daily_Update[[#This Row],[CSM id]],SHP!F:F,SHP!EE:EE,"-")</f>
        <v>0</v>
      </c>
      <c r="L620" s="12"/>
      <c r="N620" s="11"/>
      <c r="P620"/>
      <c r="Q620"/>
      <c r="W620" s="28"/>
      <c r="AA620"/>
    </row>
    <row r="621" spans="1:27" x14ac:dyDescent="0.45">
      <c r="A621" s="57">
        <v>1019</v>
      </c>
      <c r="B621" t="s">
        <v>1182</v>
      </c>
      <c r="C621" t="s">
        <v>1183</v>
      </c>
      <c r="D621" s="12">
        <v>46303</v>
      </c>
      <c r="E621" s="11">
        <v>20</v>
      </c>
      <c r="F621" s="11" t="s">
        <v>5906</v>
      </c>
      <c r="G621">
        <v>20200401</v>
      </c>
      <c r="I621" s="11" t="s">
        <v>63</v>
      </c>
      <c r="J621" s="72">
        <v>60449884</v>
      </c>
      <c r="K621" s="99">
        <f>_xlfn.XLOOKUP(_2__ROI_Daily_Update[[#This Row],[CSM id]],SHP!F:F,SHP!EE:EE,"-")</f>
        <v>0</v>
      </c>
      <c r="L621" s="12"/>
      <c r="N621" s="11"/>
      <c r="P621"/>
      <c r="Q621"/>
      <c r="W621" s="28"/>
      <c r="AA621"/>
    </row>
    <row r="622" spans="1:27" x14ac:dyDescent="0.45">
      <c r="A622" s="57">
        <v>1011</v>
      </c>
      <c r="B622" t="s">
        <v>1014</v>
      </c>
      <c r="C622" t="s">
        <v>1015</v>
      </c>
      <c r="D622" s="12">
        <v>46303</v>
      </c>
      <c r="E622" s="11">
        <v>8</v>
      </c>
      <c r="F622" s="11" t="s">
        <v>5905</v>
      </c>
      <c r="G622">
        <v>20200801</v>
      </c>
      <c r="I622" s="11" t="s">
        <v>63</v>
      </c>
      <c r="J622" s="72">
        <v>10437751</v>
      </c>
      <c r="K622" s="99">
        <f>_xlfn.XLOOKUP(_2__ROI_Daily_Update[[#This Row],[CSM id]],SHP!F:F,SHP!EE:EE,"-")</f>
        <v>0</v>
      </c>
      <c r="L622" s="12"/>
      <c r="N622" s="11"/>
      <c r="P622"/>
      <c r="Q622"/>
      <c r="W622" s="28"/>
      <c r="AA622"/>
    </row>
    <row r="623" spans="1:27" x14ac:dyDescent="0.45">
      <c r="A623" s="57">
        <v>341</v>
      </c>
      <c r="B623" t="s">
        <v>52</v>
      </c>
      <c r="C623" t="s">
        <v>53</v>
      </c>
      <c r="D623" s="12">
        <v>46303</v>
      </c>
      <c r="E623" s="11">
        <v>6</v>
      </c>
      <c r="F623" s="11" t="s">
        <v>5909</v>
      </c>
      <c r="G623">
        <v>20170401</v>
      </c>
      <c r="H623" s="12">
        <v>46478</v>
      </c>
      <c r="I623" s="11" t="s">
        <v>18</v>
      </c>
      <c r="J623" s="72">
        <v>20354284</v>
      </c>
      <c r="K623" s="99">
        <f>_xlfn.XLOOKUP(_2__ROI_Daily_Update[[#This Row],[CSM id]],SHP!F:F,SHP!EE:EE,"-")</f>
        <v>0</v>
      </c>
      <c r="L623" s="12"/>
      <c r="N623" s="11"/>
      <c r="P623"/>
      <c r="Q623"/>
      <c r="W623" s="28"/>
      <c r="AA623"/>
    </row>
    <row r="624" spans="1:27" x14ac:dyDescent="0.45">
      <c r="A624" s="57">
        <v>1011</v>
      </c>
      <c r="B624" t="s">
        <v>1014</v>
      </c>
      <c r="C624" t="s">
        <v>1015</v>
      </c>
      <c r="D624" s="12">
        <v>46303</v>
      </c>
      <c r="E624" s="11">
        <v>8</v>
      </c>
      <c r="F624" s="11" t="s">
        <v>5910</v>
      </c>
      <c r="G624">
        <v>20200801</v>
      </c>
      <c r="I624" s="11" t="s">
        <v>63</v>
      </c>
      <c r="J624" s="72">
        <v>10437751</v>
      </c>
      <c r="K624" s="99">
        <f>_xlfn.XLOOKUP(_2__ROI_Daily_Update[[#This Row],[CSM id]],SHP!F:F,SHP!EE:EE,"-")</f>
        <v>0</v>
      </c>
      <c r="L624" s="12"/>
      <c r="N624" s="11"/>
      <c r="P624"/>
      <c r="Q624"/>
      <c r="W624" s="28"/>
      <c r="AA624"/>
    </row>
    <row r="625" spans="1:27" x14ac:dyDescent="0.45">
      <c r="A625" s="57">
        <v>1531</v>
      </c>
      <c r="B625" t="s">
        <v>2742</v>
      </c>
      <c r="C625" t="s">
        <v>2743</v>
      </c>
      <c r="D625" s="12">
        <v>46303</v>
      </c>
      <c r="E625" s="11">
        <v>520</v>
      </c>
      <c r="F625" s="11" t="s">
        <v>5409</v>
      </c>
      <c r="G625">
        <v>20240401</v>
      </c>
      <c r="I625" s="11" t="s">
        <v>63</v>
      </c>
      <c r="J625" s="72">
        <v>50573322</v>
      </c>
      <c r="K625" s="99">
        <f>_xlfn.XLOOKUP(_2__ROI_Daily_Update[[#This Row],[CSM id]],SHP!F:F,SHP!EE:EE,"-")</f>
        <v>0</v>
      </c>
      <c r="L625" s="12"/>
      <c r="N625" s="11"/>
      <c r="P625"/>
      <c r="Q625"/>
      <c r="W625" s="28"/>
      <c r="AA625"/>
    </row>
    <row r="626" spans="1:27" x14ac:dyDescent="0.45">
      <c r="A626" s="57">
        <v>1019</v>
      </c>
      <c r="B626" t="s">
        <v>1184</v>
      </c>
      <c r="C626" t="s">
        <v>1185</v>
      </c>
      <c r="D626" s="12">
        <v>46303</v>
      </c>
      <c r="E626" s="11">
        <v>12</v>
      </c>
      <c r="F626" s="11" t="s">
        <v>5910</v>
      </c>
      <c r="G626">
        <v>20251001</v>
      </c>
      <c r="I626" s="11" t="s">
        <v>63</v>
      </c>
      <c r="J626" s="72">
        <v>60595658</v>
      </c>
      <c r="K626" s="99">
        <f>_xlfn.XLOOKUP(_2__ROI_Daily_Update[[#This Row],[CSM id]],SHP!F:F,SHP!EE:EE,"-")</f>
        <v>0</v>
      </c>
      <c r="L626" s="12"/>
      <c r="N626" s="11"/>
      <c r="P626"/>
      <c r="Q626"/>
      <c r="W626" s="28"/>
      <c r="AA626"/>
    </row>
    <row r="627" spans="1:27" x14ac:dyDescent="0.45">
      <c r="A627" s="57">
        <v>1531</v>
      </c>
      <c r="B627" t="s">
        <v>2740</v>
      </c>
      <c r="C627" t="s">
        <v>2741</v>
      </c>
      <c r="D627" s="12">
        <v>46303</v>
      </c>
      <c r="E627" s="11">
        <v>144</v>
      </c>
      <c r="F627" s="11" t="s">
        <v>5409</v>
      </c>
      <c r="G627">
        <v>20220401</v>
      </c>
      <c r="H627" s="12">
        <v>46478</v>
      </c>
      <c r="I627" s="11" t="s">
        <v>63</v>
      </c>
      <c r="J627" s="72">
        <v>50521031</v>
      </c>
      <c r="K627" s="99">
        <f>_xlfn.XLOOKUP(_2__ROI_Daily_Update[[#This Row],[CSM id]],SHP!F:F,SHP!EE:EE,"-")</f>
        <v>0</v>
      </c>
      <c r="L627" s="12"/>
      <c r="N627" s="11"/>
      <c r="P627"/>
      <c r="Q627"/>
      <c r="W627" s="28"/>
      <c r="AA627"/>
    </row>
    <row r="628" spans="1:27" x14ac:dyDescent="0.45">
      <c r="A628" s="57">
        <v>1643</v>
      </c>
      <c r="B628" t="s">
        <v>3243</v>
      </c>
      <c r="C628" t="s">
        <v>3244</v>
      </c>
      <c r="D628" s="12">
        <v>46303</v>
      </c>
      <c r="E628" s="11">
        <v>60</v>
      </c>
      <c r="F628" s="11" t="s">
        <v>5910</v>
      </c>
      <c r="G628">
        <v>20221001</v>
      </c>
      <c r="I628" s="11" t="s">
        <v>63</v>
      </c>
      <c r="J628" s="72">
        <v>70540477</v>
      </c>
      <c r="K628" s="99">
        <f>_xlfn.XLOOKUP(_2__ROI_Daily_Update[[#This Row],[CSM id]],SHP!F:F,SHP!EE:EE,"-")</f>
        <v>0</v>
      </c>
      <c r="L628" s="12"/>
      <c r="N628" s="11"/>
      <c r="P628"/>
      <c r="Q628"/>
      <c r="W628" s="28"/>
      <c r="AA628"/>
    </row>
    <row r="629" spans="1:27" x14ac:dyDescent="0.45">
      <c r="A629" s="57">
        <v>1019</v>
      </c>
      <c r="B629" t="s">
        <v>1196</v>
      </c>
      <c r="C629" t="s">
        <v>1197</v>
      </c>
      <c r="D629" s="12">
        <v>46303</v>
      </c>
      <c r="E629" s="11">
        <v>72</v>
      </c>
      <c r="F629" s="11" t="s">
        <v>5908</v>
      </c>
      <c r="G629">
        <v>20261001</v>
      </c>
      <c r="H629" s="12">
        <v>46661</v>
      </c>
      <c r="I629" s="11" t="s">
        <v>63</v>
      </c>
      <c r="J629" s="72">
        <v>90644134</v>
      </c>
      <c r="K629" s="99">
        <f>_xlfn.XLOOKUP(_2__ROI_Daily_Update[[#This Row],[CSM id]],SHP!F:F,SHP!EE:EE,"-")</f>
        <v>0</v>
      </c>
      <c r="L629" s="12"/>
      <c r="N629" s="11"/>
      <c r="P629"/>
      <c r="Q629"/>
      <c r="W629" s="28"/>
      <c r="AA629"/>
    </row>
    <row r="630" spans="1:27" x14ac:dyDescent="0.45">
      <c r="A630" s="57">
        <v>341</v>
      </c>
      <c r="B630" t="s">
        <v>372</v>
      </c>
      <c r="C630" t="s">
        <v>373</v>
      </c>
      <c r="D630" s="12">
        <v>46303</v>
      </c>
      <c r="E630" s="11">
        <v>72</v>
      </c>
      <c r="F630" s="11" t="s">
        <v>5909</v>
      </c>
      <c r="G630">
        <v>20140801</v>
      </c>
      <c r="I630" s="11" t="s">
        <v>18</v>
      </c>
      <c r="J630" s="72">
        <v>70264304</v>
      </c>
      <c r="K630" s="99">
        <f>_xlfn.XLOOKUP(_2__ROI_Daily_Update[[#This Row],[CSM id]],SHP!F:F,SHP!EE:EE,"-")</f>
        <v>0</v>
      </c>
      <c r="L630" s="12"/>
      <c r="N630" s="11"/>
      <c r="P630"/>
      <c r="Q630"/>
      <c r="W630" s="28"/>
      <c r="AA630"/>
    </row>
    <row r="631" spans="1:27" x14ac:dyDescent="0.45">
      <c r="A631" s="57">
        <v>341</v>
      </c>
      <c r="B631" t="s">
        <v>283</v>
      </c>
      <c r="C631" t="s">
        <v>284</v>
      </c>
      <c r="D631" s="12">
        <v>46303</v>
      </c>
      <c r="E631" s="11">
        <v>16</v>
      </c>
      <c r="F631" s="11" t="s">
        <v>5909</v>
      </c>
      <c r="G631">
        <v>20170401</v>
      </c>
      <c r="H631" s="12">
        <v>46478</v>
      </c>
      <c r="I631" s="11" t="s">
        <v>18</v>
      </c>
      <c r="J631" s="72">
        <v>80354281</v>
      </c>
      <c r="K631" s="99">
        <f>_xlfn.XLOOKUP(_2__ROI_Daily_Update[[#This Row],[CSM id]],SHP!F:F,SHP!EE:EE,"-")</f>
        <v>0</v>
      </c>
      <c r="L631" s="12"/>
      <c r="N631" s="11"/>
      <c r="P631"/>
      <c r="Q631"/>
      <c r="W631" s="28"/>
      <c r="AA631"/>
    </row>
    <row r="632" spans="1:27" x14ac:dyDescent="0.45">
      <c r="A632" s="57">
        <v>1541</v>
      </c>
      <c r="B632" t="s">
        <v>2767</v>
      </c>
      <c r="C632" t="s">
        <v>2768</v>
      </c>
      <c r="D632" s="12">
        <v>46303</v>
      </c>
      <c r="E632" s="11">
        <v>272</v>
      </c>
      <c r="F632" s="11" t="s">
        <v>5404</v>
      </c>
      <c r="G632">
        <v>20261001</v>
      </c>
      <c r="H632" s="12">
        <v>46388</v>
      </c>
      <c r="I632" s="11" t="s">
        <v>63</v>
      </c>
      <c r="J632" s="72">
        <v>30633831</v>
      </c>
      <c r="K632" s="99">
        <f>_xlfn.XLOOKUP(_2__ROI_Daily_Update[[#This Row],[CSM id]],SHP!F:F,SHP!EE:EE,"-")</f>
        <v>0</v>
      </c>
      <c r="L632" s="12"/>
      <c r="N632" s="11"/>
      <c r="P632"/>
      <c r="Q632"/>
      <c r="W632" s="28"/>
      <c r="AA632"/>
    </row>
    <row r="633" spans="1:27" x14ac:dyDescent="0.45">
      <c r="A633" s="57">
        <v>1541</v>
      </c>
      <c r="B633" t="s">
        <v>2769</v>
      </c>
      <c r="C633" t="s">
        <v>2770</v>
      </c>
      <c r="D633" s="12">
        <v>46303</v>
      </c>
      <c r="E633" s="11">
        <v>408</v>
      </c>
      <c r="F633" s="11" t="s">
        <v>5404</v>
      </c>
      <c r="G633">
        <v>20261001</v>
      </c>
      <c r="H633" s="12">
        <v>46478</v>
      </c>
      <c r="I633" s="11" t="s">
        <v>63</v>
      </c>
      <c r="J633" s="72">
        <v>30636655</v>
      </c>
      <c r="K633" s="99">
        <f>_xlfn.XLOOKUP(_2__ROI_Daily_Update[[#This Row],[CSM id]],SHP!F:F,SHP!EE:EE,"-")</f>
        <v>0</v>
      </c>
      <c r="L633" s="12"/>
      <c r="N633" s="11"/>
      <c r="P633"/>
      <c r="Q633"/>
      <c r="W633" s="28"/>
      <c r="AA633"/>
    </row>
    <row r="634" spans="1:27" x14ac:dyDescent="0.45">
      <c r="A634" s="57">
        <v>341</v>
      </c>
      <c r="B634" t="s">
        <v>366</v>
      </c>
      <c r="C634" t="s">
        <v>367</v>
      </c>
      <c r="D634" s="12">
        <v>46303</v>
      </c>
      <c r="E634" s="11">
        <v>12</v>
      </c>
      <c r="F634" s="11" t="s">
        <v>5906</v>
      </c>
      <c r="G634">
        <v>20260701</v>
      </c>
      <c r="I634" s="11" t="s">
        <v>63</v>
      </c>
      <c r="J634" s="72">
        <v>50597083</v>
      </c>
      <c r="K634" s="99">
        <f>_xlfn.XLOOKUP(_2__ROI_Daily_Update[[#This Row],[CSM id]],SHP!F:F,SHP!EE:EE,"-")</f>
        <v>0</v>
      </c>
      <c r="L634" s="12"/>
      <c r="N634" s="11"/>
      <c r="P634"/>
      <c r="Q634"/>
      <c r="W634" s="28"/>
      <c r="AA634"/>
    </row>
    <row r="635" spans="1:27" x14ac:dyDescent="0.45">
      <c r="A635" s="57">
        <v>1018</v>
      </c>
      <c r="B635" t="s">
        <v>1158</v>
      </c>
      <c r="C635" t="s">
        <v>1159</v>
      </c>
      <c r="D635" s="12">
        <v>46303</v>
      </c>
      <c r="E635" s="11">
        <v>12</v>
      </c>
      <c r="F635" s="11" t="s">
        <v>5905</v>
      </c>
      <c r="G635">
        <v>20250401</v>
      </c>
      <c r="I635" s="11" t="s">
        <v>63</v>
      </c>
      <c r="J635" s="72">
        <v>50558779</v>
      </c>
      <c r="K635" s="99">
        <f>_xlfn.XLOOKUP(_2__ROI_Daily_Update[[#This Row],[CSM id]],SHP!F:F,SHP!EE:EE,"-")</f>
        <v>0</v>
      </c>
      <c r="L635" s="12"/>
      <c r="N635" s="11"/>
      <c r="P635"/>
      <c r="Q635"/>
      <c r="W635" s="28"/>
      <c r="AA635"/>
    </row>
    <row r="636" spans="1:27" x14ac:dyDescent="0.45">
      <c r="A636" s="57">
        <v>1551</v>
      </c>
      <c r="B636" t="s">
        <v>2813</v>
      </c>
      <c r="C636" t="s">
        <v>2814</v>
      </c>
      <c r="D636" s="12">
        <v>46303</v>
      </c>
      <c r="E636" s="11">
        <v>108</v>
      </c>
      <c r="F636" s="11" t="s">
        <v>5404</v>
      </c>
      <c r="G636">
        <v>20261001</v>
      </c>
      <c r="H636" s="12">
        <v>46388</v>
      </c>
      <c r="I636" s="11" t="s">
        <v>63</v>
      </c>
      <c r="J636" s="72">
        <v>40633835</v>
      </c>
      <c r="K636" s="99">
        <f>_xlfn.XLOOKUP(_2__ROI_Daily_Update[[#This Row],[CSM id]],SHP!F:F,SHP!EE:EE,"-")</f>
        <v>0</v>
      </c>
      <c r="L636" s="12"/>
      <c r="N636" s="11"/>
      <c r="P636"/>
      <c r="Q636"/>
      <c r="W636" s="28"/>
      <c r="AA636"/>
    </row>
    <row r="637" spans="1:27" x14ac:dyDescent="0.45">
      <c r="A637" s="57">
        <v>1018</v>
      </c>
      <c r="B637" t="s">
        <v>1162</v>
      </c>
      <c r="C637" t="s">
        <v>1163</v>
      </c>
      <c r="D637" s="12">
        <v>46303</v>
      </c>
      <c r="E637" s="11">
        <v>6</v>
      </c>
      <c r="F637" s="11" t="s">
        <v>5906</v>
      </c>
      <c r="G637">
        <v>20261001</v>
      </c>
      <c r="I637" s="11" t="s">
        <v>63</v>
      </c>
      <c r="J637" s="72">
        <v>60628017</v>
      </c>
      <c r="K637" s="99">
        <f>_xlfn.XLOOKUP(_2__ROI_Daily_Update[[#This Row],[CSM id]],SHP!F:F,SHP!EE:EE,"-")</f>
        <v>0</v>
      </c>
      <c r="L637" s="12"/>
      <c r="N637" s="11"/>
      <c r="P637"/>
      <c r="Q637"/>
      <c r="W637" s="28"/>
      <c r="AA637"/>
    </row>
    <row r="638" spans="1:27" x14ac:dyDescent="0.45">
      <c r="A638" s="57">
        <v>1551</v>
      </c>
      <c r="B638" t="s">
        <v>2811</v>
      </c>
      <c r="C638" t="s">
        <v>2812</v>
      </c>
      <c r="D638" s="12">
        <v>46303</v>
      </c>
      <c r="E638" s="11">
        <v>864</v>
      </c>
      <c r="F638" s="11" t="s">
        <v>5404</v>
      </c>
      <c r="G638">
        <v>20181001</v>
      </c>
      <c r="I638" s="11" t="s">
        <v>63</v>
      </c>
      <c r="J638" s="72">
        <v>40417450</v>
      </c>
      <c r="K638" s="99">
        <f>_xlfn.XLOOKUP(_2__ROI_Daily_Update[[#This Row],[CSM id]],SHP!F:F,SHP!EE:EE,"-")</f>
        <v>0</v>
      </c>
      <c r="L638" s="12"/>
      <c r="N638" s="11"/>
      <c r="P638"/>
      <c r="Q638"/>
      <c r="W638" s="28"/>
      <c r="AA638"/>
    </row>
    <row r="639" spans="1:27" x14ac:dyDescent="0.45">
      <c r="A639" s="57">
        <v>1019</v>
      </c>
      <c r="B639" t="s">
        <v>1166</v>
      </c>
      <c r="C639" t="s">
        <v>1167</v>
      </c>
      <c r="D639" s="12">
        <v>46303</v>
      </c>
      <c r="E639" s="11">
        <v>120</v>
      </c>
      <c r="F639" s="11" t="s">
        <v>5910</v>
      </c>
      <c r="G639">
        <v>20200201</v>
      </c>
      <c r="I639" s="11" t="s">
        <v>63</v>
      </c>
      <c r="J639" s="72">
        <v>358495</v>
      </c>
      <c r="K639" s="99">
        <f>_xlfn.XLOOKUP(_2__ROI_Daily_Update[[#This Row],[CSM id]],SHP!F:F,SHP!EE:EE,"-")</f>
        <v>0</v>
      </c>
      <c r="L639" s="12"/>
      <c r="N639" s="11"/>
      <c r="P639"/>
      <c r="Q639"/>
      <c r="W639" s="28"/>
      <c r="AA639"/>
    </row>
    <row r="640" spans="1:27" x14ac:dyDescent="0.45">
      <c r="A640" s="57">
        <v>1551</v>
      </c>
      <c r="B640" t="s">
        <v>2805</v>
      </c>
      <c r="C640" t="s">
        <v>2806</v>
      </c>
      <c r="D640" s="12">
        <v>46303</v>
      </c>
      <c r="E640" s="11">
        <v>144</v>
      </c>
      <c r="F640" s="11" t="s">
        <v>5404</v>
      </c>
      <c r="G640">
        <v>20170401</v>
      </c>
      <c r="I640" s="11" t="s">
        <v>63</v>
      </c>
      <c r="J640" s="72">
        <v>20319021</v>
      </c>
      <c r="K640" s="99">
        <f>_xlfn.XLOOKUP(_2__ROI_Daily_Update[[#This Row],[CSM id]],SHP!F:F,SHP!EE:EE,"-")</f>
        <v>0</v>
      </c>
      <c r="L640" s="12"/>
      <c r="N640" s="11"/>
      <c r="P640"/>
      <c r="Q640"/>
      <c r="W640" s="28"/>
      <c r="AA640"/>
    </row>
    <row r="641" spans="1:27" x14ac:dyDescent="0.45">
      <c r="A641" s="57">
        <v>241</v>
      </c>
      <c r="B641" t="s">
        <v>312</v>
      </c>
      <c r="C641" t="s">
        <v>313</v>
      </c>
      <c r="D641" s="12">
        <v>46303</v>
      </c>
      <c r="E641" s="11">
        <v>18</v>
      </c>
      <c r="F641" s="11" t="s">
        <v>5909</v>
      </c>
      <c r="G641">
        <v>20220701</v>
      </c>
      <c r="I641" s="11" t="s">
        <v>18</v>
      </c>
      <c r="J641" s="72">
        <v>70540161</v>
      </c>
      <c r="K641" s="99">
        <f>_xlfn.XLOOKUP(_2__ROI_Daily_Update[[#This Row],[CSM id]],SHP!F:F,SHP!EE:EE,"-")</f>
        <v>0</v>
      </c>
      <c r="L641" s="12"/>
      <c r="N641" s="11"/>
      <c r="P641"/>
      <c r="Q641"/>
      <c r="W641" s="28"/>
      <c r="AA641"/>
    </row>
    <row r="642" spans="1:27" x14ac:dyDescent="0.45">
      <c r="A642" s="57">
        <v>1551</v>
      </c>
      <c r="B642" t="s">
        <v>2803</v>
      </c>
      <c r="C642" t="s">
        <v>2804</v>
      </c>
      <c r="D642" s="12">
        <v>46303</v>
      </c>
      <c r="E642" s="11">
        <v>120</v>
      </c>
      <c r="F642" s="11" t="s">
        <v>5409</v>
      </c>
      <c r="G642">
        <v>20251001</v>
      </c>
      <c r="I642" s="11" t="s">
        <v>63</v>
      </c>
      <c r="J642" s="72">
        <v>10607814</v>
      </c>
      <c r="K642" s="99">
        <f>_xlfn.XLOOKUP(_2__ROI_Daily_Update[[#This Row],[CSM id]],SHP!F:F,SHP!EE:EE,"-")</f>
        <v>0</v>
      </c>
      <c r="L642" s="12"/>
      <c r="N642" s="11"/>
      <c r="P642"/>
      <c r="Q642"/>
      <c r="W642" s="28"/>
      <c r="AA642"/>
    </row>
    <row r="643" spans="1:27" x14ac:dyDescent="0.45">
      <c r="A643" s="57">
        <v>1011</v>
      </c>
      <c r="B643" t="s">
        <v>1022</v>
      </c>
      <c r="C643" t="s">
        <v>1023</v>
      </c>
      <c r="D643" s="12">
        <v>46303</v>
      </c>
      <c r="E643" s="11">
        <v>72</v>
      </c>
      <c r="F643" s="11" t="s">
        <v>5908</v>
      </c>
      <c r="G643">
        <v>20140801</v>
      </c>
      <c r="I643" s="11" t="s">
        <v>63</v>
      </c>
      <c r="J643" s="72">
        <v>20284248</v>
      </c>
      <c r="K643" s="99">
        <f>_xlfn.XLOOKUP(_2__ROI_Daily_Update[[#This Row],[CSM id]],SHP!F:F,SHP!EE:EE,"-")</f>
        <v>0</v>
      </c>
      <c r="L643" s="12"/>
      <c r="N643" s="11"/>
      <c r="P643"/>
      <c r="Q643"/>
      <c r="W643" s="28"/>
      <c r="AA643"/>
    </row>
    <row r="644" spans="1:27" x14ac:dyDescent="0.45">
      <c r="A644" s="57">
        <v>1011</v>
      </c>
      <c r="B644" t="s">
        <v>1020</v>
      </c>
      <c r="C644" t="s">
        <v>1021</v>
      </c>
      <c r="D644" s="12">
        <v>46303</v>
      </c>
      <c r="E644" s="11">
        <v>40</v>
      </c>
      <c r="F644" s="11" t="s">
        <v>5905</v>
      </c>
      <c r="G644">
        <v>20260601</v>
      </c>
      <c r="I644" s="11" t="s">
        <v>63</v>
      </c>
      <c r="J644" s="72">
        <v>10608540</v>
      </c>
      <c r="K644" s="99">
        <f>_xlfn.XLOOKUP(_2__ROI_Daily_Update[[#This Row],[CSM id]],SHP!F:F,SHP!EE:EE,"-")</f>
        <v>0</v>
      </c>
      <c r="L644" s="12"/>
      <c r="N644" s="11"/>
      <c r="P644"/>
      <c r="Q644"/>
      <c r="W644" s="28"/>
      <c r="AA644"/>
    </row>
    <row r="645" spans="1:27" x14ac:dyDescent="0.45">
      <c r="A645" s="57">
        <v>1542</v>
      </c>
      <c r="B645" t="s">
        <v>2795</v>
      </c>
      <c r="C645" t="s">
        <v>2796</v>
      </c>
      <c r="D645" s="12">
        <v>46303</v>
      </c>
      <c r="E645" s="11">
        <v>216</v>
      </c>
      <c r="F645" s="11" t="s">
        <v>5910</v>
      </c>
      <c r="G645">
        <v>20250701</v>
      </c>
      <c r="I645" s="11" t="s">
        <v>63</v>
      </c>
      <c r="J645" s="72">
        <v>70607694</v>
      </c>
      <c r="K645" s="99">
        <f>_xlfn.XLOOKUP(_2__ROI_Daily_Update[[#This Row],[CSM id]],SHP!F:F,SHP!EE:EE,"-")</f>
        <v>0</v>
      </c>
      <c r="L645" s="12"/>
      <c r="N645" s="11"/>
      <c r="P645"/>
      <c r="Q645"/>
      <c r="W645" s="28"/>
      <c r="AA645"/>
    </row>
    <row r="646" spans="1:27" x14ac:dyDescent="0.45">
      <c r="A646" s="57">
        <v>1542</v>
      </c>
      <c r="B646" t="s">
        <v>2793</v>
      </c>
      <c r="C646" t="s">
        <v>2794</v>
      </c>
      <c r="D646" s="12">
        <v>46303</v>
      </c>
      <c r="E646" s="11">
        <v>28</v>
      </c>
      <c r="F646" s="11" t="s">
        <v>5905</v>
      </c>
      <c r="G646">
        <v>20250701</v>
      </c>
      <c r="I646" s="11" t="s">
        <v>63</v>
      </c>
      <c r="J646" s="72">
        <v>50607690</v>
      </c>
      <c r="K646" s="99">
        <f>_xlfn.XLOOKUP(_2__ROI_Daily_Update[[#This Row],[CSM id]],SHP!F:F,SHP!EE:EE,"-")</f>
        <v>0</v>
      </c>
      <c r="L646" s="12"/>
      <c r="N646" s="11"/>
      <c r="P646"/>
      <c r="Q646"/>
      <c r="W646" s="28"/>
      <c r="AA646"/>
    </row>
    <row r="647" spans="1:27" x14ac:dyDescent="0.45">
      <c r="A647" s="57">
        <v>1542</v>
      </c>
      <c r="B647" t="s">
        <v>2789</v>
      </c>
      <c r="C647" t="s">
        <v>2790</v>
      </c>
      <c r="D647" s="12">
        <v>46303</v>
      </c>
      <c r="E647" s="11">
        <v>54</v>
      </c>
      <c r="F647" s="11" t="s">
        <v>5907</v>
      </c>
      <c r="G647">
        <v>20260801</v>
      </c>
      <c r="H647" s="12">
        <v>46388</v>
      </c>
      <c r="I647" s="11" t="s">
        <v>63</v>
      </c>
      <c r="J647" s="72">
        <v>30631568</v>
      </c>
      <c r="K647" s="99">
        <f>_xlfn.XLOOKUP(_2__ROI_Daily_Update[[#This Row],[CSM id]],SHP!F:F,SHP!EE:EE,"-")</f>
        <v>0</v>
      </c>
      <c r="L647" s="12"/>
      <c r="N647" s="11"/>
      <c r="P647"/>
      <c r="Q647"/>
      <c r="W647" s="28"/>
      <c r="AA647"/>
    </row>
    <row r="648" spans="1:27" x14ac:dyDescent="0.45">
      <c r="A648" s="57">
        <v>1542</v>
      </c>
      <c r="B648" t="s">
        <v>2785</v>
      </c>
      <c r="C648" t="s">
        <v>2786</v>
      </c>
      <c r="D648" s="12">
        <v>46303</v>
      </c>
      <c r="E648" s="11">
        <v>40</v>
      </c>
      <c r="F648" s="11" t="s">
        <v>5906</v>
      </c>
      <c r="G648">
        <v>20181201</v>
      </c>
      <c r="I648" s="11" t="s">
        <v>63</v>
      </c>
      <c r="J648" s="72">
        <v>20432159</v>
      </c>
      <c r="K648" s="99">
        <f>_xlfn.XLOOKUP(_2__ROI_Daily_Update[[#This Row],[CSM id]],SHP!F:F,SHP!EE:EE,"-")</f>
        <v>0</v>
      </c>
      <c r="L648" s="12"/>
      <c r="N648" s="11"/>
      <c r="P648"/>
      <c r="Q648"/>
      <c r="W648" s="28"/>
      <c r="AA648"/>
    </row>
    <row r="649" spans="1:27" x14ac:dyDescent="0.45">
      <c r="A649" s="57">
        <v>1011</v>
      </c>
      <c r="B649" t="s">
        <v>1020</v>
      </c>
      <c r="C649" t="s">
        <v>1021</v>
      </c>
      <c r="D649" s="12">
        <v>46303</v>
      </c>
      <c r="E649" s="11">
        <v>180</v>
      </c>
      <c r="F649" s="11" t="s">
        <v>5906</v>
      </c>
      <c r="G649">
        <v>20260601</v>
      </c>
      <c r="I649" s="11" t="s">
        <v>63</v>
      </c>
      <c r="J649" s="72">
        <v>10608540</v>
      </c>
      <c r="K649" s="99">
        <f>_xlfn.XLOOKUP(_2__ROI_Daily_Update[[#This Row],[CSM id]],SHP!F:F,SHP!EE:EE,"-")</f>
        <v>0</v>
      </c>
      <c r="L649" s="12"/>
      <c r="N649" s="11"/>
      <c r="P649"/>
      <c r="Q649"/>
      <c r="W649" s="28"/>
      <c r="AA649"/>
    </row>
    <row r="650" spans="1:27" x14ac:dyDescent="0.45">
      <c r="A650" s="57">
        <v>1541</v>
      </c>
      <c r="B650" t="s">
        <v>2781</v>
      </c>
      <c r="C650" t="s">
        <v>2782</v>
      </c>
      <c r="D650" s="12">
        <v>46303</v>
      </c>
      <c r="E650" s="11">
        <v>240</v>
      </c>
      <c r="F650" s="11" t="s">
        <v>5404</v>
      </c>
      <c r="G650">
        <v>20261001</v>
      </c>
      <c r="H650" s="12">
        <v>46388</v>
      </c>
      <c r="I650" s="11" t="s">
        <v>63</v>
      </c>
      <c r="J650" s="72">
        <v>90633833</v>
      </c>
      <c r="K650" s="99">
        <f>_xlfn.XLOOKUP(_2__ROI_Daily_Update[[#This Row],[CSM id]],SHP!F:F,SHP!EE:EE,"-")</f>
        <v>0</v>
      </c>
      <c r="L650" s="12"/>
      <c r="N650" s="11"/>
      <c r="P650"/>
      <c r="Q650"/>
      <c r="W650" s="28"/>
      <c r="AA650"/>
    </row>
    <row r="651" spans="1:27" x14ac:dyDescent="0.45">
      <c r="A651" s="57">
        <v>1852</v>
      </c>
      <c r="B651" t="s">
        <v>3715</v>
      </c>
      <c r="C651" t="s">
        <v>3716</v>
      </c>
      <c r="D651" s="12">
        <v>46303</v>
      </c>
      <c r="E651" s="11">
        <v>108</v>
      </c>
      <c r="F651" s="11" t="s">
        <v>5910</v>
      </c>
      <c r="G651">
        <v>20260401</v>
      </c>
      <c r="I651" s="11" t="s">
        <v>63</v>
      </c>
      <c r="J651" s="72">
        <v>90556679</v>
      </c>
      <c r="K651" s="99">
        <f>_xlfn.XLOOKUP(_2__ROI_Daily_Update[[#This Row],[CSM id]],SHP!F:F,SHP!EE:EE,"-")</f>
        <v>0</v>
      </c>
      <c r="L651" s="12"/>
      <c r="N651" s="11"/>
      <c r="P651"/>
      <c r="Q651"/>
      <c r="W651" s="28"/>
      <c r="AA651"/>
    </row>
    <row r="652" spans="1:27" x14ac:dyDescent="0.45">
      <c r="A652" s="57">
        <v>1643</v>
      </c>
      <c r="B652" t="s">
        <v>3227</v>
      </c>
      <c r="C652" t="s">
        <v>3228</v>
      </c>
      <c r="D652" s="12">
        <v>46303</v>
      </c>
      <c r="E652" s="11">
        <v>40</v>
      </c>
      <c r="F652" s="11" t="s">
        <v>5905</v>
      </c>
      <c r="G652">
        <v>20250401</v>
      </c>
      <c r="H652" s="12">
        <v>46569</v>
      </c>
      <c r="I652" s="11" t="s">
        <v>63</v>
      </c>
      <c r="J652" s="72">
        <v>30534039</v>
      </c>
      <c r="K652" s="99">
        <f>_xlfn.XLOOKUP(_2__ROI_Daily_Update[[#This Row],[CSM id]],SHP!F:F,SHP!EE:EE,"-")</f>
        <v>0</v>
      </c>
      <c r="L652" s="12"/>
      <c r="N652" s="11"/>
      <c r="P652"/>
      <c r="Q652"/>
      <c r="W652" s="28"/>
      <c r="AA652"/>
    </row>
    <row r="653" spans="1:27" x14ac:dyDescent="0.45">
      <c r="A653" s="57">
        <v>1019</v>
      </c>
      <c r="B653" t="s">
        <v>1168</v>
      </c>
      <c r="C653" t="s">
        <v>1169</v>
      </c>
      <c r="D653" s="12">
        <v>46303</v>
      </c>
      <c r="E653" s="11">
        <v>13</v>
      </c>
      <c r="F653" s="11" t="s">
        <v>5910</v>
      </c>
      <c r="G653">
        <v>20211001</v>
      </c>
      <c r="H653" s="12">
        <v>46569</v>
      </c>
      <c r="I653" s="11" t="s">
        <v>63</v>
      </c>
      <c r="J653" s="72">
        <v>504294</v>
      </c>
      <c r="K653" s="99">
        <f>_xlfn.XLOOKUP(_2__ROI_Daily_Update[[#This Row],[CSM id]],SHP!F:F,SHP!EE:EE,"-")</f>
        <v>0</v>
      </c>
      <c r="L653" s="12"/>
      <c r="N653" s="11"/>
      <c r="P653"/>
      <c r="Q653"/>
      <c r="W653" s="28"/>
      <c r="AA653"/>
    </row>
    <row r="654" spans="1:27" x14ac:dyDescent="0.45">
      <c r="A654" s="57">
        <v>1541</v>
      </c>
      <c r="B654" t="s">
        <v>2779</v>
      </c>
      <c r="C654" t="s">
        <v>2780</v>
      </c>
      <c r="D654" s="12">
        <v>46303</v>
      </c>
      <c r="E654" s="11">
        <v>560</v>
      </c>
      <c r="F654" s="11" t="s">
        <v>5404</v>
      </c>
      <c r="G654">
        <v>20261001</v>
      </c>
      <c r="H654" s="12">
        <v>46388</v>
      </c>
      <c r="I654" s="11" t="s">
        <v>63</v>
      </c>
      <c r="J654" s="72">
        <v>70633829</v>
      </c>
      <c r="K654" s="99">
        <f>_xlfn.XLOOKUP(_2__ROI_Daily_Update[[#This Row],[CSM id]],SHP!F:F,SHP!EE:EE,"-")</f>
        <v>0</v>
      </c>
      <c r="L654" s="12"/>
      <c r="N654" s="11"/>
      <c r="P654"/>
      <c r="Q654"/>
      <c r="W654" s="28"/>
      <c r="AA654"/>
    </row>
    <row r="655" spans="1:27" x14ac:dyDescent="0.45">
      <c r="A655" s="57">
        <v>1541</v>
      </c>
      <c r="B655" t="s">
        <v>2777</v>
      </c>
      <c r="C655" t="s">
        <v>2778</v>
      </c>
      <c r="D655" s="12">
        <v>46303</v>
      </c>
      <c r="E655" s="11">
        <v>264</v>
      </c>
      <c r="F655" s="11" t="s">
        <v>5404</v>
      </c>
      <c r="G655">
        <v>20261001</v>
      </c>
      <c r="H655" s="12">
        <v>46388</v>
      </c>
      <c r="I655" s="11" t="s">
        <v>63</v>
      </c>
      <c r="J655" s="72">
        <v>70633283</v>
      </c>
      <c r="K655" s="99">
        <f>_xlfn.XLOOKUP(_2__ROI_Daily_Update[[#This Row],[CSM id]],SHP!F:F,SHP!EE:EE,"-")</f>
        <v>0</v>
      </c>
      <c r="L655" s="12"/>
      <c r="N655" s="11"/>
      <c r="P655"/>
      <c r="Q655"/>
      <c r="W655" s="28"/>
      <c r="AA655"/>
    </row>
    <row r="656" spans="1:27" x14ac:dyDescent="0.45">
      <c r="A656" s="57">
        <v>1011</v>
      </c>
      <c r="B656" t="s">
        <v>1018</v>
      </c>
      <c r="C656" t="s">
        <v>1019</v>
      </c>
      <c r="D656" s="12">
        <v>46303</v>
      </c>
      <c r="E656" s="11">
        <v>37</v>
      </c>
      <c r="F656" s="11" t="s">
        <v>5906</v>
      </c>
      <c r="G656">
        <v>20260601</v>
      </c>
      <c r="I656" s="11" t="s">
        <v>63</v>
      </c>
      <c r="J656" s="72">
        <v>10608516</v>
      </c>
      <c r="K656" s="99">
        <f>_xlfn.XLOOKUP(_2__ROI_Daily_Update[[#This Row],[CSM id]],SHP!F:F,SHP!EE:EE,"-")</f>
        <v>0</v>
      </c>
      <c r="L656" s="12"/>
      <c r="N656" s="11"/>
      <c r="P656"/>
      <c r="Q656"/>
      <c r="W656" s="28"/>
      <c r="AA656"/>
    </row>
    <row r="657" spans="1:27" x14ac:dyDescent="0.45">
      <c r="A657" s="57">
        <v>1541</v>
      </c>
      <c r="B657" t="s">
        <v>2775</v>
      </c>
      <c r="C657" t="s">
        <v>2776</v>
      </c>
      <c r="D657" s="12">
        <v>46303</v>
      </c>
      <c r="E657" s="11">
        <v>70</v>
      </c>
      <c r="F657" s="11" t="s">
        <v>5908</v>
      </c>
      <c r="G657">
        <v>20230701</v>
      </c>
      <c r="I657" s="11" t="s">
        <v>63</v>
      </c>
      <c r="J657" s="72">
        <v>60559189</v>
      </c>
      <c r="K657" s="99">
        <f>_xlfn.XLOOKUP(_2__ROI_Daily_Update[[#This Row],[CSM id]],SHP!F:F,SHP!EE:EE,"-")</f>
        <v>0</v>
      </c>
      <c r="L657" s="12"/>
      <c r="N657" s="11"/>
      <c r="P657"/>
      <c r="Q657"/>
      <c r="W657" s="28"/>
      <c r="AA657"/>
    </row>
    <row r="658" spans="1:27" x14ac:dyDescent="0.45">
      <c r="A658" s="57">
        <v>1541</v>
      </c>
      <c r="B658" t="s">
        <v>2773</v>
      </c>
      <c r="C658" t="s">
        <v>2774</v>
      </c>
      <c r="D658" s="12">
        <v>46303</v>
      </c>
      <c r="E658" s="11">
        <v>12</v>
      </c>
      <c r="F658" s="11" t="s">
        <v>5907</v>
      </c>
      <c r="G658">
        <v>20220401</v>
      </c>
      <c r="I658" s="11" t="s">
        <v>63</v>
      </c>
      <c r="J658" s="72">
        <v>60526580</v>
      </c>
      <c r="K658" s="99">
        <f>_xlfn.XLOOKUP(_2__ROI_Daily_Update[[#This Row],[CSM id]],SHP!F:F,SHP!EE:EE,"-")</f>
        <v>0</v>
      </c>
      <c r="L658" s="12"/>
      <c r="N658" s="11"/>
      <c r="P658"/>
      <c r="Q658"/>
      <c r="W658" s="28"/>
      <c r="AA658"/>
    </row>
    <row r="659" spans="1:27" x14ac:dyDescent="0.45">
      <c r="A659" s="57">
        <v>1011</v>
      </c>
      <c r="B659" t="s">
        <v>1016</v>
      </c>
      <c r="C659" t="s">
        <v>1017</v>
      </c>
      <c r="D659" s="12">
        <v>46303</v>
      </c>
      <c r="E659" s="11">
        <v>72</v>
      </c>
      <c r="F659" s="11" t="s">
        <v>5905</v>
      </c>
      <c r="G659">
        <v>20250701</v>
      </c>
      <c r="I659" s="11" t="s">
        <v>63</v>
      </c>
      <c r="J659" s="72">
        <v>10594840</v>
      </c>
      <c r="K659" s="99">
        <f>_xlfn.XLOOKUP(_2__ROI_Daily_Update[[#This Row],[CSM id]],SHP!F:F,SHP!EE:EE,"-")</f>
        <v>0</v>
      </c>
      <c r="L659" s="12"/>
      <c r="N659" s="11"/>
      <c r="P659"/>
      <c r="Q659"/>
      <c r="W659" s="28"/>
      <c r="AA659"/>
    </row>
    <row r="660" spans="1:27" x14ac:dyDescent="0.45">
      <c r="A660" s="57">
        <v>1624</v>
      </c>
      <c r="B660" t="s">
        <v>2928</v>
      </c>
      <c r="C660" t="s">
        <v>2929</v>
      </c>
      <c r="D660" s="12">
        <v>46303</v>
      </c>
      <c r="E660" s="11">
        <v>28</v>
      </c>
      <c r="F660" s="11" t="s">
        <v>5910</v>
      </c>
      <c r="G660">
        <v>20230101</v>
      </c>
      <c r="I660" s="11" t="s">
        <v>63</v>
      </c>
      <c r="J660" s="72">
        <v>70537168</v>
      </c>
      <c r="K660" s="99">
        <f>_xlfn.XLOOKUP(_2__ROI_Daily_Update[[#This Row],[CSM id]],SHP!F:F,SHP!EE:EE,"-")</f>
        <v>0</v>
      </c>
      <c r="L660" s="12"/>
      <c r="N660" s="11"/>
      <c r="P660"/>
      <c r="Q660"/>
      <c r="W660" s="28"/>
      <c r="AA660"/>
    </row>
    <row r="661" spans="1:27" x14ac:dyDescent="0.45">
      <c r="A661" s="57">
        <v>1882</v>
      </c>
      <c r="B661" t="s">
        <v>3735</v>
      </c>
      <c r="C661" t="s">
        <v>3736</v>
      </c>
      <c r="D661" s="12">
        <v>46303</v>
      </c>
      <c r="E661" s="11">
        <v>50</v>
      </c>
      <c r="F661" s="11" t="s">
        <v>5910</v>
      </c>
      <c r="G661">
        <v>20221001</v>
      </c>
      <c r="I661" s="11" t="s">
        <v>63</v>
      </c>
      <c r="J661" s="72">
        <v>40527095</v>
      </c>
      <c r="K661" s="99">
        <f>_xlfn.XLOOKUP(_2__ROI_Daily_Update[[#This Row],[CSM id]],SHP!F:F,SHP!EE:EE,"-")</f>
        <v>0</v>
      </c>
      <c r="L661" s="12"/>
      <c r="N661" s="11"/>
      <c r="P661"/>
      <c r="Q661"/>
      <c r="W661" s="28"/>
      <c r="AA661"/>
    </row>
    <row r="662" spans="1:27" x14ac:dyDescent="0.45">
      <c r="A662" s="57">
        <v>1014</v>
      </c>
      <c r="B662" t="s">
        <v>1128</v>
      </c>
      <c r="C662" t="s">
        <v>1129</v>
      </c>
      <c r="D662" s="12">
        <v>46303</v>
      </c>
      <c r="E662" s="11">
        <v>7</v>
      </c>
      <c r="F662" s="11" t="s">
        <v>5908</v>
      </c>
      <c r="G662">
        <v>20260101</v>
      </c>
      <c r="I662" s="11" t="s">
        <v>63</v>
      </c>
      <c r="J662" s="72">
        <v>40567562</v>
      </c>
      <c r="K662" s="99">
        <f>_xlfn.XLOOKUP(_2__ROI_Daily_Update[[#This Row],[CSM id]],SHP!F:F,SHP!EE:EE,"-")</f>
        <v>0</v>
      </c>
      <c r="L662" s="12"/>
      <c r="N662" s="11"/>
      <c r="P662"/>
      <c r="Q662"/>
      <c r="W662" s="28"/>
      <c r="AA662"/>
    </row>
    <row r="663" spans="1:27" x14ac:dyDescent="0.45">
      <c r="A663" s="57">
        <v>1624</v>
      </c>
      <c r="B663" t="s">
        <v>2932</v>
      </c>
      <c r="C663" t="s">
        <v>2933</v>
      </c>
      <c r="D663" s="12">
        <v>46303</v>
      </c>
      <c r="E663" s="11">
        <v>56</v>
      </c>
      <c r="F663" s="11" t="s">
        <v>5905</v>
      </c>
      <c r="G663">
        <v>20260401</v>
      </c>
      <c r="I663" s="11" t="s">
        <v>63</v>
      </c>
      <c r="J663" s="72">
        <v>90621726</v>
      </c>
      <c r="K663" s="99">
        <f>_xlfn.XLOOKUP(_2__ROI_Daily_Update[[#This Row],[CSM id]],SHP!F:F,SHP!EE:EE,"-")</f>
        <v>0</v>
      </c>
      <c r="L663" s="12"/>
      <c r="N663" s="11"/>
      <c r="P663"/>
      <c r="Q663"/>
      <c r="W663" s="28"/>
      <c r="AA663"/>
    </row>
    <row r="664" spans="1:27" x14ac:dyDescent="0.45">
      <c r="A664" s="57">
        <v>1637</v>
      </c>
      <c r="B664" t="s">
        <v>3113</v>
      </c>
      <c r="C664" t="s">
        <v>3114</v>
      </c>
      <c r="D664" s="12">
        <v>46303</v>
      </c>
      <c r="E664" s="11">
        <v>150</v>
      </c>
      <c r="F664" s="11" t="s">
        <v>5905</v>
      </c>
      <c r="G664">
        <v>20261001</v>
      </c>
      <c r="H664" s="12">
        <v>46388</v>
      </c>
      <c r="I664" s="11" t="s">
        <v>63</v>
      </c>
      <c r="J664" s="72">
        <v>80637327</v>
      </c>
      <c r="K664" s="99">
        <f>_xlfn.XLOOKUP(_2__ROI_Daily_Update[[#This Row],[CSM id]],SHP!F:F,SHP!EE:EE,"-")</f>
        <v>0</v>
      </c>
      <c r="L664" s="12"/>
      <c r="N664" s="11"/>
      <c r="P664"/>
      <c r="Q664"/>
      <c r="W664" s="28"/>
      <c r="AA664"/>
    </row>
    <row r="665" spans="1:27" x14ac:dyDescent="0.45">
      <c r="A665" s="57">
        <v>125</v>
      </c>
      <c r="B665" t="s">
        <v>130</v>
      </c>
      <c r="C665" t="s">
        <v>131</v>
      </c>
      <c r="D665" s="12">
        <v>46303</v>
      </c>
      <c r="E665" s="11">
        <v>20</v>
      </c>
      <c r="F665" s="11" t="s">
        <v>5909</v>
      </c>
      <c r="G665">
        <v>20180401</v>
      </c>
      <c r="H665" s="12">
        <v>46569</v>
      </c>
      <c r="I665" s="11" t="s">
        <v>18</v>
      </c>
      <c r="J665" s="72">
        <v>90395144</v>
      </c>
      <c r="K665" s="99">
        <f>_xlfn.XLOOKUP(_2__ROI_Daily_Update[[#This Row],[CSM id]],SHP!F:F,SHP!EE:EE,"-")</f>
        <v>0</v>
      </c>
      <c r="L665" s="12"/>
      <c r="N665" s="11"/>
      <c r="P665"/>
      <c r="Q665"/>
      <c r="W665" s="28"/>
      <c r="AA665"/>
    </row>
    <row r="666" spans="1:27" x14ac:dyDescent="0.45">
      <c r="A666" s="57">
        <v>1637</v>
      </c>
      <c r="B666" t="s">
        <v>3109</v>
      </c>
      <c r="C666" t="s">
        <v>3110</v>
      </c>
      <c r="D666" s="12">
        <v>46303</v>
      </c>
      <c r="E666" s="11">
        <v>40</v>
      </c>
      <c r="F666" s="11" t="s">
        <v>5910</v>
      </c>
      <c r="G666">
        <v>20261001</v>
      </c>
      <c r="H666" s="12">
        <v>46388</v>
      </c>
      <c r="I666" s="11" t="s">
        <v>63</v>
      </c>
      <c r="J666" s="72">
        <v>60633429</v>
      </c>
      <c r="K666" s="99">
        <f>_xlfn.XLOOKUP(_2__ROI_Daily_Update[[#This Row],[CSM id]],SHP!F:F,SHP!EE:EE,"-")</f>
        <v>0</v>
      </c>
      <c r="L666" s="12"/>
      <c r="N666" s="11"/>
      <c r="P666"/>
      <c r="Q666"/>
      <c r="W666" s="28"/>
      <c r="AA666"/>
    </row>
    <row r="667" spans="1:27" x14ac:dyDescent="0.45">
      <c r="A667" s="57">
        <v>1636</v>
      </c>
      <c r="B667" t="s">
        <v>3101</v>
      </c>
      <c r="C667" t="s">
        <v>3102</v>
      </c>
      <c r="D667" s="12">
        <v>46303</v>
      </c>
      <c r="E667" s="11">
        <v>38</v>
      </c>
      <c r="F667" s="11" t="s">
        <v>5906</v>
      </c>
      <c r="G667">
        <v>20261001</v>
      </c>
      <c r="H667" s="12">
        <v>46388</v>
      </c>
      <c r="I667" s="11" t="s">
        <v>63</v>
      </c>
      <c r="J667" s="72">
        <v>90632065</v>
      </c>
      <c r="K667" s="99">
        <f>_xlfn.XLOOKUP(_2__ROI_Daily_Update[[#This Row],[CSM id]],SHP!F:F,SHP!EE:EE,"-")</f>
        <v>0</v>
      </c>
      <c r="L667" s="12"/>
      <c r="N667" s="11"/>
      <c r="P667"/>
      <c r="Q667"/>
      <c r="W667" s="28"/>
      <c r="AA667"/>
    </row>
    <row r="668" spans="1:27" x14ac:dyDescent="0.45">
      <c r="A668" s="57">
        <v>1636</v>
      </c>
      <c r="B668" t="s">
        <v>3099</v>
      </c>
      <c r="C668" t="s">
        <v>3100</v>
      </c>
      <c r="D668" s="12">
        <v>46303</v>
      </c>
      <c r="E668" s="11">
        <v>12</v>
      </c>
      <c r="F668" s="11" t="s">
        <v>5905</v>
      </c>
      <c r="G668">
        <v>20261001</v>
      </c>
      <c r="H668" s="12">
        <v>46388</v>
      </c>
      <c r="I668" s="11" t="s">
        <v>63</v>
      </c>
      <c r="J668" s="72">
        <v>80635917</v>
      </c>
      <c r="K668" s="99">
        <f>_xlfn.XLOOKUP(_2__ROI_Daily_Update[[#This Row],[CSM id]],SHP!F:F,SHP!EE:EE,"-")</f>
        <v>0</v>
      </c>
      <c r="L668" s="12"/>
      <c r="N668" s="11"/>
      <c r="P668"/>
      <c r="Q668"/>
      <c r="W668" s="28"/>
      <c r="AA668"/>
    </row>
    <row r="669" spans="1:27" x14ac:dyDescent="0.45">
      <c r="A669" s="57">
        <v>1636</v>
      </c>
      <c r="B669" t="s">
        <v>3097</v>
      </c>
      <c r="C669" t="s">
        <v>3098</v>
      </c>
      <c r="D669" s="12">
        <v>46303</v>
      </c>
      <c r="E669" s="11">
        <v>40</v>
      </c>
      <c r="F669" s="11" t="s">
        <v>5908</v>
      </c>
      <c r="G669">
        <v>20261001</v>
      </c>
      <c r="H669" s="12">
        <v>46388</v>
      </c>
      <c r="I669" s="11" t="s">
        <v>63</v>
      </c>
      <c r="J669" s="72">
        <v>70636106</v>
      </c>
      <c r="K669" s="99">
        <f>_xlfn.XLOOKUP(_2__ROI_Daily_Update[[#This Row],[CSM id]],SHP!F:F,SHP!EE:EE,"-")</f>
        <v>0</v>
      </c>
      <c r="L669" s="12"/>
      <c r="N669" s="11"/>
      <c r="P669"/>
      <c r="Q669"/>
      <c r="W669" s="28"/>
      <c r="AA669"/>
    </row>
    <row r="670" spans="1:27" x14ac:dyDescent="0.45">
      <c r="A670" s="57">
        <v>1636</v>
      </c>
      <c r="B670" t="s">
        <v>3095</v>
      </c>
      <c r="C670" t="s">
        <v>3096</v>
      </c>
      <c r="D670" s="12">
        <v>46303</v>
      </c>
      <c r="E670" s="11">
        <v>60</v>
      </c>
      <c r="F670" s="11" t="s">
        <v>5905</v>
      </c>
      <c r="G670">
        <v>20261001</v>
      </c>
      <c r="H670" s="12">
        <v>46388</v>
      </c>
      <c r="I670" s="11" t="s">
        <v>63</v>
      </c>
      <c r="J670" s="72">
        <v>70632071</v>
      </c>
      <c r="K670" s="99">
        <f>_xlfn.XLOOKUP(_2__ROI_Daily_Update[[#This Row],[CSM id]],SHP!F:F,SHP!EE:EE,"-")</f>
        <v>0</v>
      </c>
      <c r="L670" s="12"/>
      <c r="N670" s="11"/>
      <c r="P670"/>
      <c r="Q670"/>
      <c r="W670" s="28"/>
      <c r="AA670"/>
    </row>
    <row r="671" spans="1:27" x14ac:dyDescent="0.45">
      <c r="A671" s="57">
        <v>1636</v>
      </c>
      <c r="B671" t="s">
        <v>3093</v>
      </c>
      <c r="C671" t="s">
        <v>3094</v>
      </c>
      <c r="D671" s="12">
        <v>46303</v>
      </c>
      <c r="E671" s="11">
        <v>16</v>
      </c>
      <c r="F671" s="11" t="s">
        <v>5908</v>
      </c>
      <c r="G671">
        <v>20261001</v>
      </c>
      <c r="H671" s="12">
        <v>46388</v>
      </c>
      <c r="I671" s="11" t="s">
        <v>63</v>
      </c>
      <c r="J671" s="72">
        <v>40635858</v>
      </c>
      <c r="K671" s="99">
        <f>_xlfn.XLOOKUP(_2__ROI_Daily_Update[[#This Row],[CSM id]],SHP!F:F,SHP!EE:EE,"-")</f>
        <v>0</v>
      </c>
      <c r="L671" s="12"/>
      <c r="N671" s="11"/>
      <c r="P671"/>
      <c r="Q671"/>
      <c r="W671" s="28"/>
      <c r="AA671"/>
    </row>
    <row r="672" spans="1:27" x14ac:dyDescent="0.45">
      <c r="A672" s="57">
        <v>125</v>
      </c>
      <c r="B672" t="s">
        <v>111</v>
      </c>
      <c r="C672" t="s">
        <v>112</v>
      </c>
      <c r="D672" s="12">
        <v>46303</v>
      </c>
      <c r="E672" s="11">
        <v>52</v>
      </c>
      <c r="F672" s="11" t="s">
        <v>5910</v>
      </c>
      <c r="G672">
        <v>20260701</v>
      </c>
      <c r="I672" s="11" t="s">
        <v>63</v>
      </c>
      <c r="J672" s="72">
        <v>20625407</v>
      </c>
      <c r="K672" s="99">
        <f>_xlfn.XLOOKUP(_2__ROI_Daily_Update[[#This Row],[CSM id]],SHP!F:F,SHP!EE:EE,"-")</f>
        <v>0</v>
      </c>
      <c r="L672" s="12"/>
      <c r="N672" s="11"/>
      <c r="P672"/>
      <c r="Q672"/>
      <c r="W672" s="28"/>
      <c r="AA672"/>
    </row>
    <row r="673" spans="1:27" x14ac:dyDescent="0.45">
      <c r="A673" s="57">
        <v>1636</v>
      </c>
      <c r="B673" t="s">
        <v>3091</v>
      </c>
      <c r="C673" t="s">
        <v>3092</v>
      </c>
      <c r="D673" s="12">
        <v>46303</v>
      </c>
      <c r="E673" s="11">
        <v>40</v>
      </c>
      <c r="F673" s="11" t="s">
        <v>5908</v>
      </c>
      <c r="G673">
        <v>20261001</v>
      </c>
      <c r="H673" s="12">
        <v>46388</v>
      </c>
      <c r="I673" s="11" t="s">
        <v>63</v>
      </c>
      <c r="J673" s="72">
        <v>30636108</v>
      </c>
      <c r="K673" s="99">
        <f>_xlfn.XLOOKUP(_2__ROI_Daily_Update[[#This Row],[CSM id]],SHP!F:F,SHP!EE:EE,"-")</f>
        <v>0</v>
      </c>
      <c r="L673" s="12"/>
      <c r="N673" s="11"/>
      <c r="P673"/>
      <c r="Q673"/>
      <c r="W673" s="28"/>
      <c r="AA673"/>
    </row>
    <row r="674" spans="1:27" x14ac:dyDescent="0.45">
      <c r="A674" s="57">
        <v>1636</v>
      </c>
      <c r="B674" t="s">
        <v>3089</v>
      </c>
      <c r="C674" t="s">
        <v>3090</v>
      </c>
      <c r="D674" s="12">
        <v>46303</v>
      </c>
      <c r="E674" s="11">
        <v>72</v>
      </c>
      <c r="F674" s="11" t="s">
        <v>5905</v>
      </c>
      <c r="G674">
        <v>20261001</v>
      </c>
      <c r="H674" s="12">
        <v>46388</v>
      </c>
      <c r="I674" s="11" t="s">
        <v>63</v>
      </c>
      <c r="J674" s="72">
        <v>20631026</v>
      </c>
      <c r="K674" s="99">
        <f>_xlfn.XLOOKUP(_2__ROI_Daily_Update[[#This Row],[CSM id]],SHP!F:F,SHP!EE:EE,"-")</f>
        <v>0</v>
      </c>
      <c r="L674" s="12"/>
      <c r="N674" s="11"/>
      <c r="P674"/>
      <c r="Q674"/>
      <c r="W674" s="28"/>
      <c r="AA674"/>
    </row>
    <row r="675" spans="1:27" x14ac:dyDescent="0.45">
      <c r="A675" s="57">
        <v>1641</v>
      </c>
      <c r="B675" t="s">
        <v>3117</v>
      </c>
      <c r="C675" t="s">
        <v>3118</v>
      </c>
      <c r="D675" s="12">
        <v>46303</v>
      </c>
      <c r="E675" s="11">
        <v>64</v>
      </c>
      <c r="F675" s="11" t="s">
        <v>5910</v>
      </c>
      <c r="G675">
        <v>20210701</v>
      </c>
      <c r="I675" s="11" t="s">
        <v>63</v>
      </c>
      <c r="J675" s="72">
        <v>314307</v>
      </c>
      <c r="K675" s="99">
        <f>_xlfn.XLOOKUP(_2__ROI_Daily_Update[[#This Row],[CSM id]],SHP!F:F,SHP!EE:EE,"-")</f>
        <v>0</v>
      </c>
      <c r="L675" s="12"/>
      <c r="N675" s="11"/>
      <c r="P675"/>
      <c r="Q675"/>
      <c r="W675" s="28"/>
      <c r="AA675"/>
    </row>
    <row r="676" spans="1:27" x14ac:dyDescent="0.45">
      <c r="A676" s="57">
        <v>1636</v>
      </c>
      <c r="B676" t="s">
        <v>3087</v>
      </c>
      <c r="C676" t="s">
        <v>3088</v>
      </c>
      <c r="D676" s="12">
        <v>46303</v>
      </c>
      <c r="E676" s="11">
        <v>54</v>
      </c>
      <c r="F676" s="11" t="s">
        <v>5905</v>
      </c>
      <c r="G676">
        <v>20261001</v>
      </c>
      <c r="H676" s="12">
        <v>46388</v>
      </c>
      <c r="I676" s="11" t="s">
        <v>63</v>
      </c>
      <c r="J676" s="72">
        <v>10635906</v>
      </c>
      <c r="K676" s="99">
        <f>_xlfn.XLOOKUP(_2__ROI_Daily_Update[[#This Row],[CSM id]],SHP!F:F,SHP!EE:EE,"-")</f>
        <v>0</v>
      </c>
      <c r="L676" s="12"/>
      <c r="N676" s="11"/>
      <c r="P676"/>
      <c r="Q676"/>
      <c r="W676" s="28"/>
      <c r="AA676"/>
    </row>
    <row r="677" spans="1:27" x14ac:dyDescent="0.45">
      <c r="A677" s="57">
        <v>125</v>
      </c>
      <c r="B677" t="s">
        <v>113</v>
      </c>
      <c r="C677" t="s">
        <v>114</v>
      </c>
      <c r="D677" s="12">
        <v>46303</v>
      </c>
      <c r="E677" s="11">
        <v>14</v>
      </c>
      <c r="F677" s="11" t="s">
        <v>5906</v>
      </c>
      <c r="G677">
        <v>20260701</v>
      </c>
      <c r="I677" s="11" t="s">
        <v>63</v>
      </c>
      <c r="J677" s="72">
        <v>20625539</v>
      </c>
      <c r="K677" s="99">
        <f>_xlfn.XLOOKUP(_2__ROI_Daily_Update[[#This Row],[CSM id]],SHP!F:F,SHP!EE:EE,"-")</f>
        <v>0</v>
      </c>
      <c r="L677" s="12"/>
      <c r="N677" s="11"/>
      <c r="P677"/>
      <c r="Q677"/>
      <c r="W677" s="28"/>
      <c r="AA677"/>
    </row>
    <row r="678" spans="1:27" x14ac:dyDescent="0.45">
      <c r="A678" s="57">
        <v>1635</v>
      </c>
      <c r="B678" t="s">
        <v>3079</v>
      </c>
      <c r="C678" t="s">
        <v>3080</v>
      </c>
      <c r="D678" s="12">
        <v>46303</v>
      </c>
      <c r="E678" s="11">
        <v>504</v>
      </c>
      <c r="F678" s="11" t="s">
        <v>5905</v>
      </c>
      <c r="G678">
        <v>20260401</v>
      </c>
      <c r="I678" s="11" t="s">
        <v>63</v>
      </c>
      <c r="J678" s="72">
        <v>60608378</v>
      </c>
      <c r="K678" s="99">
        <f>_xlfn.XLOOKUP(_2__ROI_Daily_Update[[#This Row],[CSM id]],SHP!F:F,SHP!EE:EE,"-")</f>
        <v>0</v>
      </c>
      <c r="L678" s="12"/>
      <c r="N678" s="11"/>
      <c r="P678"/>
      <c r="Q678"/>
      <c r="W678" s="28"/>
      <c r="AA678"/>
    </row>
    <row r="679" spans="1:27" x14ac:dyDescent="0.45">
      <c r="A679" s="57">
        <v>1635</v>
      </c>
      <c r="B679" t="s">
        <v>3077</v>
      </c>
      <c r="C679" t="s">
        <v>3078</v>
      </c>
      <c r="D679" s="12">
        <v>46303</v>
      </c>
      <c r="E679" s="11">
        <v>6</v>
      </c>
      <c r="F679" s="11" t="s">
        <v>5911</v>
      </c>
      <c r="G679">
        <v>20261001</v>
      </c>
      <c r="I679" s="11" t="s">
        <v>63</v>
      </c>
      <c r="J679" s="72">
        <v>40611584</v>
      </c>
      <c r="K679" s="99">
        <f>_xlfn.XLOOKUP(_2__ROI_Daily_Update[[#This Row],[CSM id]],SHP!F:F,SHP!EE:EE,"-")</f>
        <v>0</v>
      </c>
      <c r="L679" s="12"/>
      <c r="N679" s="11"/>
      <c r="P679"/>
      <c r="Q679"/>
      <c r="W679" s="28"/>
      <c r="AA679"/>
    </row>
    <row r="680" spans="1:27" x14ac:dyDescent="0.45">
      <c r="A680" s="57">
        <v>125</v>
      </c>
      <c r="B680" t="s">
        <v>106</v>
      </c>
      <c r="C680" t="s">
        <v>107</v>
      </c>
      <c r="D680" s="12">
        <v>46303</v>
      </c>
      <c r="E680" s="11">
        <v>2</v>
      </c>
      <c r="F680" s="11" t="s">
        <v>5909</v>
      </c>
      <c r="G680">
        <v>20261001</v>
      </c>
      <c r="I680" s="11" t="s">
        <v>18</v>
      </c>
      <c r="J680" s="72">
        <v>10628944</v>
      </c>
      <c r="K680" s="99">
        <f>_xlfn.XLOOKUP(_2__ROI_Daily_Update[[#This Row],[CSM id]],SHP!F:F,SHP!EE:EE,"-")</f>
        <v>0</v>
      </c>
      <c r="L680" s="12"/>
      <c r="N680" s="11"/>
      <c r="P680"/>
      <c r="Q680"/>
      <c r="W680" s="28"/>
      <c r="AA680"/>
    </row>
    <row r="681" spans="1:27" x14ac:dyDescent="0.45">
      <c r="A681" s="57">
        <v>1635</v>
      </c>
      <c r="B681" t="s">
        <v>3069</v>
      </c>
      <c r="C681" t="s">
        <v>3070</v>
      </c>
      <c r="D681" s="12">
        <v>46303</v>
      </c>
      <c r="E681" s="11">
        <v>48</v>
      </c>
      <c r="F681" s="11" t="s">
        <v>5905</v>
      </c>
      <c r="G681">
        <v>20260401</v>
      </c>
      <c r="I681" s="11" t="s">
        <v>63</v>
      </c>
      <c r="J681" s="72">
        <v>608442</v>
      </c>
      <c r="K681" s="99">
        <f>_xlfn.XLOOKUP(_2__ROI_Daily_Update[[#This Row],[CSM id]],SHP!F:F,SHP!EE:EE,"-")</f>
        <v>0</v>
      </c>
      <c r="L681" s="12"/>
      <c r="N681" s="11"/>
      <c r="P681"/>
      <c r="Q681"/>
      <c r="W681" s="28"/>
      <c r="AA681"/>
    </row>
    <row r="682" spans="1:27" x14ac:dyDescent="0.45">
      <c r="A682" s="57">
        <v>1634</v>
      </c>
      <c r="B682" t="s">
        <v>3059</v>
      </c>
      <c r="C682" t="s">
        <v>3060</v>
      </c>
      <c r="D682" s="12">
        <v>46303</v>
      </c>
      <c r="E682" s="11">
        <v>80</v>
      </c>
      <c r="F682" s="11" t="s">
        <v>5906</v>
      </c>
      <c r="G682">
        <v>20230701</v>
      </c>
      <c r="I682" s="11" t="s">
        <v>63</v>
      </c>
      <c r="J682" s="72">
        <v>70560149</v>
      </c>
      <c r="K682" s="99">
        <f>_xlfn.XLOOKUP(_2__ROI_Daily_Update[[#This Row],[CSM id]],SHP!F:F,SHP!EE:EE,"-")</f>
        <v>0</v>
      </c>
      <c r="L682" s="12"/>
      <c r="N682" s="11"/>
      <c r="P682"/>
      <c r="Q682"/>
      <c r="W682" s="28"/>
      <c r="AA682"/>
    </row>
    <row r="683" spans="1:27" x14ac:dyDescent="0.45">
      <c r="A683" s="57">
        <v>1634</v>
      </c>
      <c r="B683" t="s">
        <v>3051</v>
      </c>
      <c r="C683" t="s">
        <v>3052</v>
      </c>
      <c r="D683" s="12">
        <v>46303</v>
      </c>
      <c r="E683" s="11">
        <v>64</v>
      </c>
      <c r="F683" s="11" t="s">
        <v>5910</v>
      </c>
      <c r="G683">
        <v>20250701</v>
      </c>
      <c r="I683" s="11" t="s">
        <v>63</v>
      </c>
      <c r="J683" s="72">
        <v>60560121</v>
      </c>
      <c r="K683" s="99">
        <f>_xlfn.XLOOKUP(_2__ROI_Daily_Update[[#This Row],[CSM id]],SHP!F:F,SHP!EE:EE,"-")</f>
        <v>0</v>
      </c>
      <c r="L683" s="12"/>
      <c r="N683" s="11"/>
      <c r="P683"/>
      <c r="Q683"/>
      <c r="W683" s="28"/>
      <c r="AA683"/>
    </row>
    <row r="684" spans="1:27" x14ac:dyDescent="0.45">
      <c r="A684" s="57">
        <v>1634</v>
      </c>
      <c r="B684" t="s">
        <v>3047</v>
      </c>
      <c r="C684" t="s">
        <v>3048</v>
      </c>
      <c r="D684" s="12">
        <v>46303</v>
      </c>
      <c r="E684" s="11">
        <v>36</v>
      </c>
      <c r="F684" s="11" t="s">
        <v>5905</v>
      </c>
      <c r="G684">
        <v>20241001</v>
      </c>
      <c r="I684" s="11" t="s">
        <v>63</v>
      </c>
      <c r="J684" s="72">
        <v>50587183</v>
      </c>
      <c r="K684" s="99">
        <f>_xlfn.XLOOKUP(_2__ROI_Daily_Update[[#This Row],[CSM id]],SHP!F:F,SHP!EE:EE,"-")</f>
        <v>0</v>
      </c>
      <c r="L684" s="12"/>
      <c r="N684" s="11"/>
      <c r="P684"/>
      <c r="Q684"/>
      <c r="W684" s="28"/>
      <c r="AA684"/>
    </row>
    <row r="685" spans="1:27" x14ac:dyDescent="0.45">
      <c r="A685" s="57">
        <v>1011</v>
      </c>
      <c r="B685" t="s">
        <v>1040</v>
      </c>
      <c r="C685" t="s">
        <v>1041</v>
      </c>
      <c r="D685" s="12">
        <v>46303</v>
      </c>
      <c r="E685" s="11">
        <v>4</v>
      </c>
      <c r="F685" s="11" t="s">
        <v>5905</v>
      </c>
      <c r="G685">
        <v>20260701</v>
      </c>
      <c r="I685" s="11" t="s">
        <v>63</v>
      </c>
      <c r="J685" s="72">
        <v>80629978</v>
      </c>
      <c r="K685" s="99">
        <f>_xlfn.XLOOKUP(_2__ROI_Daily_Update[[#This Row],[CSM id]],SHP!F:F,SHP!EE:EE,"-")</f>
        <v>0</v>
      </c>
      <c r="L685" s="12"/>
      <c r="N685" s="11"/>
      <c r="P685"/>
      <c r="Q685"/>
      <c r="W685" s="28"/>
      <c r="AA685"/>
    </row>
    <row r="686" spans="1:27" x14ac:dyDescent="0.45">
      <c r="A686" s="57">
        <v>1013</v>
      </c>
      <c r="B686" t="s">
        <v>1098</v>
      </c>
      <c r="C686" t="s">
        <v>1099</v>
      </c>
      <c r="D686" s="12">
        <v>46303</v>
      </c>
      <c r="E686" s="11">
        <v>10</v>
      </c>
      <c r="F686" s="11" t="s">
        <v>5905</v>
      </c>
      <c r="G686">
        <v>20190201</v>
      </c>
      <c r="I686" s="11" t="s">
        <v>63</v>
      </c>
      <c r="J686" s="72">
        <v>407146</v>
      </c>
      <c r="K686" s="99">
        <f>_xlfn.XLOOKUP(_2__ROI_Daily_Update[[#This Row],[CSM id]],SHP!F:F,SHP!EE:EE,"-")</f>
        <v>0</v>
      </c>
      <c r="L686" s="12"/>
      <c r="N686" s="11"/>
      <c r="P686"/>
      <c r="Q686"/>
      <c r="W686" s="28"/>
      <c r="AA686"/>
    </row>
    <row r="687" spans="1:27" x14ac:dyDescent="0.45">
      <c r="A687" s="57">
        <v>126</v>
      </c>
      <c r="B687" t="s">
        <v>149</v>
      </c>
      <c r="C687" t="s">
        <v>150</v>
      </c>
      <c r="D687" s="12">
        <v>46303</v>
      </c>
      <c r="E687" s="11">
        <v>18</v>
      </c>
      <c r="F687" s="11" t="s">
        <v>5910</v>
      </c>
      <c r="G687">
        <v>20180401</v>
      </c>
      <c r="H687" s="12">
        <v>46478</v>
      </c>
      <c r="I687" s="11" t="s">
        <v>63</v>
      </c>
      <c r="J687" s="72">
        <v>90395158</v>
      </c>
      <c r="K687" s="99">
        <f>_xlfn.XLOOKUP(_2__ROI_Daily_Update[[#This Row],[CSM id]],SHP!F:F,SHP!EE:EE,"-")</f>
        <v>0</v>
      </c>
      <c r="L687" s="12"/>
      <c r="N687" s="11"/>
      <c r="P687"/>
      <c r="Q687"/>
      <c r="W687" s="28"/>
      <c r="AA687"/>
    </row>
    <row r="688" spans="1:27" x14ac:dyDescent="0.45">
      <c r="A688" s="57">
        <v>1635</v>
      </c>
      <c r="B688" t="s">
        <v>3085</v>
      </c>
      <c r="C688" t="s">
        <v>3086</v>
      </c>
      <c r="D688" s="12">
        <v>46303</v>
      </c>
      <c r="E688" s="11">
        <v>560</v>
      </c>
      <c r="F688" s="11" t="s">
        <v>5908</v>
      </c>
      <c r="G688">
        <v>20251001</v>
      </c>
      <c r="I688" s="11" t="s">
        <v>63</v>
      </c>
      <c r="J688" s="72">
        <v>80609584</v>
      </c>
      <c r="K688" s="99">
        <f>_xlfn.XLOOKUP(_2__ROI_Daily_Update[[#This Row],[CSM id]],SHP!F:F,SHP!EE:EE,"-")</f>
        <v>0</v>
      </c>
      <c r="L688" s="12"/>
      <c r="N688" s="11"/>
      <c r="P688"/>
      <c r="Q688"/>
      <c r="W688" s="28"/>
      <c r="AA688"/>
    </row>
    <row r="689" spans="1:27" x14ac:dyDescent="0.45">
      <c r="A689" s="57">
        <v>1641</v>
      </c>
      <c r="B689" t="s">
        <v>3121</v>
      </c>
      <c r="C689" t="s">
        <v>3122</v>
      </c>
      <c r="D689" s="12">
        <v>46303</v>
      </c>
      <c r="E689" s="11">
        <v>80</v>
      </c>
      <c r="F689" s="11" t="s">
        <v>5905</v>
      </c>
      <c r="G689">
        <v>20240401</v>
      </c>
      <c r="I689" s="11" t="s">
        <v>63</v>
      </c>
      <c r="J689" s="72">
        <v>550040</v>
      </c>
      <c r="K689" s="99">
        <f>_xlfn.XLOOKUP(_2__ROI_Daily_Update[[#This Row],[CSM id]],SHP!F:F,SHP!EE:EE,"-")</f>
        <v>0</v>
      </c>
      <c r="L689" s="12"/>
      <c r="N689" s="11"/>
      <c r="P689"/>
      <c r="Q689"/>
      <c r="W689" s="28"/>
      <c r="AA689"/>
    </row>
    <row r="690" spans="1:27" x14ac:dyDescent="0.45">
      <c r="A690" s="57">
        <v>1012</v>
      </c>
      <c r="B690" t="s">
        <v>1094</v>
      </c>
      <c r="C690" t="s">
        <v>1095</v>
      </c>
      <c r="D690" s="12">
        <v>46303</v>
      </c>
      <c r="E690" s="11">
        <v>6</v>
      </c>
      <c r="F690" s="11" t="s">
        <v>5908</v>
      </c>
      <c r="G690">
        <v>20260701</v>
      </c>
      <c r="I690" s="11" t="s">
        <v>63</v>
      </c>
      <c r="J690" s="72">
        <v>90618390</v>
      </c>
      <c r="K690" s="99">
        <f>_xlfn.XLOOKUP(_2__ROI_Daily_Update[[#This Row],[CSM id]],SHP!F:F,SHP!EE:EE,"-")</f>
        <v>0</v>
      </c>
      <c r="L690" s="12"/>
      <c r="N690" s="11"/>
      <c r="P690"/>
      <c r="Q690"/>
      <c r="W690" s="28"/>
      <c r="AA690"/>
    </row>
    <row r="691" spans="1:27" x14ac:dyDescent="0.45">
      <c r="A691" s="57">
        <v>1012</v>
      </c>
      <c r="B691" t="s">
        <v>1090</v>
      </c>
      <c r="C691" t="s">
        <v>1091</v>
      </c>
      <c r="D691" s="12">
        <v>46303</v>
      </c>
      <c r="E691" s="11">
        <v>36</v>
      </c>
      <c r="F691" s="11" t="s">
        <v>5910</v>
      </c>
      <c r="G691">
        <v>20261001</v>
      </c>
      <c r="I691" s="11" t="s">
        <v>63</v>
      </c>
      <c r="J691" s="72">
        <v>80601272</v>
      </c>
      <c r="K691" s="99">
        <f>_xlfn.XLOOKUP(_2__ROI_Daily_Update[[#This Row],[CSM id]],SHP!F:F,SHP!EE:EE,"-")</f>
        <v>0</v>
      </c>
      <c r="L691" s="12"/>
      <c r="N691" s="11"/>
      <c r="P691"/>
      <c r="Q691"/>
      <c r="W691" s="28"/>
      <c r="AA691"/>
    </row>
    <row r="692" spans="1:27" x14ac:dyDescent="0.45">
      <c r="A692" s="57">
        <v>113</v>
      </c>
      <c r="B692" t="s">
        <v>91</v>
      </c>
      <c r="C692" t="s">
        <v>92</v>
      </c>
      <c r="D692" s="12">
        <v>46303</v>
      </c>
      <c r="E692" s="11">
        <v>2</v>
      </c>
      <c r="F692" s="11" t="s">
        <v>5909</v>
      </c>
      <c r="G692">
        <v>20241001</v>
      </c>
      <c r="H692" s="12">
        <v>46569</v>
      </c>
      <c r="I692" s="11" t="s">
        <v>32</v>
      </c>
      <c r="J692" s="72">
        <v>60355762</v>
      </c>
      <c r="K692" s="99">
        <f>_xlfn.XLOOKUP(_2__ROI_Daily_Update[[#This Row],[CSM id]],SHP!F:F,SHP!EE:EE,"-")</f>
        <v>0</v>
      </c>
      <c r="L692" s="12"/>
      <c r="N692" s="11"/>
      <c r="P692"/>
      <c r="Q692"/>
      <c r="W692" s="28"/>
      <c r="AA692"/>
    </row>
    <row r="693" spans="1:27" x14ac:dyDescent="0.45">
      <c r="A693" s="57">
        <v>1012</v>
      </c>
      <c r="B693" t="s">
        <v>1052</v>
      </c>
      <c r="C693" t="s">
        <v>1053</v>
      </c>
      <c r="D693" s="12">
        <v>46303</v>
      </c>
      <c r="E693" s="11">
        <v>12</v>
      </c>
      <c r="F693" s="11" t="s">
        <v>5910</v>
      </c>
      <c r="G693">
        <v>20201001</v>
      </c>
      <c r="I693" s="11" t="s">
        <v>63</v>
      </c>
      <c r="J693" s="72">
        <v>10484832</v>
      </c>
      <c r="K693" s="99">
        <f>_xlfn.XLOOKUP(_2__ROI_Daily_Update[[#This Row],[CSM id]],SHP!F:F,SHP!EE:EE,"-")</f>
        <v>0</v>
      </c>
      <c r="L693" s="12"/>
      <c r="N693" s="11"/>
      <c r="P693"/>
      <c r="Q693"/>
      <c r="W693" s="28"/>
      <c r="AA693"/>
    </row>
    <row r="694" spans="1:27" x14ac:dyDescent="0.45">
      <c r="A694" s="57">
        <v>1012</v>
      </c>
      <c r="B694" t="s">
        <v>1068</v>
      </c>
      <c r="C694" t="s">
        <v>1069</v>
      </c>
      <c r="D694" s="12">
        <v>46303</v>
      </c>
      <c r="E694" s="11">
        <v>42</v>
      </c>
      <c r="F694" s="11" t="s">
        <v>5910</v>
      </c>
      <c r="G694">
        <v>20261001</v>
      </c>
      <c r="I694" s="11" t="s">
        <v>63</v>
      </c>
      <c r="J694" s="72">
        <v>30614248</v>
      </c>
      <c r="K694" s="99">
        <f>_xlfn.XLOOKUP(_2__ROI_Daily_Update[[#This Row],[CSM id]],SHP!F:F,SHP!EE:EE,"-")</f>
        <v>0</v>
      </c>
      <c r="L694" s="12"/>
      <c r="N694" s="11"/>
      <c r="P694"/>
      <c r="Q694"/>
      <c r="W694" s="28"/>
      <c r="AA694"/>
    </row>
    <row r="695" spans="1:27" x14ac:dyDescent="0.45">
      <c r="A695" s="57">
        <v>1641</v>
      </c>
      <c r="B695" t="s">
        <v>3161</v>
      </c>
      <c r="C695" t="s">
        <v>3162</v>
      </c>
      <c r="D695" s="12">
        <v>46303</v>
      </c>
      <c r="E695" s="11">
        <v>18</v>
      </c>
      <c r="F695" s="11" t="s">
        <v>5906</v>
      </c>
      <c r="G695">
        <v>20210701</v>
      </c>
      <c r="I695" s="11" t="s">
        <v>63</v>
      </c>
      <c r="J695" s="72">
        <v>60335854</v>
      </c>
      <c r="K695" s="99">
        <f>_xlfn.XLOOKUP(_2__ROI_Daily_Update[[#This Row],[CSM id]],SHP!F:F,SHP!EE:EE,"-")</f>
        <v>0</v>
      </c>
      <c r="L695" s="12"/>
      <c r="N695" s="11"/>
      <c r="P695"/>
      <c r="Q695"/>
      <c r="W695" s="28"/>
      <c r="AA695"/>
    </row>
    <row r="696" spans="1:27" x14ac:dyDescent="0.45">
      <c r="A696" s="57">
        <v>113</v>
      </c>
      <c r="B696" t="s">
        <v>56</v>
      </c>
      <c r="C696" t="s">
        <v>57</v>
      </c>
      <c r="D696" s="12">
        <v>46303</v>
      </c>
      <c r="E696" s="11">
        <v>2</v>
      </c>
      <c r="F696" s="11" t="s">
        <v>5909</v>
      </c>
      <c r="G696">
        <v>20250401</v>
      </c>
      <c r="I696" s="11" t="s">
        <v>18</v>
      </c>
      <c r="J696" s="72">
        <v>60586102</v>
      </c>
      <c r="K696" s="99">
        <f>_xlfn.XLOOKUP(_2__ROI_Daily_Update[[#This Row],[CSM id]],SHP!F:F,SHP!EE:EE,"-")</f>
        <v>0</v>
      </c>
      <c r="L696" s="12"/>
      <c r="N696" s="11"/>
      <c r="P696"/>
      <c r="Q696"/>
      <c r="W696" s="28"/>
      <c r="AA696"/>
    </row>
    <row r="697" spans="1:27" x14ac:dyDescent="0.45">
      <c r="A697" s="57">
        <v>1012</v>
      </c>
      <c r="B697" t="s">
        <v>1048</v>
      </c>
      <c r="C697" t="s">
        <v>1049</v>
      </c>
      <c r="D697" s="12">
        <v>46303</v>
      </c>
      <c r="E697" s="11">
        <v>18</v>
      </c>
      <c r="F697" s="11" t="s">
        <v>5906</v>
      </c>
      <c r="G697">
        <v>20221001</v>
      </c>
      <c r="I697" s="11" t="s">
        <v>63</v>
      </c>
      <c r="J697" s="72">
        <v>514170</v>
      </c>
      <c r="K697" s="99">
        <f>_xlfn.XLOOKUP(_2__ROI_Daily_Update[[#This Row],[CSM id]],SHP!F:F,SHP!EE:EE,"-")</f>
        <v>0</v>
      </c>
      <c r="L697" s="12"/>
      <c r="N697" s="11"/>
      <c r="P697"/>
      <c r="Q697"/>
      <c r="W697" s="28"/>
      <c r="AA697"/>
    </row>
    <row r="698" spans="1:27" x14ac:dyDescent="0.45">
      <c r="A698" s="57">
        <v>1641</v>
      </c>
      <c r="B698" t="s">
        <v>3159</v>
      </c>
      <c r="C698" t="s">
        <v>3160</v>
      </c>
      <c r="D698" s="12">
        <v>46303</v>
      </c>
      <c r="E698" s="11">
        <v>20</v>
      </c>
      <c r="F698" s="11" t="s">
        <v>5909</v>
      </c>
      <c r="G698">
        <v>20240401</v>
      </c>
      <c r="I698" s="11" t="s">
        <v>18</v>
      </c>
      <c r="J698" s="72">
        <v>50553710</v>
      </c>
      <c r="K698" s="99">
        <f>_xlfn.XLOOKUP(_2__ROI_Daily_Update[[#This Row],[CSM id]],SHP!F:F,SHP!EE:EE,"-")</f>
        <v>0</v>
      </c>
      <c r="L698" s="12"/>
      <c r="N698" s="11"/>
      <c r="P698"/>
      <c r="Q698"/>
      <c r="W698" s="28"/>
      <c r="AA698"/>
    </row>
    <row r="699" spans="1:27" x14ac:dyDescent="0.45">
      <c r="A699" s="57">
        <v>1641</v>
      </c>
      <c r="B699" t="s">
        <v>3157</v>
      </c>
      <c r="C699" t="s">
        <v>3158</v>
      </c>
      <c r="D699" s="12">
        <v>46303</v>
      </c>
      <c r="E699" s="11">
        <v>22</v>
      </c>
      <c r="F699" s="11" t="s">
        <v>5905</v>
      </c>
      <c r="G699">
        <v>20240401</v>
      </c>
      <c r="I699" s="11" t="s">
        <v>63</v>
      </c>
      <c r="J699" s="72">
        <v>50550047</v>
      </c>
      <c r="K699" s="99">
        <f>_xlfn.XLOOKUP(_2__ROI_Daily_Update[[#This Row],[CSM id]],SHP!F:F,SHP!EE:EE,"-")</f>
        <v>0</v>
      </c>
      <c r="L699" s="12"/>
      <c r="N699" s="11"/>
      <c r="P699"/>
      <c r="Q699"/>
      <c r="W699" s="28"/>
      <c r="AA699"/>
    </row>
    <row r="700" spans="1:27" x14ac:dyDescent="0.45">
      <c r="A700" s="57">
        <v>1641</v>
      </c>
      <c r="B700" t="s">
        <v>3155</v>
      </c>
      <c r="C700" t="s">
        <v>3156</v>
      </c>
      <c r="D700" s="12">
        <v>46303</v>
      </c>
      <c r="E700" s="11">
        <v>40</v>
      </c>
      <c r="F700" s="11" t="s">
        <v>5906</v>
      </c>
      <c r="G700">
        <v>20240401</v>
      </c>
      <c r="I700" s="11" t="s">
        <v>63</v>
      </c>
      <c r="J700" s="72">
        <v>50550033</v>
      </c>
      <c r="K700" s="99">
        <f>_xlfn.XLOOKUP(_2__ROI_Daily_Update[[#This Row],[CSM id]],SHP!F:F,SHP!EE:EE,"-")</f>
        <v>0</v>
      </c>
      <c r="L700" s="12"/>
      <c r="N700" s="11"/>
      <c r="P700"/>
      <c r="Q700"/>
      <c r="W700" s="28"/>
      <c r="AA700"/>
    </row>
    <row r="701" spans="1:27" x14ac:dyDescent="0.45">
      <c r="A701" s="57">
        <v>1012</v>
      </c>
      <c r="B701" t="s">
        <v>1074</v>
      </c>
      <c r="C701" t="s">
        <v>1075</v>
      </c>
      <c r="D701" s="12">
        <v>46303</v>
      </c>
      <c r="E701" s="11">
        <v>24</v>
      </c>
      <c r="F701" s="11" t="s">
        <v>5907</v>
      </c>
      <c r="G701">
        <v>20140801</v>
      </c>
      <c r="I701" s="11" t="s">
        <v>63</v>
      </c>
      <c r="J701" s="72">
        <v>50283898</v>
      </c>
      <c r="K701" s="99">
        <f>_xlfn.XLOOKUP(_2__ROI_Daily_Update[[#This Row],[CSM id]],SHP!F:F,SHP!EE:EE,"-")</f>
        <v>0</v>
      </c>
      <c r="L701" s="12"/>
      <c r="N701" s="11"/>
      <c r="P701"/>
      <c r="Q701"/>
      <c r="W701" s="28"/>
      <c r="AA701"/>
    </row>
    <row r="702" spans="1:27" x14ac:dyDescent="0.45">
      <c r="A702" s="57">
        <v>1641</v>
      </c>
      <c r="B702" t="s">
        <v>3155</v>
      </c>
      <c r="C702" t="s">
        <v>3156</v>
      </c>
      <c r="D702" s="12">
        <v>46303</v>
      </c>
      <c r="E702" s="11">
        <v>20</v>
      </c>
      <c r="F702" s="11" t="s">
        <v>5905</v>
      </c>
      <c r="G702">
        <v>20240401</v>
      </c>
      <c r="I702" s="11" t="s">
        <v>63</v>
      </c>
      <c r="J702" s="72">
        <v>50550033</v>
      </c>
      <c r="K702" s="99">
        <f>_xlfn.XLOOKUP(_2__ROI_Daily_Update[[#This Row],[CSM id]],SHP!F:F,SHP!EE:EE,"-")</f>
        <v>0</v>
      </c>
      <c r="L702" s="12"/>
      <c r="N702" s="11"/>
      <c r="P702"/>
      <c r="Q702"/>
      <c r="W702" s="28"/>
      <c r="AA702"/>
    </row>
    <row r="703" spans="1:27" x14ac:dyDescent="0.45">
      <c r="A703" s="57">
        <v>1012</v>
      </c>
      <c r="B703" t="s">
        <v>1046</v>
      </c>
      <c r="C703" t="s">
        <v>1047</v>
      </c>
      <c r="D703" s="12">
        <v>46303</v>
      </c>
      <c r="E703" s="11">
        <v>72</v>
      </c>
      <c r="F703" s="11" t="s">
        <v>5905</v>
      </c>
      <c r="G703">
        <v>20200201</v>
      </c>
      <c r="I703" s="11" t="s">
        <v>63</v>
      </c>
      <c r="J703" s="72">
        <v>358018</v>
      </c>
      <c r="K703" s="99">
        <f>_xlfn.XLOOKUP(_2__ROI_Daily_Update[[#This Row],[CSM id]],SHP!F:F,SHP!EE:EE,"-")</f>
        <v>0</v>
      </c>
      <c r="L703" s="12"/>
      <c r="N703" s="11"/>
      <c r="P703"/>
      <c r="Q703"/>
      <c r="W703" s="28"/>
      <c r="AA703"/>
    </row>
    <row r="704" spans="1:27" x14ac:dyDescent="0.45">
      <c r="A704" s="57">
        <v>1012</v>
      </c>
      <c r="B704" t="s">
        <v>1044</v>
      </c>
      <c r="C704" t="s">
        <v>1045</v>
      </c>
      <c r="D704" s="12">
        <v>46303</v>
      </c>
      <c r="E704" s="11">
        <v>48</v>
      </c>
      <c r="F704" s="11" t="s">
        <v>5906</v>
      </c>
      <c r="G704">
        <v>20160401</v>
      </c>
      <c r="I704" s="11" t="s">
        <v>63</v>
      </c>
      <c r="J704" s="72">
        <v>321379</v>
      </c>
      <c r="K704" s="99">
        <f>_xlfn.XLOOKUP(_2__ROI_Daily_Update[[#This Row],[CSM id]],SHP!F:F,SHP!EE:EE,"-")</f>
        <v>0</v>
      </c>
      <c r="L704" s="12"/>
      <c r="N704" s="11"/>
      <c r="P704"/>
      <c r="Q704"/>
      <c r="W704" s="28"/>
      <c r="AA704"/>
    </row>
    <row r="705" spans="1:27" x14ac:dyDescent="0.45">
      <c r="A705" s="57">
        <v>1641</v>
      </c>
      <c r="B705" t="s">
        <v>3149</v>
      </c>
      <c r="C705" t="s">
        <v>3150</v>
      </c>
      <c r="D705" s="12">
        <v>46303</v>
      </c>
      <c r="E705" s="11">
        <v>64</v>
      </c>
      <c r="F705" s="11" t="s">
        <v>5906</v>
      </c>
      <c r="G705">
        <v>20180201</v>
      </c>
      <c r="I705" s="11" t="s">
        <v>63</v>
      </c>
      <c r="J705" s="72">
        <v>40387127</v>
      </c>
      <c r="K705" s="99">
        <f>_xlfn.XLOOKUP(_2__ROI_Daily_Update[[#This Row],[CSM id]],SHP!F:F,SHP!EE:EE,"-")</f>
        <v>0</v>
      </c>
      <c r="L705" s="12"/>
      <c r="N705" s="11"/>
      <c r="P705"/>
      <c r="Q705"/>
      <c r="W705" s="28"/>
      <c r="AA705"/>
    </row>
    <row r="706" spans="1:27" x14ac:dyDescent="0.45">
      <c r="A706" s="57">
        <v>1641</v>
      </c>
      <c r="B706" t="s">
        <v>3147</v>
      </c>
      <c r="C706" t="s">
        <v>3148</v>
      </c>
      <c r="D706" s="12">
        <v>46303</v>
      </c>
      <c r="E706" s="11">
        <v>36</v>
      </c>
      <c r="F706" s="11" t="s">
        <v>5905</v>
      </c>
      <c r="G706">
        <v>20210701</v>
      </c>
      <c r="I706" s="11" t="s">
        <v>63</v>
      </c>
      <c r="J706" s="72">
        <v>40314305</v>
      </c>
      <c r="K706" s="99">
        <f>_xlfn.XLOOKUP(_2__ROI_Daily_Update[[#This Row],[CSM id]],SHP!F:F,SHP!EE:EE,"-")</f>
        <v>0</v>
      </c>
      <c r="L706" s="12"/>
      <c r="N706" s="11"/>
      <c r="P706"/>
      <c r="Q706"/>
      <c r="W706" s="28"/>
      <c r="AA706"/>
    </row>
    <row r="707" spans="1:27" x14ac:dyDescent="0.45">
      <c r="A707" s="57">
        <v>1012</v>
      </c>
      <c r="B707" t="s">
        <v>1080</v>
      </c>
      <c r="C707" t="s">
        <v>1081</v>
      </c>
      <c r="D707" s="12">
        <v>46303</v>
      </c>
      <c r="E707" s="11">
        <v>18</v>
      </c>
      <c r="F707" s="11" t="s">
        <v>5905</v>
      </c>
      <c r="G707">
        <v>20260101</v>
      </c>
      <c r="I707" s="11" t="s">
        <v>63</v>
      </c>
      <c r="J707" s="72">
        <v>60592631</v>
      </c>
      <c r="K707" s="99">
        <f>_xlfn.XLOOKUP(_2__ROI_Daily_Update[[#This Row],[CSM id]],SHP!F:F,SHP!EE:EE,"-")</f>
        <v>0</v>
      </c>
      <c r="L707" s="12"/>
      <c r="N707" s="11"/>
      <c r="P707"/>
      <c r="Q707"/>
      <c r="W707" s="28"/>
      <c r="AA707"/>
    </row>
    <row r="708" spans="1:27" x14ac:dyDescent="0.45">
      <c r="A708" s="57">
        <v>1641</v>
      </c>
      <c r="B708" t="s">
        <v>3179</v>
      </c>
      <c r="C708" t="s">
        <v>3180</v>
      </c>
      <c r="D708" s="12">
        <v>46303</v>
      </c>
      <c r="E708" s="11">
        <v>22</v>
      </c>
      <c r="F708" s="11" t="s">
        <v>5910</v>
      </c>
      <c r="G708">
        <v>20240401</v>
      </c>
      <c r="I708" s="11" t="s">
        <v>63</v>
      </c>
      <c r="J708" s="72">
        <v>70550046</v>
      </c>
      <c r="K708" s="99">
        <f>_xlfn.XLOOKUP(_2__ROI_Daily_Update[[#This Row],[CSM id]],SHP!F:F,SHP!EE:EE,"-")</f>
        <v>0</v>
      </c>
      <c r="L708" s="12"/>
      <c r="N708" s="11"/>
      <c r="P708"/>
      <c r="Q708"/>
      <c r="W708" s="28"/>
      <c r="AA708"/>
    </row>
    <row r="709" spans="1:27" x14ac:dyDescent="0.45">
      <c r="A709" s="57">
        <v>1641</v>
      </c>
      <c r="B709" t="s">
        <v>3137</v>
      </c>
      <c r="C709" t="s">
        <v>3138</v>
      </c>
      <c r="D709" s="12">
        <v>46303</v>
      </c>
      <c r="E709" s="11">
        <v>48</v>
      </c>
      <c r="F709" s="11" t="s">
        <v>5906</v>
      </c>
      <c r="G709">
        <v>20190401</v>
      </c>
      <c r="I709" s="11" t="s">
        <v>63</v>
      </c>
      <c r="J709" s="72">
        <v>20427285</v>
      </c>
      <c r="K709" s="99">
        <f>_xlfn.XLOOKUP(_2__ROI_Daily_Update[[#This Row],[CSM id]],SHP!F:F,SHP!EE:EE,"-")</f>
        <v>0</v>
      </c>
      <c r="L709" s="12"/>
      <c r="N709" s="11"/>
      <c r="P709"/>
      <c r="Q709"/>
      <c r="W709" s="28"/>
      <c r="AA709"/>
    </row>
    <row r="710" spans="1:27" x14ac:dyDescent="0.45">
      <c r="A710" s="57">
        <v>1882</v>
      </c>
      <c r="B710" t="s">
        <v>3745</v>
      </c>
      <c r="C710" t="s">
        <v>3746</v>
      </c>
      <c r="D710" s="12">
        <v>46303</v>
      </c>
      <c r="E710" s="11">
        <v>1536</v>
      </c>
      <c r="F710" s="11" t="s">
        <v>5909</v>
      </c>
      <c r="G710">
        <v>20190201</v>
      </c>
      <c r="I710" s="11" t="s">
        <v>18</v>
      </c>
      <c r="J710" s="72">
        <v>70425627</v>
      </c>
      <c r="K710" s="99">
        <f>_xlfn.XLOOKUP(_2__ROI_Daily_Update[[#This Row],[CSM id]],SHP!F:F,SHP!EE:EE,"-")</f>
        <v>0</v>
      </c>
      <c r="L710" s="12"/>
      <c r="N710" s="11"/>
      <c r="P710"/>
      <c r="Q710"/>
      <c r="W710" s="28"/>
      <c r="AA710"/>
    </row>
    <row r="711" spans="1:27" x14ac:dyDescent="0.45">
      <c r="A711" s="57">
        <v>1641</v>
      </c>
      <c r="B711" t="s">
        <v>3133</v>
      </c>
      <c r="C711" t="s">
        <v>3134</v>
      </c>
      <c r="D711" s="12">
        <v>46303</v>
      </c>
      <c r="E711" s="11">
        <v>8</v>
      </c>
      <c r="F711" s="11" t="s">
        <v>5905</v>
      </c>
      <c r="G711">
        <v>20251001</v>
      </c>
      <c r="I711" s="11" t="s">
        <v>63</v>
      </c>
      <c r="J711" s="72">
        <v>10594331</v>
      </c>
      <c r="K711" s="99">
        <f>_xlfn.XLOOKUP(_2__ROI_Daily_Update[[#This Row],[CSM id]],SHP!F:F,SHP!EE:EE,"-")</f>
        <v>0</v>
      </c>
      <c r="L711" s="12"/>
      <c r="N711" s="11"/>
      <c r="P711"/>
      <c r="Q711"/>
      <c r="W711" s="28"/>
      <c r="AA711"/>
    </row>
    <row r="712" spans="1:27" x14ac:dyDescent="0.45">
      <c r="A712" s="57">
        <v>1641</v>
      </c>
      <c r="B712" t="s">
        <v>3131</v>
      </c>
      <c r="C712" t="s">
        <v>3132</v>
      </c>
      <c r="D712" s="12">
        <v>46303</v>
      </c>
      <c r="E712" s="11">
        <v>60</v>
      </c>
      <c r="F712" s="11" t="s">
        <v>5910</v>
      </c>
      <c r="G712">
        <v>20240401</v>
      </c>
      <c r="I712" s="11" t="s">
        <v>63</v>
      </c>
      <c r="J712" s="72">
        <v>10553726</v>
      </c>
      <c r="K712" s="99">
        <f>_xlfn.XLOOKUP(_2__ROI_Daily_Update[[#This Row],[CSM id]],SHP!F:F,SHP!EE:EE,"-")</f>
        <v>0</v>
      </c>
      <c r="L712" s="12"/>
      <c r="N712" s="11"/>
      <c r="P712"/>
      <c r="Q712"/>
      <c r="W712" s="28"/>
      <c r="AA712"/>
    </row>
    <row r="713" spans="1:27" x14ac:dyDescent="0.45">
      <c r="A713" s="57">
        <v>1012</v>
      </c>
      <c r="B713" t="s">
        <v>1088</v>
      </c>
      <c r="C713" t="s">
        <v>1089</v>
      </c>
      <c r="D713" s="12">
        <v>46303</v>
      </c>
      <c r="E713" s="11">
        <v>20</v>
      </c>
      <c r="F713" s="11" t="s">
        <v>5906</v>
      </c>
      <c r="G713">
        <v>20250701</v>
      </c>
      <c r="H713" s="12">
        <v>46478</v>
      </c>
      <c r="I713" s="11" t="s">
        <v>63</v>
      </c>
      <c r="J713" s="72">
        <v>80594851</v>
      </c>
      <c r="K713" s="99">
        <f>_xlfn.XLOOKUP(_2__ROI_Daily_Update[[#This Row],[CSM id]],SHP!F:F,SHP!EE:EE,"-")</f>
        <v>0</v>
      </c>
      <c r="L713" s="12"/>
      <c r="N713" s="11"/>
      <c r="P713"/>
      <c r="Q713"/>
      <c r="W713" s="28"/>
      <c r="AA713"/>
    </row>
    <row r="714" spans="1:27" x14ac:dyDescent="0.45">
      <c r="A714" s="57">
        <v>125</v>
      </c>
      <c r="B714" t="s">
        <v>74</v>
      </c>
      <c r="C714" t="s">
        <v>75</v>
      </c>
      <c r="D714" s="12">
        <v>46303</v>
      </c>
      <c r="E714" s="11">
        <v>6</v>
      </c>
      <c r="F714" s="11" t="s">
        <v>5906</v>
      </c>
      <c r="G714">
        <v>20260701</v>
      </c>
      <c r="I714" s="11" t="s">
        <v>63</v>
      </c>
      <c r="J714" s="72">
        <v>20624926</v>
      </c>
      <c r="K714" s="99">
        <f>_xlfn.XLOOKUP(_2__ROI_Daily_Update[[#This Row],[CSM id]],SHP!F:F,SHP!EE:EE,"-")</f>
        <v>0</v>
      </c>
      <c r="L714" s="12"/>
      <c r="N714" s="11"/>
      <c r="P714"/>
      <c r="Q714"/>
      <c r="W714" s="28"/>
      <c r="AA714"/>
    </row>
    <row r="715" spans="1:27" x14ac:dyDescent="0.45">
      <c r="A715" s="57">
        <v>125</v>
      </c>
      <c r="B715" t="s">
        <v>74</v>
      </c>
      <c r="C715" t="s">
        <v>75</v>
      </c>
      <c r="D715" s="12">
        <v>46303</v>
      </c>
      <c r="E715" s="11">
        <v>30</v>
      </c>
      <c r="F715" s="11" t="s">
        <v>5905</v>
      </c>
      <c r="G715">
        <v>20260701</v>
      </c>
      <c r="I715" s="11" t="s">
        <v>63</v>
      </c>
      <c r="J715" s="72">
        <v>20624926</v>
      </c>
      <c r="K715" s="99">
        <f>_xlfn.XLOOKUP(_2__ROI_Daily_Update[[#This Row],[CSM id]],SHP!F:F,SHP!EE:EE,"-")</f>
        <v>0</v>
      </c>
      <c r="L715" s="12"/>
      <c r="N715" s="11"/>
      <c r="P715"/>
      <c r="Q715"/>
      <c r="W715" s="28"/>
      <c r="AA715"/>
    </row>
    <row r="716" spans="1:27" x14ac:dyDescent="0.45">
      <c r="A716" s="57">
        <v>1641</v>
      </c>
      <c r="B716" t="s">
        <v>3129</v>
      </c>
      <c r="C716" t="s">
        <v>3130</v>
      </c>
      <c r="D716" s="12">
        <v>46303</v>
      </c>
      <c r="E716" s="11">
        <v>16</v>
      </c>
      <c r="F716" s="11" t="s">
        <v>5905</v>
      </c>
      <c r="G716">
        <v>20180201</v>
      </c>
      <c r="I716" s="11" t="s">
        <v>63</v>
      </c>
      <c r="J716" s="72">
        <v>10387119</v>
      </c>
      <c r="K716" s="99">
        <f>_xlfn.XLOOKUP(_2__ROI_Daily_Update[[#This Row],[CSM id]],SHP!F:F,SHP!EE:EE,"-")</f>
        <v>0</v>
      </c>
      <c r="L716" s="12"/>
      <c r="N716" s="11"/>
      <c r="P716"/>
      <c r="Q716"/>
      <c r="W716" s="28"/>
      <c r="AA716"/>
    </row>
    <row r="717" spans="1:27" x14ac:dyDescent="0.45">
      <c r="A717" s="57">
        <v>1634</v>
      </c>
      <c r="B717" t="s">
        <v>3035</v>
      </c>
      <c r="C717" t="s">
        <v>3036</v>
      </c>
      <c r="D717" s="12">
        <v>46303</v>
      </c>
      <c r="E717" s="11">
        <v>40</v>
      </c>
      <c r="F717" s="11" t="s">
        <v>5906</v>
      </c>
      <c r="G717">
        <v>20260401</v>
      </c>
      <c r="I717" s="11" t="s">
        <v>63</v>
      </c>
      <c r="J717" s="72">
        <v>20614965</v>
      </c>
      <c r="K717" s="99">
        <f>_xlfn.XLOOKUP(_2__ROI_Daily_Update[[#This Row],[CSM id]],SHP!F:F,SHP!EE:EE,"-")</f>
        <v>0</v>
      </c>
      <c r="L717" s="12"/>
      <c r="N717" s="11"/>
      <c r="P717"/>
      <c r="Q717"/>
      <c r="W717" s="28"/>
      <c r="AA717"/>
    </row>
    <row r="718" spans="1:27" x14ac:dyDescent="0.45">
      <c r="A718" s="57">
        <v>1011</v>
      </c>
      <c r="B718" t="s">
        <v>1012</v>
      </c>
      <c r="C718" t="s">
        <v>1013</v>
      </c>
      <c r="D718" s="12">
        <v>46303</v>
      </c>
      <c r="E718" s="11">
        <v>12</v>
      </c>
      <c r="F718" s="11" t="s">
        <v>5906</v>
      </c>
      <c r="G718">
        <v>20140801</v>
      </c>
      <c r="I718" s="11" t="s">
        <v>63</v>
      </c>
      <c r="J718" s="72">
        <v>10284036</v>
      </c>
      <c r="K718" s="99">
        <f>_xlfn.XLOOKUP(_2__ROI_Daily_Update[[#This Row],[CSM id]],SHP!F:F,SHP!EE:EE,"-")</f>
        <v>0</v>
      </c>
      <c r="L718" s="12"/>
      <c r="N718" s="11"/>
      <c r="P718"/>
      <c r="Q718"/>
      <c r="W718" s="28"/>
      <c r="AA718"/>
    </row>
    <row r="719" spans="1:27" x14ac:dyDescent="0.45">
      <c r="A719" s="57">
        <v>1634</v>
      </c>
      <c r="B719" t="s">
        <v>3033</v>
      </c>
      <c r="C719" t="s">
        <v>3034</v>
      </c>
      <c r="D719" s="12">
        <v>46303</v>
      </c>
      <c r="E719" s="11">
        <v>96</v>
      </c>
      <c r="F719" s="11" t="s">
        <v>5910</v>
      </c>
      <c r="G719">
        <v>20251001</v>
      </c>
      <c r="I719" s="11" t="s">
        <v>63</v>
      </c>
      <c r="J719" s="72">
        <v>20606055</v>
      </c>
      <c r="K719" s="99">
        <f>_xlfn.XLOOKUP(_2__ROI_Daily_Update[[#This Row],[CSM id]],SHP!F:F,SHP!EE:EE,"-")</f>
        <v>0</v>
      </c>
      <c r="L719" s="12"/>
      <c r="N719" s="11"/>
      <c r="P719"/>
      <c r="Q719"/>
      <c r="W719" s="28"/>
      <c r="AA719"/>
    </row>
    <row r="720" spans="1:27" x14ac:dyDescent="0.45">
      <c r="A720" s="57">
        <v>1831</v>
      </c>
      <c r="B720" t="s">
        <v>3598</v>
      </c>
      <c r="C720" t="s">
        <v>3599</v>
      </c>
      <c r="D720" s="12">
        <v>46303</v>
      </c>
      <c r="E720" s="11">
        <v>164</v>
      </c>
      <c r="F720" s="11" t="s">
        <v>5909</v>
      </c>
      <c r="G720">
        <v>20260101</v>
      </c>
      <c r="I720" s="11" t="s">
        <v>18</v>
      </c>
      <c r="J720" s="72">
        <v>40591048</v>
      </c>
      <c r="K720" s="99">
        <f>_xlfn.XLOOKUP(_2__ROI_Daily_Update[[#This Row],[CSM id]],SHP!F:F,SHP!EE:EE,"-")</f>
        <v>0</v>
      </c>
      <c r="L720" s="12"/>
      <c r="N720" s="11"/>
      <c r="P720"/>
      <c r="Q720"/>
      <c r="W720" s="28"/>
      <c r="AA720"/>
    </row>
    <row r="721" spans="1:27" x14ac:dyDescent="0.45">
      <c r="A721" s="57">
        <v>211</v>
      </c>
      <c r="B721" t="s">
        <v>231</v>
      </c>
      <c r="C721" t="s">
        <v>232</v>
      </c>
      <c r="D721" s="12">
        <v>46303</v>
      </c>
      <c r="E721" s="11">
        <v>27</v>
      </c>
      <c r="F721" s="11" t="s">
        <v>5908</v>
      </c>
      <c r="G721">
        <v>20170201</v>
      </c>
      <c r="I721" s="11" t="s">
        <v>63</v>
      </c>
      <c r="J721" s="72">
        <v>70333939</v>
      </c>
      <c r="K721" s="99">
        <f>_xlfn.XLOOKUP(_2__ROI_Daily_Update[[#This Row],[CSM id]],SHP!F:F,SHP!EE:EE,"-")</f>
        <v>0</v>
      </c>
      <c r="L721" s="12"/>
      <c r="N721" s="11"/>
      <c r="P721"/>
      <c r="Q721"/>
      <c r="W721" s="28"/>
      <c r="AA721"/>
    </row>
    <row r="722" spans="1:27" x14ac:dyDescent="0.45">
      <c r="A722" s="57">
        <v>211</v>
      </c>
      <c r="B722" t="s">
        <v>213</v>
      </c>
      <c r="C722" t="s">
        <v>214</v>
      </c>
      <c r="D722" s="12">
        <v>46303</v>
      </c>
      <c r="E722" s="11">
        <v>7</v>
      </c>
      <c r="F722" s="11" t="s">
        <v>5908</v>
      </c>
      <c r="G722">
        <v>20260101</v>
      </c>
      <c r="I722" s="11" t="s">
        <v>63</v>
      </c>
      <c r="J722" s="72">
        <v>595538</v>
      </c>
      <c r="K722" s="99">
        <f>_xlfn.XLOOKUP(_2__ROI_Daily_Update[[#This Row],[CSM id]],SHP!F:F,SHP!EE:EE,"-")</f>
        <v>0</v>
      </c>
      <c r="L722" s="12"/>
      <c r="N722" s="11"/>
      <c r="P722"/>
      <c r="Q722"/>
      <c r="W722" s="28"/>
      <c r="AA722"/>
    </row>
    <row r="723" spans="1:27" x14ac:dyDescent="0.45">
      <c r="A723" s="57">
        <v>211</v>
      </c>
      <c r="B723" t="s">
        <v>225</v>
      </c>
      <c r="C723" t="s">
        <v>226</v>
      </c>
      <c r="D723" s="12">
        <v>46303</v>
      </c>
      <c r="E723" s="11">
        <v>6</v>
      </c>
      <c r="F723" s="11" t="s">
        <v>5907</v>
      </c>
      <c r="G723">
        <v>20170201</v>
      </c>
      <c r="I723" s="11" t="s">
        <v>63</v>
      </c>
      <c r="J723" s="72">
        <v>60333949</v>
      </c>
      <c r="K723" s="99">
        <f>_xlfn.XLOOKUP(_2__ROI_Daily_Update[[#This Row],[CSM id]],SHP!F:F,SHP!EE:EE,"-")</f>
        <v>0</v>
      </c>
      <c r="L723" s="12"/>
      <c r="N723" s="11"/>
      <c r="P723"/>
      <c r="Q723"/>
      <c r="W723" s="28"/>
      <c r="AA723"/>
    </row>
    <row r="724" spans="1:27" x14ac:dyDescent="0.45">
      <c r="A724" s="57">
        <v>211</v>
      </c>
      <c r="B724" t="s">
        <v>225</v>
      </c>
      <c r="C724" t="s">
        <v>226</v>
      </c>
      <c r="D724" s="12">
        <v>46303</v>
      </c>
      <c r="E724" s="11">
        <v>6</v>
      </c>
      <c r="F724" s="11" t="s">
        <v>5908</v>
      </c>
      <c r="G724">
        <v>20170201</v>
      </c>
      <c r="I724" s="11" t="s">
        <v>63</v>
      </c>
      <c r="J724" s="72">
        <v>60333949</v>
      </c>
      <c r="K724" s="99">
        <f>_xlfn.XLOOKUP(_2__ROI_Daily_Update[[#This Row],[CSM id]],SHP!F:F,SHP!EE:EE,"-")</f>
        <v>0</v>
      </c>
      <c r="L724" s="12"/>
      <c r="N724" s="11"/>
      <c r="P724"/>
      <c r="Q724"/>
      <c r="W724" s="28"/>
      <c r="AA724"/>
    </row>
    <row r="725" spans="1:27" x14ac:dyDescent="0.45">
      <c r="A725" s="57">
        <v>1014</v>
      </c>
      <c r="B725" t="s">
        <v>1126</v>
      </c>
      <c r="C725" t="s">
        <v>1127</v>
      </c>
      <c r="D725" s="12">
        <v>46303</v>
      </c>
      <c r="E725" s="11">
        <v>5</v>
      </c>
      <c r="F725" s="11" t="s">
        <v>5910</v>
      </c>
      <c r="G725">
        <v>20190201</v>
      </c>
      <c r="I725" s="11" t="s">
        <v>63</v>
      </c>
      <c r="J725" s="72">
        <v>40415088</v>
      </c>
      <c r="K725" s="99">
        <f>_xlfn.XLOOKUP(_2__ROI_Daily_Update[[#This Row],[CSM id]],SHP!F:F,SHP!EE:EE,"-")</f>
        <v>0</v>
      </c>
      <c r="L725" s="12"/>
      <c r="N725" s="11"/>
      <c r="P725"/>
      <c r="Q725"/>
      <c r="W725" s="28"/>
      <c r="AA725"/>
    </row>
    <row r="726" spans="1:27" x14ac:dyDescent="0.45">
      <c r="A726" s="57">
        <v>1633</v>
      </c>
      <c r="B726" t="s">
        <v>2972</v>
      </c>
      <c r="C726" t="s">
        <v>2973</v>
      </c>
      <c r="D726" s="12">
        <v>46303</v>
      </c>
      <c r="E726" s="11">
        <v>6</v>
      </c>
      <c r="F726" s="11" t="s">
        <v>5910</v>
      </c>
      <c r="G726">
        <v>20190401</v>
      </c>
      <c r="H726" s="12">
        <v>46569</v>
      </c>
      <c r="I726" s="11" t="s">
        <v>63</v>
      </c>
      <c r="J726" s="72">
        <v>10442192</v>
      </c>
      <c r="K726" s="99">
        <f>_xlfn.XLOOKUP(_2__ROI_Daily_Update[[#This Row],[CSM id]],SHP!F:F,SHP!EE:EE,"-")</f>
        <v>0</v>
      </c>
      <c r="L726" s="12"/>
      <c r="N726" s="11"/>
      <c r="P726"/>
      <c r="Q726"/>
      <c r="W726" s="28"/>
      <c r="AA726"/>
    </row>
    <row r="727" spans="1:27" x14ac:dyDescent="0.45">
      <c r="A727" s="57">
        <v>211</v>
      </c>
      <c r="B727" t="s">
        <v>229</v>
      </c>
      <c r="C727" t="s">
        <v>230</v>
      </c>
      <c r="D727" s="12">
        <v>46303</v>
      </c>
      <c r="E727" s="11">
        <v>50</v>
      </c>
      <c r="F727" s="11" t="s">
        <v>5910</v>
      </c>
      <c r="G727">
        <v>20201001</v>
      </c>
      <c r="I727" s="11" t="s">
        <v>63</v>
      </c>
      <c r="J727" s="72">
        <v>60474152</v>
      </c>
      <c r="K727" s="99">
        <f>_xlfn.XLOOKUP(_2__ROI_Daily_Update[[#This Row],[CSM id]],SHP!F:F,SHP!EE:EE,"-")</f>
        <v>0</v>
      </c>
      <c r="L727" s="12"/>
      <c r="N727" s="11"/>
      <c r="P727"/>
      <c r="Q727"/>
      <c r="W727" s="28"/>
      <c r="AA727"/>
    </row>
    <row r="728" spans="1:27" x14ac:dyDescent="0.45">
      <c r="A728" s="57">
        <v>211</v>
      </c>
      <c r="B728" t="s">
        <v>211</v>
      </c>
      <c r="C728" t="s">
        <v>212</v>
      </c>
      <c r="D728" s="12">
        <v>46303</v>
      </c>
      <c r="E728" s="11">
        <v>270</v>
      </c>
      <c r="F728" s="11" t="s">
        <v>5906</v>
      </c>
      <c r="G728">
        <v>20150801</v>
      </c>
      <c r="I728" s="11" t="s">
        <v>63</v>
      </c>
      <c r="J728" s="72">
        <v>312493</v>
      </c>
      <c r="K728" s="99">
        <f>_xlfn.XLOOKUP(_2__ROI_Daily_Update[[#This Row],[CSM id]],SHP!F:F,SHP!EE:EE,"-")</f>
        <v>0</v>
      </c>
      <c r="L728" s="12"/>
      <c r="N728" s="11"/>
      <c r="P728"/>
      <c r="Q728"/>
      <c r="W728" s="28"/>
      <c r="AA728"/>
    </row>
    <row r="729" spans="1:27" x14ac:dyDescent="0.45">
      <c r="A729" s="57">
        <v>1011</v>
      </c>
      <c r="B729" t="s">
        <v>1030</v>
      </c>
      <c r="C729" t="s">
        <v>1031</v>
      </c>
      <c r="D729" s="12">
        <v>46303</v>
      </c>
      <c r="E729" s="11">
        <v>100</v>
      </c>
      <c r="F729" s="11" t="s">
        <v>5906</v>
      </c>
      <c r="G729">
        <v>20260601</v>
      </c>
      <c r="I729" s="11" t="s">
        <v>63</v>
      </c>
      <c r="J729" s="72">
        <v>60608528</v>
      </c>
      <c r="K729" s="99">
        <f>_xlfn.XLOOKUP(_2__ROI_Daily_Update[[#This Row],[CSM id]],SHP!F:F,SHP!EE:EE,"-")</f>
        <v>0</v>
      </c>
      <c r="L729" s="12"/>
      <c r="N729" s="11"/>
      <c r="P729"/>
      <c r="Q729"/>
      <c r="W729" s="28"/>
      <c r="AA729"/>
    </row>
    <row r="730" spans="1:27" x14ac:dyDescent="0.45">
      <c r="A730" s="57">
        <v>1642</v>
      </c>
      <c r="B730" t="s">
        <v>3201</v>
      </c>
      <c r="C730" t="s">
        <v>3202</v>
      </c>
      <c r="D730" s="12">
        <v>46303</v>
      </c>
      <c r="E730" s="11">
        <v>15</v>
      </c>
      <c r="F730" s="11" t="s">
        <v>5908</v>
      </c>
      <c r="G730">
        <v>20250701</v>
      </c>
      <c r="I730" s="11" t="s">
        <v>63</v>
      </c>
      <c r="J730" s="72">
        <v>20601963</v>
      </c>
      <c r="K730" s="99">
        <f>_xlfn.XLOOKUP(_2__ROI_Daily_Update[[#This Row],[CSM id]],SHP!F:F,SHP!EE:EE,"-")</f>
        <v>0</v>
      </c>
      <c r="L730" s="12"/>
      <c r="N730" s="11"/>
      <c r="P730"/>
      <c r="Q730"/>
      <c r="W730" s="28"/>
      <c r="AA730"/>
    </row>
    <row r="731" spans="1:27" x14ac:dyDescent="0.45">
      <c r="A731" s="57">
        <v>1011</v>
      </c>
      <c r="B731" t="s">
        <v>1030</v>
      </c>
      <c r="C731" t="s">
        <v>1031</v>
      </c>
      <c r="D731" s="12">
        <v>46303</v>
      </c>
      <c r="E731" s="11">
        <v>73</v>
      </c>
      <c r="F731" s="11" t="s">
        <v>5905</v>
      </c>
      <c r="G731">
        <v>20260601</v>
      </c>
      <c r="I731" s="11" t="s">
        <v>63</v>
      </c>
      <c r="J731" s="72">
        <v>60608528</v>
      </c>
      <c r="K731" s="99">
        <f>_xlfn.XLOOKUP(_2__ROI_Daily_Update[[#This Row],[CSM id]],SHP!F:F,SHP!EE:EE,"-")</f>
        <v>0</v>
      </c>
      <c r="L731" s="12"/>
      <c r="N731" s="11"/>
      <c r="P731"/>
      <c r="Q731"/>
      <c r="W731" s="28"/>
      <c r="AA731"/>
    </row>
    <row r="732" spans="1:27" x14ac:dyDescent="0.45">
      <c r="A732" s="57">
        <v>1014</v>
      </c>
      <c r="B732" t="s">
        <v>1124</v>
      </c>
      <c r="C732" t="s">
        <v>1125</v>
      </c>
      <c r="D732" s="12">
        <v>46303</v>
      </c>
      <c r="E732" s="11">
        <v>6</v>
      </c>
      <c r="F732" s="11" t="s">
        <v>5906</v>
      </c>
      <c r="G732">
        <v>20191001</v>
      </c>
      <c r="I732" s="11" t="s">
        <v>63</v>
      </c>
      <c r="J732" s="72">
        <v>30399734</v>
      </c>
      <c r="K732" s="99">
        <f>_xlfn.XLOOKUP(_2__ROI_Daily_Update[[#This Row],[CSM id]],SHP!F:F,SHP!EE:EE,"-")</f>
        <v>0</v>
      </c>
      <c r="L732" s="12"/>
      <c r="N732" s="11"/>
      <c r="P732"/>
      <c r="Q732"/>
      <c r="W732" s="28"/>
      <c r="AA732"/>
    </row>
    <row r="733" spans="1:27" x14ac:dyDescent="0.45">
      <c r="A733" s="57">
        <v>1633</v>
      </c>
      <c r="B733" t="s">
        <v>2968</v>
      </c>
      <c r="C733" t="s">
        <v>2969</v>
      </c>
      <c r="D733" s="12">
        <v>46303</v>
      </c>
      <c r="E733" s="11">
        <v>12</v>
      </c>
      <c r="F733" s="11" t="s">
        <v>5906</v>
      </c>
      <c r="G733">
        <v>20260101</v>
      </c>
      <c r="I733" s="11" t="s">
        <v>63</v>
      </c>
      <c r="J733" s="72">
        <v>612378</v>
      </c>
      <c r="K733" s="99">
        <f>_xlfn.XLOOKUP(_2__ROI_Daily_Update[[#This Row],[CSM id]],SHP!F:F,SHP!EE:EE,"-")</f>
        <v>0</v>
      </c>
      <c r="L733" s="12"/>
      <c r="N733" s="11"/>
      <c r="P733"/>
      <c r="Q733"/>
      <c r="W733" s="28"/>
      <c r="AA733"/>
    </row>
    <row r="734" spans="1:27" x14ac:dyDescent="0.45">
      <c r="A734" s="57">
        <v>1632</v>
      </c>
      <c r="B734" t="s">
        <v>2962</v>
      </c>
      <c r="C734" t="s">
        <v>2963</v>
      </c>
      <c r="D734" s="12">
        <v>46303</v>
      </c>
      <c r="E734" s="11">
        <v>30</v>
      </c>
      <c r="F734" s="11" t="s">
        <v>5905</v>
      </c>
      <c r="G734">
        <v>20260101</v>
      </c>
      <c r="I734" s="11" t="s">
        <v>63</v>
      </c>
      <c r="J734" s="72">
        <v>90612802</v>
      </c>
      <c r="K734" s="99">
        <f>_xlfn.XLOOKUP(_2__ROI_Daily_Update[[#This Row],[CSM id]],SHP!F:F,SHP!EE:EE,"-")</f>
        <v>0</v>
      </c>
      <c r="L734" s="12"/>
      <c r="N734" s="11"/>
      <c r="P734"/>
      <c r="Q734"/>
      <c r="W734" s="28"/>
      <c r="AA734"/>
    </row>
    <row r="735" spans="1:27" x14ac:dyDescent="0.45">
      <c r="A735" s="57">
        <v>1632</v>
      </c>
      <c r="B735" t="s">
        <v>2960</v>
      </c>
      <c r="C735" t="s">
        <v>2961</v>
      </c>
      <c r="D735" s="12">
        <v>46303</v>
      </c>
      <c r="E735" s="11">
        <v>30</v>
      </c>
      <c r="F735" s="11" t="s">
        <v>5906</v>
      </c>
      <c r="G735">
        <v>20260101</v>
      </c>
      <c r="I735" s="11" t="s">
        <v>63</v>
      </c>
      <c r="J735" s="72">
        <v>40612809</v>
      </c>
      <c r="K735" s="99">
        <f>_xlfn.XLOOKUP(_2__ROI_Daily_Update[[#This Row],[CSM id]],SHP!F:F,SHP!EE:EE,"-")</f>
        <v>0</v>
      </c>
      <c r="L735" s="12"/>
      <c r="N735" s="11"/>
      <c r="P735"/>
      <c r="Q735"/>
      <c r="W735" s="28"/>
      <c r="AA735"/>
    </row>
    <row r="736" spans="1:27" x14ac:dyDescent="0.45">
      <c r="A736" s="57">
        <v>1632</v>
      </c>
      <c r="B736" t="s">
        <v>2958</v>
      </c>
      <c r="C736" t="s">
        <v>2959</v>
      </c>
      <c r="D736" s="12">
        <v>46303</v>
      </c>
      <c r="E736" s="11">
        <v>20</v>
      </c>
      <c r="F736" s="11" t="s">
        <v>5910</v>
      </c>
      <c r="G736">
        <v>20260701</v>
      </c>
      <c r="I736" s="11" t="s">
        <v>63</v>
      </c>
      <c r="J736" s="72">
        <v>10623989</v>
      </c>
      <c r="K736" s="99">
        <f>_xlfn.XLOOKUP(_2__ROI_Daily_Update[[#This Row],[CSM id]],SHP!F:F,SHP!EE:EE,"-")</f>
        <v>0</v>
      </c>
      <c r="L736" s="12"/>
      <c r="N736" s="11"/>
      <c r="P736"/>
      <c r="Q736"/>
      <c r="W736" s="28"/>
      <c r="AA736"/>
    </row>
    <row r="737" spans="1:27" x14ac:dyDescent="0.45">
      <c r="A737" s="57">
        <v>1631</v>
      </c>
      <c r="B737" t="s">
        <v>2956</v>
      </c>
      <c r="C737" t="s">
        <v>2957</v>
      </c>
      <c r="D737" s="12">
        <v>46303</v>
      </c>
      <c r="E737" s="11">
        <v>72</v>
      </c>
      <c r="F737" s="11" t="s">
        <v>5907</v>
      </c>
      <c r="G737">
        <v>20150801</v>
      </c>
      <c r="I737" s="11" t="s">
        <v>63</v>
      </c>
      <c r="J737" s="72">
        <v>90290137</v>
      </c>
      <c r="K737" s="99">
        <f>_xlfn.XLOOKUP(_2__ROI_Daily_Update[[#This Row],[CSM id]],SHP!F:F,SHP!EE:EE,"-")</f>
        <v>0</v>
      </c>
      <c r="L737" s="12"/>
      <c r="N737" s="11"/>
      <c r="P737"/>
      <c r="Q737"/>
      <c r="W737" s="28"/>
      <c r="AA737"/>
    </row>
    <row r="738" spans="1:27" x14ac:dyDescent="0.45">
      <c r="A738" s="57">
        <v>1631</v>
      </c>
      <c r="B738" t="s">
        <v>2954</v>
      </c>
      <c r="C738" t="s">
        <v>2955</v>
      </c>
      <c r="D738" s="12">
        <v>46303</v>
      </c>
      <c r="E738" s="11">
        <v>90</v>
      </c>
      <c r="F738" s="11" t="s">
        <v>5907</v>
      </c>
      <c r="G738">
        <v>20261001</v>
      </c>
      <c r="I738" s="11" t="s">
        <v>63</v>
      </c>
      <c r="J738" s="72">
        <v>80634456</v>
      </c>
      <c r="K738" s="99">
        <f>_xlfn.XLOOKUP(_2__ROI_Daily_Update[[#This Row],[CSM id]],SHP!F:F,SHP!EE:EE,"-")</f>
        <v>0</v>
      </c>
      <c r="L738" s="12"/>
      <c r="N738" s="11"/>
      <c r="P738"/>
      <c r="Q738"/>
      <c r="W738" s="28"/>
      <c r="AA738"/>
    </row>
    <row r="739" spans="1:27" x14ac:dyDescent="0.45">
      <c r="A739" s="57">
        <v>1631</v>
      </c>
      <c r="B739" t="s">
        <v>2948</v>
      </c>
      <c r="C739" t="s">
        <v>2949</v>
      </c>
      <c r="D739" s="12">
        <v>46303</v>
      </c>
      <c r="E739" s="11">
        <v>54</v>
      </c>
      <c r="F739" s="11" t="s">
        <v>5910</v>
      </c>
      <c r="G739">
        <v>20251001</v>
      </c>
      <c r="H739" s="12">
        <v>46569</v>
      </c>
      <c r="I739" s="11" t="s">
        <v>63</v>
      </c>
      <c r="J739" s="72">
        <v>40608992</v>
      </c>
      <c r="K739" s="99">
        <f>_xlfn.XLOOKUP(_2__ROI_Daily_Update[[#This Row],[CSM id]],SHP!F:F,SHP!EE:EE,"-")</f>
        <v>0</v>
      </c>
      <c r="L739" s="12"/>
      <c r="N739" s="11"/>
      <c r="P739"/>
      <c r="Q739"/>
      <c r="W739" s="28"/>
      <c r="AA739"/>
    </row>
    <row r="740" spans="1:27" x14ac:dyDescent="0.45">
      <c r="A740" s="57">
        <v>1631</v>
      </c>
      <c r="B740" t="s">
        <v>2942</v>
      </c>
      <c r="C740" t="s">
        <v>2943</v>
      </c>
      <c r="D740" s="12">
        <v>46303</v>
      </c>
      <c r="E740" s="11">
        <v>96</v>
      </c>
      <c r="F740" s="11" t="s">
        <v>5905</v>
      </c>
      <c r="G740">
        <v>20261001</v>
      </c>
      <c r="I740" s="11" t="s">
        <v>63</v>
      </c>
      <c r="J740" s="72">
        <v>10651835</v>
      </c>
      <c r="K740" s="99">
        <f>_xlfn.XLOOKUP(_2__ROI_Daily_Update[[#This Row],[CSM id]],SHP!F:F,SHP!EE:EE,"-")</f>
        <v>0</v>
      </c>
      <c r="L740" s="12"/>
      <c r="N740" s="11"/>
      <c r="P740"/>
      <c r="Q740"/>
      <c r="W740" s="28"/>
      <c r="AA740"/>
    </row>
    <row r="741" spans="1:27" x14ac:dyDescent="0.45">
      <c r="A741" s="57">
        <v>1631</v>
      </c>
      <c r="B741" t="s">
        <v>2940</v>
      </c>
      <c r="C741" t="s">
        <v>2941</v>
      </c>
      <c r="D741" s="12">
        <v>46303</v>
      </c>
      <c r="E741" s="11">
        <v>20</v>
      </c>
      <c r="F741" s="11" t="s">
        <v>5910</v>
      </c>
      <c r="G741">
        <v>20240701</v>
      </c>
      <c r="H741" s="12">
        <v>46388</v>
      </c>
      <c r="I741" s="11" t="s">
        <v>63</v>
      </c>
      <c r="J741" s="72">
        <v>10574984</v>
      </c>
      <c r="K741" s="99">
        <f>_xlfn.XLOOKUP(_2__ROI_Daily_Update[[#This Row],[CSM id]],SHP!F:F,SHP!EE:EE,"-")</f>
        <v>0</v>
      </c>
      <c r="L741" s="12"/>
      <c r="N741" s="11"/>
      <c r="P741"/>
      <c r="Q741"/>
      <c r="W741" s="28"/>
      <c r="AA741"/>
    </row>
    <row r="742" spans="1:27" x14ac:dyDescent="0.45">
      <c r="A742" s="57">
        <v>1631</v>
      </c>
      <c r="B742" t="s">
        <v>2938</v>
      </c>
      <c r="C742" t="s">
        <v>2939</v>
      </c>
      <c r="D742" s="12">
        <v>46303</v>
      </c>
      <c r="E742" s="11">
        <v>9</v>
      </c>
      <c r="F742" s="11" t="s">
        <v>5905</v>
      </c>
      <c r="G742">
        <v>20170801</v>
      </c>
      <c r="I742" s="11" t="s">
        <v>63</v>
      </c>
      <c r="J742" s="72">
        <v>10342135</v>
      </c>
      <c r="K742" s="99">
        <f>_xlfn.XLOOKUP(_2__ROI_Daily_Update[[#This Row],[CSM id]],SHP!F:F,SHP!EE:EE,"-")</f>
        <v>0</v>
      </c>
      <c r="L742" s="12"/>
      <c r="N742" s="11"/>
      <c r="P742"/>
      <c r="Q742"/>
      <c r="W742" s="28"/>
      <c r="AA742"/>
    </row>
    <row r="743" spans="1:27" x14ac:dyDescent="0.45">
      <c r="A743" s="57">
        <v>1631</v>
      </c>
      <c r="B743" t="s">
        <v>2936</v>
      </c>
      <c r="C743" t="s">
        <v>2937</v>
      </c>
      <c r="D743" s="12">
        <v>46303</v>
      </c>
      <c r="E743" s="11">
        <v>21</v>
      </c>
      <c r="F743" s="11" t="s">
        <v>5906</v>
      </c>
      <c r="G743">
        <v>20260801</v>
      </c>
      <c r="H743" s="12">
        <v>46388</v>
      </c>
      <c r="I743" s="11" t="s">
        <v>63</v>
      </c>
      <c r="J743" s="72">
        <v>630056</v>
      </c>
      <c r="K743" s="99">
        <f>_xlfn.XLOOKUP(_2__ROI_Daily_Update[[#This Row],[CSM id]],SHP!F:F,SHP!EE:EE,"-")</f>
        <v>0</v>
      </c>
      <c r="L743" s="12"/>
      <c r="N743" s="11"/>
      <c r="P743"/>
      <c r="Q743"/>
      <c r="W743" s="28"/>
      <c r="AA743"/>
    </row>
    <row r="744" spans="1:27" x14ac:dyDescent="0.45">
      <c r="A744" s="57">
        <v>1631</v>
      </c>
      <c r="B744" t="s">
        <v>2934</v>
      </c>
      <c r="C744" t="s">
        <v>2935</v>
      </c>
      <c r="D744" s="12">
        <v>46303</v>
      </c>
      <c r="E744" s="11">
        <v>36</v>
      </c>
      <c r="F744" s="11" t="s">
        <v>5910</v>
      </c>
      <c r="G744">
        <v>20250701</v>
      </c>
      <c r="I744" s="11" t="s">
        <v>63</v>
      </c>
      <c r="J744" s="72">
        <v>607046</v>
      </c>
      <c r="K744" s="99">
        <f>_xlfn.XLOOKUP(_2__ROI_Daily_Update[[#This Row],[CSM id]],SHP!F:F,SHP!EE:EE,"-")</f>
        <v>0</v>
      </c>
      <c r="L744" s="12"/>
      <c r="N744" s="11"/>
      <c r="P744"/>
      <c r="Q744"/>
      <c r="W744" s="28"/>
      <c r="AA744"/>
    </row>
    <row r="745" spans="1:27" x14ac:dyDescent="0.45">
      <c r="A745" s="57">
        <v>1632</v>
      </c>
      <c r="B745" t="s">
        <v>2964</v>
      </c>
      <c r="C745" t="s">
        <v>2965</v>
      </c>
      <c r="D745" s="12">
        <v>46303</v>
      </c>
      <c r="E745" s="11">
        <v>60</v>
      </c>
      <c r="F745" s="11" t="s">
        <v>5910</v>
      </c>
      <c r="G745">
        <v>20260401</v>
      </c>
      <c r="I745" s="11" t="s">
        <v>63</v>
      </c>
      <c r="J745" s="72">
        <v>90619790</v>
      </c>
      <c r="K745" s="99">
        <f>_xlfn.XLOOKUP(_2__ROI_Daily_Update[[#This Row],[CSM id]],SHP!F:F,SHP!EE:EE,"-")</f>
        <v>0</v>
      </c>
      <c r="L745" s="12"/>
      <c r="N745" s="11"/>
      <c r="P745"/>
      <c r="Q745"/>
      <c r="W745" s="28"/>
      <c r="AA745"/>
    </row>
    <row r="746" spans="1:27" x14ac:dyDescent="0.45">
      <c r="A746" s="57">
        <v>1014</v>
      </c>
      <c r="B746" t="s">
        <v>1120</v>
      </c>
      <c r="C746" t="s">
        <v>1121</v>
      </c>
      <c r="D746" s="12">
        <v>46303</v>
      </c>
      <c r="E746" s="11">
        <v>4</v>
      </c>
      <c r="F746" s="11" t="s">
        <v>5905</v>
      </c>
      <c r="G746">
        <v>20261001</v>
      </c>
      <c r="I746" s="11" t="s">
        <v>63</v>
      </c>
      <c r="J746" s="72">
        <v>640116</v>
      </c>
      <c r="K746" s="99">
        <f>_xlfn.XLOOKUP(_2__ROI_Daily_Update[[#This Row],[CSM id]],SHP!F:F,SHP!EE:EE,"-")</f>
        <v>0</v>
      </c>
      <c r="L746" s="12"/>
      <c r="N746" s="11"/>
      <c r="P746"/>
      <c r="Q746"/>
      <c r="W746" s="28"/>
      <c r="AA746"/>
    </row>
    <row r="747" spans="1:27" x14ac:dyDescent="0.45">
      <c r="A747" s="57">
        <v>1633</v>
      </c>
      <c r="B747" t="s">
        <v>2980</v>
      </c>
      <c r="C747" t="s">
        <v>2981</v>
      </c>
      <c r="D747" s="12">
        <v>46303</v>
      </c>
      <c r="E747" s="11">
        <v>6</v>
      </c>
      <c r="F747" s="11" t="s">
        <v>5906</v>
      </c>
      <c r="G747">
        <v>20220101</v>
      </c>
      <c r="I747" s="11" t="s">
        <v>63</v>
      </c>
      <c r="J747" s="72">
        <v>20511967</v>
      </c>
      <c r="K747" s="99">
        <f>_xlfn.XLOOKUP(_2__ROI_Daily_Update[[#This Row],[CSM id]],SHP!F:F,SHP!EE:EE,"-")</f>
        <v>0</v>
      </c>
      <c r="L747" s="12"/>
      <c r="N747" s="11"/>
      <c r="P747"/>
      <c r="Q747"/>
      <c r="W747" s="28"/>
      <c r="AA747"/>
    </row>
    <row r="748" spans="1:27" x14ac:dyDescent="0.45">
      <c r="A748" s="57">
        <v>131</v>
      </c>
      <c r="B748" t="s">
        <v>171</v>
      </c>
      <c r="C748" t="s">
        <v>172</v>
      </c>
      <c r="D748" s="12">
        <v>46303</v>
      </c>
      <c r="E748" s="11">
        <v>12</v>
      </c>
      <c r="F748" s="11" t="s">
        <v>5910</v>
      </c>
      <c r="G748">
        <v>20260701</v>
      </c>
      <c r="I748" s="11" t="s">
        <v>63</v>
      </c>
      <c r="J748" s="72">
        <v>20627982</v>
      </c>
      <c r="K748" s="99">
        <f>_xlfn.XLOOKUP(_2__ROI_Daily_Update[[#This Row],[CSM id]],SHP!F:F,SHP!EE:EE,"-")</f>
        <v>0</v>
      </c>
      <c r="L748" s="12"/>
      <c r="N748" s="11"/>
      <c r="P748"/>
      <c r="Q748"/>
      <c r="W748" s="28"/>
      <c r="AA748"/>
    </row>
    <row r="749" spans="1:27" x14ac:dyDescent="0.45">
      <c r="A749" s="57">
        <v>131</v>
      </c>
      <c r="B749" t="s">
        <v>205</v>
      </c>
      <c r="C749" t="s">
        <v>206</v>
      </c>
      <c r="D749" s="12">
        <v>46303</v>
      </c>
      <c r="E749" s="11">
        <v>44</v>
      </c>
      <c r="F749" s="11" t="s">
        <v>5909</v>
      </c>
      <c r="G749">
        <v>20260701</v>
      </c>
      <c r="I749" s="11" t="s">
        <v>18</v>
      </c>
      <c r="J749" s="72">
        <v>90534003</v>
      </c>
      <c r="K749" s="99">
        <f>_xlfn.XLOOKUP(_2__ROI_Daily_Update[[#This Row],[CSM id]],SHP!F:F,SHP!EE:EE,"-")</f>
        <v>0</v>
      </c>
      <c r="L749" s="12"/>
      <c r="N749" s="11"/>
      <c r="P749"/>
      <c r="Q749"/>
      <c r="W749" s="28"/>
      <c r="AA749"/>
    </row>
    <row r="750" spans="1:27" x14ac:dyDescent="0.45">
      <c r="A750" s="57">
        <v>1633</v>
      </c>
      <c r="B750" t="s">
        <v>3024</v>
      </c>
      <c r="C750" t="s">
        <v>3025</v>
      </c>
      <c r="D750" s="12">
        <v>46303</v>
      </c>
      <c r="E750" s="11">
        <v>35</v>
      </c>
      <c r="F750" s="11" t="s">
        <v>5905</v>
      </c>
      <c r="G750">
        <v>20260801</v>
      </c>
      <c r="H750" s="12">
        <v>46388</v>
      </c>
      <c r="I750" s="11" t="s">
        <v>63</v>
      </c>
      <c r="J750" s="72">
        <v>90632305</v>
      </c>
      <c r="K750" s="99">
        <f>_xlfn.XLOOKUP(_2__ROI_Daily_Update[[#This Row],[CSM id]],SHP!F:F,SHP!EE:EE,"-")</f>
        <v>0</v>
      </c>
      <c r="L750" s="12"/>
      <c r="N750" s="11"/>
      <c r="P750"/>
      <c r="Q750"/>
      <c r="W750" s="28"/>
      <c r="AA750"/>
    </row>
    <row r="751" spans="1:27" x14ac:dyDescent="0.45">
      <c r="A751" s="57">
        <v>1013</v>
      </c>
      <c r="B751" t="s">
        <v>1104</v>
      </c>
      <c r="C751" t="s">
        <v>1105</v>
      </c>
      <c r="D751" s="12">
        <v>46303</v>
      </c>
      <c r="E751" s="11">
        <v>12</v>
      </c>
      <c r="F751" s="11" t="s">
        <v>5906</v>
      </c>
      <c r="G751">
        <v>20260401</v>
      </c>
      <c r="I751" s="11" t="s">
        <v>63</v>
      </c>
      <c r="J751" s="72">
        <v>30596782</v>
      </c>
      <c r="K751" s="99">
        <f>_xlfn.XLOOKUP(_2__ROI_Daily_Update[[#This Row],[CSM id]],SHP!F:F,SHP!EE:EE,"-")</f>
        <v>0</v>
      </c>
      <c r="L751" s="12"/>
      <c r="N751" s="11"/>
      <c r="P751"/>
      <c r="Q751"/>
      <c r="W751" s="28"/>
      <c r="AA751"/>
    </row>
    <row r="752" spans="1:27" x14ac:dyDescent="0.45">
      <c r="A752" s="57">
        <v>1882</v>
      </c>
      <c r="B752" t="s">
        <v>3743</v>
      </c>
      <c r="C752" t="s">
        <v>3744</v>
      </c>
      <c r="D752" s="12">
        <v>46303</v>
      </c>
      <c r="E752" s="11">
        <v>504</v>
      </c>
      <c r="F752" s="11" t="s">
        <v>5909</v>
      </c>
      <c r="G752">
        <v>20140801</v>
      </c>
      <c r="I752" s="11" t="s">
        <v>18</v>
      </c>
      <c r="J752" s="72">
        <v>70147758</v>
      </c>
      <c r="K752" s="99">
        <f>_xlfn.XLOOKUP(_2__ROI_Daily_Update[[#This Row],[CSM id]],SHP!F:F,SHP!EE:EE,"-")</f>
        <v>0</v>
      </c>
      <c r="L752" s="12"/>
      <c r="N752" s="11"/>
      <c r="P752"/>
      <c r="Q752"/>
      <c r="W752" s="28"/>
      <c r="AA752"/>
    </row>
    <row r="753" spans="1:27" x14ac:dyDescent="0.45">
      <c r="A753" s="57">
        <v>1633</v>
      </c>
      <c r="B753" t="s">
        <v>3014</v>
      </c>
      <c r="C753" t="s">
        <v>3015</v>
      </c>
      <c r="D753" s="12">
        <v>46303</v>
      </c>
      <c r="E753" s="11">
        <v>30</v>
      </c>
      <c r="F753" s="11" t="s">
        <v>5409</v>
      </c>
      <c r="G753">
        <v>20261001</v>
      </c>
      <c r="H753" s="12">
        <v>46388</v>
      </c>
      <c r="I753" s="11" t="s">
        <v>63</v>
      </c>
      <c r="J753" s="72">
        <v>70636762</v>
      </c>
      <c r="K753" s="99">
        <f>_xlfn.XLOOKUP(_2__ROI_Daily_Update[[#This Row],[CSM id]],SHP!F:F,SHP!EE:EE,"-")</f>
        <v>0</v>
      </c>
      <c r="L753" s="12"/>
      <c r="N753" s="11"/>
      <c r="P753"/>
      <c r="Q753"/>
      <c r="W753" s="28"/>
      <c r="AA753"/>
    </row>
    <row r="754" spans="1:27" x14ac:dyDescent="0.45">
      <c r="A754" s="57">
        <v>1641</v>
      </c>
      <c r="B754" t="s">
        <v>3191</v>
      </c>
      <c r="C754" t="s">
        <v>3192</v>
      </c>
      <c r="D754" s="12">
        <v>46303</v>
      </c>
      <c r="E754" s="11">
        <v>264</v>
      </c>
      <c r="F754" s="11" t="s">
        <v>5910</v>
      </c>
      <c r="G754">
        <v>20160201</v>
      </c>
      <c r="I754" s="11" t="s">
        <v>63</v>
      </c>
      <c r="J754" s="72">
        <v>90300457</v>
      </c>
      <c r="K754" s="99">
        <f>_xlfn.XLOOKUP(_2__ROI_Daily_Update[[#This Row],[CSM id]],SHP!F:F,SHP!EE:EE,"-")</f>
        <v>0</v>
      </c>
      <c r="L754" s="12"/>
      <c r="N754" s="11"/>
      <c r="P754"/>
      <c r="Q754"/>
      <c r="W754" s="28"/>
      <c r="AA754"/>
    </row>
    <row r="755" spans="1:27" x14ac:dyDescent="0.45">
      <c r="A755" s="57">
        <v>131</v>
      </c>
      <c r="B755" t="s">
        <v>138</v>
      </c>
      <c r="C755" t="s">
        <v>139</v>
      </c>
      <c r="D755" s="12">
        <v>46303</v>
      </c>
      <c r="E755" s="11">
        <v>22</v>
      </c>
      <c r="F755" s="11" t="s">
        <v>5908</v>
      </c>
      <c r="G755">
        <v>20170801</v>
      </c>
      <c r="I755" s="11" t="s">
        <v>63</v>
      </c>
      <c r="J755" s="72">
        <v>90353021</v>
      </c>
      <c r="K755" s="99">
        <f>_xlfn.XLOOKUP(_2__ROI_Daily_Update[[#This Row],[CSM id]],SHP!F:F,SHP!EE:EE,"-")</f>
        <v>0</v>
      </c>
      <c r="L755" s="12"/>
      <c r="N755" s="11"/>
      <c r="P755"/>
      <c r="Q755"/>
      <c r="W755" s="28"/>
      <c r="AA755"/>
    </row>
    <row r="756" spans="1:27" x14ac:dyDescent="0.45">
      <c r="A756" s="57">
        <v>131</v>
      </c>
      <c r="B756" t="s">
        <v>66</v>
      </c>
      <c r="C756" t="s">
        <v>67</v>
      </c>
      <c r="D756" s="12">
        <v>46303</v>
      </c>
      <c r="E756" s="11">
        <v>26</v>
      </c>
      <c r="F756" s="11" t="s">
        <v>5911</v>
      </c>
      <c r="G756">
        <v>20170801</v>
      </c>
      <c r="I756" s="11" t="s">
        <v>63</v>
      </c>
      <c r="J756" s="72">
        <v>70353022</v>
      </c>
      <c r="K756" s="99">
        <f>_xlfn.XLOOKUP(_2__ROI_Daily_Update[[#This Row],[CSM id]],SHP!F:F,SHP!EE:EE,"-")</f>
        <v>0</v>
      </c>
      <c r="L756" s="12"/>
      <c r="N756" s="11"/>
      <c r="P756"/>
      <c r="Q756"/>
      <c r="W756" s="28"/>
      <c r="AA756"/>
    </row>
    <row r="757" spans="1:27" x14ac:dyDescent="0.45">
      <c r="A757" s="57">
        <v>1633</v>
      </c>
      <c r="B757" t="s">
        <v>3012</v>
      </c>
      <c r="C757" t="s">
        <v>3013</v>
      </c>
      <c r="D757" s="12">
        <v>46303</v>
      </c>
      <c r="E757" s="11">
        <v>10</v>
      </c>
      <c r="F757" s="11" t="s">
        <v>5910</v>
      </c>
      <c r="G757">
        <v>20231001</v>
      </c>
      <c r="I757" s="11" t="s">
        <v>63</v>
      </c>
      <c r="J757" s="72">
        <v>70559551</v>
      </c>
      <c r="K757" s="99">
        <f>_xlfn.XLOOKUP(_2__ROI_Daily_Update[[#This Row],[CSM id]],SHP!F:F,SHP!EE:EE,"-")</f>
        <v>0</v>
      </c>
      <c r="L757" s="12"/>
      <c r="N757" s="11"/>
      <c r="P757"/>
      <c r="Q757"/>
      <c r="W757" s="28"/>
      <c r="AA757"/>
    </row>
    <row r="758" spans="1:27" x14ac:dyDescent="0.45">
      <c r="A758" s="57">
        <v>1633</v>
      </c>
      <c r="B758" t="s">
        <v>3010</v>
      </c>
      <c r="C758" t="s">
        <v>3011</v>
      </c>
      <c r="D758" s="12">
        <v>46303</v>
      </c>
      <c r="E758" s="11">
        <v>90</v>
      </c>
      <c r="F758" s="11" t="s">
        <v>5905</v>
      </c>
      <c r="G758">
        <v>20230101</v>
      </c>
      <c r="I758" s="11" t="s">
        <v>63</v>
      </c>
      <c r="J758" s="72">
        <v>70537663</v>
      </c>
      <c r="K758" s="99">
        <f>_xlfn.XLOOKUP(_2__ROI_Daily_Update[[#This Row],[CSM id]],SHP!F:F,SHP!EE:EE,"-")</f>
        <v>0</v>
      </c>
      <c r="L758" s="12"/>
      <c r="N758" s="11"/>
      <c r="P758"/>
      <c r="Q758"/>
      <c r="W758" s="28"/>
      <c r="AA758"/>
    </row>
    <row r="759" spans="1:27" x14ac:dyDescent="0.45">
      <c r="A759" s="57">
        <v>1633</v>
      </c>
      <c r="B759" t="s">
        <v>3008</v>
      </c>
      <c r="C759" t="s">
        <v>3009</v>
      </c>
      <c r="D759" s="12">
        <v>46303</v>
      </c>
      <c r="E759" s="11">
        <v>30</v>
      </c>
      <c r="F759" s="11" t="s">
        <v>5906</v>
      </c>
      <c r="G759">
        <v>20260101</v>
      </c>
      <c r="H759" s="12">
        <v>46569</v>
      </c>
      <c r="I759" s="11" t="s">
        <v>63</v>
      </c>
      <c r="J759" s="72">
        <v>60623265</v>
      </c>
      <c r="K759" s="99">
        <f>_xlfn.XLOOKUP(_2__ROI_Daily_Update[[#This Row],[CSM id]],SHP!F:F,SHP!EE:EE,"-")</f>
        <v>0</v>
      </c>
      <c r="L759" s="12"/>
      <c r="N759" s="11"/>
      <c r="P759"/>
      <c r="Q759"/>
      <c r="W759" s="28"/>
      <c r="AA759"/>
    </row>
    <row r="760" spans="1:27" x14ac:dyDescent="0.45">
      <c r="A760" s="57">
        <v>131</v>
      </c>
      <c r="B760" t="s">
        <v>190</v>
      </c>
      <c r="C760" t="s">
        <v>191</v>
      </c>
      <c r="D760" s="12">
        <v>46303</v>
      </c>
      <c r="E760" s="11">
        <v>36</v>
      </c>
      <c r="F760" s="11" t="s">
        <v>5910</v>
      </c>
      <c r="G760">
        <v>20260601</v>
      </c>
      <c r="I760" s="11" t="s">
        <v>63</v>
      </c>
      <c r="J760" s="72">
        <v>60621068</v>
      </c>
      <c r="K760" s="99">
        <f>_xlfn.XLOOKUP(_2__ROI_Daily_Update[[#This Row],[CSM id]],SHP!F:F,SHP!EE:EE,"-")</f>
        <v>0</v>
      </c>
      <c r="L760" s="12"/>
      <c r="N760" s="11"/>
      <c r="P760"/>
      <c r="Q760"/>
      <c r="W760" s="28"/>
      <c r="AA760"/>
    </row>
    <row r="761" spans="1:27" x14ac:dyDescent="0.45">
      <c r="A761" s="57">
        <v>1013</v>
      </c>
      <c r="B761" t="s">
        <v>1106</v>
      </c>
      <c r="C761" t="s">
        <v>1107</v>
      </c>
      <c r="D761" s="12">
        <v>46303</v>
      </c>
      <c r="E761" s="11">
        <v>36</v>
      </c>
      <c r="F761" s="11" t="s">
        <v>5911</v>
      </c>
      <c r="G761">
        <v>20200801</v>
      </c>
      <c r="I761" s="11" t="s">
        <v>63</v>
      </c>
      <c r="J761" s="72">
        <v>40420264</v>
      </c>
      <c r="K761" s="99">
        <f>_xlfn.XLOOKUP(_2__ROI_Daily_Update[[#This Row],[CSM id]],SHP!F:F,SHP!EE:EE,"-")</f>
        <v>0</v>
      </c>
      <c r="L761" s="12"/>
      <c r="N761" s="11"/>
      <c r="P761"/>
      <c r="Q761"/>
      <c r="W761" s="28"/>
      <c r="AA761"/>
    </row>
    <row r="762" spans="1:27" x14ac:dyDescent="0.45">
      <c r="A762" s="57">
        <v>1641</v>
      </c>
      <c r="B762" t="s">
        <v>3193</v>
      </c>
      <c r="C762" t="s">
        <v>3194</v>
      </c>
      <c r="D762" s="12">
        <v>46303</v>
      </c>
      <c r="E762" s="11">
        <v>20</v>
      </c>
      <c r="F762" s="11" t="s">
        <v>5910</v>
      </c>
      <c r="G762">
        <v>20240401</v>
      </c>
      <c r="I762" s="11" t="s">
        <v>63</v>
      </c>
      <c r="J762" s="72">
        <v>90550031</v>
      </c>
      <c r="K762" s="99">
        <f>_xlfn.XLOOKUP(_2__ROI_Daily_Update[[#This Row],[CSM id]],SHP!F:F,SHP!EE:EE,"-")</f>
        <v>0</v>
      </c>
      <c r="L762" s="12"/>
      <c r="N762" s="11"/>
      <c r="P762"/>
      <c r="Q762"/>
      <c r="W762" s="28"/>
      <c r="AA762"/>
    </row>
    <row r="763" spans="1:27" x14ac:dyDescent="0.45">
      <c r="A763" s="57">
        <v>1633</v>
      </c>
      <c r="B763" t="s">
        <v>3000</v>
      </c>
      <c r="C763" t="s">
        <v>3001</v>
      </c>
      <c r="D763" s="12">
        <v>46303</v>
      </c>
      <c r="E763" s="11">
        <v>360</v>
      </c>
      <c r="F763" s="11" t="s">
        <v>5909</v>
      </c>
      <c r="G763">
        <v>20210401</v>
      </c>
      <c r="I763" s="11" t="s">
        <v>32</v>
      </c>
      <c r="J763" s="72">
        <v>50470989</v>
      </c>
      <c r="K763" s="99">
        <f>_xlfn.XLOOKUP(_2__ROI_Daily_Update[[#This Row],[CSM id]],SHP!F:F,SHP!EE:EE,"-")</f>
        <v>0</v>
      </c>
      <c r="L763" s="12"/>
      <c r="N763" s="11"/>
      <c r="P763"/>
      <c r="Q763"/>
      <c r="W763" s="28"/>
      <c r="AA763"/>
    </row>
    <row r="764" spans="1:27" x14ac:dyDescent="0.45">
      <c r="A764" s="57">
        <v>1633</v>
      </c>
      <c r="B764" t="s">
        <v>2998</v>
      </c>
      <c r="C764" t="s">
        <v>2999</v>
      </c>
      <c r="D764" s="12">
        <v>46303</v>
      </c>
      <c r="E764" s="11">
        <v>144</v>
      </c>
      <c r="F764" s="11" t="s">
        <v>5905</v>
      </c>
      <c r="G764">
        <v>20261001</v>
      </c>
      <c r="I764" s="11" t="s">
        <v>63</v>
      </c>
      <c r="J764" s="72">
        <v>40638159</v>
      </c>
      <c r="K764" s="99">
        <f>_xlfn.XLOOKUP(_2__ROI_Daily_Update[[#This Row],[CSM id]],SHP!F:F,SHP!EE:EE,"-")</f>
        <v>0</v>
      </c>
      <c r="L764" s="12"/>
      <c r="N764" s="11"/>
      <c r="P764"/>
      <c r="Q764"/>
      <c r="W764" s="28"/>
      <c r="AA764"/>
    </row>
    <row r="765" spans="1:27" x14ac:dyDescent="0.45">
      <c r="A765" s="57">
        <v>1013</v>
      </c>
      <c r="B765" t="s">
        <v>1108</v>
      </c>
      <c r="C765" t="s">
        <v>1109</v>
      </c>
      <c r="D765" s="12">
        <v>46303</v>
      </c>
      <c r="E765" s="11">
        <v>2</v>
      </c>
      <c r="F765" s="11" t="s">
        <v>5906</v>
      </c>
      <c r="G765">
        <v>20251001</v>
      </c>
      <c r="I765" s="11" t="s">
        <v>63</v>
      </c>
      <c r="J765" s="72">
        <v>40591642</v>
      </c>
      <c r="K765" s="99">
        <f>_xlfn.XLOOKUP(_2__ROI_Daily_Update[[#This Row],[CSM id]],SHP!F:F,SHP!EE:EE,"-")</f>
        <v>0</v>
      </c>
      <c r="L765" s="12"/>
      <c r="N765" s="11"/>
      <c r="P765"/>
      <c r="Q765"/>
      <c r="W765" s="28"/>
      <c r="AA765"/>
    </row>
    <row r="766" spans="1:27" x14ac:dyDescent="0.45">
      <c r="A766" s="57">
        <v>1641</v>
      </c>
      <c r="B766" t="s">
        <v>3195</v>
      </c>
      <c r="C766" t="s">
        <v>3196</v>
      </c>
      <c r="D766" s="12">
        <v>46303</v>
      </c>
      <c r="E766" s="11">
        <v>20</v>
      </c>
      <c r="F766" s="11" t="s">
        <v>5909</v>
      </c>
      <c r="G766">
        <v>20240401</v>
      </c>
      <c r="I766" s="11" t="s">
        <v>18</v>
      </c>
      <c r="J766" s="72">
        <v>90550111</v>
      </c>
      <c r="K766" s="99">
        <f>_xlfn.XLOOKUP(_2__ROI_Daily_Update[[#This Row],[CSM id]],SHP!F:F,SHP!EE:EE,"-")</f>
        <v>0</v>
      </c>
      <c r="L766" s="12"/>
      <c r="N766" s="11"/>
      <c r="P766"/>
      <c r="Q766"/>
      <c r="W766" s="28"/>
      <c r="AA766"/>
    </row>
    <row r="767" spans="1:27" x14ac:dyDescent="0.45">
      <c r="A767" s="57">
        <v>1641</v>
      </c>
      <c r="B767" t="s">
        <v>3197</v>
      </c>
      <c r="C767" t="s">
        <v>3198</v>
      </c>
      <c r="D767" s="12">
        <v>46303</v>
      </c>
      <c r="E767" s="11">
        <v>20</v>
      </c>
      <c r="F767" s="11" t="s">
        <v>5905</v>
      </c>
      <c r="G767">
        <v>20240701</v>
      </c>
      <c r="I767" s="11" t="s">
        <v>63</v>
      </c>
      <c r="J767" s="72">
        <v>90566391</v>
      </c>
      <c r="K767" s="99">
        <f>_xlfn.XLOOKUP(_2__ROI_Daily_Update[[#This Row],[CSM id]],SHP!F:F,SHP!EE:EE,"-")</f>
        <v>0</v>
      </c>
      <c r="L767" s="12"/>
      <c r="N767" s="11"/>
      <c r="P767"/>
      <c r="Q767"/>
      <c r="W767" s="28"/>
      <c r="AA767"/>
    </row>
    <row r="768" spans="1:27" x14ac:dyDescent="0.45">
      <c r="A768" s="57">
        <v>1633</v>
      </c>
      <c r="B768" t="s">
        <v>2990</v>
      </c>
      <c r="C768" t="s">
        <v>2991</v>
      </c>
      <c r="D768" s="12">
        <v>46303</v>
      </c>
      <c r="E768" s="11">
        <v>9</v>
      </c>
      <c r="F768" s="11" t="s">
        <v>5905</v>
      </c>
      <c r="G768">
        <v>20260601</v>
      </c>
      <c r="I768" s="11" t="s">
        <v>63</v>
      </c>
      <c r="J768" s="72">
        <v>30618562</v>
      </c>
      <c r="K768" s="99">
        <f>_xlfn.XLOOKUP(_2__ROI_Daily_Update[[#This Row],[CSM id]],SHP!F:F,SHP!EE:EE,"-")</f>
        <v>0</v>
      </c>
      <c r="L768" s="12"/>
      <c r="N768" s="11"/>
      <c r="P768"/>
      <c r="Q768"/>
      <c r="W768" s="28"/>
      <c r="AA768"/>
    </row>
    <row r="769" spans="1:27" x14ac:dyDescent="0.45">
      <c r="A769" s="57">
        <v>1013</v>
      </c>
      <c r="B769" t="s">
        <v>1114</v>
      </c>
      <c r="C769" t="s">
        <v>1115</v>
      </c>
      <c r="D769" s="12">
        <v>46303</v>
      </c>
      <c r="E769" s="11">
        <v>8</v>
      </c>
      <c r="F769" s="11" t="s">
        <v>5910</v>
      </c>
      <c r="G769">
        <v>20240401</v>
      </c>
      <c r="I769" s="11" t="s">
        <v>63</v>
      </c>
      <c r="J769" s="72">
        <v>80561662</v>
      </c>
      <c r="K769" s="99">
        <f>_xlfn.XLOOKUP(_2__ROI_Daily_Update[[#This Row],[CSM id]],SHP!F:F,SHP!EE:EE,"-")</f>
        <v>0</v>
      </c>
      <c r="L769" s="12"/>
      <c r="N769" s="11"/>
      <c r="P769"/>
      <c r="Q769"/>
      <c r="W769" s="28"/>
      <c r="AA769"/>
    </row>
    <row r="770" spans="1:27" x14ac:dyDescent="0.45">
      <c r="A770" s="57">
        <v>131</v>
      </c>
      <c r="B770" t="s">
        <v>167</v>
      </c>
      <c r="C770" t="s">
        <v>168</v>
      </c>
      <c r="D770" s="12">
        <v>46303</v>
      </c>
      <c r="E770" s="11">
        <v>24</v>
      </c>
      <c r="F770" s="11" t="s">
        <v>5910</v>
      </c>
      <c r="G770">
        <v>20240701</v>
      </c>
      <c r="I770" s="11" t="s">
        <v>63</v>
      </c>
      <c r="J770" s="72">
        <v>10578977</v>
      </c>
      <c r="K770" s="99">
        <f>_xlfn.XLOOKUP(_2__ROI_Daily_Update[[#This Row],[CSM id]],SHP!F:F,SHP!EE:EE,"-")</f>
        <v>0</v>
      </c>
      <c r="L770" s="12"/>
      <c r="N770" s="11"/>
      <c r="P770"/>
      <c r="Q770"/>
      <c r="W770" s="28"/>
      <c r="AA770"/>
    </row>
    <row r="771" spans="1:27" x14ac:dyDescent="0.45">
      <c r="A771" s="57">
        <v>1633</v>
      </c>
      <c r="B771" t="s">
        <v>2984</v>
      </c>
      <c r="C771" t="s">
        <v>2985</v>
      </c>
      <c r="D771" s="12">
        <v>46303</v>
      </c>
      <c r="E771" s="11">
        <v>8</v>
      </c>
      <c r="F771" s="11" t="s">
        <v>5911</v>
      </c>
      <c r="G771">
        <v>20260101</v>
      </c>
      <c r="I771" s="11" t="s">
        <v>63</v>
      </c>
      <c r="J771" s="72">
        <v>20611047</v>
      </c>
      <c r="K771" s="99">
        <f>_xlfn.XLOOKUP(_2__ROI_Daily_Update[[#This Row],[CSM id]],SHP!F:F,SHP!EE:EE,"-")</f>
        <v>0</v>
      </c>
      <c r="L771" s="12"/>
      <c r="N771" s="11"/>
      <c r="P771"/>
      <c r="Q771"/>
      <c r="W771" s="28"/>
      <c r="AA771"/>
    </row>
    <row r="772" spans="1:27" x14ac:dyDescent="0.45">
      <c r="A772" s="57">
        <v>131</v>
      </c>
      <c r="B772" t="s">
        <v>186</v>
      </c>
      <c r="C772" t="s">
        <v>187</v>
      </c>
      <c r="D772" s="12">
        <v>46303</v>
      </c>
      <c r="E772" s="11">
        <v>22</v>
      </c>
      <c r="F772" s="11" t="s">
        <v>5907</v>
      </c>
      <c r="G772">
        <v>20160201</v>
      </c>
      <c r="I772" s="11" t="s">
        <v>63</v>
      </c>
      <c r="J772" s="72">
        <v>60295928</v>
      </c>
      <c r="K772" s="99">
        <f>_xlfn.XLOOKUP(_2__ROI_Daily_Update[[#This Row],[CSM id]],SHP!F:F,SHP!EE:EE,"-")</f>
        <v>0</v>
      </c>
      <c r="L772" s="12"/>
      <c r="N772" s="11"/>
      <c r="P772"/>
      <c r="Q772"/>
      <c r="W772" s="28"/>
      <c r="AA772"/>
    </row>
    <row r="773" spans="1:27" x14ac:dyDescent="0.45">
      <c r="A773" s="57">
        <v>1633</v>
      </c>
      <c r="B773" t="s">
        <v>2982</v>
      </c>
      <c r="C773" t="s">
        <v>2983</v>
      </c>
      <c r="D773" s="12">
        <v>46303</v>
      </c>
      <c r="E773" s="11">
        <v>20</v>
      </c>
      <c r="F773" s="11" t="s">
        <v>5910</v>
      </c>
      <c r="G773">
        <v>20251001</v>
      </c>
      <c r="I773" s="11" t="s">
        <v>63</v>
      </c>
      <c r="J773" s="72">
        <v>20567110</v>
      </c>
      <c r="K773" s="99">
        <f>_xlfn.XLOOKUP(_2__ROI_Daily_Update[[#This Row],[CSM id]],SHP!F:F,SHP!EE:EE,"-")</f>
        <v>0</v>
      </c>
      <c r="L773" s="12"/>
      <c r="N773" s="11"/>
      <c r="P773"/>
      <c r="Q773"/>
      <c r="W773" s="28"/>
      <c r="AA773"/>
    </row>
    <row r="774" spans="1:27" x14ac:dyDescent="0.45">
      <c r="A774" s="57">
        <v>1633</v>
      </c>
      <c r="B774" t="s">
        <v>3026</v>
      </c>
      <c r="C774" t="s">
        <v>3027</v>
      </c>
      <c r="D774" s="12">
        <v>46303</v>
      </c>
      <c r="E774" s="11">
        <v>72</v>
      </c>
      <c r="F774" s="11" t="s">
        <v>5908</v>
      </c>
      <c r="G774">
        <v>20261001</v>
      </c>
      <c r="I774" s="11" t="s">
        <v>63</v>
      </c>
      <c r="J774" s="72">
        <v>90635182</v>
      </c>
      <c r="K774" s="99">
        <f>_xlfn.XLOOKUP(_2__ROI_Daily_Update[[#This Row],[CSM id]],SHP!F:F,SHP!EE:EE,"-")</f>
        <v>0</v>
      </c>
      <c r="L774" s="12"/>
      <c r="N774" s="11"/>
      <c r="P774"/>
      <c r="Q774"/>
      <c r="W774" s="28"/>
      <c r="AA774"/>
    </row>
    <row r="775" spans="1:27" x14ac:dyDescent="0.45">
      <c r="A775" s="57">
        <v>1021</v>
      </c>
      <c r="B775" t="s">
        <v>1198</v>
      </c>
      <c r="C775" t="s">
        <v>1199</v>
      </c>
      <c r="D775" s="12">
        <v>46303</v>
      </c>
      <c r="E775" s="11">
        <v>40</v>
      </c>
      <c r="F775" s="11" t="s">
        <v>5910</v>
      </c>
      <c r="G775">
        <v>20140801</v>
      </c>
      <c r="I775" s="11" t="s">
        <v>63</v>
      </c>
      <c r="J775" s="72">
        <v>283513</v>
      </c>
      <c r="K775" s="99">
        <f>_xlfn.XLOOKUP(_2__ROI_Daily_Update[[#This Row],[CSM id]],SHP!F:F,SHP!EE:EE,"-")</f>
        <v>0</v>
      </c>
      <c r="L775" s="12"/>
      <c r="N775" s="11"/>
      <c r="P775"/>
      <c r="Q775"/>
      <c r="W775" s="28"/>
      <c r="AA775"/>
    </row>
    <row r="776" spans="1:27" x14ac:dyDescent="0.45">
      <c r="A776" s="57">
        <v>1531</v>
      </c>
      <c r="B776" t="s">
        <v>2758</v>
      </c>
      <c r="C776" t="s">
        <v>2759</v>
      </c>
      <c r="D776" s="12">
        <v>46303</v>
      </c>
      <c r="E776" s="11">
        <v>48</v>
      </c>
      <c r="F776" s="11" t="s">
        <v>5409</v>
      </c>
      <c r="G776">
        <v>20220401</v>
      </c>
      <c r="H776" s="12">
        <v>46478</v>
      </c>
      <c r="I776" s="11" t="s">
        <v>63</v>
      </c>
      <c r="J776" s="72">
        <v>90521034</v>
      </c>
      <c r="K776" s="99">
        <f>_xlfn.XLOOKUP(_2__ROI_Daily_Update[[#This Row],[CSM id]],SHP!F:F,SHP!EE:EE,"-")</f>
        <v>0</v>
      </c>
      <c r="L776" s="12"/>
      <c r="N776" s="11"/>
      <c r="P776"/>
      <c r="Q776"/>
      <c r="W776" s="28"/>
      <c r="AA776"/>
    </row>
    <row r="777" spans="1:27" x14ac:dyDescent="0.45">
      <c r="A777" s="57">
        <v>1643</v>
      </c>
      <c r="B777" t="s">
        <v>3249</v>
      </c>
      <c r="C777" t="s">
        <v>3250</v>
      </c>
      <c r="D777" s="12">
        <v>46303</v>
      </c>
      <c r="E777" s="11">
        <v>16</v>
      </c>
      <c r="F777" s="11" t="s">
        <v>5905</v>
      </c>
      <c r="G777">
        <v>20221001</v>
      </c>
      <c r="I777" s="11" t="s">
        <v>63</v>
      </c>
      <c r="J777" s="72">
        <v>80540858</v>
      </c>
      <c r="K777" s="99">
        <f>_xlfn.XLOOKUP(_2__ROI_Daily_Update[[#This Row],[CSM id]],SHP!F:F,SHP!EE:EE,"-")</f>
        <v>0</v>
      </c>
      <c r="L777" s="12"/>
      <c r="N777" s="11"/>
      <c r="P777"/>
      <c r="Q777"/>
      <c r="W777" s="28"/>
      <c r="AA777"/>
    </row>
    <row r="778" spans="1:27" x14ac:dyDescent="0.45">
      <c r="A778" s="57">
        <v>433</v>
      </c>
      <c r="B778" t="s">
        <v>192</v>
      </c>
      <c r="C778" t="s">
        <v>193</v>
      </c>
      <c r="D778" s="12">
        <v>46303</v>
      </c>
      <c r="E778" s="11">
        <v>16</v>
      </c>
      <c r="F778" s="11" t="s">
        <v>5906</v>
      </c>
      <c r="G778">
        <v>20260701</v>
      </c>
      <c r="I778" s="11" t="s">
        <v>63</v>
      </c>
      <c r="J778" s="72">
        <v>637034</v>
      </c>
      <c r="K778" s="99">
        <f>_xlfn.XLOOKUP(_2__ROI_Daily_Update[[#This Row],[CSM id]],SHP!F:F,SHP!EE:EE,"-")</f>
        <v>0</v>
      </c>
      <c r="L778" s="12"/>
      <c r="N778" s="11"/>
      <c r="P778"/>
      <c r="Q778"/>
      <c r="W778" s="28"/>
      <c r="AA778"/>
    </row>
    <row r="779" spans="1:27" x14ac:dyDescent="0.45">
      <c r="A779" s="57">
        <v>1511</v>
      </c>
      <c r="B779" t="s">
        <v>2558</v>
      </c>
      <c r="C779" t="s">
        <v>2559</v>
      </c>
      <c r="D779" s="12">
        <v>46303</v>
      </c>
      <c r="E779" s="11">
        <v>54</v>
      </c>
      <c r="F779" s="11" t="s">
        <v>5404</v>
      </c>
      <c r="G779">
        <v>20150401</v>
      </c>
      <c r="I779" s="11" t="s">
        <v>63</v>
      </c>
      <c r="J779" s="72">
        <v>40278350</v>
      </c>
      <c r="K779" s="99">
        <f>_xlfn.XLOOKUP(_2__ROI_Daily_Update[[#This Row],[CSM id]],SHP!F:F,SHP!EE:EE,"-")</f>
        <v>0</v>
      </c>
      <c r="L779" s="12"/>
      <c r="N779" s="11"/>
      <c r="P779"/>
      <c r="Q779"/>
      <c r="W779" s="28"/>
      <c r="AA779"/>
    </row>
    <row r="780" spans="1:27" x14ac:dyDescent="0.45">
      <c r="A780" s="57">
        <v>1031</v>
      </c>
      <c r="B780" t="s">
        <v>1280</v>
      </c>
      <c r="C780" t="s">
        <v>1281</v>
      </c>
      <c r="D780" s="12">
        <v>46303</v>
      </c>
      <c r="E780" s="11">
        <v>140</v>
      </c>
      <c r="F780" s="11" t="s">
        <v>5906</v>
      </c>
      <c r="G780">
        <v>20250101</v>
      </c>
      <c r="H780" s="12">
        <v>46478</v>
      </c>
      <c r="I780" s="11" t="s">
        <v>63</v>
      </c>
      <c r="J780" s="72">
        <v>10584105</v>
      </c>
      <c r="K780" s="99">
        <f>_xlfn.XLOOKUP(_2__ROI_Daily_Update[[#This Row],[CSM id]],SHP!F:F,SHP!EE:EE,"-")</f>
        <v>0</v>
      </c>
      <c r="L780" s="12"/>
      <c r="N780" s="11"/>
      <c r="P780"/>
      <c r="Q780"/>
      <c r="W780" s="28"/>
      <c r="AA780"/>
    </row>
    <row r="781" spans="1:27" x14ac:dyDescent="0.45">
      <c r="A781" s="57">
        <v>1511</v>
      </c>
      <c r="B781" t="s">
        <v>2556</v>
      </c>
      <c r="C781" t="s">
        <v>2557</v>
      </c>
      <c r="D781" s="12">
        <v>46303</v>
      </c>
      <c r="E781" s="11">
        <v>72</v>
      </c>
      <c r="F781" s="11" t="s">
        <v>5404</v>
      </c>
      <c r="G781">
        <v>20260401</v>
      </c>
      <c r="I781" s="11" t="s">
        <v>63</v>
      </c>
      <c r="J781" s="72">
        <v>30622644</v>
      </c>
      <c r="K781" s="99">
        <f>_xlfn.XLOOKUP(_2__ROI_Daily_Update[[#This Row],[CSM id]],SHP!F:F,SHP!EE:EE,"-")</f>
        <v>0</v>
      </c>
      <c r="L781" s="12"/>
      <c r="N781" s="11"/>
      <c r="P781"/>
      <c r="Q781"/>
      <c r="W781" s="28"/>
      <c r="AA781"/>
    </row>
    <row r="782" spans="1:27" x14ac:dyDescent="0.45">
      <c r="A782" s="57">
        <v>433</v>
      </c>
      <c r="B782" t="s">
        <v>469</v>
      </c>
      <c r="C782" t="s">
        <v>470</v>
      </c>
      <c r="D782" s="12">
        <v>46303</v>
      </c>
      <c r="E782" s="11">
        <v>198</v>
      </c>
      <c r="F782" s="11" t="s">
        <v>5909</v>
      </c>
      <c r="G782">
        <v>20140801</v>
      </c>
      <c r="I782" s="11" t="s">
        <v>18</v>
      </c>
      <c r="J782" s="72">
        <v>80179433</v>
      </c>
      <c r="K782" s="99">
        <f>_xlfn.XLOOKUP(_2__ROI_Daily_Update[[#This Row],[CSM id]],SHP!F:F,SHP!EE:EE,"-")</f>
        <v>0</v>
      </c>
      <c r="L782" s="12"/>
      <c r="N782" s="11"/>
      <c r="P782"/>
      <c r="Q782"/>
      <c r="W782" s="28"/>
      <c r="AA782"/>
    </row>
    <row r="783" spans="1:27" x14ac:dyDescent="0.45">
      <c r="A783" s="57">
        <v>1031</v>
      </c>
      <c r="B783" t="s">
        <v>1286</v>
      </c>
      <c r="C783" t="s">
        <v>1287</v>
      </c>
      <c r="D783" s="12">
        <v>46303</v>
      </c>
      <c r="E783" s="11">
        <v>90</v>
      </c>
      <c r="F783" s="11" t="s">
        <v>5905</v>
      </c>
      <c r="G783">
        <v>20250701</v>
      </c>
      <c r="I783" s="11" t="s">
        <v>63</v>
      </c>
      <c r="J783" s="72">
        <v>30591510</v>
      </c>
      <c r="K783" s="99">
        <f>_xlfn.XLOOKUP(_2__ROI_Daily_Update[[#This Row],[CSM id]],SHP!F:F,SHP!EE:EE,"-")</f>
        <v>0</v>
      </c>
      <c r="L783" s="12"/>
      <c r="N783" s="11"/>
      <c r="P783"/>
      <c r="Q783"/>
      <c r="W783" s="28"/>
      <c r="AA783"/>
    </row>
    <row r="784" spans="1:27" x14ac:dyDescent="0.45">
      <c r="A784" s="57">
        <v>1031</v>
      </c>
      <c r="B784" t="s">
        <v>1288</v>
      </c>
      <c r="C784" t="s">
        <v>1289</v>
      </c>
      <c r="D784" s="12">
        <v>46303</v>
      </c>
      <c r="E784" s="11">
        <v>80</v>
      </c>
      <c r="F784" s="11" t="s">
        <v>5906</v>
      </c>
      <c r="G784">
        <v>20250101</v>
      </c>
      <c r="I784" s="11" t="s">
        <v>63</v>
      </c>
      <c r="J784" s="72">
        <v>40584043</v>
      </c>
      <c r="K784" s="99">
        <f>_xlfn.XLOOKUP(_2__ROI_Daily_Update[[#This Row],[CSM id]],SHP!F:F,SHP!EE:EE,"-")</f>
        <v>0</v>
      </c>
      <c r="L784" s="12"/>
      <c r="N784" s="11"/>
      <c r="P784"/>
      <c r="Q784"/>
      <c r="W784" s="28"/>
      <c r="AA784"/>
    </row>
    <row r="785" spans="1:27" x14ac:dyDescent="0.45">
      <c r="A785" s="57">
        <v>983</v>
      </c>
      <c r="B785" t="s">
        <v>976</v>
      </c>
      <c r="C785" t="s">
        <v>977</v>
      </c>
      <c r="D785" s="12">
        <v>46303</v>
      </c>
      <c r="E785" s="11">
        <v>156</v>
      </c>
      <c r="F785" s="11" t="s">
        <v>5911</v>
      </c>
      <c r="G785">
        <v>20250101</v>
      </c>
      <c r="I785" s="11" t="s">
        <v>63</v>
      </c>
      <c r="J785" s="72">
        <v>20595575</v>
      </c>
      <c r="K785" s="99">
        <f>_xlfn.XLOOKUP(_2__ROI_Daily_Update[[#This Row],[CSM id]],SHP!F:F,SHP!EE:EE,"-")</f>
        <v>0</v>
      </c>
      <c r="L785" s="12"/>
      <c r="N785" s="11"/>
      <c r="P785"/>
      <c r="Q785"/>
      <c r="W785" s="28"/>
      <c r="AA785"/>
    </row>
    <row r="786" spans="1:27" x14ac:dyDescent="0.45">
      <c r="A786" s="57">
        <v>1511</v>
      </c>
      <c r="B786" t="s">
        <v>2554</v>
      </c>
      <c r="C786" t="s">
        <v>2555</v>
      </c>
      <c r="D786" s="12">
        <v>46303</v>
      </c>
      <c r="E786" s="11">
        <v>120</v>
      </c>
      <c r="F786" s="11" t="s">
        <v>5409</v>
      </c>
      <c r="G786">
        <v>20260401</v>
      </c>
      <c r="H786" s="12">
        <v>46569</v>
      </c>
      <c r="I786" s="11" t="s">
        <v>63</v>
      </c>
      <c r="J786" s="72">
        <v>30621220</v>
      </c>
      <c r="K786" s="99">
        <f>_xlfn.XLOOKUP(_2__ROI_Daily_Update[[#This Row],[CSM id]],SHP!F:F,SHP!EE:EE,"-")</f>
        <v>0</v>
      </c>
      <c r="L786" s="12"/>
      <c r="N786" s="11"/>
      <c r="P786"/>
      <c r="Q786"/>
      <c r="W786" s="28"/>
      <c r="AA786"/>
    </row>
    <row r="787" spans="1:27" x14ac:dyDescent="0.45">
      <c r="A787" s="57">
        <v>1031</v>
      </c>
      <c r="B787" t="s">
        <v>5691</v>
      </c>
      <c r="C787" t="s">
        <v>5692</v>
      </c>
      <c r="D787" s="12">
        <v>46303</v>
      </c>
      <c r="E787" s="11">
        <v>960</v>
      </c>
      <c r="F787" s="11" t="s">
        <v>5910</v>
      </c>
      <c r="G787">
        <v>20250101</v>
      </c>
      <c r="I787" s="11" t="s">
        <v>63</v>
      </c>
      <c r="J787" s="72">
        <v>70583928</v>
      </c>
      <c r="K787" s="99">
        <f>_xlfn.XLOOKUP(_2__ROI_Daily_Update[[#This Row],[CSM id]],SHP!F:F,SHP!EE:EE,"-")</f>
        <v>0</v>
      </c>
      <c r="L787" s="12"/>
      <c r="N787" s="11"/>
      <c r="P787"/>
      <c r="Q787"/>
      <c r="W787" s="28"/>
      <c r="AA787"/>
    </row>
    <row r="788" spans="1:27" x14ac:dyDescent="0.45">
      <c r="A788" s="57">
        <v>983</v>
      </c>
      <c r="B788" t="s">
        <v>972</v>
      </c>
      <c r="C788" t="s">
        <v>973</v>
      </c>
      <c r="D788" s="12">
        <v>46303</v>
      </c>
      <c r="E788" s="11">
        <v>1008</v>
      </c>
      <c r="F788" s="11" t="s">
        <v>5264</v>
      </c>
      <c r="G788">
        <v>20180601</v>
      </c>
      <c r="I788" s="11" t="s">
        <v>18</v>
      </c>
      <c r="J788" s="72">
        <v>20378671</v>
      </c>
      <c r="K788" s="99">
        <f>_xlfn.XLOOKUP(_2__ROI_Daily_Update[[#This Row],[CSM id]],SHP!F:F,SHP!EE:EE,"-")</f>
        <v>0</v>
      </c>
      <c r="L788" s="12"/>
      <c r="N788" s="11"/>
      <c r="P788"/>
      <c r="Q788"/>
      <c r="W788" s="28"/>
      <c r="AA788"/>
    </row>
    <row r="789" spans="1:27" x14ac:dyDescent="0.45">
      <c r="A789" s="57">
        <v>433</v>
      </c>
      <c r="B789" t="s">
        <v>192</v>
      </c>
      <c r="C789" t="s">
        <v>193</v>
      </c>
      <c r="D789" s="12">
        <v>46303</v>
      </c>
      <c r="E789" s="11">
        <v>16</v>
      </c>
      <c r="F789" s="11" t="s">
        <v>5910</v>
      </c>
      <c r="G789">
        <v>20260701</v>
      </c>
      <c r="I789" s="11" t="s">
        <v>63</v>
      </c>
      <c r="J789" s="72">
        <v>637034</v>
      </c>
      <c r="K789" s="99">
        <f>_xlfn.XLOOKUP(_2__ROI_Daily_Update[[#This Row],[CSM id]],SHP!F:F,SHP!EE:EE,"-")</f>
        <v>0</v>
      </c>
      <c r="L789" s="12"/>
      <c r="N789" s="11"/>
      <c r="P789"/>
      <c r="Q789"/>
      <c r="W789" s="28"/>
      <c r="AA789"/>
    </row>
    <row r="790" spans="1:27" x14ac:dyDescent="0.45">
      <c r="A790" s="57">
        <v>1031</v>
      </c>
      <c r="B790" t="s">
        <v>1298</v>
      </c>
      <c r="C790" t="s">
        <v>1299</v>
      </c>
      <c r="D790" s="12">
        <v>46303</v>
      </c>
      <c r="E790" s="11">
        <v>54</v>
      </c>
      <c r="F790" s="11" t="s">
        <v>5905</v>
      </c>
      <c r="G790">
        <v>20250701</v>
      </c>
      <c r="I790" s="11" t="s">
        <v>63</v>
      </c>
      <c r="J790" s="72">
        <v>80591541</v>
      </c>
      <c r="K790" s="99">
        <f>_xlfn.XLOOKUP(_2__ROI_Daily_Update[[#This Row],[CSM id]],SHP!F:F,SHP!EE:EE,"-")</f>
        <v>0</v>
      </c>
      <c r="L790" s="12"/>
      <c r="N790" s="11"/>
      <c r="P790"/>
      <c r="Q790"/>
      <c r="W790" s="28"/>
      <c r="AA790"/>
    </row>
    <row r="791" spans="1:27" x14ac:dyDescent="0.45">
      <c r="A791" s="57">
        <v>1031</v>
      </c>
      <c r="B791" t="s">
        <v>1300</v>
      </c>
      <c r="C791" t="s">
        <v>1301</v>
      </c>
      <c r="D791" s="12">
        <v>46303</v>
      </c>
      <c r="E791" s="11">
        <v>72</v>
      </c>
      <c r="F791" s="11" t="s">
        <v>5910</v>
      </c>
      <c r="G791">
        <v>20230701</v>
      </c>
      <c r="I791" s="11" t="s">
        <v>63</v>
      </c>
      <c r="J791" s="72">
        <v>90539246</v>
      </c>
      <c r="K791" s="99">
        <f>_xlfn.XLOOKUP(_2__ROI_Daily_Update[[#This Row],[CSM id]],SHP!F:F,SHP!EE:EE,"-")</f>
        <v>0</v>
      </c>
      <c r="L791" s="12"/>
      <c r="N791" s="11"/>
      <c r="P791"/>
      <c r="Q791"/>
      <c r="W791" s="28"/>
      <c r="AA791"/>
    </row>
    <row r="792" spans="1:27" x14ac:dyDescent="0.45">
      <c r="A792" s="57">
        <v>1043</v>
      </c>
      <c r="B792" t="s">
        <v>1304</v>
      </c>
      <c r="C792" t="s">
        <v>1305</v>
      </c>
      <c r="D792" s="12">
        <v>46303</v>
      </c>
      <c r="E792" s="11">
        <v>42</v>
      </c>
      <c r="F792" s="11" t="s">
        <v>5906</v>
      </c>
      <c r="G792">
        <v>20260701</v>
      </c>
      <c r="I792" s="11" t="s">
        <v>63</v>
      </c>
      <c r="J792" s="72">
        <v>633781</v>
      </c>
      <c r="K792" s="99">
        <f>_xlfn.XLOOKUP(_2__ROI_Daily_Update[[#This Row],[CSM id]],SHP!F:F,SHP!EE:EE,"-")</f>
        <v>0</v>
      </c>
      <c r="L792" s="12"/>
      <c r="N792" s="11"/>
      <c r="P792"/>
      <c r="Q792"/>
      <c r="W792" s="28"/>
      <c r="AA792"/>
    </row>
    <row r="793" spans="1:27" x14ac:dyDescent="0.45">
      <c r="A793" s="57">
        <v>1043</v>
      </c>
      <c r="B793" t="s">
        <v>1308</v>
      </c>
      <c r="C793" t="s">
        <v>1309</v>
      </c>
      <c r="D793" s="12">
        <v>46303</v>
      </c>
      <c r="E793" s="11">
        <v>42</v>
      </c>
      <c r="F793" s="11" t="s">
        <v>5910</v>
      </c>
      <c r="G793">
        <v>20241001</v>
      </c>
      <c r="I793" s="11" t="s">
        <v>63</v>
      </c>
      <c r="J793" s="72">
        <v>20565333</v>
      </c>
      <c r="K793" s="99">
        <f>_xlfn.XLOOKUP(_2__ROI_Daily_Update[[#This Row],[CSM id]],SHP!F:F,SHP!EE:EE,"-")</f>
        <v>0</v>
      </c>
      <c r="L793" s="12"/>
      <c r="N793" s="11"/>
      <c r="P793"/>
      <c r="Q793"/>
      <c r="W793" s="28"/>
      <c r="AA793"/>
    </row>
    <row r="794" spans="1:27" x14ac:dyDescent="0.45">
      <c r="A794" s="57">
        <v>1043</v>
      </c>
      <c r="B794" t="s">
        <v>1312</v>
      </c>
      <c r="C794" t="s">
        <v>1313</v>
      </c>
      <c r="D794" s="12">
        <v>46303</v>
      </c>
      <c r="E794" s="11">
        <v>24</v>
      </c>
      <c r="F794" s="11" t="s">
        <v>5910</v>
      </c>
      <c r="G794">
        <v>20221001</v>
      </c>
      <c r="I794" s="11" t="s">
        <v>63</v>
      </c>
      <c r="J794" s="72">
        <v>50527896</v>
      </c>
      <c r="K794" s="99">
        <f>_xlfn.XLOOKUP(_2__ROI_Daily_Update[[#This Row],[CSM id]],SHP!F:F,SHP!EE:EE,"-")</f>
        <v>0</v>
      </c>
      <c r="L794" s="12"/>
      <c r="N794" s="11"/>
      <c r="P794"/>
      <c r="Q794"/>
      <c r="W794" s="28"/>
      <c r="AA794"/>
    </row>
    <row r="795" spans="1:27" x14ac:dyDescent="0.45">
      <c r="A795" s="57">
        <v>983</v>
      </c>
      <c r="B795" t="s">
        <v>968</v>
      </c>
      <c r="C795" t="s">
        <v>969</v>
      </c>
      <c r="D795" s="12">
        <v>46303</v>
      </c>
      <c r="E795" s="11">
        <v>56</v>
      </c>
      <c r="F795" s="11" t="s">
        <v>5409</v>
      </c>
      <c r="G795">
        <v>20141201</v>
      </c>
      <c r="I795" s="11" t="s">
        <v>63</v>
      </c>
      <c r="J795" s="72">
        <v>10158189</v>
      </c>
      <c r="K795" s="99">
        <f>_xlfn.XLOOKUP(_2__ROI_Daily_Update[[#This Row],[CSM id]],SHP!F:F,SHP!EE:EE,"-")</f>
        <v>0</v>
      </c>
      <c r="L795" s="12"/>
      <c r="N795" s="11"/>
      <c r="P795"/>
      <c r="Q795"/>
      <c r="W795" s="28"/>
      <c r="AA795"/>
    </row>
    <row r="796" spans="1:27" x14ac:dyDescent="0.45">
      <c r="A796" s="57">
        <v>511</v>
      </c>
      <c r="B796" t="s">
        <v>410</v>
      </c>
      <c r="C796" t="s">
        <v>411</v>
      </c>
      <c r="D796" s="12">
        <v>46303</v>
      </c>
      <c r="E796" s="11">
        <v>12</v>
      </c>
      <c r="F796" s="11" t="s">
        <v>5909</v>
      </c>
      <c r="G796">
        <v>20231001</v>
      </c>
      <c r="I796" s="11" t="s">
        <v>32</v>
      </c>
      <c r="J796" s="72">
        <v>70568635</v>
      </c>
      <c r="K796" s="99">
        <f>_xlfn.XLOOKUP(_2__ROI_Daily_Update[[#This Row],[CSM id]],SHP!F:F,SHP!EE:EE,"-")</f>
        <v>0</v>
      </c>
      <c r="L796" s="12"/>
      <c r="N796" s="11"/>
      <c r="P796"/>
      <c r="Q796"/>
      <c r="W796" s="28"/>
      <c r="AA796"/>
    </row>
    <row r="797" spans="1:27" x14ac:dyDescent="0.45">
      <c r="A797" s="57">
        <v>511</v>
      </c>
      <c r="B797" t="s">
        <v>48</v>
      </c>
      <c r="C797" t="s">
        <v>49</v>
      </c>
      <c r="D797" s="12">
        <v>46303</v>
      </c>
      <c r="E797" s="11">
        <v>13</v>
      </c>
      <c r="F797" s="11" t="s">
        <v>5909</v>
      </c>
      <c r="G797">
        <v>20211001</v>
      </c>
      <c r="I797" s="11" t="s">
        <v>32</v>
      </c>
      <c r="J797" s="72">
        <v>80480859</v>
      </c>
      <c r="K797" s="99">
        <f>_xlfn.XLOOKUP(_2__ROI_Daily_Update[[#This Row],[CSM id]],SHP!F:F,SHP!EE:EE,"-")</f>
        <v>0</v>
      </c>
      <c r="L797" s="12"/>
      <c r="N797" s="11"/>
      <c r="P797"/>
      <c r="Q797"/>
      <c r="W797" s="28"/>
      <c r="AA797"/>
    </row>
    <row r="798" spans="1:27" x14ac:dyDescent="0.45">
      <c r="A798" s="57">
        <v>1511</v>
      </c>
      <c r="B798" t="s">
        <v>2540</v>
      </c>
      <c r="C798" t="s">
        <v>2541</v>
      </c>
      <c r="D798" s="12">
        <v>46303</v>
      </c>
      <c r="E798" s="11">
        <v>116</v>
      </c>
      <c r="F798" s="11" t="s">
        <v>5404</v>
      </c>
      <c r="G798">
        <v>20261001</v>
      </c>
      <c r="H798" s="12">
        <v>46388</v>
      </c>
      <c r="I798" s="11" t="s">
        <v>63</v>
      </c>
      <c r="J798" s="72">
        <v>20633723</v>
      </c>
      <c r="K798" s="99">
        <f>_xlfn.XLOOKUP(_2__ROI_Daily_Update[[#This Row],[CSM id]],SHP!F:F,SHP!EE:EE,"-")</f>
        <v>0</v>
      </c>
      <c r="L798" s="12"/>
      <c r="N798" s="11"/>
      <c r="P798"/>
      <c r="Q798"/>
      <c r="W798" s="28"/>
      <c r="AA798"/>
    </row>
    <row r="799" spans="1:27" x14ac:dyDescent="0.45">
      <c r="A799" s="57">
        <v>1511</v>
      </c>
      <c r="B799" t="s">
        <v>2538</v>
      </c>
      <c r="C799" t="s">
        <v>2539</v>
      </c>
      <c r="D799" s="12">
        <v>46303</v>
      </c>
      <c r="E799" s="11">
        <v>10</v>
      </c>
      <c r="F799" s="11" t="s">
        <v>5404</v>
      </c>
      <c r="G799">
        <v>20260401</v>
      </c>
      <c r="H799" s="12">
        <v>46478</v>
      </c>
      <c r="I799" s="11" t="s">
        <v>63</v>
      </c>
      <c r="J799" s="72">
        <v>20614296</v>
      </c>
      <c r="K799" s="99">
        <f>_xlfn.XLOOKUP(_2__ROI_Daily_Update[[#This Row],[CSM id]],SHP!F:F,SHP!EE:EE,"-")</f>
        <v>0</v>
      </c>
      <c r="L799" s="12"/>
      <c r="N799" s="11"/>
      <c r="P799"/>
      <c r="Q799"/>
      <c r="W799" s="28"/>
      <c r="AA799"/>
    </row>
    <row r="800" spans="1:27" x14ac:dyDescent="0.45">
      <c r="A800" s="57">
        <v>1811</v>
      </c>
      <c r="B800" t="s">
        <v>3354</v>
      </c>
      <c r="C800" t="s">
        <v>3355</v>
      </c>
      <c r="D800" s="12">
        <v>46303</v>
      </c>
      <c r="E800" s="11">
        <v>372</v>
      </c>
      <c r="F800" s="11" t="s">
        <v>5908</v>
      </c>
      <c r="G800">
        <v>20261001</v>
      </c>
      <c r="I800" s="11" t="s">
        <v>63</v>
      </c>
      <c r="J800" s="72">
        <v>80467061</v>
      </c>
      <c r="K800" s="99">
        <f>_xlfn.XLOOKUP(_2__ROI_Daily_Update[[#This Row],[CSM id]],SHP!F:F,SHP!EE:EE,"-")</f>
        <v>0</v>
      </c>
      <c r="L800" s="12"/>
      <c r="N800" s="11"/>
      <c r="P800"/>
      <c r="Q800"/>
      <c r="W800" s="28"/>
      <c r="AA800"/>
    </row>
    <row r="801" spans="1:27" x14ac:dyDescent="0.45">
      <c r="A801" s="57">
        <v>612</v>
      </c>
      <c r="B801" t="s">
        <v>500</v>
      </c>
      <c r="C801" t="s">
        <v>501</v>
      </c>
      <c r="D801" s="12">
        <v>46303</v>
      </c>
      <c r="E801" s="11">
        <v>240</v>
      </c>
      <c r="F801" s="11" t="s">
        <v>5909</v>
      </c>
      <c r="G801">
        <v>20250401</v>
      </c>
      <c r="I801" s="11" t="s">
        <v>18</v>
      </c>
      <c r="J801" s="72">
        <v>50574430</v>
      </c>
      <c r="K801" s="99">
        <f>_xlfn.XLOOKUP(_2__ROI_Daily_Update[[#This Row],[CSM id]],SHP!F:F,SHP!EE:EE,"-")</f>
        <v>0</v>
      </c>
      <c r="L801" s="12"/>
      <c r="N801" s="11"/>
      <c r="P801"/>
      <c r="Q801"/>
      <c r="W801" s="28"/>
      <c r="AA801"/>
    </row>
    <row r="802" spans="1:27" x14ac:dyDescent="0.45">
      <c r="A802" s="57">
        <v>1831</v>
      </c>
      <c r="B802" t="s">
        <v>3606</v>
      </c>
      <c r="C802" t="s">
        <v>3607</v>
      </c>
      <c r="D802" s="12">
        <v>46303</v>
      </c>
      <c r="E802" s="11">
        <v>48</v>
      </c>
      <c r="F802" s="11" t="s">
        <v>5910</v>
      </c>
      <c r="G802">
        <v>20260401</v>
      </c>
      <c r="I802" s="11" t="s">
        <v>63</v>
      </c>
      <c r="J802" s="72">
        <v>90621528</v>
      </c>
      <c r="K802" s="99">
        <f>_xlfn.XLOOKUP(_2__ROI_Daily_Update[[#This Row],[CSM id]],SHP!F:F,SHP!EE:EE,"-")</f>
        <v>0</v>
      </c>
      <c r="L802" s="12"/>
      <c r="N802" s="11"/>
      <c r="P802"/>
      <c r="Q802"/>
      <c r="W802" s="28"/>
      <c r="AA802"/>
    </row>
    <row r="803" spans="1:27" x14ac:dyDescent="0.45">
      <c r="A803" s="57">
        <v>1043</v>
      </c>
      <c r="B803" t="s">
        <v>1314</v>
      </c>
      <c r="C803" t="s">
        <v>1315</v>
      </c>
      <c r="D803" s="12">
        <v>46303</v>
      </c>
      <c r="E803" s="11">
        <v>16</v>
      </c>
      <c r="F803" s="11" t="s">
        <v>5910</v>
      </c>
      <c r="G803">
        <v>20240701</v>
      </c>
      <c r="I803" s="11" t="s">
        <v>63</v>
      </c>
      <c r="J803" s="72">
        <v>60565369</v>
      </c>
      <c r="K803" s="99">
        <f>_xlfn.XLOOKUP(_2__ROI_Daily_Update[[#This Row],[CSM id]],SHP!F:F,SHP!EE:EE,"-")</f>
        <v>0</v>
      </c>
      <c r="L803" s="12"/>
      <c r="N803" s="11"/>
      <c r="P803"/>
      <c r="Q803"/>
      <c r="W803" s="28"/>
      <c r="AA803"/>
    </row>
    <row r="804" spans="1:27" x14ac:dyDescent="0.45">
      <c r="A804" s="57">
        <v>433</v>
      </c>
      <c r="B804" t="s">
        <v>471</v>
      </c>
      <c r="C804" t="s">
        <v>472</v>
      </c>
      <c r="D804" s="12">
        <v>46303</v>
      </c>
      <c r="E804" s="11">
        <v>26</v>
      </c>
      <c r="F804" s="11" t="s">
        <v>5909</v>
      </c>
      <c r="G804">
        <v>20180801</v>
      </c>
      <c r="I804" s="11" t="s">
        <v>18</v>
      </c>
      <c r="J804" s="72">
        <v>80396243</v>
      </c>
      <c r="K804" s="99">
        <f>_xlfn.XLOOKUP(_2__ROI_Daily_Update[[#This Row],[CSM id]],SHP!F:F,SHP!EE:EE,"-")</f>
        <v>0</v>
      </c>
      <c r="L804" s="12"/>
      <c r="N804" s="11"/>
      <c r="P804"/>
      <c r="Q804"/>
      <c r="W804" s="28"/>
      <c r="AA804"/>
    </row>
    <row r="805" spans="1:27" x14ac:dyDescent="0.45">
      <c r="A805" s="57">
        <v>433</v>
      </c>
      <c r="B805" t="s">
        <v>473</v>
      </c>
      <c r="C805" t="s">
        <v>474</v>
      </c>
      <c r="D805" s="12">
        <v>46303</v>
      </c>
      <c r="E805" s="11">
        <v>25</v>
      </c>
      <c r="F805" s="11" t="s">
        <v>5909</v>
      </c>
      <c r="G805">
        <v>20240401</v>
      </c>
      <c r="I805" s="11" t="s">
        <v>18</v>
      </c>
      <c r="J805" s="72">
        <v>80558216</v>
      </c>
      <c r="K805" s="99">
        <f>_xlfn.XLOOKUP(_2__ROI_Daily_Update[[#This Row],[CSM id]],SHP!F:F,SHP!EE:EE,"-")</f>
        <v>0</v>
      </c>
      <c r="L805" s="12"/>
      <c r="N805" s="11"/>
      <c r="P805"/>
      <c r="Q805"/>
      <c r="W805" s="28"/>
      <c r="AA805"/>
    </row>
    <row r="806" spans="1:27" x14ac:dyDescent="0.45">
      <c r="A806" s="57">
        <v>423</v>
      </c>
      <c r="B806" t="s">
        <v>443</v>
      </c>
      <c r="C806" t="s">
        <v>444</v>
      </c>
      <c r="D806" s="12">
        <v>46303</v>
      </c>
      <c r="E806" s="11">
        <v>76</v>
      </c>
      <c r="F806" s="11" t="s">
        <v>5908</v>
      </c>
      <c r="G806">
        <v>20170401</v>
      </c>
      <c r="H806" s="12">
        <v>46388</v>
      </c>
      <c r="I806" s="11" t="s">
        <v>63</v>
      </c>
      <c r="J806" s="72">
        <v>10339331</v>
      </c>
      <c r="K806" s="99">
        <f>_xlfn.XLOOKUP(_2__ROI_Daily_Update[[#This Row],[CSM id]],SHP!F:F,SHP!EE:EE,"-")</f>
        <v>0</v>
      </c>
      <c r="L806" s="12"/>
      <c r="N806" s="11"/>
      <c r="P806"/>
      <c r="Q806"/>
      <c r="W806" s="28"/>
      <c r="AA806"/>
    </row>
    <row r="807" spans="1:27" x14ac:dyDescent="0.45">
      <c r="A807" s="57">
        <v>424</v>
      </c>
      <c r="B807" t="s">
        <v>449</v>
      </c>
      <c r="C807" t="s">
        <v>450</v>
      </c>
      <c r="D807" s="12">
        <v>46303</v>
      </c>
      <c r="E807" s="11">
        <v>52</v>
      </c>
      <c r="F807" s="11" t="s">
        <v>5909</v>
      </c>
      <c r="G807">
        <v>20190801</v>
      </c>
      <c r="I807" s="11" t="s">
        <v>18</v>
      </c>
      <c r="J807" s="72">
        <v>70431303</v>
      </c>
      <c r="K807" s="99">
        <f>_xlfn.XLOOKUP(_2__ROI_Daily_Update[[#This Row],[CSM id]],SHP!F:F,SHP!EE:EE,"-")</f>
        <v>0</v>
      </c>
      <c r="L807" s="12"/>
      <c r="N807" s="11"/>
      <c r="P807"/>
      <c r="Q807"/>
      <c r="W807" s="28"/>
      <c r="AA807"/>
    </row>
    <row r="808" spans="1:27" x14ac:dyDescent="0.45">
      <c r="A808" s="57">
        <v>1022</v>
      </c>
      <c r="B808" t="s">
        <v>1252</v>
      </c>
      <c r="C808" t="s">
        <v>1253</v>
      </c>
      <c r="D808" s="12">
        <v>46303</v>
      </c>
      <c r="E808" s="11">
        <v>8</v>
      </c>
      <c r="F808" s="11" t="s">
        <v>5910</v>
      </c>
      <c r="G808">
        <v>20260701</v>
      </c>
      <c r="I808" s="11" t="s">
        <v>63</v>
      </c>
      <c r="J808" s="72">
        <v>70605275</v>
      </c>
      <c r="K808" s="99">
        <f>_xlfn.XLOOKUP(_2__ROI_Daily_Update[[#This Row],[CSM id]],SHP!F:F,SHP!EE:EE,"-")</f>
        <v>0</v>
      </c>
      <c r="L808" s="12"/>
      <c r="N808" s="11"/>
      <c r="P808"/>
      <c r="Q808"/>
      <c r="W808" s="28"/>
      <c r="AA808"/>
    </row>
    <row r="809" spans="1:27" x14ac:dyDescent="0.45">
      <c r="A809" s="57">
        <v>1023</v>
      </c>
      <c r="B809" t="s">
        <v>1262</v>
      </c>
      <c r="C809" t="s">
        <v>1263</v>
      </c>
      <c r="D809" s="12">
        <v>46303</v>
      </c>
      <c r="E809" s="11">
        <v>44</v>
      </c>
      <c r="F809" s="11" t="s">
        <v>5905</v>
      </c>
      <c r="G809">
        <v>20230401</v>
      </c>
      <c r="I809" s="11" t="s">
        <v>63</v>
      </c>
      <c r="J809" s="72">
        <v>70551499</v>
      </c>
      <c r="K809" s="99">
        <f>_xlfn.XLOOKUP(_2__ROI_Daily_Update[[#This Row],[CSM id]],SHP!F:F,SHP!EE:EE,"-")</f>
        <v>0</v>
      </c>
      <c r="L809" s="12"/>
      <c r="N809" s="11"/>
      <c r="P809"/>
      <c r="Q809"/>
      <c r="W809" s="28"/>
      <c r="AA809"/>
    </row>
    <row r="810" spans="1:27" x14ac:dyDescent="0.45">
      <c r="A810" s="57">
        <v>1811</v>
      </c>
      <c r="B810" t="s">
        <v>3311</v>
      </c>
      <c r="C810" t="s">
        <v>3312</v>
      </c>
      <c r="D810" s="12">
        <v>46303</v>
      </c>
      <c r="E810" s="11">
        <v>40</v>
      </c>
      <c r="F810" s="11" t="s">
        <v>5908</v>
      </c>
      <c r="G810">
        <v>20150401</v>
      </c>
      <c r="I810" s="11" t="s">
        <v>63</v>
      </c>
      <c r="J810" s="72">
        <v>10307556</v>
      </c>
      <c r="K810" s="99">
        <f>_xlfn.XLOOKUP(_2__ROI_Daily_Update[[#This Row],[CSM id]],SHP!F:F,SHP!EE:EE,"-")</f>
        <v>0</v>
      </c>
      <c r="L810" s="12"/>
      <c r="N810" s="11"/>
      <c r="P810"/>
      <c r="Q810"/>
      <c r="W810" s="28"/>
      <c r="AA810"/>
    </row>
    <row r="811" spans="1:27" x14ac:dyDescent="0.45">
      <c r="A811" s="57">
        <v>983</v>
      </c>
      <c r="B811" t="s">
        <v>982</v>
      </c>
      <c r="C811" t="s">
        <v>983</v>
      </c>
      <c r="D811" s="12">
        <v>46303</v>
      </c>
      <c r="E811" s="11">
        <v>510</v>
      </c>
      <c r="F811" s="11" t="s">
        <v>5264</v>
      </c>
      <c r="G811">
        <v>20180601</v>
      </c>
      <c r="I811" s="11" t="s">
        <v>18</v>
      </c>
      <c r="J811" s="72">
        <v>40378670</v>
      </c>
      <c r="K811" s="99">
        <f>_xlfn.XLOOKUP(_2__ROI_Daily_Update[[#This Row],[CSM id]],SHP!F:F,SHP!EE:EE,"-")</f>
        <v>0</v>
      </c>
      <c r="L811" s="12"/>
      <c r="N811" s="11"/>
      <c r="P811"/>
      <c r="Q811"/>
      <c r="W811" s="28"/>
      <c r="AA811"/>
    </row>
    <row r="812" spans="1:27" x14ac:dyDescent="0.45">
      <c r="A812" s="57">
        <v>1511</v>
      </c>
      <c r="B812" t="s">
        <v>2610</v>
      </c>
      <c r="C812" t="s">
        <v>2611</v>
      </c>
      <c r="D812" s="12">
        <v>46303</v>
      </c>
      <c r="E812" s="11">
        <v>168</v>
      </c>
      <c r="F812" s="11" t="s">
        <v>5409</v>
      </c>
      <c r="G812">
        <v>20251001</v>
      </c>
      <c r="I812" s="11" t="s">
        <v>63</v>
      </c>
      <c r="J812" s="72">
        <v>70607811</v>
      </c>
      <c r="K812" s="99">
        <f>_xlfn.XLOOKUP(_2__ROI_Daily_Update[[#This Row],[CSM id]],SHP!F:F,SHP!EE:EE,"-")</f>
        <v>0</v>
      </c>
      <c r="L812" s="12"/>
      <c r="N812" s="11"/>
      <c r="P812"/>
      <c r="Q812"/>
      <c r="W812" s="28"/>
      <c r="AA812"/>
    </row>
    <row r="813" spans="1:27" x14ac:dyDescent="0.45">
      <c r="A813" s="57">
        <v>424</v>
      </c>
      <c r="B813" t="s">
        <v>356</v>
      </c>
      <c r="C813" t="s">
        <v>357</v>
      </c>
      <c r="D813" s="12">
        <v>46303</v>
      </c>
      <c r="E813" s="11">
        <v>46</v>
      </c>
      <c r="F813" s="11" t="s">
        <v>5909</v>
      </c>
      <c r="G813">
        <v>20190601</v>
      </c>
      <c r="I813" s="11" t="s">
        <v>18</v>
      </c>
      <c r="J813" s="72">
        <v>70431317</v>
      </c>
      <c r="K813" s="99">
        <f>_xlfn.XLOOKUP(_2__ROI_Daily_Update[[#This Row],[CSM id]],SHP!F:F,SHP!EE:EE,"-")</f>
        <v>0</v>
      </c>
      <c r="L813" s="12"/>
      <c r="N813" s="11"/>
      <c r="P813"/>
      <c r="Q813"/>
      <c r="W813" s="28"/>
      <c r="AA813"/>
    </row>
    <row r="814" spans="1:27" x14ac:dyDescent="0.45">
      <c r="A814" s="57">
        <v>424</v>
      </c>
      <c r="B814" t="s">
        <v>354</v>
      </c>
      <c r="C814" t="s">
        <v>355</v>
      </c>
      <c r="D814" s="12">
        <v>46303</v>
      </c>
      <c r="E814" s="11">
        <v>78</v>
      </c>
      <c r="F814" s="11" t="s">
        <v>5909</v>
      </c>
      <c r="G814">
        <v>20190801</v>
      </c>
      <c r="I814" s="11" t="s">
        <v>18</v>
      </c>
      <c r="J814" s="72">
        <v>60431327</v>
      </c>
      <c r="K814" s="99">
        <f>_xlfn.XLOOKUP(_2__ROI_Daily_Update[[#This Row],[CSM id]],SHP!F:F,SHP!EE:EE,"-")</f>
        <v>0</v>
      </c>
      <c r="L814" s="12"/>
      <c r="N814" s="11"/>
      <c r="P814"/>
      <c r="Q814"/>
      <c r="W814" s="28"/>
      <c r="AA814"/>
    </row>
    <row r="815" spans="1:27" x14ac:dyDescent="0.45">
      <c r="A815" s="57">
        <v>1511</v>
      </c>
      <c r="B815" t="s">
        <v>2608</v>
      </c>
      <c r="C815" t="s">
        <v>2609</v>
      </c>
      <c r="D815" s="12">
        <v>46303</v>
      </c>
      <c r="E815" s="11">
        <v>289</v>
      </c>
      <c r="F815" s="11" t="s">
        <v>5409</v>
      </c>
      <c r="G815">
        <v>20251001</v>
      </c>
      <c r="I815" s="11" t="s">
        <v>63</v>
      </c>
      <c r="J815" s="72">
        <v>70607806</v>
      </c>
      <c r="K815" s="99">
        <f>_xlfn.XLOOKUP(_2__ROI_Daily_Update[[#This Row],[CSM id]],SHP!F:F,SHP!EE:EE,"-")</f>
        <v>0</v>
      </c>
      <c r="L815" s="12"/>
      <c r="N815" s="11"/>
      <c r="P815"/>
      <c r="Q815"/>
      <c r="W815" s="28"/>
      <c r="AA815"/>
    </row>
    <row r="816" spans="1:27" x14ac:dyDescent="0.45">
      <c r="A816" s="57">
        <v>1024</v>
      </c>
      <c r="B816" t="s">
        <v>1266</v>
      </c>
      <c r="C816" t="s">
        <v>1267</v>
      </c>
      <c r="D816" s="12">
        <v>46303</v>
      </c>
      <c r="E816" s="11">
        <v>108</v>
      </c>
      <c r="F816" s="11" t="s">
        <v>5906</v>
      </c>
      <c r="G816">
        <v>20260401</v>
      </c>
      <c r="I816" s="11" t="s">
        <v>63</v>
      </c>
      <c r="J816" s="72">
        <v>50624741</v>
      </c>
      <c r="K816" s="99">
        <f>_xlfn.XLOOKUP(_2__ROI_Daily_Update[[#This Row],[CSM id]],SHP!F:F,SHP!EE:EE,"-")</f>
        <v>0</v>
      </c>
      <c r="L816" s="12"/>
      <c r="N816" s="11"/>
      <c r="P816"/>
      <c r="Q816"/>
      <c r="W816" s="28"/>
      <c r="AA816"/>
    </row>
    <row r="817" spans="1:27" x14ac:dyDescent="0.45">
      <c r="A817" s="57">
        <v>1511</v>
      </c>
      <c r="B817" t="s">
        <v>2566</v>
      </c>
      <c r="C817" t="s">
        <v>2567</v>
      </c>
      <c r="D817" s="12">
        <v>46303</v>
      </c>
      <c r="E817" s="11">
        <v>319</v>
      </c>
      <c r="F817" s="11" t="s">
        <v>5404</v>
      </c>
      <c r="G817">
        <v>20150401</v>
      </c>
      <c r="H817" s="12">
        <v>46478</v>
      </c>
      <c r="I817" s="11" t="s">
        <v>63</v>
      </c>
      <c r="J817" s="72">
        <v>50258945</v>
      </c>
      <c r="K817" s="99">
        <f>_xlfn.XLOOKUP(_2__ROI_Daily_Update[[#This Row],[CSM id]],SHP!F:F,SHP!EE:EE,"-")</f>
        <v>0</v>
      </c>
      <c r="L817" s="12"/>
      <c r="N817" s="11"/>
      <c r="P817"/>
      <c r="Q817"/>
      <c r="W817" s="28"/>
      <c r="AA817"/>
    </row>
    <row r="818" spans="1:27" x14ac:dyDescent="0.45">
      <c r="A818" s="57">
        <v>1024</v>
      </c>
      <c r="B818" t="s">
        <v>1268</v>
      </c>
      <c r="C818" t="s">
        <v>1269</v>
      </c>
      <c r="D818" s="12">
        <v>46303</v>
      </c>
      <c r="E818" s="11">
        <v>12</v>
      </c>
      <c r="F818" s="11" t="s">
        <v>5905</v>
      </c>
      <c r="G818">
        <v>20230101</v>
      </c>
      <c r="H818" s="12">
        <v>46569</v>
      </c>
      <c r="I818" s="11" t="s">
        <v>63</v>
      </c>
      <c r="J818" s="72">
        <v>70503413</v>
      </c>
      <c r="K818" s="99">
        <f>_xlfn.XLOOKUP(_2__ROI_Daily_Update[[#This Row],[CSM id]],SHP!F:F,SHP!EE:EE,"-")</f>
        <v>0</v>
      </c>
      <c r="L818" s="12"/>
      <c r="N818" s="11"/>
      <c r="P818"/>
      <c r="Q818"/>
      <c r="W818" s="28"/>
      <c r="AA818"/>
    </row>
    <row r="819" spans="1:27" x14ac:dyDescent="0.45">
      <c r="A819" s="57">
        <v>1031</v>
      </c>
      <c r="B819" t="s">
        <v>1272</v>
      </c>
      <c r="C819" t="s">
        <v>1273</v>
      </c>
      <c r="D819" s="12">
        <v>46303</v>
      </c>
      <c r="E819" s="11">
        <v>96</v>
      </c>
      <c r="F819" s="11" t="s">
        <v>5910</v>
      </c>
      <c r="G819">
        <v>20260401</v>
      </c>
      <c r="I819" s="11" t="s">
        <v>63</v>
      </c>
      <c r="J819" s="72">
        <v>619011</v>
      </c>
      <c r="K819" s="99">
        <f>_xlfn.XLOOKUP(_2__ROI_Daily_Update[[#This Row],[CSM id]],SHP!F:F,SHP!EE:EE,"-")</f>
        <v>0</v>
      </c>
      <c r="L819" s="12"/>
      <c r="N819" s="11"/>
      <c r="P819"/>
      <c r="Q819"/>
      <c r="W819" s="28"/>
      <c r="AA819"/>
    </row>
    <row r="820" spans="1:27" x14ac:dyDescent="0.45">
      <c r="A820" s="57">
        <v>1511</v>
      </c>
      <c r="B820" t="s">
        <v>2600</v>
      </c>
      <c r="C820" t="s">
        <v>2601</v>
      </c>
      <c r="D820" s="12">
        <v>46303</v>
      </c>
      <c r="E820" s="11">
        <v>210</v>
      </c>
      <c r="F820" s="11" t="s">
        <v>5409</v>
      </c>
      <c r="G820">
        <v>20241001</v>
      </c>
      <c r="I820" s="11" t="s">
        <v>63</v>
      </c>
      <c r="J820" s="72">
        <v>70581496</v>
      </c>
      <c r="K820" s="99">
        <f>_xlfn.XLOOKUP(_2__ROI_Daily_Update[[#This Row],[CSM id]],SHP!F:F,SHP!EE:EE,"-")</f>
        <v>0</v>
      </c>
      <c r="L820" s="12"/>
      <c r="N820" s="11"/>
      <c r="P820"/>
      <c r="Q820"/>
      <c r="W820" s="28"/>
      <c r="AA820"/>
    </row>
    <row r="821" spans="1:27" x14ac:dyDescent="0.45">
      <c r="A821" s="57">
        <v>1511</v>
      </c>
      <c r="B821" t="s">
        <v>2598</v>
      </c>
      <c r="C821" t="s">
        <v>2599</v>
      </c>
      <c r="D821" s="12">
        <v>46303</v>
      </c>
      <c r="E821" s="11">
        <v>78</v>
      </c>
      <c r="F821" s="11" t="s">
        <v>5404</v>
      </c>
      <c r="G821">
        <v>20261001</v>
      </c>
      <c r="I821" s="11" t="s">
        <v>63</v>
      </c>
      <c r="J821" s="72">
        <v>60636545</v>
      </c>
      <c r="K821" s="99">
        <f>_xlfn.XLOOKUP(_2__ROI_Daily_Update[[#This Row],[CSM id]],SHP!F:F,SHP!EE:EE,"-")</f>
        <v>0</v>
      </c>
      <c r="L821" s="12"/>
      <c r="N821" s="11"/>
      <c r="P821"/>
      <c r="Q821"/>
      <c r="W821" s="28"/>
      <c r="AA821"/>
    </row>
    <row r="822" spans="1:27" x14ac:dyDescent="0.45">
      <c r="A822" s="57">
        <v>1511</v>
      </c>
      <c r="B822" t="s">
        <v>2596</v>
      </c>
      <c r="C822" t="s">
        <v>2597</v>
      </c>
      <c r="D822" s="12">
        <v>46303</v>
      </c>
      <c r="E822" s="11">
        <v>72</v>
      </c>
      <c r="F822" s="11" t="s">
        <v>5404</v>
      </c>
      <c r="G822">
        <v>20261001</v>
      </c>
      <c r="H822" s="12">
        <v>46388</v>
      </c>
      <c r="I822" s="11" t="s">
        <v>63</v>
      </c>
      <c r="J822" s="72">
        <v>60633721</v>
      </c>
      <c r="K822" s="99">
        <f>_xlfn.XLOOKUP(_2__ROI_Daily_Update[[#This Row],[CSM id]],SHP!F:F,SHP!EE:EE,"-")</f>
        <v>0</v>
      </c>
      <c r="L822" s="12"/>
      <c r="N822" s="11"/>
      <c r="P822"/>
      <c r="Q822"/>
      <c r="W822" s="28"/>
      <c r="AA822"/>
    </row>
    <row r="823" spans="1:27" x14ac:dyDescent="0.45">
      <c r="A823" s="57">
        <v>1031</v>
      </c>
      <c r="B823" t="s">
        <v>1274</v>
      </c>
      <c r="C823" t="s">
        <v>1275</v>
      </c>
      <c r="D823" s="12">
        <v>46303</v>
      </c>
      <c r="E823" s="11">
        <v>12</v>
      </c>
      <c r="F823" s="11" t="s">
        <v>5906</v>
      </c>
      <c r="G823">
        <v>20230701</v>
      </c>
      <c r="I823" s="11" t="s">
        <v>63</v>
      </c>
      <c r="J823" s="72">
        <v>10540461</v>
      </c>
      <c r="K823" s="99">
        <f>_xlfn.XLOOKUP(_2__ROI_Daily_Update[[#This Row],[CSM id]],SHP!F:F,SHP!EE:EE,"-")</f>
        <v>0</v>
      </c>
      <c r="L823" s="12"/>
      <c r="N823" s="11"/>
      <c r="P823"/>
      <c r="Q823"/>
      <c r="W823" s="28"/>
      <c r="AA823"/>
    </row>
    <row r="824" spans="1:27" x14ac:dyDescent="0.45">
      <c r="A824" s="57">
        <v>1031</v>
      </c>
      <c r="B824" t="s">
        <v>1276</v>
      </c>
      <c r="C824" t="s">
        <v>1277</v>
      </c>
      <c r="D824" s="12">
        <v>46303</v>
      </c>
      <c r="E824" s="11">
        <v>120</v>
      </c>
      <c r="F824" s="11" t="s">
        <v>5906</v>
      </c>
      <c r="G824">
        <v>20240101</v>
      </c>
      <c r="H824" s="12">
        <v>46569</v>
      </c>
      <c r="I824" s="11" t="s">
        <v>63</v>
      </c>
      <c r="J824" s="72">
        <v>10548424</v>
      </c>
      <c r="K824" s="99">
        <f>_xlfn.XLOOKUP(_2__ROI_Daily_Update[[#This Row],[CSM id]],SHP!F:F,SHP!EE:EE,"-")</f>
        <v>0</v>
      </c>
      <c r="L824" s="12"/>
      <c r="N824" s="11"/>
      <c r="P824"/>
      <c r="Q824"/>
      <c r="W824" s="28"/>
      <c r="AA824"/>
    </row>
    <row r="825" spans="1:27" x14ac:dyDescent="0.45">
      <c r="A825" s="57">
        <v>1811</v>
      </c>
      <c r="B825" t="s">
        <v>3333</v>
      </c>
      <c r="C825" t="s">
        <v>3334</v>
      </c>
      <c r="D825" s="12">
        <v>46303</v>
      </c>
      <c r="E825" s="11">
        <v>24</v>
      </c>
      <c r="F825" s="11" t="s">
        <v>5910</v>
      </c>
      <c r="G825">
        <v>20251001</v>
      </c>
      <c r="I825" s="11" t="s">
        <v>63</v>
      </c>
      <c r="J825" s="72">
        <v>30596956</v>
      </c>
      <c r="K825" s="99">
        <f>_xlfn.XLOOKUP(_2__ROI_Daily_Update[[#This Row],[CSM id]],SHP!F:F,SHP!EE:EE,"-")</f>
        <v>0</v>
      </c>
      <c r="L825" s="12"/>
      <c r="N825" s="11"/>
      <c r="P825"/>
      <c r="Q825"/>
      <c r="W825" s="28"/>
      <c r="AA825"/>
    </row>
    <row r="826" spans="1:27" x14ac:dyDescent="0.45">
      <c r="A826" s="57">
        <v>1511</v>
      </c>
      <c r="B826" t="s">
        <v>2578</v>
      </c>
      <c r="C826" t="s">
        <v>2579</v>
      </c>
      <c r="D826" s="12">
        <v>46303</v>
      </c>
      <c r="E826" s="11">
        <v>1200</v>
      </c>
      <c r="F826" s="11" t="s">
        <v>5264</v>
      </c>
      <c r="G826">
        <v>20141201</v>
      </c>
      <c r="I826" s="11" t="s">
        <v>18</v>
      </c>
      <c r="J826" s="72">
        <v>60258916</v>
      </c>
      <c r="K826" s="99">
        <f>_xlfn.XLOOKUP(_2__ROI_Daily_Update[[#This Row],[CSM id]],SHP!F:F,SHP!EE:EE,"-")</f>
        <v>0</v>
      </c>
      <c r="L826" s="12"/>
      <c r="N826" s="11"/>
      <c r="P826"/>
      <c r="Q826"/>
      <c r="W826" s="28"/>
      <c r="AA826"/>
    </row>
    <row r="827" spans="1:27" x14ac:dyDescent="0.45">
      <c r="A827" s="57">
        <v>1811</v>
      </c>
      <c r="B827" t="s">
        <v>3337</v>
      </c>
      <c r="C827" t="s">
        <v>3338</v>
      </c>
      <c r="D827" s="12">
        <v>46303</v>
      </c>
      <c r="E827" s="11">
        <v>128</v>
      </c>
      <c r="F827" s="11" t="s">
        <v>5912</v>
      </c>
      <c r="G827">
        <v>20160401</v>
      </c>
      <c r="I827" s="11" t="s">
        <v>18</v>
      </c>
      <c r="J827" s="72">
        <v>40322174</v>
      </c>
      <c r="K827" s="99">
        <f>_xlfn.XLOOKUP(_2__ROI_Daily_Update[[#This Row],[CSM id]],SHP!F:F,SHP!EE:EE,"-")</f>
        <v>0</v>
      </c>
      <c r="L827" s="12"/>
      <c r="N827" s="11"/>
      <c r="P827"/>
      <c r="Q827"/>
      <c r="W827" s="28"/>
      <c r="AA827"/>
    </row>
    <row r="828" spans="1:27" x14ac:dyDescent="0.45">
      <c r="A828" s="57">
        <v>1031</v>
      </c>
      <c r="B828" t="s">
        <v>1278</v>
      </c>
      <c r="C828" t="s">
        <v>1279</v>
      </c>
      <c r="D828" s="12">
        <v>46303</v>
      </c>
      <c r="E828" s="11">
        <v>432</v>
      </c>
      <c r="F828" s="11" t="s">
        <v>5906</v>
      </c>
      <c r="G828">
        <v>20250101</v>
      </c>
      <c r="I828" s="11" t="s">
        <v>63</v>
      </c>
      <c r="J828" s="72">
        <v>10583974</v>
      </c>
      <c r="K828" s="99">
        <f>_xlfn.XLOOKUP(_2__ROI_Daily_Update[[#This Row],[CSM id]],SHP!F:F,SHP!EE:EE,"-")</f>
        <v>0</v>
      </c>
      <c r="L828" s="12"/>
      <c r="N828" s="11"/>
      <c r="P828"/>
      <c r="Q828"/>
      <c r="W828" s="28"/>
      <c r="AA828"/>
    </row>
    <row r="829" spans="1:27" x14ac:dyDescent="0.45">
      <c r="A829" s="57">
        <v>1511</v>
      </c>
      <c r="B829" t="s">
        <v>2572</v>
      </c>
      <c r="C829" t="s">
        <v>2573</v>
      </c>
      <c r="D829" s="12">
        <v>46303</v>
      </c>
      <c r="E829" s="11">
        <v>160</v>
      </c>
      <c r="F829" s="11" t="s">
        <v>5409</v>
      </c>
      <c r="G829">
        <v>20251001</v>
      </c>
      <c r="I829" s="11" t="s">
        <v>63</v>
      </c>
      <c r="J829" s="72">
        <v>50607807</v>
      </c>
      <c r="K829" s="99">
        <f>_xlfn.XLOOKUP(_2__ROI_Daily_Update[[#This Row],[CSM id]],SHP!F:F,SHP!EE:EE,"-")</f>
        <v>0</v>
      </c>
      <c r="L829" s="12"/>
      <c r="N829" s="11"/>
      <c r="P829"/>
      <c r="Q829"/>
      <c r="W829" s="28"/>
      <c r="AA829"/>
    </row>
    <row r="830" spans="1:27" x14ac:dyDescent="0.45">
      <c r="A830" s="57">
        <v>1531</v>
      </c>
      <c r="B830" t="s">
        <v>2736</v>
      </c>
      <c r="C830" t="s">
        <v>2737</v>
      </c>
      <c r="D830" s="12">
        <v>46303</v>
      </c>
      <c r="E830" s="11">
        <v>22</v>
      </c>
      <c r="F830" s="11" t="s">
        <v>5409</v>
      </c>
      <c r="G830">
        <v>20241001</v>
      </c>
      <c r="H830" s="12">
        <v>46388</v>
      </c>
      <c r="I830" s="11" t="s">
        <v>63</v>
      </c>
      <c r="J830" s="72">
        <v>40565921</v>
      </c>
      <c r="K830" s="99">
        <f>_xlfn.XLOOKUP(_2__ROI_Daily_Update[[#This Row],[CSM id]],SHP!F:F,SHP!EE:EE,"-")</f>
        <v>0</v>
      </c>
      <c r="L830" s="12"/>
      <c r="N830" s="11"/>
      <c r="P830"/>
      <c r="Q830"/>
      <c r="W830" s="28"/>
      <c r="AA830"/>
    </row>
    <row r="831" spans="1:27" x14ac:dyDescent="0.45">
      <c r="A831" s="57">
        <v>1511</v>
      </c>
      <c r="B831" t="s">
        <v>2618</v>
      </c>
      <c r="C831" t="s">
        <v>2619</v>
      </c>
      <c r="D831" s="12">
        <v>46303</v>
      </c>
      <c r="E831" s="11">
        <v>84</v>
      </c>
      <c r="F831" s="11" t="s">
        <v>5404</v>
      </c>
      <c r="G831">
        <v>20170401</v>
      </c>
      <c r="I831" s="11" t="s">
        <v>63</v>
      </c>
      <c r="J831" s="72">
        <v>80319018</v>
      </c>
      <c r="K831" s="99">
        <f>_xlfn.XLOOKUP(_2__ROI_Daily_Update[[#This Row],[CSM id]],SHP!F:F,SHP!EE:EE,"-")</f>
        <v>0</v>
      </c>
      <c r="L831" s="12"/>
      <c r="N831" s="11"/>
      <c r="P831"/>
      <c r="Q831"/>
      <c r="W831" s="28"/>
      <c r="AA831"/>
    </row>
    <row r="832" spans="1:27" x14ac:dyDescent="0.45">
      <c r="A832" s="57">
        <v>1043</v>
      </c>
      <c r="B832" t="s">
        <v>1318</v>
      </c>
      <c r="C832" t="s">
        <v>1319</v>
      </c>
      <c r="D832" s="12">
        <v>46303</v>
      </c>
      <c r="E832" s="11">
        <v>24</v>
      </c>
      <c r="F832" s="11" t="s">
        <v>5910</v>
      </c>
      <c r="G832">
        <v>20221001</v>
      </c>
      <c r="I832" s="11" t="s">
        <v>63</v>
      </c>
      <c r="J832" s="72">
        <v>70516830</v>
      </c>
      <c r="K832" s="99">
        <f>_xlfn.XLOOKUP(_2__ROI_Daily_Update[[#This Row],[CSM id]],SHP!F:F,SHP!EE:EE,"-")</f>
        <v>0</v>
      </c>
      <c r="L832" s="12"/>
      <c r="N832" s="11"/>
      <c r="P832"/>
      <c r="Q832"/>
      <c r="W832" s="28"/>
      <c r="AA832"/>
    </row>
    <row r="833" spans="1:27" x14ac:dyDescent="0.45">
      <c r="A833" s="57">
        <v>612</v>
      </c>
      <c r="B833" t="s">
        <v>483</v>
      </c>
      <c r="C833" t="s">
        <v>484</v>
      </c>
      <c r="D833" s="12">
        <v>46303</v>
      </c>
      <c r="E833" s="11">
        <v>33</v>
      </c>
      <c r="F833" s="11" t="s">
        <v>5909</v>
      </c>
      <c r="G833">
        <v>20150101</v>
      </c>
      <c r="I833" s="11" t="s">
        <v>18</v>
      </c>
      <c r="J833" s="72">
        <v>50243968</v>
      </c>
      <c r="K833" s="99">
        <f>_xlfn.XLOOKUP(_2__ROI_Daily_Update[[#This Row],[CSM id]],SHP!F:F,SHP!EE:EE,"-")</f>
        <v>0</v>
      </c>
      <c r="L833" s="12"/>
      <c r="N833" s="11"/>
      <c r="P833"/>
      <c r="Q833"/>
      <c r="W833" s="28"/>
      <c r="AA833"/>
    </row>
    <row r="834" spans="1:27" x14ac:dyDescent="0.45">
      <c r="A834" s="57">
        <v>1811</v>
      </c>
      <c r="B834" t="s">
        <v>3364</v>
      </c>
      <c r="C834" t="s">
        <v>3365</v>
      </c>
      <c r="D834" s="12">
        <v>46303</v>
      </c>
      <c r="E834" s="11">
        <v>36</v>
      </c>
      <c r="F834" s="11" t="s">
        <v>5910</v>
      </c>
      <c r="G834">
        <v>20261001</v>
      </c>
      <c r="I834" s="11" t="s">
        <v>63</v>
      </c>
      <c r="J834" s="72">
        <v>90625809</v>
      </c>
      <c r="K834" s="99">
        <f>_xlfn.XLOOKUP(_2__ROI_Daily_Update[[#This Row],[CSM id]],SHP!F:F,SHP!EE:EE,"-")</f>
        <v>0</v>
      </c>
      <c r="L834" s="12"/>
      <c r="N834" s="11"/>
      <c r="P834"/>
      <c r="Q834"/>
      <c r="W834" s="28"/>
      <c r="AA834"/>
    </row>
    <row r="835" spans="1:27" x14ac:dyDescent="0.45">
      <c r="A835" s="57">
        <v>621</v>
      </c>
      <c r="B835" t="s">
        <v>502</v>
      </c>
      <c r="C835" t="s">
        <v>503</v>
      </c>
      <c r="D835" s="12">
        <v>46303</v>
      </c>
      <c r="E835" s="11">
        <v>18</v>
      </c>
      <c r="F835" s="11" t="s">
        <v>5910</v>
      </c>
      <c r="G835">
        <v>20260701</v>
      </c>
      <c r="I835" s="11" t="s">
        <v>63</v>
      </c>
      <c r="J835" s="72">
        <v>394016</v>
      </c>
      <c r="K835" s="99">
        <f>_xlfn.XLOOKUP(_2__ROI_Daily_Update[[#This Row],[CSM id]],SHP!F:F,SHP!EE:EE,"-")</f>
        <v>0</v>
      </c>
      <c r="L835" s="12"/>
      <c r="N835" s="11"/>
      <c r="P835"/>
      <c r="Q835"/>
      <c r="W835" s="28"/>
      <c r="AA835"/>
    </row>
    <row r="836" spans="1:27" x14ac:dyDescent="0.45">
      <c r="A836" s="57">
        <v>1111</v>
      </c>
      <c r="B836" t="s">
        <v>1343</v>
      </c>
      <c r="C836" t="s">
        <v>1344</v>
      </c>
      <c r="D836" s="12">
        <v>46303</v>
      </c>
      <c r="E836" s="11">
        <v>40</v>
      </c>
      <c r="F836" s="11" t="s">
        <v>5906</v>
      </c>
      <c r="G836">
        <v>20251001</v>
      </c>
      <c r="I836" s="11" t="s">
        <v>63</v>
      </c>
      <c r="J836" s="72">
        <v>615763</v>
      </c>
      <c r="K836" s="99">
        <f>_xlfn.XLOOKUP(_2__ROI_Daily_Update[[#This Row],[CSM id]],SHP!F:F,SHP!EE:EE,"-")</f>
        <v>0</v>
      </c>
      <c r="L836" s="12"/>
      <c r="N836" s="11"/>
      <c r="P836"/>
      <c r="Q836"/>
      <c r="W836" s="28"/>
      <c r="AA836"/>
    </row>
    <row r="837" spans="1:27" x14ac:dyDescent="0.45">
      <c r="A837" s="57">
        <v>621</v>
      </c>
      <c r="B837" t="s">
        <v>508</v>
      </c>
      <c r="C837" t="s">
        <v>509</v>
      </c>
      <c r="D837" s="12">
        <v>46303</v>
      </c>
      <c r="E837" s="11">
        <v>80</v>
      </c>
      <c r="F837" s="11" t="s">
        <v>5911</v>
      </c>
      <c r="G837">
        <v>20200801</v>
      </c>
      <c r="I837" s="11" t="s">
        <v>63</v>
      </c>
      <c r="J837" s="72">
        <v>70473487</v>
      </c>
      <c r="K837" s="99">
        <f>_xlfn.XLOOKUP(_2__ROI_Daily_Update[[#This Row],[CSM id]],SHP!F:F,SHP!EE:EE,"-")</f>
        <v>0</v>
      </c>
      <c r="L837" s="12"/>
      <c r="N837" s="11"/>
      <c r="P837"/>
      <c r="Q837"/>
      <c r="W837" s="28"/>
      <c r="AA837"/>
    </row>
    <row r="838" spans="1:27" x14ac:dyDescent="0.45">
      <c r="A838" s="57">
        <v>621</v>
      </c>
      <c r="B838" t="s">
        <v>209</v>
      </c>
      <c r="C838" t="s">
        <v>210</v>
      </c>
      <c r="D838" s="12">
        <v>46303</v>
      </c>
      <c r="E838" s="11">
        <v>16</v>
      </c>
      <c r="F838" s="11" t="s">
        <v>5905</v>
      </c>
      <c r="G838">
        <v>20261001</v>
      </c>
      <c r="I838" s="11" t="s">
        <v>63</v>
      </c>
      <c r="J838" s="72">
        <v>30632092</v>
      </c>
      <c r="K838" s="99">
        <f>_xlfn.XLOOKUP(_2__ROI_Daily_Update[[#This Row],[CSM id]],SHP!F:F,SHP!EE:EE,"-")</f>
        <v>0</v>
      </c>
      <c r="L838" s="12"/>
      <c r="N838" s="11"/>
      <c r="P838"/>
      <c r="Q838"/>
      <c r="W838" s="28"/>
      <c r="AA838"/>
    </row>
    <row r="839" spans="1:27" x14ac:dyDescent="0.45">
      <c r="A839" s="57">
        <v>982</v>
      </c>
      <c r="B839" t="s">
        <v>957</v>
      </c>
      <c r="C839" t="s">
        <v>958</v>
      </c>
      <c r="D839" s="12">
        <v>46303</v>
      </c>
      <c r="E839" s="11">
        <v>480</v>
      </c>
      <c r="F839" s="11" t="s">
        <v>5910</v>
      </c>
      <c r="G839">
        <v>20221001</v>
      </c>
      <c r="H839" s="12">
        <v>46569</v>
      </c>
      <c r="I839" s="11" t="s">
        <v>63</v>
      </c>
      <c r="J839" s="72">
        <v>50534019</v>
      </c>
      <c r="K839" s="99">
        <f>_xlfn.XLOOKUP(_2__ROI_Daily_Update[[#This Row],[CSM id]],SHP!F:F,SHP!EE:EE,"-")</f>
        <v>0</v>
      </c>
      <c r="L839" s="12"/>
      <c r="N839" s="11"/>
      <c r="P839"/>
      <c r="Q839"/>
      <c r="W839" s="28"/>
      <c r="AA839"/>
    </row>
    <row r="840" spans="1:27" x14ac:dyDescent="0.45">
      <c r="A840" s="57">
        <v>1111</v>
      </c>
      <c r="B840" t="s">
        <v>1347</v>
      </c>
      <c r="C840" t="s">
        <v>1348</v>
      </c>
      <c r="D840" s="12">
        <v>46303</v>
      </c>
      <c r="E840" s="11">
        <v>24</v>
      </c>
      <c r="F840" s="11" t="s">
        <v>5910</v>
      </c>
      <c r="G840">
        <v>20260401</v>
      </c>
      <c r="I840" s="11" t="s">
        <v>63</v>
      </c>
      <c r="J840" s="72">
        <v>627761</v>
      </c>
      <c r="K840" s="99">
        <f>_xlfn.XLOOKUP(_2__ROI_Daily_Update[[#This Row],[CSM id]],SHP!F:F,SHP!EE:EE,"-")</f>
        <v>0</v>
      </c>
      <c r="L840" s="12"/>
      <c r="N840" s="11"/>
      <c r="P840"/>
      <c r="Q840"/>
      <c r="W840" s="28"/>
      <c r="AA840"/>
    </row>
    <row r="841" spans="1:27" x14ac:dyDescent="0.45">
      <c r="A841" s="57">
        <v>1433</v>
      </c>
      <c r="B841" t="s">
        <v>2478</v>
      </c>
      <c r="C841" t="s">
        <v>2479</v>
      </c>
      <c r="D841" s="12">
        <v>46303</v>
      </c>
      <c r="E841" s="11">
        <v>176</v>
      </c>
      <c r="F841" s="11" t="s">
        <v>5905</v>
      </c>
      <c r="G841">
        <v>20230701</v>
      </c>
      <c r="H841" s="12">
        <v>46478</v>
      </c>
      <c r="I841" s="11" t="s">
        <v>63</v>
      </c>
      <c r="J841" s="72">
        <v>90561015</v>
      </c>
      <c r="K841" s="99">
        <f>_xlfn.XLOOKUP(_2__ROI_Daily_Update[[#This Row],[CSM id]],SHP!F:F,SHP!EE:EE,"-")</f>
        <v>0</v>
      </c>
      <c r="L841" s="12"/>
      <c r="N841" s="11"/>
      <c r="P841"/>
      <c r="Q841"/>
      <c r="W841" s="28"/>
      <c r="AA841"/>
    </row>
    <row r="842" spans="1:27" x14ac:dyDescent="0.45">
      <c r="A842" s="57">
        <v>1111</v>
      </c>
      <c r="B842" t="s">
        <v>1349</v>
      </c>
      <c r="C842" t="s">
        <v>1350</v>
      </c>
      <c r="D842" s="12">
        <v>46303</v>
      </c>
      <c r="E842" s="11">
        <v>120</v>
      </c>
      <c r="F842" s="11" t="s">
        <v>5910</v>
      </c>
      <c r="G842">
        <v>20260401</v>
      </c>
      <c r="I842" s="11" t="s">
        <v>63</v>
      </c>
      <c r="J842" s="72">
        <v>627803</v>
      </c>
      <c r="K842" s="99">
        <f>_xlfn.XLOOKUP(_2__ROI_Daily_Update[[#This Row],[CSM id]],SHP!F:F,SHP!EE:EE,"-")</f>
        <v>0</v>
      </c>
      <c r="L842" s="12"/>
      <c r="N842" s="11"/>
      <c r="P842"/>
      <c r="Q842"/>
      <c r="W842" s="28"/>
      <c r="AA842"/>
    </row>
    <row r="843" spans="1:27" x14ac:dyDescent="0.45">
      <c r="A843" s="57">
        <v>972</v>
      </c>
      <c r="B843" t="s">
        <v>867</v>
      </c>
      <c r="C843" t="s">
        <v>868</v>
      </c>
      <c r="D843" s="12">
        <v>46303</v>
      </c>
      <c r="E843" s="11">
        <v>18</v>
      </c>
      <c r="F843" s="11" t="s">
        <v>5906</v>
      </c>
      <c r="G843">
        <v>20230101</v>
      </c>
      <c r="I843" s="11" t="s">
        <v>63</v>
      </c>
      <c r="J843" s="72">
        <v>10544647</v>
      </c>
      <c r="K843" s="99">
        <f>_xlfn.XLOOKUP(_2__ROI_Daily_Update[[#This Row],[CSM id]],SHP!F:F,SHP!EE:EE,"-")</f>
        <v>0</v>
      </c>
      <c r="L843" s="12"/>
      <c r="N843" s="11"/>
      <c r="P843"/>
      <c r="Q843"/>
      <c r="W843" s="28"/>
      <c r="AA843"/>
    </row>
    <row r="844" spans="1:27" x14ac:dyDescent="0.45">
      <c r="A844" s="57">
        <v>1111</v>
      </c>
      <c r="B844" t="s">
        <v>1359</v>
      </c>
      <c r="C844" t="s">
        <v>1360</v>
      </c>
      <c r="D844" s="12">
        <v>46303</v>
      </c>
      <c r="E844" s="11">
        <v>20</v>
      </c>
      <c r="F844" s="11" t="s">
        <v>5910</v>
      </c>
      <c r="G844">
        <v>20251001</v>
      </c>
      <c r="I844" s="11" t="s">
        <v>63</v>
      </c>
      <c r="J844" s="72">
        <v>10618049</v>
      </c>
      <c r="K844" s="99">
        <f>_xlfn.XLOOKUP(_2__ROI_Daily_Update[[#This Row],[CSM id]],SHP!F:F,SHP!EE:EE,"-")</f>
        <v>0</v>
      </c>
      <c r="L844" s="12"/>
      <c r="N844" s="11"/>
      <c r="P844"/>
      <c r="Q844"/>
      <c r="W844" s="28"/>
      <c r="AA844"/>
    </row>
    <row r="845" spans="1:27" x14ac:dyDescent="0.45">
      <c r="A845" s="57">
        <v>1111</v>
      </c>
      <c r="B845" t="s">
        <v>1339</v>
      </c>
      <c r="C845" t="s">
        <v>1340</v>
      </c>
      <c r="D845" s="12">
        <v>46303</v>
      </c>
      <c r="E845" s="11">
        <v>70</v>
      </c>
      <c r="F845" s="11" t="s">
        <v>5905</v>
      </c>
      <c r="G845">
        <v>20251001</v>
      </c>
      <c r="I845" s="11" t="s">
        <v>63</v>
      </c>
      <c r="J845" s="72">
        <v>615697</v>
      </c>
      <c r="K845" s="99">
        <f>_xlfn.XLOOKUP(_2__ROI_Daily_Update[[#This Row],[CSM id]],SHP!F:F,SHP!EE:EE,"-")</f>
        <v>0</v>
      </c>
      <c r="L845" s="12"/>
      <c r="N845" s="11"/>
      <c r="P845"/>
      <c r="Q845"/>
      <c r="W845" s="28"/>
      <c r="AA845"/>
    </row>
    <row r="846" spans="1:27" x14ac:dyDescent="0.45">
      <c r="A846" s="57">
        <v>1433</v>
      </c>
      <c r="B846" t="s">
        <v>2458</v>
      </c>
      <c r="C846" t="s">
        <v>2459</v>
      </c>
      <c r="D846" s="12">
        <v>46303</v>
      </c>
      <c r="E846" s="11">
        <v>120</v>
      </c>
      <c r="F846" s="11" t="s">
        <v>5908</v>
      </c>
      <c r="G846">
        <v>20180801</v>
      </c>
      <c r="I846" s="11" t="s">
        <v>63</v>
      </c>
      <c r="J846" s="72">
        <v>40387269</v>
      </c>
      <c r="K846" s="99">
        <f>_xlfn.XLOOKUP(_2__ROI_Daily_Update[[#This Row],[CSM id]],SHP!F:F,SHP!EE:EE,"-")</f>
        <v>0</v>
      </c>
      <c r="L846" s="12"/>
      <c r="N846" s="11"/>
      <c r="P846"/>
      <c r="Q846"/>
      <c r="W846" s="28"/>
      <c r="AA846"/>
    </row>
    <row r="847" spans="1:27" x14ac:dyDescent="0.45">
      <c r="A847" s="57">
        <v>1111</v>
      </c>
      <c r="B847" t="s">
        <v>1363</v>
      </c>
      <c r="C847" t="s">
        <v>1364</v>
      </c>
      <c r="D847" s="12">
        <v>46303</v>
      </c>
      <c r="E847" s="11">
        <v>112</v>
      </c>
      <c r="F847" s="11" t="s">
        <v>5905</v>
      </c>
      <c r="G847">
        <v>20170201</v>
      </c>
      <c r="I847" s="11" t="s">
        <v>63</v>
      </c>
      <c r="J847" s="72">
        <v>20342795</v>
      </c>
      <c r="K847" s="99">
        <f>_xlfn.XLOOKUP(_2__ROI_Daily_Update[[#This Row],[CSM id]],SHP!F:F,SHP!EE:EE,"-")</f>
        <v>0</v>
      </c>
      <c r="L847" s="12"/>
      <c r="N847" s="11"/>
      <c r="P847"/>
      <c r="Q847"/>
      <c r="W847" s="28"/>
      <c r="AA847"/>
    </row>
    <row r="848" spans="1:27" x14ac:dyDescent="0.45">
      <c r="A848" s="57">
        <v>1431</v>
      </c>
      <c r="B848" t="s">
        <v>2446</v>
      </c>
      <c r="C848" t="s">
        <v>2447</v>
      </c>
      <c r="D848" s="12">
        <v>46303</v>
      </c>
      <c r="E848" s="11">
        <v>64</v>
      </c>
      <c r="F848" s="11" t="s">
        <v>5409</v>
      </c>
      <c r="G848">
        <v>20260401</v>
      </c>
      <c r="I848" s="11" t="s">
        <v>63</v>
      </c>
      <c r="J848" s="72">
        <v>90624225</v>
      </c>
      <c r="K848" s="99">
        <f>_xlfn.XLOOKUP(_2__ROI_Daily_Update[[#This Row],[CSM id]],SHP!F:F,SHP!EE:EE,"-")</f>
        <v>0</v>
      </c>
      <c r="L848" s="12"/>
      <c r="N848" s="11"/>
      <c r="P848"/>
      <c r="Q848"/>
      <c r="W848" s="28"/>
      <c r="AA848"/>
    </row>
    <row r="849" spans="1:27" x14ac:dyDescent="0.45">
      <c r="A849" s="57">
        <v>1431</v>
      </c>
      <c r="B849" t="s">
        <v>2442</v>
      </c>
      <c r="C849" t="s">
        <v>2443</v>
      </c>
      <c r="D849" s="12">
        <v>46303</v>
      </c>
      <c r="E849" s="11">
        <v>96</v>
      </c>
      <c r="F849" s="11" t="s">
        <v>5409</v>
      </c>
      <c r="G849">
        <v>20231001</v>
      </c>
      <c r="I849" s="11" t="s">
        <v>63</v>
      </c>
      <c r="J849" s="72">
        <v>90553204</v>
      </c>
      <c r="K849" s="99">
        <f>_xlfn.XLOOKUP(_2__ROI_Daily_Update[[#This Row],[CSM id]],SHP!F:F,SHP!EE:EE,"-")</f>
        <v>0</v>
      </c>
      <c r="L849" s="12"/>
      <c r="N849" s="11"/>
      <c r="P849"/>
      <c r="Q849"/>
      <c r="W849" s="28"/>
      <c r="AA849"/>
    </row>
    <row r="850" spans="1:27" x14ac:dyDescent="0.45">
      <c r="A850" s="57">
        <v>622</v>
      </c>
      <c r="B850" t="s">
        <v>520</v>
      </c>
      <c r="C850" t="s">
        <v>521</v>
      </c>
      <c r="D850" s="12">
        <v>46303</v>
      </c>
      <c r="E850" s="11">
        <v>10</v>
      </c>
      <c r="F850" s="11" t="s">
        <v>5905</v>
      </c>
      <c r="G850">
        <v>20260701</v>
      </c>
      <c r="I850" s="11" t="s">
        <v>63</v>
      </c>
      <c r="J850" s="72">
        <v>80629964</v>
      </c>
      <c r="K850" s="99">
        <f>_xlfn.XLOOKUP(_2__ROI_Daily_Update[[#This Row],[CSM id]],SHP!F:F,SHP!EE:EE,"-")</f>
        <v>0</v>
      </c>
      <c r="L850" s="12"/>
      <c r="N850" s="11"/>
      <c r="P850"/>
      <c r="Q850"/>
      <c r="W850" s="28"/>
      <c r="AA850"/>
    </row>
    <row r="851" spans="1:27" x14ac:dyDescent="0.45">
      <c r="A851" s="57">
        <v>1431</v>
      </c>
      <c r="B851" t="s">
        <v>2440</v>
      </c>
      <c r="C851" t="s">
        <v>2441</v>
      </c>
      <c r="D851" s="12">
        <v>46303</v>
      </c>
      <c r="E851" s="11">
        <v>160</v>
      </c>
      <c r="F851" s="11" t="s">
        <v>5409</v>
      </c>
      <c r="G851">
        <v>20211001</v>
      </c>
      <c r="I851" s="11" t="s">
        <v>63</v>
      </c>
      <c r="J851" s="72">
        <v>90497802</v>
      </c>
      <c r="K851" s="99">
        <f>_xlfn.XLOOKUP(_2__ROI_Daily_Update[[#This Row],[CSM id]],SHP!F:F,SHP!EE:EE,"-")</f>
        <v>0</v>
      </c>
      <c r="L851" s="12"/>
      <c r="N851" s="11"/>
      <c r="P851"/>
      <c r="Q851"/>
      <c r="W851" s="28"/>
      <c r="AA851"/>
    </row>
    <row r="852" spans="1:27" x14ac:dyDescent="0.45">
      <c r="A852" s="57">
        <v>622</v>
      </c>
      <c r="B852" t="s">
        <v>518</v>
      </c>
      <c r="C852" t="s">
        <v>519</v>
      </c>
      <c r="D852" s="12">
        <v>46303</v>
      </c>
      <c r="E852" s="11">
        <v>8</v>
      </c>
      <c r="F852" s="11" t="s">
        <v>5905</v>
      </c>
      <c r="G852">
        <v>20251001</v>
      </c>
      <c r="I852" s="11" t="s">
        <v>63</v>
      </c>
      <c r="J852" s="72">
        <v>30605140</v>
      </c>
      <c r="K852" s="99">
        <f>_xlfn.XLOOKUP(_2__ROI_Daily_Update[[#This Row],[CSM id]],SHP!F:F,SHP!EE:EE,"-")</f>
        <v>0</v>
      </c>
      <c r="L852" s="12"/>
      <c r="N852" s="11"/>
      <c r="P852"/>
      <c r="Q852"/>
      <c r="W852" s="28"/>
      <c r="AA852"/>
    </row>
    <row r="853" spans="1:27" x14ac:dyDescent="0.45">
      <c r="A853" s="57">
        <v>622</v>
      </c>
      <c r="B853" t="s">
        <v>199</v>
      </c>
      <c r="C853" t="s">
        <v>200</v>
      </c>
      <c r="D853" s="12">
        <v>46303</v>
      </c>
      <c r="E853" s="11">
        <v>1050</v>
      </c>
      <c r="F853" s="11" t="s">
        <v>5905</v>
      </c>
      <c r="G853">
        <v>20260101</v>
      </c>
      <c r="I853" s="11" t="s">
        <v>63</v>
      </c>
      <c r="J853" s="72">
        <v>30600963</v>
      </c>
      <c r="K853" s="99">
        <f>_xlfn.XLOOKUP(_2__ROI_Daily_Update[[#This Row],[CSM id]],SHP!F:F,SHP!EE:EE,"-")</f>
        <v>0</v>
      </c>
      <c r="L853" s="12"/>
      <c r="N853" s="11"/>
      <c r="P853"/>
      <c r="Q853"/>
      <c r="W853" s="28"/>
      <c r="AA853"/>
    </row>
    <row r="854" spans="1:27" x14ac:dyDescent="0.45">
      <c r="A854" s="57">
        <v>1111</v>
      </c>
      <c r="B854" t="s">
        <v>1363</v>
      </c>
      <c r="C854" t="s">
        <v>1364</v>
      </c>
      <c r="D854" s="12">
        <v>46303</v>
      </c>
      <c r="E854" s="11">
        <v>196</v>
      </c>
      <c r="F854" s="11" t="s">
        <v>5910</v>
      </c>
      <c r="G854">
        <v>20170201</v>
      </c>
      <c r="I854" s="11" t="s">
        <v>63</v>
      </c>
      <c r="J854" s="72">
        <v>20342795</v>
      </c>
      <c r="K854" s="99">
        <f>_xlfn.XLOOKUP(_2__ROI_Daily_Update[[#This Row],[CSM id]],SHP!F:F,SHP!EE:EE,"-")</f>
        <v>0</v>
      </c>
      <c r="L854" s="12"/>
      <c r="N854" s="11"/>
      <c r="P854"/>
      <c r="Q854"/>
      <c r="W854" s="28"/>
      <c r="AA854"/>
    </row>
    <row r="855" spans="1:27" x14ac:dyDescent="0.45">
      <c r="A855" s="57">
        <v>1431</v>
      </c>
      <c r="B855" t="s">
        <v>2436</v>
      </c>
      <c r="C855" t="s">
        <v>2437</v>
      </c>
      <c r="D855" s="12">
        <v>46303</v>
      </c>
      <c r="E855" s="11">
        <v>6760</v>
      </c>
      <c r="F855" s="11" t="s">
        <v>5264</v>
      </c>
      <c r="G855">
        <v>20260701</v>
      </c>
      <c r="I855" s="11" t="s">
        <v>18</v>
      </c>
      <c r="J855" s="72">
        <v>80628342</v>
      </c>
      <c r="K855" s="99">
        <f>_xlfn.XLOOKUP(_2__ROI_Daily_Update[[#This Row],[CSM id]],SHP!F:F,SHP!EE:EE,"-")</f>
        <v>0</v>
      </c>
      <c r="L855" s="12"/>
      <c r="N855" s="11"/>
      <c r="P855"/>
      <c r="Q855"/>
      <c r="W855" s="28"/>
      <c r="AA855"/>
    </row>
    <row r="856" spans="1:27" x14ac:dyDescent="0.45">
      <c r="A856" s="57">
        <v>622</v>
      </c>
      <c r="B856" t="s">
        <v>522</v>
      </c>
      <c r="C856" t="s">
        <v>523</v>
      </c>
      <c r="D856" s="12">
        <v>46303</v>
      </c>
      <c r="E856" s="11">
        <v>92</v>
      </c>
      <c r="F856" s="11" t="s">
        <v>5905</v>
      </c>
      <c r="G856">
        <v>20140801</v>
      </c>
      <c r="I856" s="11" t="s">
        <v>63</v>
      </c>
      <c r="J856" s="72">
        <v>90197672</v>
      </c>
      <c r="K856" s="99">
        <f>_xlfn.XLOOKUP(_2__ROI_Daily_Update[[#This Row],[CSM id]],SHP!F:F,SHP!EE:EE,"-")</f>
        <v>0</v>
      </c>
      <c r="L856" s="12"/>
      <c r="N856" s="11"/>
      <c r="P856"/>
      <c r="Q856"/>
      <c r="W856" s="28"/>
      <c r="AA856"/>
    </row>
    <row r="857" spans="1:27" x14ac:dyDescent="0.45">
      <c r="A857" s="57">
        <v>1813</v>
      </c>
      <c r="B857" t="s">
        <v>3374</v>
      </c>
      <c r="C857" t="s">
        <v>3375</v>
      </c>
      <c r="D857" s="12">
        <v>46303</v>
      </c>
      <c r="E857" s="11">
        <v>168</v>
      </c>
      <c r="F857" s="11" t="s">
        <v>5905</v>
      </c>
      <c r="G857">
        <v>20260701</v>
      </c>
      <c r="I857" s="11" t="s">
        <v>63</v>
      </c>
      <c r="J857" s="72">
        <v>10512670</v>
      </c>
      <c r="K857" s="99">
        <f>_xlfn.XLOOKUP(_2__ROI_Daily_Update[[#This Row],[CSM id]],SHP!F:F,SHP!EE:EE,"-")</f>
        <v>0</v>
      </c>
      <c r="L857" s="12"/>
      <c r="N857" s="11"/>
      <c r="P857"/>
      <c r="Q857"/>
      <c r="W857" s="28"/>
      <c r="AA857"/>
    </row>
    <row r="858" spans="1:27" x14ac:dyDescent="0.45">
      <c r="A858" s="57">
        <v>1433</v>
      </c>
      <c r="B858" t="s">
        <v>2450</v>
      </c>
      <c r="C858" t="s">
        <v>2451</v>
      </c>
      <c r="D858" s="12">
        <v>46303</v>
      </c>
      <c r="E858" s="11">
        <v>60</v>
      </c>
      <c r="F858" s="11" t="s">
        <v>5910</v>
      </c>
      <c r="G858">
        <v>20140801</v>
      </c>
      <c r="I858" s="11" t="s">
        <v>63</v>
      </c>
      <c r="J858" s="72">
        <v>179535</v>
      </c>
      <c r="K858" s="99">
        <f>_xlfn.XLOOKUP(_2__ROI_Daily_Update[[#This Row],[CSM id]],SHP!F:F,SHP!EE:EE,"-")</f>
        <v>0</v>
      </c>
      <c r="L858" s="12"/>
      <c r="N858" s="11"/>
      <c r="P858"/>
      <c r="Q858"/>
      <c r="W858" s="28"/>
      <c r="AA858"/>
    </row>
    <row r="859" spans="1:27" x14ac:dyDescent="0.45">
      <c r="A859" s="57">
        <v>1511</v>
      </c>
      <c r="B859" t="s">
        <v>2534</v>
      </c>
      <c r="C859" t="s">
        <v>2535</v>
      </c>
      <c r="D859" s="12">
        <v>46303</v>
      </c>
      <c r="E859" s="11">
        <v>144</v>
      </c>
      <c r="F859" s="11" t="s">
        <v>5409</v>
      </c>
      <c r="G859">
        <v>20250701</v>
      </c>
      <c r="I859" s="11" t="s">
        <v>63</v>
      </c>
      <c r="J859" s="72">
        <v>20600751</v>
      </c>
      <c r="K859" s="99">
        <f>_xlfn.XLOOKUP(_2__ROI_Daily_Update[[#This Row],[CSM id]],SHP!F:F,SHP!EE:EE,"-")</f>
        <v>0</v>
      </c>
      <c r="L859" s="12"/>
      <c r="N859" s="11"/>
      <c r="P859"/>
      <c r="Q859"/>
      <c r="W859" s="28"/>
      <c r="AA859"/>
    </row>
    <row r="860" spans="1:27" x14ac:dyDescent="0.45">
      <c r="A860" s="57">
        <v>1111</v>
      </c>
      <c r="B860" t="s">
        <v>1335</v>
      </c>
      <c r="C860" t="s">
        <v>1336</v>
      </c>
      <c r="D860" s="12">
        <v>46303</v>
      </c>
      <c r="E860" s="11">
        <v>56</v>
      </c>
      <c r="F860" s="11" t="s">
        <v>5906</v>
      </c>
      <c r="G860">
        <v>20190801</v>
      </c>
      <c r="I860" s="11" t="s">
        <v>63</v>
      </c>
      <c r="J860" s="72">
        <v>442668</v>
      </c>
      <c r="K860" s="99">
        <f>_xlfn.XLOOKUP(_2__ROI_Daily_Update[[#This Row],[CSM id]],SHP!F:F,SHP!EE:EE,"-")</f>
        <v>0</v>
      </c>
      <c r="L860" s="12"/>
      <c r="N860" s="11"/>
      <c r="P860"/>
      <c r="Q860"/>
      <c r="W860" s="28"/>
      <c r="AA860"/>
    </row>
    <row r="861" spans="1:27" x14ac:dyDescent="0.45">
      <c r="A861" s="57">
        <v>1111</v>
      </c>
      <c r="B861" t="s">
        <v>1333</v>
      </c>
      <c r="C861" t="s">
        <v>1334</v>
      </c>
      <c r="D861" s="12">
        <v>46303</v>
      </c>
      <c r="E861" s="11">
        <v>70</v>
      </c>
      <c r="F861" s="11" t="s">
        <v>5906</v>
      </c>
      <c r="G861">
        <v>20171001</v>
      </c>
      <c r="I861" s="11" t="s">
        <v>63</v>
      </c>
      <c r="J861" s="72">
        <v>357170</v>
      </c>
      <c r="K861" s="99">
        <f>_xlfn.XLOOKUP(_2__ROI_Daily_Update[[#This Row],[CSM id]],SHP!F:F,SHP!EE:EE,"-")</f>
        <v>0</v>
      </c>
      <c r="L861" s="12"/>
      <c r="N861" s="11"/>
      <c r="P861"/>
      <c r="Q861"/>
      <c r="W861" s="28"/>
      <c r="AA861"/>
    </row>
    <row r="862" spans="1:27" x14ac:dyDescent="0.45">
      <c r="A862" s="57">
        <v>983</v>
      </c>
      <c r="B862" t="s">
        <v>964</v>
      </c>
      <c r="C862" t="s">
        <v>965</v>
      </c>
      <c r="D862" s="12">
        <v>46303</v>
      </c>
      <c r="E862" s="11">
        <v>180</v>
      </c>
      <c r="F862" s="11" t="s">
        <v>5409</v>
      </c>
      <c r="G862">
        <v>20211001</v>
      </c>
      <c r="I862" s="11" t="s">
        <v>63</v>
      </c>
      <c r="J862" s="72">
        <v>517908</v>
      </c>
      <c r="K862" s="99">
        <f>_xlfn.XLOOKUP(_2__ROI_Daily_Update[[#This Row],[CSM id]],SHP!F:F,SHP!EE:EE,"-")</f>
        <v>0</v>
      </c>
      <c r="L862" s="12"/>
      <c r="N862" s="11"/>
      <c r="P862"/>
      <c r="Q862"/>
      <c r="W862" s="28"/>
      <c r="AA862"/>
    </row>
    <row r="863" spans="1:27" x14ac:dyDescent="0.45">
      <c r="A863" s="57">
        <v>1511</v>
      </c>
      <c r="B863" t="s">
        <v>2530</v>
      </c>
      <c r="C863" t="s">
        <v>2531</v>
      </c>
      <c r="D863" s="12">
        <v>46303</v>
      </c>
      <c r="E863" s="11">
        <v>22</v>
      </c>
      <c r="F863" s="11" t="s">
        <v>5404</v>
      </c>
      <c r="G863">
        <v>20250401</v>
      </c>
      <c r="I863" s="11" t="s">
        <v>63</v>
      </c>
      <c r="J863" s="72">
        <v>20592421</v>
      </c>
      <c r="K863" s="99">
        <f>_xlfn.XLOOKUP(_2__ROI_Daily_Update[[#This Row],[CSM id]],SHP!F:F,SHP!EE:EE,"-")</f>
        <v>0</v>
      </c>
      <c r="L863" s="12"/>
      <c r="N863" s="11"/>
      <c r="P863"/>
      <c r="Q863"/>
      <c r="W863" s="28"/>
      <c r="AA863"/>
    </row>
    <row r="864" spans="1:27" x14ac:dyDescent="0.45">
      <c r="A864" s="57">
        <v>1511</v>
      </c>
      <c r="B864" t="s">
        <v>2528</v>
      </c>
      <c r="C864" t="s">
        <v>2529</v>
      </c>
      <c r="D864" s="12">
        <v>46303</v>
      </c>
      <c r="E864" s="11">
        <v>1056</v>
      </c>
      <c r="F864" s="11" t="s">
        <v>5264</v>
      </c>
      <c r="G864">
        <v>20180401</v>
      </c>
      <c r="I864" s="11" t="s">
        <v>18</v>
      </c>
      <c r="J864" s="72">
        <v>20318941</v>
      </c>
      <c r="K864" s="99">
        <f>_xlfn.XLOOKUP(_2__ROI_Daily_Update[[#This Row],[CSM id]],SHP!F:F,SHP!EE:EE,"-")</f>
        <v>0</v>
      </c>
      <c r="L864" s="12"/>
      <c r="N864" s="11"/>
      <c r="P864"/>
      <c r="Q864"/>
      <c r="W864" s="28"/>
      <c r="AA864"/>
    </row>
    <row r="865" spans="1:27" x14ac:dyDescent="0.45">
      <c r="A865" s="57">
        <v>612</v>
      </c>
      <c r="B865" t="s">
        <v>358</v>
      </c>
      <c r="C865" t="s">
        <v>359</v>
      </c>
      <c r="D865" s="12">
        <v>46303</v>
      </c>
      <c r="E865" s="11">
        <v>28</v>
      </c>
      <c r="F865" s="11" t="s">
        <v>5909</v>
      </c>
      <c r="G865">
        <v>20250101</v>
      </c>
      <c r="H865" s="12">
        <v>46569</v>
      </c>
      <c r="I865" s="11" t="s">
        <v>18</v>
      </c>
      <c r="J865" s="72">
        <v>20573173</v>
      </c>
      <c r="K865" s="99">
        <f>_xlfn.XLOOKUP(_2__ROI_Daily_Update[[#This Row],[CSM id]],SHP!F:F,SHP!EE:EE,"-")</f>
        <v>0</v>
      </c>
      <c r="L865" s="12"/>
      <c r="N865" s="11"/>
      <c r="P865"/>
      <c r="Q865"/>
      <c r="W865" s="28"/>
      <c r="AA865"/>
    </row>
    <row r="866" spans="1:27" x14ac:dyDescent="0.45">
      <c r="A866" s="57">
        <v>1811</v>
      </c>
      <c r="B866" t="s">
        <v>3358</v>
      </c>
      <c r="C866" t="s">
        <v>3359</v>
      </c>
      <c r="D866" s="12">
        <v>46303</v>
      </c>
      <c r="E866" s="11">
        <v>33</v>
      </c>
      <c r="F866" s="11" t="s">
        <v>5907</v>
      </c>
      <c r="G866">
        <v>20150401</v>
      </c>
      <c r="I866" s="11" t="s">
        <v>63</v>
      </c>
      <c r="J866" s="72">
        <v>90307557</v>
      </c>
      <c r="K866" s="99">
        <f>_xlfn.XLOOKUP(_2__ROI_Daily_Update[[#This Row],[CSM id]],SHP!F:F,SHP!EE:EE,"-")</f>
        <v>0</v>
      </c>
      <c r="L866" s="12"/>
      <c r="N866" s="11"/>
      <c r="P866"/>
      <c r="Q866"/>
      <c r="W866" s="28"/>
      <c r="AA866"/>
    </row>
    <row r="867" spans="1:27" x14ac:dyDescent="0.45">
      <c r="A867" s="57">
        <v>612</v>
      </c>
      <c r="B867" t="s">
        <v>494</v>
      </c>
      <c r="C867" t="s">
        <v>495</v>
      </c>
      <c r="D867" s="12">
        <v>46303</v>
      </c>
      <c r="E867" s="11">
        <v>200</v>
      </c>
      <c r="F867" s="11" t="s">
        <v>5905</v>
      </c>
      <c r="G867">
        <v>20200201</v>
      </c>
      <c r="I867" s="11" t="s">
        <v>63</v>
      </c>
      <c r="J867" s="72">
        <v>10424254</v>
      </c>
      <c r="K867" s="99">
        <f>_xlfn.XLOOKUP(_2__ROI_Daily_Update[[#This Row],[CSM id]],SHP!F:F,SHP!EE:EE,"-")</f>
        <v>0</v>
      </c>
      <c r="L867" s="12"/>
      <c r="N867" s="11"/>
      <c r="P867"/>
      <c r="Q867"/>
      <c r="W867" s="28"/>
      <c r="AA867"/>
    </row>
    <row r="868" spans="1:27" x14ac:dyDescent="0.45">
      <c r="A868" s="57">
        <v>1043</v>
      </c>
      <c r="B868" t="s">
        <v>1322</v>
      </c>
      <c r="C868" t="s">
        <v>1323</v>
      </c>
      <c r="D868" s="12">
        <v>46303</v>
      </c>
      <c r="E868" s="11">
        <v>60</v>
      </c>
      <c r="F868" s="11" t="s">
        <v>5910</v>
      </c>
      <c r="G868">
        <v>20260101</v>
      </c>
      <c r="I868" s="11" t="s">
        <v>63</v>
      </c>
      <c r="J868" s="72">
        <v>70609706</v>
      </c>
      <c r="K868" s="99">
        <f>_xlfn.XLOOKUP(_2__ROI_Daily_Update[[#This Row],[CSM id]],SHP!F:F,SHP!EE:EE,"-")</f>
        <v>0</v>
      </c>
      <c r="L868" s="12"/>
      <c r="N868" s="11"/>
      <c r="P868"/>
      <c r="Q868"/>
      <c r="W868" s="28"/>
      <c r="AA868"/>
    </row>
    <row r="869" spans="1:27" x14ac:dyDescent="0.45">
      <c r="A869" s="57">
        <v>1511</v>
      </c>
      <c r="B869" t="s">
        <v>2520</v>
      </c>
      <c r="C869" t="s">
        <v>2521</v>
      </c>
      <c r="D869" s="12">
        <v>46303</v>
      </c>
      <c r="E869" s="11">
        <v>96</v>
      </c>
      <c r="F869" s="11" t="s">
        <v>5409</v>
      </c>
      <c r="G869">
        <v>20260101</v>
      </c>
      <c r="I869" s="11" t="s">
        <v>63</v>
      </c>
      <c r="J869" s="72">
        <v>10600431</v>
      </c>
      <c r="K869" s="99">
        <f>_xlfn.XLOOKUP(_2__ROI_Daily_Update[[#This Row],[CSM id]],SHP!F:F,SHP!EE:EE,"-")</f>
        <v>0</v>
      </c>
      <c r="L869" s="12"/>
      <c r="N869" s="11"/>
      <c r="P869"/>
      <c r="Q869"/>
      <c r="W869" s="28"/>
      <c r="AA869"/>
    </row>
    <row r="870" spans="1:27" x14ac:dyDescent="0.45">
      <c r="A870" s="57">
        <v>983</v>
      </c>
      <c r="B870" t="s">
        <v>961</v>
      </c>
      <c r="C870" t="s">
        <v>962</v>
      </c>
      <c r="D870" s="12">
        <v>46303</v>
      </c>
      <c r="E870" s="11">
        <v>800</v>
      </c>
      <c r="F870" s="11" t="s">
        <v>5264</v>
      </c>
      <c r="G870">
        <v>20180601</v>
      </c>
      <c r="I870" s="11" t="s">
        <v>18</v>
      </c>
      <c r="J870" s="72">
        <v>378672</v>
      </c>
      <c r="K870" s="99">
        <f>_xlfn.XLOOKUP(_2__ROI_Daily_Update[[#This Row],[CSM id]],SHP!F:F,SHP!EE:EE,"-")</f>
        <v>0</v>
      </c>
      <c r="L870" s="12"/>
      <c r="N870" s="11"/>
      <c r="P870"/>
      <c r="Q870"/>
      <c r="W870" s="28"/>
      <c r="AA870"/>
    </row>
    <row r="871" spans="1:27" x14ac:dyDescent="0.45">
      <c r="A871" s="57">
        <v>1081</v>
      </c>
      <c r="B871" t="s">
        <v>1326</v>
      </c>
      <c r="C871" t="s">
        <v>1327</v>
      </c>
      <c r="D871" s="12">
        <v>46303</v>
      </c>
      <c r="E871" s="11">
        <v>20</v>
      </c>
      <c r="F871" s="11" t="s">
        <v>5905</v>
      </c>
      <c r="G871">
        <v>20260801</v>
      </c>
      <c r="H871" s="12">
        <v>46388</v>
      </c>
      <c r="I871" s="11" t="s">
        <v>63</v>
      </c>
      <c r="J871" s="72">
        <v>633050</v>
      </c>
      <c r="K871" s="99">
        <f>_xlfn.XLOOKUP(_2__ROI_Daily_Update[[#This Row],[CSM id]],SHP!F:F,SHP!EE:EE,"-")</f>
        <v>0</v>
      </c>
      <c r="L871" s="12"/>
      <c r="N871" s="11"/>
      <c r="P871"/>
      <c r="Q871"/>
      <c r="W871" s="28"/>
      <c r="AA871"/>
    </row>
    <row r="872" spans="1:27" x14ac:dyDescent="0.45">
      <c r="A872" s="57">
        <v>1831</v>
      </c>
      <c r="B872" t="s">
        <v>3578</v>
      </c>
      <c r="C872" t="s">
        <v>3579</v>
      </c>
      <c r="D872" s="12">
        <v>46303</v>
      </c>
      <c r="E872" s="11">
        <v>144</v>
      </c>
      <c r="F872" s="11" t="s">
        <v>5905</v>
      </c>
      <c r="G872">
        <v>20260701</v>
      </c>
      <c r="I872" s="11" t="s">
        <v>63</v>
      </c>
      <c r="J872" s="72">
        <v>10625832</v>
      </c>
      <c r="K872" s="99">
        <f>_xlfn.XLOOKUP(_2__ROI_Daily_Update[[#This Row],[CSM id]],SHP!F:F,SHP!EE:EE,"-")</f>
        <v>0</v>
      </c>
      <c r="L872" s="12"/>
      <c r="N872" s="11"/>
      <c r="P872"/>
      <c r="Q872"/>
      <c r="W872" s="28"/>
      <c r="AA872"/>
    </row>
    <row r="873" spans="1:27" x14ac:dyDescent="0.45">
      <c r="A873" s="57">
        <v>621</v>
      </c>
      <c r="B873" t="s">
        <v>510</v>
      </c>
      <c r="C873" t="s">
        <v>511</v>
      </c>
      <c r="D873" s="12">
        <v>46303</v>
      </c>
      <c r="E873" s="11">
        <v>378</v>
      </c>
      <c r="F873" s="11" t="s">
        <v>5905</v>
      </c>
      <c r="G873">
        <v>20260101</v>
      </c>
      <c r="I873" s="11" t="s">
        <v>63</v>
      </c>
      <c r="J873" s="72">
        <v>80600965</v>
      </c>
      <c r="K873" s="99">
        <f>_xlfn.XLOOKUP(_2__ROI_Daily_Update[[#This Row],[CSM id]],SHP!F:F,SHP!EE:EE,"-")</f>
        <v>0</v>
      </c>
      <c r="L873" s="12"/>
      <c r="N873" s="11"/>
      <c r="P873"/>
      <c r="Q873"/>
      <c r="W873" s="28"/>
      <c r="AA873"/>
    </row>
    <row r="874" spans="1:27" x14ac:dyDescent="0.45">
      <c r="A874" s="57">
        <v>1511</v>
      </c>
      <c r="B874" t="s">
        <v>2514</v>
      </c>
      <c r="C874" t="s">
        <v>2515</v>
      </c>
      <c r="D874" s="12">
        <v>46303</v>
      </c>
      <c r="E874" s="11">
        <v>48</v>
      </c>
      <c r="F874" s="11" t="s">
        <v>5409</v>
      </c>
      <c r="G874">
        <v>20240701</v>
      </c>
      <c r="I874" s="11" t="s">
        <v>63</v>
      </c>
      <c r="J874" s="72">
        <v>10588721</v>
      </c>
      <c r="K874" s="99">
        <f>_xlfn.XLOOKUP(_2__ROI_Daily_Update[[#This Row],[CSM id]],SHP!F:F,SHP!EE:EE,"-")</f>
        <v>0</v>
      </c>
      <c r="L874" s="12"/>
      <c r="N874" s="11"/>
      <c r="P874"/>
      <c r="Q874"/>
      <c r="W874" s="28"/>
      <c r="AA874"/>
    </row>
    <row r="875" spans="1:27" x14ac:dyDescent="0.45">
      <c r="A875" s="57">
        <v>1511</v>
      </c>
      <c r="B875" t="s">
        <v>2512</v>
      </c>
      <c r="C875" t="s">
        <v>2513</v>
      </c>
      <c r="D875" s="12">
        <v>46303</v>
      </c>
      <c r="E875" s="11">
        <v>900</v>
      </c>
      <c r="F875" s="11" t="s">
        <v>5264</v>
      </c>
      <c r="G875">
        <v>20141201</v>
      </c>
      <c r="I875" s="11" t="s">
        <v>18</v>
      </c>
      <c r="J875" s="72">
        <v>10258914</v>
      </c>
      <c r="K875" s="99">
        <f>_xlfn.XLOOKUP(_2__ROI_Daily_Update[[#This Row],[CSM id]],SHP!F:F,SHP!EE:EE,"-")</f>
        <v>0</v>
      </c>
      <c r="L875" s="12"/>
      <c r="N875" s="11"/>
      <c r="P875"/>
      <c r="Q875"/>
      <c r="W875" s="28"/>
      <c r="AA875"/>
    </row>
    <row r="876" spans="1:27" x14ac:dyDescent="0.45">
      <c r="A876" s="57">
        <v>1511</v>
      </c>
      <c r="B876" t="s">
        <v>2510</v>
      </c>
      <c r="C876" t="s">
        <v>2511</v>
      </c>
      <c r="D876" s="12">
        <v>46303</v>
      </c>
      <c r="E876" s="11">
        <v>105</v>
      </c>
      <c r="F876" s="11" t="s">
        <v>5409</v>
      </c>
      <c r="G876">
        <v>20260701</v>
      </c>
      <c r="I876" s="11" t="s">
        <v>63</v>
      </c>
      <c r="J876" s="72">
        <v>631490</v>
      </c>
      <c r="K876" s="99">
        <f>_xlfn.XLOOKUP(_2__ROI_Daily_Update[[#This Row],[CSM id]],SHP!F:F,SHP!EE:EE,"-")</f>
        <v>0</v>
      </c>
      <c r="L876" s="12"/>
      <c r="N876" s="11"/>
      <c r="P876"/>
      <c r="Q876"/>
      <c r="W876" s="28"/>
      <c r="AA876"/>
    </row>
    <row r="877" spans="1:27" x14ac:dyDescent="0.45">
      <c r="A877" s="57">
        <v>621</v>
      </c>
      <c r="B877" t="s">
        <v>487</v>
      </c>
      <c r="C877" t="s">
        <v>488</v>
      </c>
      <c r="D877" s="12">
        <v>46303</v>
      </c>
      <c r="E877" s="11">
        <v>36</v>
      </c>
      <c r="F877" s="11" t="s">
        <v>5910</v>
      </c>
      <c r="G877">
        <v>20210201</v>
      </c>
      <c r="I877" s="11" t="s">
        <v>63</v>
      </c>
      <c r="J877" s="72">
        <v>10493011</v>
      </c>
      <c r="K877" s="99">
        <f>_xlfn.XLOOKUP(_2__ROI_Daily_Update[[#This Row],[CSM id]],SHP!F:F,SHP!EE:EE,"-")</f>
        <v>0</v>
      </c>
      <c r="L877" s="12"/>
      <c r="N877" s="11"/>
      <c r="P877"/>
      <c r="Q877"/>
      <c r="W877" s="28"/>
      <c r="AA877"/>
    </row>
    <row r="878" spans="1:27" x14ac:dyDescent="0.45">
      <c r="A878" s="57">
        <v>1511</v>
      </c>
      <c r="B878" t="s">
        <v>2506</v>
      </c>
      <c r="C878" t="s">
        <v>2507</v>
      </c>
      <c r="D878" s="12">
        <v>46303</v>
      </c>
      <c r="E878" s="11">
        <v>80</v>
      </c>
      <c r="F878" s="11" t="s">
        <v>5404</v>
      </c>
      <c r="G878">
        <v>20250401</v>
      </c>
      <c r="I878" s="11" t="s">
        <v>63</v>
      </c>
      <c r="J878" s="72">
        <v>584323</v>
      </c>
      <c r="K878" s="99">
        <f>_xlfn.XLOOKUP(_2__ROI_Daily_Update[[#This Row],[CSM id]],SHP!F:F,SHP!EE:EE,"-")</f>
        <v>0</v>
      </c>
      <c r="L878" s="12"/>
      <c r="N878" s="11"/>
      <c r="P878"/>
      <c r="Q878"/>
      <c r="W878" s="28"/>
      <c r="AA878"/>
    </row>
    <row r="879" spans="1:27" x14ac:dyDescent="0.45">
      <c r="A879" s="57">
        <v>1434</v>
      </c>
      <c r="B879" t="s">
        <v>2504</v>
      </c>
      <c r="C879" t="s">
        <v>2505</v>
      </c>
      <c r="D879" s="12">
        <v>46303</v>
      </c>
      <c r="E879" s="11">
        <v>360</v>
      </c>
      <c r="F879" s="11" t="s">
        <v>5910</v>
      </c>
      <c r="G879">
        <v>20251001</v>
      </c>
      <c r="I879" s="11" t="s">
        <v>63</v>
      </c>
      <c r="J879" s="72">
        <v>90610997</v>
      </c>
      <c r="K879" s="99">
        <f>_xlfn.XLOOKUP(_2__ROI_Daily_Update[[#This Row],[CSM id]],SHP!F:F,SHP!EE:EE,"-")</f>
        <v>0</v>
      </c>
      <c r="L879" s="12"/>
      <c r="N879" s="11"/>
      <c r="P879"/>
      <c r="Q879"/>
      <c r="W879" s="28"/>
      <c r="AA879"/>
    </row>
    <row r="880" spans="1:27" x14ac:dyDescent="0.45">
      <c r="A880" s="57">
        <v>1082</v>
      </c>
      <c r="B880" t="s">
        <v>1331</v>
      </c>
      <c r="C880" t="s">
        <v>1332</v>
      </c>
      <c r="D880" s="12">
        <v>46303</v>
      </c>
      <c r="E880" s="11">
        <v>6</v>
      </c>
      <c r="F880" s="11" t="s">
        <v>5906</v>
      </c>
      <c r="G880">
        <v>20240401</v>
      </c>
      <c r="I880" s="11" t="s">
        <v>63</v>
      </c>
      <c r="J880" s="72">
        <v>40573898</v>
      </c>
      <c r="K880" s="99">
        <f>_xlfn.XLOOKUP(_2__ROI_Daily_Update[[#This Row],[CSM id]],SHP!F:F,SHP!EE:EE,"-")</f>
        <v>0</v>
      </c>
      <c r="L880" s="12"/>
      <c r="N880" s="11"/>
      <c r="P880"/>
      <c r="Q880"/>
      <c r="W880" s="28"/>
      <c r="AA880"/>
    </row>
    <row r="881" spans="1:27" x14ac:dyDescent="0.45">
      <c r="A881" s="57">
        <v>621</v>
      </c>
      <c r="B881" t="s">
        <v>506</v>
      </c>
      <c r="C881" t="s">
        <v>507</v>
      </c>
      <c r="D881" s="12">
        <v>46303</v>
      </c>
      <c r="E881" s="11">
        <v>10</v>
      </c>
      <c r="F881" s="11" t="s">
        <v>5905</v>
      </c>
      <c r="G881">
        <v>20250701</v>
      </c>
      <c r="H881" s="12">
        <v>46388</v>
      </c>
      <c r="I881" s="11" t="s">
        <v>63</v>
      </c>
      <c r="J881" s="72">
        <v>50605460</v>
      </c>
      <c r="K881" s="99">
        <f>_xlfn.XLOOKUP(_2__ROI_Daily_Update[[#This Row],[CSM id]],SHP!F:F,SHP!EE:EE,"-")</f>
        <v>0</v>
      </c>
      <c r="L881" s="12"/>
      <c r="N881" s="11"/>
      <c r="P881"/>
      <c r="Q881"/>
      <c r="W881" s="28"/>
      <c r="AA881"/>
    </row>
    <row r="882" spans="1:27" x14ac:dyDescent="0.45">
      <c r="A882" s="57">
        <v>1434</v>
      </c>
      <c r="B882" t="s">
        <v>2498</v>
      </c>
      <c r="C882" t="s">
        <v>2499</v>
      </c>
      <c r="D882" s="12">
        <v>46303</v>
      </c>
      <c r="E882" s="11">
        <v>192</v>
      </c>
      <c r="F882" s="11" t="s">
        <v>5409</v>
      </c>
      <c r="G882">
        <v>20240101</v>
      </c>
      <c r="I882" s="11" t="s">
        <v>63</v>
      </c>
      <c r="J882" s="72">
        <v>70572816</v>
      </c>
      <c r="K882" s="99">
        <f>_xlfn.XLOOKUP(_2__ROI_Daily_Update[[#This Row],[CSM id]],SHP!F:F,SHP!EE:EE,"-")</f>
        <v>0</v>
      </c>
      <c r="L882" s="12"/>
      <c r="N882" s="11"/>
      <c r="P882"/>
      <c r="Q882"/>
      <c r="W882" s="28"/>
      <c r="AA882"/>
    </row>
    <row r="883" spans="1:27" x14ac:dyDescent="0.45">
      <c r="A883" s="57">
        <v>1434</v>
      </c>
      <c r="B883" t="s">
        <v>2492</v>
      </c>
      <c r="C883" t="s">
        <v>2493</v>
      </c>
      <c r="D883" s="12">
        <v>46303</v>
      </c>
      <c r="E883" s="11">
        <v>136</v>
      </c>
      <c r="F883" s="11" t="s">
        <v>5264</v>
      </c>
      <c r="G883">
        <v>20240101</v>
      </c>
      <c r="I883" s="11" t="s">
        <v>18</v>
      </c>
      <c r="J883" s="72">
        <v>50572817</v>
      </c>
      <c r="K883" s="99">
        <f>_xlfn.XLOOKUP(_2__ROI_Daily_Update[[#This Row],[CSM id]],SHP!F:F,SHP!EE:EE,"-")</f>
        <v>0</v>
      </c>
      <c r="L883" s="12"/>
      <c r="N883" s="11"/>
      <c r="P883"/>
      <c r="Q883"/>
      <c r="W883" s="28"/>
      <c r="AA883"/>
    </row>
    <row r="884" spans="1:27" x14ac:dyDescent="0.45">
      <c r="A884" s="57">
        <v>1434</v>
      </c>
      <c r="B884" t="s">
        <v>2490</v>
      </c>
      <c r="C884" t="s">
        <v>2491</v>
      </c>
      <c r="D884" s="12">
        <v>46303</v>
      </c>
      <c r="E884" s="11">
        <v>168</v>
      </c>
      <c r="F884" s="11" t="s">
        <v>5909</v>
      </c>
      <c r="G884">
        <v>20240101</v>
      </c>
      <c r="I884" s="11" t="s">
        <v>18</v>
      </c>
      <c r="J884" s="72">
        <v>40572808</v>
      </c>
      <c r="K884" s="99">
        <f>_xlfn.XLOOKUP(_2__ROI_Daily_Update[[#This Row],[CSM id]],SHP!F:F,SHP!EE:EE,"-")</f>
        <v>0</v>
      </c>
      <c r="L884" s="12"/>
      <c r="N884" s="11"/>
      <c r="P884"/>
      <c r="Q884"/>
      <c r="W884" s="28"/>
      <c r="AA884"/>
    </row>
    <row r="885" spans="1:27" x14ac:dyDescent="0.45">
      <c r="A885" s="57">
        <v>1434</v>
      </c>
      <c r="B885" t="s">
        <v>2488</v>
      </c>
      <c r="C885" t="s">
        <v>2489</v>
      </c>
      <c r="D885" s="12">
        <v>46303</v>
      </c>
      <c r="E885" s="11">
        <v>24</v>
      </c>
      <c r="F885" s="11" t="s">
        <v>5910</v>
      </c>
      <c r="G885">
        <v>20260401</v>
      </c>
      <c r="I885" s="11" t="s">
        <v>63</v>
      </c>
      <c r="J885" s="72">
        <v>30618576</v>
      </c>
      <c r="K885" s="99">
        <f>_xlfn.XLOOKUP(_2__ROI_Daily_Update[[#This Row],[CSM id]],SHP!F:F,SHP!EE:EE,"-")</f>
        <v>0</v>
      </c>
      <c r="L885" s="12"/>
      <c r="N885" s="11"/>
      <c r="P885"/>
      <c r="Q885"/>
      <c r="W885" s="28"/>
      <c r="AA885"/>
    </row>
    <row r="886" spans="1:27" x14ac:dyDescent="0.45">
      <c r="A886" s="57">
        <v>621</v>
      </c>
      <c r="B886" t="s">
        <v>504</v>
      </c>
      <c r="C886" t="s">
        <v>505</v>
      </c>
      <c r="D886" s="12">
        <v>46303</v>
      </c>
      <c r="E886" s="11">
        <v>81</v>
      </c>
      <c r="F886" s="11" t="s">
        <v>5906</v>
      </c>
      <c r="G886">
        <v>20210201</v>
      </c>
      <c r="I886" s="11" t="s">
        <v>63</v>
      </c>
      <c r="J886" s="72">
        <v>493002</v>
      </c>
      <c r="K886" s="99">
        <f>_xlfn.XLOOKUP(_2__ROI_Daily_Update[[#This Row],[CSM id]],SHP!F:F,SHP!EE:EE,"-")</f>
        <v>0</v>
      </c>
      <c r="L886" s="12"/>
      <c r="N886" s="11"/>
      <c r="P886"/>
      <c r="Q886"/>
      <c r="W886" s="28"/>
      <c r="AA886"/>
    </row>
    <row r="887" spans="1:27" x14ac:dyDescent="0.45">
      <c r="A887" s="57">
        <v>1811</v>
      </c>
      <c r="B887" t="s">
        <v>3309</v>
      </c>
      <c r="C887" t="s">
        <v>3310</v>
      </c>
      <c r="D887" s="12">
        <v>46303</v>
      </c>
      <c r="E887" s="11">
        <v>8</v>
      </c>
      <c r="F887" s="11" t="s">
        <v>5910</v>
      </c>
      <c r="G887">
        <v>20260801</v>
      </c>
      <c r="H887" s="12">
        <v>46478</v>
      </c>
      <c r="I887" s="11" t="s">
        <v>63</v>
      </c>
      <c r="J887" s="72">
        <v>628812</v>
      </c>
      <c r="K887" s="99">
        <f>_xlfn.XLOOKUP(_2__ROI_Daily_Update[[#This Row],[CSM id]],SHP!F:F,SHP!EE:EE,"-")</f>
        <v>0</v>
      </c>
      <c r="L887" s="12"/>
      <c r="N887" s="11"/>
      <c r="P887"/>
      <c r="Q887"/>
      <c r="W887" s="28"/>
      <c r="AA887"/>
    </row>
    <row r="888" spans="1:27" x14ac:dyDescent="0.45">
      <c r="A888" s="57">
        <v>1832</v>
      </c>
      <c r="B888" t="s">
        <v>3620</v>
      </c>
      <c r="C888" t="s">
        <v>3621</v>
      </c>
      <c r="D888" s="12">
        <v>46303</v>
      </c>
      <c r="E888" s="11">
        <v>108</v>
      </c>
      <c r="F888" s="11" t="s">
        <v>5905</v>
      </c>
      <c r="G888">
        <v>20260101</v>
      </c>
      <c r="I888" s="11" t="s">
        <v>63</v>
      </c>
      <c r="J888" s="72">
        <v>80609635</v>
      </c>
      <c r="K888" s="99">
        <f>_xlfn.XLOOKUP(_2__ROI_Daily_Update[[#This Row],[CSM id]],SHP!F:F,SHP!EE:EE,"-")</f>
        <v>0</v>
      </c>
      <c r="L888" s="12"/>
      <c r="N888" s="11"/>
      <c r="P888"/>
      <c r="Q888"/>
      <c r="W888" s="28"/>
      <c r="AA888"/>
    </row>
    <row r="889" spans="1:27" x14ac:dyDescent="0.45">
      <c r="A889" s="57">
        <v>361</v>
      </c>
      <c r="B889" t="s">
        <v>412</v>
      </c>
      <c r="C889" t="s">
        <v>413</v>
      </c>
      <c r="D889" s="12">
        <v>46303</v>
      </c>
      <c r="E889" s="11">
        <v>18</v>
      </c>
      <c r="F889" s="11" t="s">
        <v>5905</v>
      </c>
      <c r="G889">
        <v>20260701</v>
      </c>
      <c r="H889" s="12">
        <v>46388</v>
      </c>
      <c r="I889" s="11" t="s">
        <v>63</v>
      </c>
      <c r="J889" s="72">
        <v>40636424</v>
      </c>
      <c r="K889" s="99">
        <f>_xlfn.XLOOKUP(_2__ROI_Daily_Update[[#This Row],[CSM id]],SHP!F:F,SHP!EE:EE,"-")</f>
        <v>0</v>
      </c>
      <c r="L889" s="12"/>
      <c r="N889" s="11"/>
      <c r="P889"/>
      <c r="Q889"/>
      <c r="W889" s="28"/>
      <c r="AA889"/>
    </row>
    <row r="890" spans="1:27" x14ac:dyDescent="0.45">
      <c r="A890" s="57">
        <v>1645</v>
      </c>
      <c r="B890" t="s">
        <v>3279</v>
      </c>
      <c r="C890" t="s">
        <v>3280</v>
      </c>
      <c r="D890" s="12">
        <v>46303</v>
      </c>
      <c r="E890" s="11">
        <v>133</v>
      </c>
      <c r="F890" s="11" t="s">
        <v>5910</v>
      </c>
      <c r="G890">
        <v>20221001</v>
      </c>
      <c r="I890" s="11" t="s">
        <v>63</v>
      </c>
      <c r="J890" s="72">
        <v>50534340</v>
      </c>
      <c r="K890" s="99">
        <f>_xlfn.XLOOKUP(_2__ROI_Daily_Update[[#This Row],[CSM id]],SHP!F:F,SHP!EE:EE,"-")</f>
        <v>0</v>
      </c>
      <c r="L890" s="12"/>
      <c r="N890" s="11"/>
      <c r="P890"/>
      <c r="Q890"/>
      <c r="W890" s="28"/>
      <c r="AA890"/>
    </row>
    <row r="891" spans="1:27" x14ac:dyDescent="0.45">
      <c r="A891" s="57">
        <v>1645</v>
      </c>
      <c r="B891" t="s">
        <v>3281</v>
      </c>
      <c r="C891" t="s">
        <v>3282</v>
      </c>
      <c r="D891" s="12">
        <v>46303</v>
      </c>
      <c r="E891" s="11">
        <v>70</v>
      </c>
      <c r="F891" s="11" t="s">
        <v>5906</v>
      </c>
      <c r="G891">
        <v>20260401</v>
      </c>
      <c r="H891" s="12">
        <v>46569</v>
      </c>
      <c r="I891" s="11" t="s">
        <v>63</v>
      </c>
      <c r="J891" s="72">
        <v>60608571</v>
      </c>
      <c r="K891" s="99">
        <f>_xlfn.XLOOKUP(_2__ROI_Daily_Update[[#This Row],[CSM id]],SHP!F:F,SHP!EE:EE,"-")</f>
        <v>0</v>
      </c>
      <c r="L891" s="12"/>
      <c r="N891" s="11"/>
      <c r="P891"/>
      <c r="Q891"/>
      <c r="W891" s="28"/>
      <c r="AA891"/>
    </row>
    <row r="892" spans="1:27" x14ac:dyDescent="0.45">
      <c r="A892" s="57">
        <v>1521</v>
      </c>
      <c r="B892" t="s">
        <v>2676</v>
      </c>
      <c r="C892" t="s">
        <v>2677</v>
      </c>
      <c r="D892" s="12">
        <v>46303</v>
      </c>
      <c r="E892" s="11">
        <v>200</v>
      </c>
      <c r="F892" s="11" t="s">
        <v>5264</v>
      </c>
      <c r="G892">
        <v>20140801</v>
      </c>
      <c r="I892" s="11" t="s">
        <v>18</v>
      </c>
      <c r="J892" s="72">
        <v>20137851</v>
      </c>
      <c r="K892" s="99">
        <f>_xlfn.XLOOKUP(_2__ROI_Daily_Update[[#This Row],[CSM id]],SHP!F:F,SHP!EE:EE,"-")</f>
        <v>0</v>
      </c>
      <c r="L892" s="12"/>
      <c r="N892" s="11"/>
      <c r="P892"/>
      <c r="Q892"/>
      <c r="W892" s="28"/>
      <c r="AA892"/>
    </row>
    <row r="893" spans="1:27" x14ac:dyDescent="0.45">
      <c r="A893" s="57">
        <v>1021</v>
      </c>
      <c r="B893" t="s">
        <v>1228</v>
      </c>
      <c r="C893" t="s">
        <v>1229</v>
      </c>
      <c r="D893" s="12">
        <v>46303</v>
      </c>
      <c r="E893" s="11">
        <v>56</v>
      </c>
      <c r="F893" s="11" t="s">
        <v>5905</v>
      </c>
      <c r="G893">
        <v>20140801</v>
      </c>
      <c r="I893" s="11" t="s">
        <v>63</v>
      </c>
      <c r="J893" s="72">
        <v>60283510</v>
      </c>
      <c r="K893" s="99">
        <f>_xlfn.XLOOKUP(_2__ROI_Daily_Update[[#This Row],[CSM id]],SHP!F:F,SHP!EE:EE,"-")</f>
        <v>0</v>
      </c>
      <c r="L893" s="12"/>
      <c r="N893" s="11"/>
      <c r="P893"/>
      <c r="Q893"/>
      <c r="W893" s="28"/>
      <c r="AA893"/>
    </row>
    <row r="894" spans="1:27" x14ac:dyDescent="0.45">
      <c r="A894" s="57">
        <v>1021</v>
      </c>
      <c r="B894" t="s">
        <v>1230</v>
      </c>
      <c r="C894" t="s">
        <v>1231</v>
      </c>
      <c r="D894" s="12">
        <v>46303</v>
      </c>
      <c r="E894" s="11">
        <v>240</v>
      </c>
      <c r="F894" s="11" t="s">
        <v>5906</v>
      </c>
      <c r="G894">
        <v>20260101</v>
      </c>
      <c r="H894" s="12">
        <v>46478</v>
      </c>
      <c r="I894" s="11" t="s">
        <v>63</v>
      </c>
      <c r="J894" s="72">
        <v>60409581</v>
      </c>
      <c r="K894" s="99">
        <f>_xlfn.XLOOKUP(_2__ROI_Daily_Update[[#This Row],[CSM id]],SHP!F:F,SHP!EE:EE,"-")</f>
        <v>0</v>
      </c>
      <c r="L894" s="12"/>
      <c r="N894" s="11"/>
      <c r="P894"/>
      <c r="Q894"/>
      <c r="W894" s="28"/>
      <c r="AA894"/>
    </row>
    <row r="895" spans="1:27" x14ac:dyDescent="0.45">
      <c r="A895" s="57">
        <v>983</v>
      </c>
      <c r="B895" t="s">
        <v>984</v>
      </c>
      <c r="C895" t="s">
        <v>985</v>
      </c>
      <c r="D895" s="12">
        <v>46303</v>
      </c>
      <c r="E895" s="11">
        <v>780</v>
      </c>
      <c r="F895" s="11" t="s">
        <v>5409</v>
      </c>
      <c r="G895">
        <v>20211001</v>
      </c>
      <c r="I895" s="11" t="s">
        <v>63</v>
      </c>
      <c r="J895" s="72">
        <v>40517911</v>
      </c>
      <c r="K895" s="99">
        <f>_xlfn.XLOOKUP(_2__ROI_Daily_Update[[#This Row],[CSM id]],SHP!F:F,SHP!EE:EE,"-")</f>
        <v>0</v>
      </c>
      <c r="L895" s="12"/>
      <c r="N895" s="11"/>
      <c r="P895"/>
      <c r="Q895"/>
      <c r="W895" s="28"/>
      <c r="AA895"/>
    </row>
    <row r="896" spans="1:27" x14ac:dyDescent="0.45">
      <c r="A896" s="57">
        <v>1521</v>
      </c>
      <c r="B896" t="s">
        <v>2670</v>
      </c>
      <c r="C896" t="s">
        <v>2671</v>
      </c>
      <c r="D896" s="12">
        <v>46303</v>
      </c>
      <c r="E896" s="11">
        <v>18</v>
      </c>
      <c r="F896" s="11" t="s">
        <v>5409</v>
      </c>
      <c r="G896">
        <v>20250401</v>
      </c>
      <c r="I896" s="11" t="s">
        <v>63</v>
      </c>
      <c r="J896" s="72">
        <v>592441</v>
      </c>
      <c r="K896" s="99">
        <f>_xlfn.XLOOKUP(_2__ROI_Daily_Update[[#This Row],[CSM id]],SHP!F:F,SHP!EE:EE,"-")</f>
        <v>0</v>
      </c>
      <c r="L896" s="12"/>
      <c r="N896" s="11"/>
      <c r="P896"/>
      <c r="Q896"/>
      <c r="W896" s="28"/>
      <c r="AA896"/>
    </row>
    <row r="897" spans="1:27" x14ac:dyDescent="0.45">
      <c r="A897" s="57">
        <v>1521</v>
      </c>
      <c r="B897" t="s">
        <v>2668</v>
      </c>
      <c r="C897" t="s">
        <v>2669</v>
      </c>
      <c r="D897" s="12">
        <v>46303</v>
      </c>
      <c r="E897" s="11">
        <v>120</v>
      </c>
      <c r="F897" s="11" t="s">
        <v>5404</v>
      </c>
      <c r="G897">
        <v>20180201</v>
      </c>
      <c r="I897" s="11" t="s">
        <v>63</v>
      </c>
      <c r="J897" s="72">
        <v>309301</v>
      </c>
      <c r="K897" s="99">
        <f>_xlfn.XLOOKUP(_2__ROI_Daily_Update[[#This Row],[CSM id]],SHP!F:F,SHP!EE:EE,"-")</f>
        <v>0</v>
      </c>
      <c r="L897" s="12"/>
      <c r="N897" s="11"/>
      <c r="P897"/>
      <c r="Q897"/>
      <c r="W897" s="28"/>
      <c r="AA897"/>
    </row>
    <row r="898" spans="1:27" x14ac:dyDescent="0.45">
      <c r="A898" s="57">
        <v>1512</v>
      </c>
      <c r="B898" t="s">
        <v>2666</v>
      </c>
      <c r="C898" t="s">
        <v>2667</v>
      </c>
      <c r="D898" s="12">
        <v>46303</v>
      </c>
      <c r="E898" s="11">
        <v>6</v>
      </c>
      <c r="F898" s="11" t="s">
        <v>5409</v>
      </c>
      <c r="G898">
        <v>20261001</v>
      </c>
      <c r="H898" s="12">
        <v>46388</v>
      </c>
      <c r="I898" s="11" t="s">
        <v>63</v>
      </c>
      <c r="J898" s="72">
        <v>80642649</v>
      </c>
      <c r="K898" s="99">
        <f>_xlfn.XLOOKUP(_2__ROI_Daily_Update[[#This Row],[CSM id]],SHP!F:F,SHP!EE:EE,"-")</f>
        <v>0</v>
      </c>
      <c r="L898" s="12"/>
      <c r="N898" s="11"/>
      <c r="P898"/>
      <c r="Q898"/>
      <c r="W898" s="28"/>
      <c r="AA898"/>
    </row>
    <row r="899" spans="1:27" x14ac:dyDescent="0.45">
      <c r="A899" s="57">
        <v>361</v>
      </c>
      <c r="B899" t="s">
        <v>420</v>
      </c>
      <c r="C899" t="s">
        <v>421</v>
      </c>
      <c r="D899" s="12">
        <v>46303</v>
      </c>
      <c r="E899" s="11">
        <v>85</v>
      </c>
      <c r="F899" s="11" t="s">
        <v>5907</v>
      </c>
      <c r="G899">
        <v>20200801</v>
      </c>
      <c r="I899" s="11" t="s">
        <v>63</v>
      </c>
      <c r="J899" s="72">
        <v>90489388</v>
      </c>
      <c r="K899" s="99">
        <f>_xlfn.XLOOKUP(_2__ROI_Daily_Update[[#This Row],[CSM id]],SHP!F:F,SHP!EE:EE,"-")</f>
        <v>0</v>
      </c>
      <c r="L899" s="12"/>
      <c r="N899" s="11"/>
      <c r="P899"/>
      <c r="Q899"/>
      <c r="W899" s="28"/>
      <c r="AA899"/>
    </row>
    <row r="900" spans="1:27" x14ac:dyDescent="0.45">
      <c r="A900" s="57">
        <v>1512</v>
      </c>
      <c r="B900" t="s">
        <v>2662</v>
      </c>
      <c r="C900" t="s">
        <v>2663</v>
      </c>
      <c r="D900" s="12">
        <v>46303</v>
      </c>
      <c r="E900" s="11">
        <v>90</v>
      </c>
      <c r="F900" s="11" t="s">
        <v>5264</v>
      </c>
      <c r="G900">
        <v>20160401</v>
      </c>
      <c r="I900" s="11" t="s">
        <v>18</v>
      </c>
      <c r="J900" s="72">
        <v>80289238</v>
      </c>
      <c r="K900" s="99">
        <f>_xlfn.XLOOKUP(_2__ROI_Daily_Update[[#This Row],[CSM id]],SHP!F:F,SHP!EE:EE,"-")</f>
        <v>0</v>
      </c>
      <c r="L900" s="12"/>
      <c r="N900" s="11"/>
      <c r="P900"/>
      <c r="Q900"/>
      <c r="W900" s="28"/>
      <c r="AA900"/>
    </row>
    <row r="901" spans="1:27" x14ac:dyDescent="0.45">
      <c r="A901" s="57">
        <v>1645</v>
      </c>
      <c r="B901" t="s">
        <v>3293</v>
      </c>
      <c r="C901" t="s">
        <v>3294</v>
      </c>
      <c r="D901" s="12">
        <v>46303</v>
      </c>
      <c r="E901" s="11">
        <v>75</v>
      </c>
      <c r="F901" s="11" t="s">
        <v>5905</v>
      </c>
      <c r="G901">
        <v>20260401</v>
      </c>
      <c r="I901" s="11" t="s">
        <v>63</v>
      </c>
      <c r="J901" s="72">
        <v>90632287</v>
      </c>
      <c r="K901" s="99">
        <f>_xlfn.XLOOKUP(_2__ROI_Daily_Update[[#This Row],[CSM id]],SHP!F:F,SHP!EE:EE,"-")</f>
        <v>0</v>
      </c>
      <c r="L901" s="12"/>
      <c r="N901" s="11"/>
      <c r="P901"/>
      <c r="Q901"/>
      <c r="W901" s="28"/>
      <c r="AA901"/>
    </row>
    <row r="902" spans="1:27" x14ac:dyDescent="0.45">
      <c r="A902" s="57">
        <v>1831</v>
      </c>
      <c r="B902" t="s">
        <v>3590</v>
      </c>
      <c r="C902" t="s">
        <v>3591</v>
      </c>
      <c r="D902" s="12">
        <v>46303</v>
      </c>
      <c r="E902" s="11">
        <v>22</v>
      </c>
      <c r="F902" s="11" t="s">
        <v>5907</v>
      </c>
      <c r="G902">
        <v>20140801</v>
      </c>
      <c r="I902" s="11" t="s">
        <v>63</v>
      </c>
      <c r="J902" s="72">
        <v>30179464</v>
      </c>
      <c r="K902" s="99">
        <f>_xlfn.XLOOKUP(_2__ROI_Daily_Update[[#This Row],[CSM id]],SHP!F:F,SHP!EE:EE,"-")</f>
        <v>0</v>
      </c>
      <c r="L902" s="12"/>
      <c r="N902" s="11"/>
      <c r="P902"/>
      <c r="Q902"/>
      <c r="W902" s="28"/>
      <c r="AA902"/>
    </row>
    <row r="903" spans="1:27" x14ac:dyDescent="0.45">
      <c r="A903" s="57">
        <v>1021</v>
      </c>
      <c r="B903" t="s">
        <v>1206</v>
      </c>
      <c r="C903" t="s">
        <v>1207</v>
      </c>
      <c r="D903" s="12">
        <v>46303</v>
      </c>
      <c r="E903" s="11">
        <v>56</v>
      </c>
      <c r="F903" s="11" t="s">
        <v>5905</v>
      </c>
      <c r="G903">
        <v>20251001</v>
      </c>
      <c r="I903" s="11" t="s">
        <v>63</v>
      </c>
      <c r="J903" s="72">
        <v>20625214</v>
      </c>
      <c r="K903" s="99">
        <f>_xlfn.XLOOKUP(_2__ROI_Daily_Update[[#This Row],[CSM id]],SHP!F:F,SHP!EE:EE,"-")</f>
        <v>0</v>
      </c>
      <c r="L903" s="12"/>
      <c r="N903" s="11"/>
      <c r="P903"/>
      <c r="Q903"/>
      <c r="W903" s="28"/>
      <c r="AA903"/>
    </row>
    <row r="904" spans="1:27" x14ac:dyDescent="0.45">
      <c r="A904" s="57">
        <v>343</v>
      </c>
      <c r="B904" t="s">
        <v>384</v>
      </c>
      <c r="C904" t="s">
        <v>385</v>
      </c>
      <c r="D904" s="12">
        <v>46303</v>
      </c>
      <c r="E904" s="11">
        <v>214</v>
      </c>
      <c r="F904" s="11" t="s">
        <v>5905</v>
      </c>
      <c r="G904">
        <v>20260401</v>
      </c>
      <c r="I904" s="11" t="s">
        <v>63</v>
      </c>
      <c r="J904" s="72">
        <v>80619903</v>
      </c>
      <c r="K904" s="99">
        <f>_xlfn.XLOOKUP(_2__ROI_Daily_Update[[#This Row],[CSM id]],SHP!F:F,SHP!EE:EE,"-")</f>
        <v>0</v>
      </c>
      <c r="L904" s="12"/>
      <c r="N904" s="11"/>
      <c r="P904"/>
      <c r="Q904"/>
      <c r="W904" s="28"/>
      <c r="AA904"/>
    </row>
    <row r="905" spans="1:27" x14ac:dyDescent="0.45">
      <c r="A905" s="57">
        <v>361</v>
      </c>
      <c r="B905" t="s">
        <v>418</v>
      </c>
      <c r="C905" t="s">
        <v>419</v>
      </c>
      <c r="D905" s="12">
        <v>46303</v>
      </c>
      <c r="E905" s="11">
        <v>432</v>
      </c>
      <c r="F905" s="11" t="s">
        <v>5910</v>
      </c>
      <c r="G905">
        <v>20240401</v>
      </c>
      <c r="I905" s="11" t="s">
        <v>63</v>
      </c>
      <c r="J905" s="72">
        <v>80573189</v>
      </c>
      <c r="K905" s="99">
        <f>_xlfn.XLOOKUP(_2__ROI_Daily_Update[[#This Row],[CSM id]],SHP!F:F,SHP!EE:EE,"-")</f>
        <v>0</v>
      </c>
      <c r="L905" s="12"/>
      <c r="N905" s="11"/>
      <c r="P905"/>
      <c r="Q905"/>
      <c r="W905" s="28"/>
      <c r="AA905"/>
    </row>
    <row r="906" spans="1:27" x14ac:dyDescent="0.45">
      <c r="A906" s="57">
        <v>1021</v>
      </c>
      <c r="B906" t="s">
        <v>1232</v>
      </c>
      <c r="C906" t="s">
        <v>1233</v>
      </c>
      <c r="D906" s="12">
        <v>46303</v>
      </c>
      <c r="E906" s="11">
        <v>20</v>
      </c>
      <c r="F906" s="11" t="s">
        <v>5905</v>
      </c>
      <c r="G906">
        <v>20261001</v>
      </c>
      <c r="I906" s="11" t="s">
        <v>63</v>
      </c>
      <c r="J906" s="72">
        <v>60628376</v>
      </c>
      <c r="K906" s="99">
        <f>_xlfn.XLOOKUP(_2__ROI_Daily_Update[[#This Row],[CSM id]],SHP!F:F,SHP!EE:EE,"-")</f>
        <v>0</v>
      </c>
      <c r="L906" s="12"/>
      <c r="N906" s="11"/>
      <c r="P906"/>
      <c r="Q906"/>
      <c r="W906" s="28"/>
      <c r="AA906"/>
    </row>
    <row r="907" spans="1:27" x14ac:dyDescent="0.45">
      <c r="A907" s="57">
        <v>1512</v>
      </c>
      <c r="B907" t="s">
        <v>2648</v>
      </c>
      <c r="C907" t="s">
        <v>2649</v>
      </c>
      <c r="D907" s="12">
        <v>46303</v>
      </c>
      <c r="E907" s="11">
        <v>216</v>
      </c>
      <c r="F907" s="11" t="s">
        <v>5409</v>
      </c>
      <c r="G907">
        <v>20141201</v>
      </c>
      <c r="I907" s="11" t="s">
        <v>63</v>
      </c>
      <c r="J907" s="72">
        <v>20179624</v>
      </c>
      <c r="K907" s="99">
        <f>_xlfn.XLOOKUP(_2__ROI_Daily_Update[[#This Row],[CSM id]],SHP!F:F,SHP!EE:EE,"-")</f>
        <v>0</v>
      </c>
      <c r="L907" s="12"/>
      <c r="N907" s="11"/>
      <c r="P907"/>
      <c r="Q907"/>
      <c r="W907" s="28"/>
      <c r="AA907"/>
    </row>
    <row r="908" spans="1:27" x14ac:dyDescent="0.45">
      <c r="A908" s="57">
        <v>371</v>
      </c>
      <c r="B908" t="s">
        <v>431</v>
      </c>
      <c r="C908" t="s">
        <v>432</v>
      </c>
      <c r="D908" s="12">
        <v>46303</v>
      </c>
      <c r="E908" s="11">
        <v>39</v>
      </c>
      <c r="F908" s="11" t="s">
        <v>5905</v>
      </c>
      <c r="G908">
        <v>20251001</v>
      </c>
      <c r="I908" s="11" t="s">
        <v>63</v>
      </c>
      <c r="J908" s="72">
        <v>50613064</v>
      </c>
      <c r="K908" s="99">
        <f>_xlfn.XLOOKUP(_2__ROI_Daily_Update[[#This Row],[CSM id]],SHP!F:F,SHP!EE:EE,"-")</f>
        <v>0</v>
      </c>
      <c r="L908" s="12"/>
      <c r="N908" s="11"/>
      <c r="P908"/>
      <c r="Q908"/>
      <c r="W908" s="28"/>
      <c r="AA908"/>
    </row>
    <row r="909" spans="1:27" x14ac:dyDescent="0.45">
      <c r="A909" s="57">
        <v>371</v>
      </c>
      <c r="B909" t="s">
        <v>370</v>
      </c>
      <c r="C909" t="s">
        <v>371</v>
      </c>
      <c r="D909" s="12">
        <v>46303</v>
      </c>
      <c r="E909" s="11">
        <v>3</v>
      </c>
      <c r="F909" s="11" t="s">
        <v>5909</v>
      </c>
      <c r="G909">
        <v>20221001</v>
      </c>
      <c r="I909" s="11" t="s">
        <v>18</v>
      </c>
      <c r="J909" s="72">
        <v>522033</v>
      </c>
      <c r="K909" s="99">
        <f>_xlfn.XLOOKUP(_2__ROI_Daily_Update[[#This Row],[CSM id]],SHP!F:F,SHP!EE:EE,"-")</f>
        <v>0</v>
      </c>
      <c r="L909" s="12"/>
      <c r="N909" s="11"/>
      <c r="P909"/>
      <c r="Q909"/>
      <c r="W909" s="28"/>
      <c r="AA909"/>
    </row>
    <row r="910" spans="1:27" x14ac:dyDescent="0.45">
      <c r="A910" s="57">
        <v>983</v>
      </c>
      <c r="B910" t="s">
        <v>998</v>
      </c>
      <c r="C910" t="s">
        <v>999</v>
      </c>
      <c r="D910" s="12">
        <v>46303</v>
      </c>
      <c r="E910" s="11">
        <v>180</v>
      </c>
      <c r="F910" s="11" t="s">
        <v>5910</v>
      </c>
      <c r="G910">
        <v>20250701</v>
      </c>
      <c r="I910" s="11" t="s">
        <v>63</v>
      </c>
      <c r="J910" s="72">
        <v>70607142</v>
      </c>
      <c r="K910" s="99">
        <f>_xlfn.XLOOKUP(_2__ROI_Daily_Update[[#This Row],[CSM id]],SHP!F:F,SHP!EE:EE,"-")</f>
        <v>0</v>
      </c>
      <c r="L910" s="12"/>
      <c r="N910" s="11"/>
      <c r="P910"/>
      <c r="Q910"/>
      <c r="W910" s="28"/>
      <c r="AA910"/>
    </row>
    <row r="911" spans="1:27" x14ac:dyDescent="0.45">
      <c r="A911" s="57">
        <v>1021</v>
      </c>
      <c r="B911" t="s">
        <v>1236</v>
      </c>
      <c r="C911" t="s">
        <v>1237</v>
      </c>
      <c r="D911" s="12">
        <v>46303</v>
      </c>
      <c r="E911" s="11">
        <v>56</v>
      </c>
      <c r="F911" s="11" t="s">
        <v>5905</v>
      </c>
      <c r="G911">
        <v>20251001</v>
      </c>
      <c r="I911" s="11" t="s">
        <v>63</v>
      </c>
      <c r="J911" s="72">
        <v>90625220</v>
      </c>
      <c r="K911" s="99">
        <f>_xlfn.XLOOKUP(_2__ROI_Daily_Update[[#This Row],[CSM id]],SHP!F:F,SHP!EE:EE,"-")</f>
        <v>0</v>
      </c>
      <c r="L911" s="12"/>
      <c r="N911" s="11"/>
      <c r="P911"/>
      <c r="Q911"/>
      <c r="W911" s="28"/>
      <c r="AA911"/>
    </row>
    <row r="912" spans="1:27" x14ac:dyDescent="0.45">
      <c r="A912" s="57">
        <v>1521</v>
      </c>
      <c r="B912" t="s">
        <v>2682</v>
      </c>
      <c r="C912" t="s">
        <v>2683</v>
      </c>
      <c r="D912" s="12">
        <v>46303</v>
      </c>
      <c r="E912" s="11">
        <v>115</v>
      </c>
      <c r="F912" s="11" t="s">
        <v>5264</v>
      </c>
      <c r="G912">
        <v>20160801</v>
      </c>
      <c r="I912" s="11" t="s">
        <v>18</v>
      </c>
      <c r="J912" s="72">
        <v>40137812</v>
      </c>
      <c r="K912" s="99">
        <f>_xlfn.XLOOKUP(_2__ROI_Daily_Update[[#This Row],[CSM id]],SHP!F:F,SHP!EE:EE,"-")</f>
        <v>0</v>
      </c>
      <c r="L912" s="12"/>
      <c r="N912" s="11"/>
      <c r="P912"/>
      <c r="Q912"/>
      <c r="W912" s="28"/>
      <c r="AA912"/>
    </row>
    <row r="913" spans="1:27" x14ac:dyDescent="0.45">
      <c r="A913" s="57">
        <v>353</v>
      </c>
      <c r="B913" t="s">
        <v>406</v>
      </c>
      <c r="C913" t="s">
        <v>407</v>
      </c>
      <c r="D913" s="12">
        <v>46303</v>
      </c>
      <c r="E913" s="11">
        <v>5</v>
      </c>
      <c r="F913" s="11" t="s">
        <v>5905</v>
      </c>
      <c r="G913">
        <v>20260701</v>
      </c>
      <c r="I913" s="11" t="s">
        <v>63</v>
      </c>
      <c r="J913" s="72">
        <v>90619672</v>
      </c>
      <c r="K913" s="99">
        <f>_xlfn.XLOOKUP(_2__ROI_Daily_Update[[#This Row],[CSM id]],SHP!F:F,SHP!EE:EE,"-")</f>
        <v>0</v>
      </c>
      <c r="L913" s="12"/>
      <c r="N913" s="11"/>
      <c r="P913"/>
      <c r="Q913"/>
      <c r="W913" s="28"/>
      <c r="AA913"/>
    </row>
    <row r="914" spans="1:27" x14ac:dyDescent="0.45">
      <c r="A914" s="57">
        <v>351</v>
      </c>
      <c r="B914" t="s">
        <v>58</v>
      </c>
      <c r="C914" t="s">
        <v>59</v>
      </c>
      <c r="D914" s="12">
        <v>46303</v>
      </c>
      <c r="E914" s="11">
        <v>16</v>
      </c>
      <c r="F914" s="11" t="s">
        <v>5909</v>
      </c>
      <c r="G914">
        <v>20241001</v>
      </c>
      <c r="I914" s="11" t="s">
        <v>18</v>
      </c>
      <c r="J914" s="72">
        <v>20515593</v>
      </c>
      <c r="K914" s="99">
        <f>_xlfn.XLOOKUP(_2__ROI_Daily_Update[[#This Row],[CSM id]],SHP!F:F,SHP!EE:EE,"-")</f>
        <v>0</v>
      </c>
      <c r="L914" s="12"/>
      <c r="N914" s="11"/>
      <c r="P914"/>
      <c r="Q914"/>
      <c r="W914" s="28"/>
      <c r="AA914"/>
    </row>
    <row r="915" spans="1:27" x14ac:dyDescent="0.45">
      <c r="A915" s="57">
        <v>351</v>
      </c>
      <c r="B915" t="s">
        <v>390</v>
      </c>
      <c r="C915" t="s">
        <v>391</v>
      </c>
      <c r="D915" s="12">
        <v>46303</v>
      </c>
      <c r="E915" s="11">
        <v>35</v>
      </c>
      <c r="F915" s="11" t="s">
        <v>5905</v>
      </c>
      <c r="G915">
        <v>20260701</v>
      </c>
      <c r="I915" s="11" t="s">
        <v>63</v>
      </c>
      <c r="J915" s="72">
        <v>40613451</v>
      </c>
      <c r="K915" s="99">
        <f>_xlfn.XLOOKUP(_2__ROI_Daily_Update[[#This Row],[CSM id]],SHP!F:F,SHP!EE:EE,"-")</f>
        <v>0</v>
      </c>
      <c r="L915" s="12"/>
      <c r="N915" s="11"/>
      <c r="P915"/>
      <c r="Q915"/>
      <c r="W915" s="28"/>
      <c r="AA915"/>
    </row>
    <row r="916" spans="1:27" x14ac:dyDescent="0.45">
      <c r="A916" s="57">
        <v>1644</v>
      </c>
      <c r="B916" t="s">
        <v>3263</v>
      </c>
      <c r="C916" t="s">
        <v>3264</v>
      </c>
      <c r="D916" s="12">
        <v>46303</v>
      </c>
      <c r="E916" s="11">
        <v>12</v>
      </c>
      <c r="F916" s="11" t="s">
        <v>5905</v>
      </c>
      <c r="G916">
        <v>20260101</v>
      </c>
      <c r="I916" s="11" t="s">
        <v>63</v>
      </c>
      <c r="J916" s="72">
        <v>60620484</v>
      </c>
      <c r="K916" s="99">
        <f>_xlfn.XLOOKUP(_2__ROI_Daily_Update[[#This Row],[CSM id]],SHP!F:F,SHP!EE:EE,"-")</f>
        <v>0</v>
      </c>
      <c r="L916" s="12"/>
      <c r="N916" s="11"/>
      <c r="P916"/>
      <c r="Q916"/>
      <c r="W916" s="28"/>
      <c r="AA916"/>
    </row>
    <row r="917" spans="1:27" x14ac:dyDescent="0.45">
      <c r="A917" s="57">
        <v>1021</v>
      </c>
      <c r="B917" t="s">
        <v>1208</v>
      </c>
      <c r="C917" t="s">
        <v>1209</v>
      </c>
      <c r="D917" s="12">
        <v>46303</v>
      </c>
      <c r="E917" s="11">
        <v>80</v>
      </c>
      <c r="F917" s="11" t="s">
        <v>5905</v>
      </c>
      <c r="G917">
        <v>20230101</v>
      </c>
      <c r="I917" s="11" t="s">
        <v>63</v>
      </c>
      <c r="J917" s="72">
        <v>30539188</v>
      </c>
      <c r="K917" s="99">
        <f>_xlfn.XLOOKUP(_2__ROI_Daily_Update[[#This Row],[CSM id]],SHP!F:F,SHP!EE:EE,"-")</f>
        <v>0</v>
      </c>
      <c r="L917" s="12"/>
      <c r="N917" s="11"/>
      <c r="P917"/>
      <c r="Q917"/>
      <c r="W917" s="28"/>
      <c r="AA917"/>
    </row>
    <row r="918" spans="1:27" x14ac:dyDescent="0.45">
      <c r="A918" s="57">
        <v>1021</v>
      </c>
      <c r="B918" t="s">
        <v>1212</v>
      </c>
      <c r="C918" t="s">
        <v>1213</v>
      </c>
      <c r="D918" s="12">
        <v>46303</v>
      </c>
      <c r="E918" s="11">
        <v>240</v>
      </c>
      <c r="F918" s="11" t="s">
        <v>5910</v>
      </c>
      <c r="G918">
        <v>20160401</v>
      </c>
      <c r="H918" s="12">
        <v>46478</v>
      </c>
      <c r="I918" s="11" t="s">
        <v>63</v>
      </c>
      <c r="J918" s="72">
        <v>40300233</v>
      </c>
      <c r="K918" s="99">
        <f>_xlfn.XLOOKUP(_2__ROI_Daily_Update[[#This Row],[CSM id]],SHP!F:F,SHP!EE:EE,"-")</f>
        <v>0</v>
      </c>
      <c r="L918" s="12"/>
      <c r="N918" s="11"/>
      <c r="P918"/>
      <c r="Q918"/>
      <c r="W918" s="28"/>
      <c r="AA918"/>
    </row>
    <row r="919" spans="1:27" x14ac:dyDescent="0.45">
      <c r="A919" s="57">
        <v>1522</v>
      </c>
      <c r="B919" t="s">
        <v>2706</v>
      </c>
      <c r="C919" t="s">
        <v>2707</v>
      </c>
      <c r="D919" s="12">
        <v>46303</v>
      </c>
      <c r="E919" s="11">
        <v>168</v>
      </c>
      <c r="F919" s="11" t="s">
        <v>5264</v>
      </c>
      <c r="G919">
        <v>20141201</v>
      </c>
      <c r="I919" s="11" t="s">
        <v>18</v>
      </c>
      <c r="J919" s="72">
        <v>213558</v>
      </c>
      <c r="K919" s="99">
        <f>_xlfn.XLOOKUP(_2__ROI_Daily_Update[[#This Row],[CSM id]],SHP!F:F,SHP!EE:EE,"-")</f>
        <v>0</v>
      </c>
      <c r="L919" s="12"/>
      <c r="N919" s="11"/>
      <c r="P919"/>
      <c r="Q919"/>
      <c r="W919" s="28"/>
      <c r="AA919"/>
    </row>
    <row r="920" spans="1:27" x14ac:dyDescent="0.45">
      <c r="A920" s="57">
        <v>1852</v>
      </c>
      <c r="B920" t="s">
        <v>3711</v>
      </c>
      <c r="C920" t="s">
        <v>3712</v>
      </c>
      <c r="D920" s="12">
        <v>46303</v>
      </c>
      <c r="E920" s="11">
        <v>12</v>
      </c>
      <c r="F920" s="11" t="s">
        <v>5906</v>
      </c>
      <c r="G920">
        <v>20260101</v>
      </c>
      <c r="I920" s="11" t="s">
        <v>63</v>
      </c>
      <c r="J920" s="72">
        <v>80595394</v>
      </c>
      <c r="K920" s="99">
        <f>_xlfn.XLOOKUP(_2__ROI_Daily_Update[[#This Row],[CSM id]],SHP!F:F,SHP!EE:EE,"-")</f>
        <v>0</v>
      </c>
      <c r="L920" s="12"/>
      <c r="N920" s="11"/>
      <c r="P920"/>
      <c r="Q920"/>
      <c r="W920" s="28"/>
      <c r="AA920"/>
    </row>
    <row r="921" spans="1:27" x14ac:dyDescent="0.45">
      <c r="A921" s="57">
        <v>1521</v>
      </c>
      <c r="B921" t="s">
        <v>2702</v>
      </c>
      <c r="C921" t="s">
        <v>2703</v>
      </c>
      <c r="D921" s="12">
        <v>46303</v>
      </c>
      <c r="E921" s="11">
        <v>568</v>
      </c>
      <c r="F921" s="11" t="s">
        <v>5404</v>
      </c>
      <c r="G921">
        <v>20150401</v>
      </c>
      <c r="I921" s="11" t="s">
        <v>63</v>
      </c>
      <c r="J921" s="72">
        <v>90278362</v>
      </c>
      <c r="K921" s="99">
        <f>_xlfn.XLOOKUP(_2__ROI_Daily_Update[[#This Row],[CSM id]],SHP!F:F,SHP!EE:EE,"-")</f>
        <v>0</v>
      </c>
      <c r="L921" s="12"/>
      <c r="N921" s="11"/>
      <c r="P921"/>
      <c r="Q921"/>
      <c r="W921" s="28"/>
      <c r="AA921"/>
    </row>
    <row r="922" spans="1:27" x14ac:dyDescent="0.45">
      <c r="A922" s="57">
        <v>1644</v>
      </c>
      <c r="B922" t="s">
        <v>3267</v>
      </c>
      <c r="C922" t="s">
        <v>3268</v>
      </c>
      <c r="D922" s="12">
        <v>46303</v>
      </c>
      <c r="E922" s="11">
        <v>48</v>
      </c>
      <c r="F922" s="11" t="s">
        <v>5905</v>
      </c>
      <c r="G922">
        <v>20261001</v>
      </c>
      <c r="I922" s="11" t="s">
        <v>63</v>
      </c>
      <c r="J922" s="72">
        <v>80650917</v>
      </c>
      <c r="K922" s="99">
        <f>_xlfn.XLOOKUP(_2__ROI_Daily_Update[[#This Row],[CSM id]],SHP!F:F,SHP!EE:EE,"-")</f>
        <v>0</v>
      </c>
      <c r="L922" s="12"/>
      <c r="N922" s="11"/>
      <c r="P922"/>
      <c r="Q922"/>
      <c r="W922" s="28"/>
      <c r="AA922"/>
    </row>
    <row r="923" spans="1:27" x14ac:dyDescent="0.45">
      <c r="A923" s="57">
        <v>983</v>
      </c>
      <c r="B923" t="s">
        <v>1002</v>
      </c>
      <c r="C923" t="s">
        <v>1003</v>
      </c>
      <c r="D923" s="12">
        <v>46303</v>
      </c>
      <c r="E923" s="11">
        <v>105</v>
      </c>
      <c r="F923" s="11" t="s">
        <v>5906</v>
      </c>
      <c r="G923">
        <v>20250401</v>
      </c>
      <c r="I923" s="11" t="s">
        <v>63</v>
      </c>
      <c r="J923" s="72">
        <v>90595652</v>
      </c>
      <c r="K923" s="99">
        <f>_xlfn.XLOOKUP(_2__ROI_Daily_Update[[#This Row],[CSM id]],SHP!F:F,SHP!EE:EE,"-")</f>
        <v>0</v>
      </c>
      <c r="L923" s="12"/>
      <c r="N923" s="11"/>
      <c r="P923"/>
      <c r="Q923"/>
      <c r="W923" s="28"/>
      <c r="AA923"/>
    </row>
    <row r="924" spans="1:27" x14ac:dyDescent="0.45">
      <c r="A924" s="57">
        <v>1021</v>
      </c>
      <c r="B924" t="s">
        <v>1214</v>
      </c>
      <c r="C924" t="s">
        <v>1215</v>
      </c>
      <c r="D924" s="12">
        <v>46303</v>
      </c>
      <c r="E924" s="11">
        <v>48</v>
      </c>
      <c r="F924" s="11" t="s">
        <v>5910</v>
      </c>
      <c r="G924">
        <v>20231001</v>
      </c>
      <c r="I924" s="11" t="s">
        <v>63</v>
      </c>
      <c r="J924" s="72">
        <v>40555738</v>
      </c>
      <c r="K924" s="99">
        <f>_xlfn.XLOOKUP(_2__ROI_Daily_Update[[#This Row],[CSM id]],SHP!F:F,SHP!EE:EE,"-")</f>
        <v>0</v>
      </c>
      <c r="L924" s="12"/>
      <c r="N924" s="11"/>
      <c r="P924"/>
      <c r="Q924"/>
      <c r="W924" s="28"/>
      <c r="AA924"/>
    </row>
    <row r="925" spans="1:27" x14ac:dyDescent="0.45">
      <c r="A925" s="57">
        <v>1645</v>
      </c>
      <c r="B925" t="s">
        <v>3271</v>
      </c>
      <c r="C925" t="s">
        <v>3272</v>
      </c>
      <c r="D925" s="12">
        <v>46303</v>
      </c>
      <c r="E925" s="11">
        <v>16</v>
      </c>
      <c r="F925" s="11" t="s">
        <v>5905</v>
      </c>
      <c r="G925">
        <v>20251001</v>
      </c>
      <c r="I925" s="11" t="s">
        <v>63</v>
      </c>
      <c r="J925" s="72">
        <v>610096</v>
      </c>
      <c r="K925" s="99">
        <f>_xlfn.XLOOKUP(_2__ROI_Daily_Update[[#This Row],[CSM id]],SHP!F:F,SHP!EE:EE,"-")</f>
        <v>0</v>
      </c>
      <c r="L925" s="12"/>
      <c r="N925" s="11"/>
      <c r="P925"/>
      <c r="Q925"/>
      <c r="W925" s="28"/>
      <c r="AA925"/>
    </row>
    <row r="926" spans="1:27" x14ac:dyDescent="0.45">
      <c r="A926" s="57">
        <v>1521</v>
      </c>
      <c r="B926" t="s">
        <v>2694</v>
      </c>
      <c r="C926" t="s">
        <v>2695</v>
      </c>
      <c r="D926" s="12">
        <v>46303</v>
      </c>
      <c r="E926" s="11">
        <v>240</v>
      </c>
      <c r="F926" s="11" t="s">
        <v>5404</v>
      </c>
      <c r="G926">
        <v>20180201</v>
      </c>
      <c r="I926" s="11" t="s">
        <v>63</v>
      </c>
      <c r="J926" s="72">
        <v>60309303</v>
      </c>
      <c r="K926" s="99">
        <f>_xlfn.XLOOKUP(_2__ROI_Daily_Update[[#This Row],[CSM id]],SHP!F:F,SHP!EE:EE,"-")</f>
        <v>0</v>
      </c>
      <c r="L926" s="12"/>
      <c r="N926" s="11"/>
      <c r="P926"/>
      <c r="Q926"/>
      <c r="W926" s="28"/>
      <c r="AA926"/>
    </row>
    <row r="927" spans="1:27" x14ac:dyDescent="0.45">
      <c r="A927" s="57">
        <v>1021</v>
      </c>
      <c r="B927" t="s">
        <v>1220</v>
      </c>
      <c r="C927" t="s">
        <v>1221</v>
      </c>
      <c r="D927" s="12">
        <v>46303</v>
      </c>
      <c r="E927" s="11">
        <v>88</v>
      </c>
      <c r="F927" s="11" t="s">
        <v>5906</v>
      </c>
      <c r="G927">
        <v>20231001</v>
      </c>
      <c r="I927" s="11" t="s">
        <v>63</v>
      </c>
      <c r="J927" s="72">
        <v>50564209</v>
      </c>
      <c r="K927" s="99">
        <f>_xlfn.XLOOKUP(_2__ROI_Daily_Update[[#This Row],[CSM id]],SHP!F:F,SHP!EE:EE,"-")</f>
        <v>0</v>
      </c>
      <c r="L927" s="12"/>
      <c r="N927" s="11"/>
      <c r="P927"/>
      <c r="Q927"/>
      <c r="W927" s="28"/>
      <c r="AA927"/>
    </row>
    <row r="928" spans="1:27" x14ac:dyDescent="0.45">
      <c r="A928" s="57">
        <v>1521</v>
      </c>
      <c r="B928" t="s">
        <v>2692</v>
      </c>
      <c r="C928" t="s">
        <v>2693</v>
      </c>
      <c r="D928" s="12">
        <v>46303</v>
      </c>
      <c r="E928" s="11">
        <v>192</v>
      </c>
      <c r="F928" s="11" t="s">
        <v>5404</v>
      </c>
      <c r="G928">
        <v>20251001</v>
      </c>
      <c r="I928" s="11" t="s">
        <v>63</v>
      </c>
      <c r="J928" s="72">
        <v>50610107</v>
      </c>
      <c r="K928" s="99">
        <f>_xlfn.XLOOKUP(_2__ROI_Daily_Update[[#This Row],[CSM id]],SHP!F:F,SHP!EE:EE,"-")</f>
        <v>0</v>
      </c>
      <c r="L928" s="12"/>
      <c r="N928" s="11"/>
      <c r="P928"/>
      <c r="Q928"/>
      <c r="W928" s="28"/>
      <c r="AA928"/>
    </row>
    <row r="929" spans="1:27" x14ac:dyDescent="0.45">
      <c r="A929" s="57">
        <v>1021</v>
      </c>
      <c r="B929" t="s">
        <v>1222</v>
      </c>
      <c r="C929" t="s">
        <v>1223</v>
      </c>
      <c r="D929" s="12">
        <v>46303</v>
      </c>
      <c r="E929" s="11">
        <v>40</v>
      </c>
      <c r="F929" s="11" t="s">
        <v>5906</v>
      </c>
      <c r="G929">
        <v>20251001</v>
      </c>
      <c r="I929" s="11" t="s">
        <v>63</v>
      </c>
      <c r="J929" s="72">
        <v>50604432</v>
      </c>
      <c r="K929" s="99">
        <f>_xlfn.XLOOKUP(_2__ROI_Daily_Update[[#This Row],[CSM id]],SHP!F:F,SHP!EE:EE,"-")</f>
        <v>0</v>
      </c>
      <c r="L929" s="12"/>
      <c r="N929" s="11"/>
      <c r="P929"/>
      <c r="Q929"/>
      <c r="W929" s="28"/>
      <c r="AA929"/>
    </row>
    <row r="930" spans="1:27" x14ac:dyDescent="0.45">
      <c r="A930" s="57">
        <v>1645</v>
      </c>
      <c r="B930" t="s">
        <v>3273</v>
      </c>
      <c r="C930" t="s">
        <v>3274</v>
      </c>
      <c r="D930" s="12">
        <v>46303</v>
      </c>
      <c r="E930" s="11">
        <v>10</v>
      </c>
      <c r="F930" s="11" t="s">
        <v>5906</v>
      </c>
      <c r="G930">
        <v>20191001</v>
      </c>
      <c r="I930" s="11" t="s">
        <v>63</v>
      </c>
      <c r="J930" s="72">
        <v>10446897</v>
      </c>
      <c r="K930" s="99">
        <f>_xlfn.XLOOKUP(_2__ROI_Daily_Update[[#This Row],[CSM id]],SHP!F:F,SHP!EE:EE,"-")</f>
        <v>0</v>
      </c>
      <c r="L930" s="12"/>
      <c r="N930" s="11"/>
      <c r="P930"/>
      <c r="Q930"/>
      <c r="W930" s="28"/>
      <c r="AA930"/>
    </row>
    <row r="931" spans="1:27" x14ac:dyDescent="0.45">
      <c r="A931" s="57">
        <v>1521</v>
      </c>
      <c r="B931" t="s">
        <v>2690</v>
      </c>
      <c r="C931" t="s">
        <v>2691</v>
      </c>
      <c r="D931" s="12">
        <v>46303</v>
      </c>
      <c r="E931" s="11">
        <v>116</v>
      </c>
      <c r="F931" s="11" t="s">
        <v>5409</v>
      </c>
      <c r="G931">
        <v>20231001</v>
      </c>
      <c r="I931" s="11" t="s">
        <v>63</v>
      </c>
      <c r="J931" s="72">
        <v>50566642</v>
      </c>
      <c r="K931" s="99">
        <f>_xlfn.XLOOKUP(_2__ROI_Daily_Update[[#This Row],[CSM id]],SHP!F:F,SHP!EE:EE,"-")</f>
        <v>0</v>
      </c>
      <c r="L931" s="12"/>
      <c r="N931" s="11"/>
      <c r="P931"/>
      <c r="Q931"/>
      <c r="W931" s="28"/>
      <c r="AA931"/>
    </row>
    <row r="932" spans="1:27" x14ac:dyDescent="0.45">
      <c r="A932" s="57">
        <v>1645</v>
      </c>
      <c r="B932" t="s">
        <v>3275</v>
      </c>
      <c r="C932" t="s">
        <v>3276</v>
      </c>
      <c r="D932" s="12">
        <v>46303</v>
      </c>
      <c r="E932" s="11">
        <v>8</v>
      </c>
      <c r="F932" s="11" t="s">
        <v>5906</v>
      </c>
      <c r="G932">
        <v>20250101</v>
      </c>
      <c r="I932" s="11" t="s">
        <v>63</v>
      </c>
      <c r="J932" s="72">
        <v>10591592</v>
      </c>
      <c r="K932" s="99">
        <f>_xlfn.XLOOKUP(_2__ROI_Daily_Update[[#This Row],[CSM id]],SHP!F:F,SHP!EE:EE,"-")</f>
        <v>0</v>
      </c>
      <c r="L932" s="12"/>
      <c r="N932" s="11"/>
      <c r="P932"/>
      <c r="Q932"/>
      <c r="W932" s="28"/>
      <c r="AA932"/>
    </row>
    <row r="933" spans="1:27" x14ac:dyDescent="0.45">
      <c r="A933" s="57">
        <v>1645</v>
      </c>
      <c r="B933" t="s">
        <v>3277</v>
      </c>
      <c r="C933" t="s">
        <v>3278</v>
      </c>
      <c r="D933" s="12">
        <v>46303</v>
      </c>
      <c r="E933" s="11">
        <v>166</v>
      </c>
      <c r="F933" s="11" t="s">
        <v>5910</v>
      </c>
      <c r="G933">
        <v>20250701</v>
      </c>
      <c r="H933" s="12">
        <v>46478</v>
      </c>
      <c r="I933" s="11" t="s">
        <v>63</v>
      </c>
      <c r="J933" s="72">
        <v>10602133</v>
      </c>
      <c r="K933" s="99">
        <f>_xlfn.XLOOKUP(_2__ROI_Daily_Update[[#This Row],[CSM id]],SHP!F:F,SHP!EE:EE,"-")</f>
        <v>0</v>
      </c>
      <c r="L933" s="12"/>
      <c r="N933" s="11"/>
      <c r="P933"/>
      <c r="Q933"/>
      <c r="W933" s="28"/>
      <c r="AA933"/>
    </row>
    <row r="934" spans="1:27" x14ac:dyDescent="0.45">
      <c r="A934" s="57">
        <v>1852</v>
      </c>
      <c r="B934" t="s">
        <v>3711</v>
      </c>
      <c r="C934" t="s">
        <v>3712</v>
      </c>
      <c r="D934" s="12">
        <v>46303</v>
      </c>
      <c r="E934" s="11">
        <v>12</v>
      </c>
      <c r="F934" s="11" t="s">
        <v>5905</v>
      </c>
      <c r="G934">
        <v>20260101</v>
      </c>
      <c r="I934" s="11" t="s">
        <v>63</v>
      </c>
      <c r="J934" s="72">
        <v>80595394</v>
      </c>
      <c r="K934" s="99">
        <f>_xlfn.XLOOKUP(_2__ROI_Daily_Update[[#This Row],[CSM id]],SHP!F:F,SHP!EE:EE,"-")</f>
        <v>0</v>
      </c>
      <c r="L934" s="12"/>
      <c r="N934" s="11"/>
      <c r="P934"/>
      <c r="Q934"/>
      <c r="W934" s="28"/>
      <c r="AA934"/>
    </row>
    <row r="935" spans="1:27" x14ac:dyDescent="0.45">
      <c r="A935" s="57">
        <v>1022</v>
      </c>
      <c r="B935" t="s">
        <v>1238</v>
      </c>
      <c r="C935" t="s">
        <v>1239</v>
      </c>
      <c r="D935" s="12">
        <v>46303</v>
      </c>
      <c r="E935" s="11">
        <v>12</v>
      </c>
      <c r="F935" s="11" t="s">
        <v>5905</v>
      </c>
      <c r="G935">
        <v>20260701</v>
      </c>
      <c r="I935" s="11" t="s">
        <v>63</v>
      </c>
      <c r="J935" s="72">
        <v>20605292</v>
      </c>
      <c r="K935" s="99">
        <f>_xlfn.XLOOKUP(_2__ROI_Daily_Update[[#This Row],[CSM id]],SHP!F:F,SHP!EE:EE,"-")</f>
        <v>0</v>
      </c>
      <c r="L935" s="12"/>
      <c r="N935" s="11"/>
      <c r="P935"/>
      <c r="Q935"/>
      <c r="W935" s="28"/>
      <c r="AA935"/>
    </row>
    <row r="936" spans="1:27" x14ac:dyDescent="0.45">
      <c r="A936" s="57">
        <v>1522</v>
      </c>
      <c r="B936" t="s">
        <v>2716</v>
      </c>
      <c r="C936" t="s">
        <v>2717</v>
      </c>
      <c r="D936" s="12">
        <v>46303</v>
      </c>
      <c r="E936" s="11">
        <v>48</v>
      </c>
      <c r="F936" s="11" t="s">
        <v>5404</v>
      </c>
      <c r="G936">
        <v>20170401</v>
      </c>
      <c r="I936" s="11" t="s">
        <v>63</v>
      </c>
      <c r="J936" s="72">
        <v>70351853</v>
      </c>
      <c r="K936" s="99">
        <f>_xlfn.XLOOKUP(_2__ROI_Daily_Update[[#This Row],[CSM id]],SHP!F:F,SHP!EE:EE,"-")</f>
        <v>0</v>
      </c>
      <c r="L936" s="12"/>
      <c r="N936" s="11"/>
      <c r="P936"/>
      <c r="Q936"/>
      <c r="W936" s="28"/>
      <c r="AA936"/>
    </row>
    <row r="937" spans="1:27" x14ac:dyDescent="0.45">
      <c r="A937" s="57">
        <v>1644</v>
      </c>
      <c r="B937" t="s">
        <v>3259</v>
      </c>
      <c r="C937" t="s">
        <v>3260</v>
      </c>
      <c r="D937" s="12">
        <v>46303</v>
      </c>
      <c r="E937" s="11">
        <v>12</v>
      </c>
      <c r="F937" s="11" t="s">
        <v>5906</v>
      </c>
      <c r="G937">
        <v>20241001</v>
      </c>
      <c r="I937" s="11" t="s">
        <v>63</v>
      </c>
      <c r="J937" s="72">
        <v>30586938</v>
      </c>
      <c r="K937" s="99">
        <f>_xlfn.XLOOKUP(_2__ROI_Daily_Update[[#This Row],[CSM id]],SHP!F:F,SHP!EE:EE,"-")</f>
        <v>0</v>
      </c>
      <c r="L937" s="12"/>
      <c r="N937" s="11"/>
      <c r="P937"/>
      <c r="Q937"/>
      <c r="W937" s="28"/>
      <c r="AA937"/>
    </row>
    <row r="938" spans="1:27" x14ac:dyDescent="0.45">
      <c r="A938" s="57">
        <v>983</v>
      </c>
      <c r="B938" t="s">
        <v>990</v>
      </c>
      <c r="C938" t="s">
        <v>991</v>
      </c>
      <c r="D938" s="12">
        <v>46303</v>
      </c>
      <c r="E938" s="11">
        <v>60</v>
      </c>
      <c r="F938" s="11" t="s">
        <v>5905</v>
      </c>
      <c r="G938">
        <v>20250101</v>
      </c>
      <c r="I938" s="11" t="s">
        <v>63</v>
      </c>
      <c r="J938" s="72">
        <v>50595654</v>
      </c>
      <c r="K938" s="99">
        <f>_xlfn.XLOOKUP(_2__ROI_Daily_Update[[#This Row],[CSM id]],SHP!F:F,SHP!EE:EE,"-")</f>
        <v>0</v>
      </c>
      <c r="L938" s="12"/>
      <c r="N938" s="11"/>
      <c r="P938"/>
      <c r="Q938"/>
      <c r="W938" s="28"/>
      <c r="AA938"/>
    </row>
    <row r="939" spans="1:27" x14ac:dyDescent="0.45">
      <c r="A939" s="57">
        <v>342</v>
      </c>
      <c r="B939" t="s">
        <v>376</v>
      </c>
      <c r="C939" t="s">
        <v>377</v>
      </c>
      <c r="D939" s="12">
        <v>46303</v>
      </c>
      <c r="E939" s="11">
        <v>13</v>
      </c>
      <c r="F939" s="11" t="s">
        <v>5909</v>
      </c>
      <c r="G939">
        <v>20210401</v>
      </c>
      <c r="H939" s="12">
        <v>46569</v>
      </c>
      <c r="I939" s="11" t="s">
        <v>18</v>
      </c>
      <c r="J939" s="72">
        <v>60500962</v>
      </c>
      <c r="K939" s="99">
        <f>_xlfn.XLOOKUP(_2__ROI_Daily_Update[[#This Row],[CSM id]],SHP!F:F,SHP!EE:EE,"-")</f>
        <v>0</v>
      </c>
      <c r="L939" s="12"/>
      <c r="N939" s="11"/>
      <c r="P939"/>
      <c r="Q939"/>
      <c r="W939" s="28"/>
      <c r="AA939"/>
    </row>
    <row r="940" spans="1:27" x14ac:dyDescent="0.45">
      <c r="A940" s="57">
        <v>1831</v>
      </c>
      <c r="B940" t="s">
        <v>3588</v>
      </c>
      <c r="C940" t="s">
        <v>3589</v>
      </c>
      <c r="D940" s="12">
        <v>46303</v>
      </c>
      <c r="E940" s="11">
        <v>14</v>
      </c>
      <c r="F940" s="11" t="s">
        <v>5907</v>
      </c>
      <c r="G940">
        <v>20251001</v>
      </c>
      <c r="I940" s="11" t="s">
        <v>63</v>
      </c>
      <c r="J940" s="72">
        <v>20612264</v>
      </c>
      <c r="K940" s="99">
        <f>_xlfn.XLOOKUP(_2__ROI_Daily_Update[[#This Row],[CSM id]],SHP!F:F,SHP!EE:EE,"-")</f>
        <v>0</v>
      </c>
      <c r="L940" s="12"/>
      <c r="N940" s="11"/>
      <c r="P940"/>
      <c r="Q940"/>
      <c r="W940" s="28"/>
      <c r="AA940"/>
    </row>
    <row r="941" spans="1:27" x14ac:dyDescent="0.45">
      <c r="A941" s="57">
        <v>1021</v>
      </c>
      <c r="B941" t="s">
        <v>1200</v>
      </c>
      <c r="C941" t="s">
        <v>1201</v>
      </c>
      <c r="D941" s="12">
        <v>46303</v>
      </c>
      <c r="E941" s="11">
        <v>280</v>
      </c>
      <c r="F941" s="11" t="s">
        <v>5906</v>
      </c>
      <c r="G941">
        <v>20260701</v>
      </c>
      <c r="I941" s="11" t="s">
        <v>63</v>
      </c>
      <c r="J941" s="72">
        <v>618422</v>
      </c>
      <c r="K941" s="99">
        <f>_xlfn.XLOOKUP(_2__ROI_Daily_Update[[#This Row],[CSM id]],SHP!F:F,SHP!EE:EE,"-")</f>
        <v>0</v>
      </c>
      <c r="L941" s="12"/>
      <c r="N941" s="11"/>
      <c r="P941"/>
      <c r="Q941"/>
      <c r="W941" s="28"/>
      <c r="AA941"/>
    </row>
    <row r="942" spans="1:27" x14ac:dyDescent="0.45">
      <c r="A942" s="57">
        <v>1022</v>
      </c>
      <c r="B942" t="s">
        <v>1244</v>
      </c>
      <c r="C942" t="s">
        <v>1245</v>
      </c>
      <c r="D942" s="12">
        <v>46303</v>
      </c>
      <c r="E942" s="11">
        <v>4</v>
      </c>
      <c r="F942" s="11" t="s">
        <v>5905</v>
      </c>
      <c r="G942">
        <v>20251001</v>
      </c>
      <c r="H942" s="12">
        <v>46661</v>
      </c>
      <c r="I942" s="11" t="s">
        <v>63</v>
      </c>
      <c r="J942" s="72">
        <v>50604856</v>
      </c>
      <c r="K942" s="99">
        <f>_xlfn.XLOOKUP(_2__ROI_Daily_Update[[#This Row],[CSM id]],SHP!F:F,SHP!EE:EE,"-")</f>
        <v>0</v>
      </c>
      <c r="L942" s="12"/>
      <c r="N942" s="11"/>
      <c r="P942"/>
      <c r="Q942"/>
      <c r="W942" s="28"/>
      <c r="AA942"/>
    </row>
    <row r="943" spans="1:27" x14ac:dyDescent="0.45">
      <c r="A943" s="57">
        <v>1022</v>
      </c>
      <c r="B943" t="s">
        <v>1246</v>
      </c>
      <c r="C943" t="s">
        <v>1247</v>
      </c>
      <c r="D943" s="12">
        <v>46303</v>
      </c>
      <c r="E943" s="11">
        <v>6</v>
      </c>
      <c r="F943" s="11" t="s">
        <v>5905</v>
      </c>
      <c r="G943">
        <v>20260401</v>
      </c>
      <c r="I943" s="11" t="s">
        <v>63</v>
      </c>
      <c r="J943" s="72">
        <v>60604945</v>
      </c>
      <c r="K943" s="99">
        <f>_xlfn.XLOOKUP(_2__ROI_Daily_Update[[#This Row],[CSM id]],SHP!F:F,SHP!EE:EE,"-")</f>
        <v>0</v>
      </c>
      <c r="L943" s="12"/>
      <c r="N943" s="11"/>
      <c r="P943"/>
      <c r="Q943"/>
      <c r="W943" s="28"/>
      <c r="AA943"/>
    </row>
    <row r="944" spans="1:27" x14ac:dyDescent="0.45">
      <c r="A944" s="57">
        <v>1531</v>
      </c>
      <c r="B944" t="s">
        <v>2728</v>
      </c>
      <c r="C944" t="s">
        <v>2729</v>
      </c>
      <c r="D944" s="12">
        <v>46303</v>
      </c>
      <c r="E944" s="11">
        <v>48</v>
      </c>
      <c r="F944" s="11" t="s">
        <v>5409</v>
      </c>
      <c r="G944">
        <v>20220401</v>
      </c>
      <c r="H944" s="12">
        <v>46478</v>
      </c>
      <c r="I944" s="11" t="s">
        <v>63</v>
      </c>
      <c r="J944" s="72">
        <v>20521037</v>
      </c>
      <c r="K944" s="99">
        <f>_xlfn.XLOOKUP(_2__ROI_Daily_Update[[#This Row],[CSM id]],SHP!F:F,SHP!EE:EE,"-")</f>
        <v>0</v>
      </c>
      <c r="L944" s="12"/>
      <c r="N944" s="11"/>
      <c r="P944"/>
      <c r="Q944"/>
      <c r="W944" s="28"/>
      <c r="AA944"/>
    </row>
    <row r="945" spans="1:27" x14ac:dyDescent="0.45">
      <c r="A945" s="57">
        <v>423</v>
      </c>
      <c r="B945" t="s">
        <v>435</v>
      </c>
      <c r="C945" t="s">
        <v>436</v>
      </c>
      <c r="D945" s="12">
        <v>46303</v>
      </c>
      <c r="E945" s="11">
        <v>15</v>
      </c>
      <c r="F945" s="11" t="s">
        <v>5909</v>
      </c>
      <c r="G945">
        <v>20191001</v>
      </c>
      <c r="I945" s="11" t="s">
        <v>32</v>
      </c>
      <c r="J945" s="72">
        <v>80441759</v>
      </c>
      <c r="K945" s="99">
        <f>_xlfn.XLOOKUP(_2__ROI_Daily_Update[[#This Row],[CSM id]],SHP!F:F,SHP!EE:EE,"-")</f>
        <v>0</v>
      </c>
      <c r="L945" s="12"/>
      <c r="N945" s="11"/>
      <c r="P945"/>
      <c r="Q945"/>
      <c r="W945" s="28"/>
      <c r="AA945"/>
    </row>
    <row r="946" spans="1:27" x14ac:dyDescent="0.45">
      <c r="A946" s="57">
        <v>1511</v>
      </c>
      <c r="B946" t="s">
        <v>2626</v>
      </c>
      <c r="C946" t="s">
        <v>2627</v>
      </c>
      <c r="D946" s="12">
        <v>46303</v>
      </c>
      <c r="E946" s="11">
        <v>32</v>
      </c>
      <c r="F946" s="11" t="s">
        <v>5409</v>
      </c>
      <c r="G946">
        <v>20260701</v>
      </c>
      <c r="I946" s="11" t="s">
        <v>63</v>
      </c>
      <c r="J946" s="72">
        <v>80609782</v>
      </c>
      <c r="K946" s="99">
        <f>_xlfn.XLOOKUP(_2__ROI_Daily_Update[[#This Row],[CSM id]],SHP!F:F,SHP!EE:EE,"-")</f>
        <v>0</v>
      </c>
      <c r="L946" s="12"/>
      <c r="N946" s="11"/>
      <c r="P946"/>
      <c r="Q946"/>
      <c r="W946" s="28"/>
      <c r="AA946"/>
    </row>
    <row r="947" spans="1:27" x14ac:dyDescent="0.45">
      <c r="A947" s="57">
        <v>1531</v>
      </c>
      <c r="B947" t="s">
        <v>2732</v>
      </c>
      <c r="C947" t="s">
        <v>2733</v>
      </c>
      <c r="D947" s="12">
        <v>46303</v>
      </c>
      <c r="E947" s="11">
        <v>320</v>
      </c>
      <c r="F947" s="11" t="s">
        <v>5409</v>
      </c>
      <c r="G947">
        <v>20180601</v>
      </c>
      <c r="I947" s="11" t="s">
        <v>63</v>
      </c>
      <c r="J947" s="72">
        <v>40293874</v>
      </c>
      <c r="K947" s="99">
        <f>_xlfn.XLOOKUP(_2__ROI_Daily_Update[[#This Row],[CSM id]],SHP!F:F,SHP!EE:EE,"-")</f>
        <v>0</v>
      </c>
      <c r="L947" s="12"/>
      <c r="N947" s="11"/>
      <c r="P947"/>
      <c r="Q947"/>
      <c r="W947" s="28"/>
      <c r="AA947"/>
    </row>
    <row r="948" spans="1:27" x14ac:dyDescent="0.45">
      <c r="A948" s="57">
        <v>1021</v>
      </c>
      <c r="B948" t="s">
        <v>1200</v>
      </c>
      <c r="C948" t="s">
        <v>1201</v>
      </c>
      <c r="D948" s="12">
        <v>46303</v>
      </c>
      <c r="E948" s="11">
        <v>70</v>
      </c>
      <c r="F948" s="11" t="s">
        <v>5910</v>
      </c>
      <c r="G948">
        <v>20260701</v>
      </c>
      <c r="I948" s="11" t="s">
        <v>63</v>
      </c>
      <c r="J948" s="72">
        <v>618422</v>
      </c>
      <c r="K948" s="99">
        <f>_xlfn.XLOOKUP(_2__ROI_Daily_Update[[#This Row],[CSM id]],SHP!F:F,SHP!EE:EE,"-")</f>
        <v>0</v>
      </c>
      <c r="L948" s="12"/>
      <c r="N948" s="11"/>
      <c r="P948"/>
      <c r="Q948"/>
      <c r="W948" s="28"/>
      <c r="AA948"/>
    </row>
    <row r="949" spans="1:27" x14ac:dyDescent="0.45">
      <c r="A949" s="57">
        <v>1011</v>
      </c>
      <c r="B949" t="s">
        <v>1010</v>
      </c>
      <c r="C949" t="s">
        <v>1011</v>
      </c>
      <c r="D949" s="12">
        <v>46303</v>
      </c>
      <c r="E949" s="11">
        <v>18</v>
      </c>
      <c r="F949" s="11" t="s">
        <v>5905</v>
      </c>
      <c r="G949">
        <v>20260701</v>
      </c>
      <c r="I949" s="11" t="s">
        <v>63</v>
      </c>
      <c r="J949" s="72">
        <v>595675</v>
      </c>
      <c r="K949" s="99">
        <f>_xlfn.XLOOKUP(_2__ROI_Daily_Update[[#This Row],[CSM id]],SHP!F:F,SHP!EE:EE,"-")</f>
        <v>0</v>
      </c>
      <c r="L949" s="12"/>
      <c r="N949" s="11"/>
      <c r="P949"/>
      <c r="Q949"/>
      <c r="W949" s="28"/>
      <c r="AA949"/>
    </row>
    <row r="950" spans="1:27" x14ac:dyDescent="0.45">
      <c r="A950" s="57">
        <v>983</v>
      </c>
      <c r="B950" t="s">
        <v>986</v>
      </c>
      <c r="C950" t="s">
        <v>987</v>
      </c>
      <c r="D950" s="12">
        <v>46303</v>
      </c>
      <c r="E950" s="11">
        <v>30</v>
      </c>
      <c r="F950" s="11" t="s">
        <v>5905</v>
      </c>
      <c r="G950">
        <v>20250101</v>
      </c>
      <c r="I950" s="11" t="s">
        <v>63</v>
      </c>
      <c r="J950" s="72">
        <v>50573751</v>
      </c>
      <c r="K950" s="99">
        <f>_xlfn.XLOOKUP(_2__ROI_Daily_Update[[#This Row],[CSM id]],SHP!F:F,SHP!EE:EE,"-")</f>
        <v>0</v>
      </c>
      <c r="L950" s="12"/>
      <c r="N950" s="11"/>
      <c r="P950"/>
      <c r="Q950"/>
      <c r="W950" s="28"/>
      <c r="AA950"/>
    </row>
    <row r="951" spans="1:27" x14ac:dyDescent="0.45">
      <c r="A951" s="57">
        <v>423</v>
      </c>
      <c r="B951" t="s">
        <v>445</v>
      </c>
      <c r="C951" t="s">
        <v>446</v>
      </c>
      <c r="D951" s="12">
        <v>46303</v>
      </c>
      <c r="E951" s="11">
        <v>12</v>
      </c>
      <c r="F951" s="11" t="s">
        <v>5909</v>
      </c>
      <c r="G951">
        <v>20200801</v>
      </c>
      <c r="I951" s="11" t="s">
        <v>32</v>
      </c>
      <c r="J951" s="72">
        <v>30437241</v>
      </c>
      <c r="K951" s="99">
        <f>_xlfn.XLOOKUP(_2__ROI_Daily_Update[[#This Row],[CSM id]],SHP!F:F,SHP!EE:EE,"-")</f>
        <v>0</v>
      </c>
      <c r="L951" s="12"/>
      <c r="N951" s="11"/>
      <c r="P951"/>
      <c r="Q951"/>
      <c r="W951" s="28"/>
      <c r="AA951"/>
    </row>
    <row r="952" spans="1:27" x14ac:dyDescent="0.45">
      <c r="A952" s="57">
        <v>1511</v>
      </c>
      <c r="B952" t="s">
        <v>2624</v>
      </c>
      <c r="C952" t="s">
        <v>2625</v>
      </c>
      <c r="D952" s="12">
        <v>46303</v>
      </c>
      <c r="E952" s="11">
        <v>84</v>
      </c>
      <c r="F952" s="11" t="s">
        <v>5409</v>
      </c>
      <c r="G952">
        <v>20250701</v>
      </c>
      <c r="I952" s="11" t="s">
        <v>63</v>
      </c>
      <c r="J952" s="72">
        <v>80600753</v>
      </c>
      <c r="K952" s="99">
        <f>_xlfn.XLOOKUP(_2__ROI_Daily_Update[[#This Row],[CSM id]],SHP!F:F,SHP!EE:EE,"-")</f>
        <v>0</v>
      </c>
      <c r="L952" s="12"/>
      <c r="N952" s="11"/>
      <c r="P952"/>
      <c r="Q952"/>
      <c r="W952" s="28"/>
      <c r="AA952"/>
    </row>
    <row r="953" spans="1:27" x14ac:dyDescent="0.45">
      <c r="A953" s="57">
        <v>1511</v>
      </c>
      <c r="B953" t="s">
        <v>2622</v>
      </c>
      <c r="C953" t="s">
        <v>2623</v>
      </c>
      <c r="D953" s="12">
        <v>46303</v>
      </c>
      <c r="E953" s="11">
        <v>24</v>
      </c>
      <c r="F953" s="11" t="s">
        <v>5264</v>
      </c>
      <c r="G953">
        <v>20240101</v>
      </c>
      <c r="I953" s="11" t="s">
        <v>18</v>
      </c>
      <c r="J953" s="72">
        <v>80572439</v>
      </c>
      <c r="K953" s="99">
        <f>_xlfn.XLOOKUP(_2__ROI_Daily_Update[[#This Row],[CSM id]],SHP!F:F,SHP!EE:EE,"-")</f>
        <v>0</v>
      </c>
      <c r="L953" s="12"/>
      <c r="N953" s="11"/>
      <c r="P953"/>
      <c r="Q953"/>
      <c r="W953" s="28"/>
      <c r="AA953"/>
    </row>
    <row r="954" spans="1:27" x14ac:dyDescent="0.45">
      <c r="A954" s="57">
        <v>1531</v>
      </c>
      <c r="B954" t="s">
        <v>2730</v>
      </c>
      <c r="C954" t="s">
        <v>2731</v>
      </c>
      <c r="D954" s="12">
        <v>46303</v>
      </c>
      <c r="E954" s="11">
        <v>112</v>
      </c>
      <c r="F954" s="11" t="s">
        <v>5907</v>
      </c>
      <c r="G954">
        <v>20251001</v>
      </c>
      <c r="H954" s="12">
        <v>46569</v>
      </c>
      <c r="I954" s="11" t="s">
        <v>63</v>
      </c>
      <c r="J954" s="72">
        <v>30610071</v>
      </c>
      <c r="K954" s="99">
        <f>_xlfn.XLOOKUP(_2__ROI_Daily_Update[[#This Row],[CSM id]],SHP!F:F,SHP!EE:EE,"-")</f>
        <v>0</v>
      </c>
      <c r="L954" s="12"/>
      <c r="N954" s="11"/>
      <c r="P954"/>
      <c r="Q954"/>
      <c r="W954" s="28"/>
      <c r="AA954"/>
    </row>
    <row r="955" spans="1:27" x14ac:dyDescent="0.45">
      <c r="A955" s="57">
        <v>371</v>
      </c>
      <c r="B955" t="s">
        <v>77</v>
      </c>
      <c r="C955" t="s">
        <v>78</v>
      </c>
      <c r="D955" s="12">
        <v>46303</v>
      </c>
      <c r="E955" s="11">
        <v>28</v>
      </c>
      <c r="F955" s="11" t="s">
        <v>5910</v>
      </c>
      <c r="G955">
        <v>20261001</v>
      </c>
      <c r="I955" s="11" t="s">
        <v>63</v>
      </c>
      <c r="J955" s="72">
        <v>90619993</v>
      </c>
      <c r="K955" s="99">
        <f>_xlfn.XLOOKUP(_2__ROI_Daily_Update[[#This Row],[CSM id]],SHP!F:F,SHP!EE:EE,"-")</f>
        <v>0</v>
      </c>
      <c r="L955" s="12"/>
      <c r="N955" s="11"/>
      <c r="P955"/>
      <c r="Q955"/>
      <c r="W955" s="28"/>
      <c r="AA955"/>
    </row>
    <row r="956" spans="1:27" x14ac:dyDescent="0.45">
      <c r="A956" s="57">
        <v>1511</v>
      </c>
      <c r="B956" t="s">
        <v>2628</v>
      </c>
      <c r="C956" t="s">
        <v>2629</v>
      </c>
      <c r="D956" s="12">
        <v>46303</v>
      </c>
      <c r="E956" s="11">
        <v>66</v>
      </c>
      <c r="F956" s="11" t="s">
        <v>5409</v>
      </c>
      <c r="G956">
        <v>20260701</v>
      </c>
      <c r="I956" s="11" t="s">
        <v>63</v>
      </c>
      <c r="J956" s="72">
        <v>80609796</v>
      </c>
      <c r="K956" s="99">
        <f>_xlfn.XLOOKUP(_2__ROI_Daily_Update[[#This Row],[CSM id]],SHP!F:F,SHP!EE:EE,"-")</f>
        <v>0</v>
      </c>
      <c r="L956" s="12"/>
      <c r="N956" s="11"/>
      <c r="P956"/>
      <c r="Q956"/>
      <c r="W956" s="28"/>
      <c r="AA956"/>
    </row>
    <row r="957" spans="1:27" x14ac:dyDescent="0.45">
      <c r="A957" s="57">
        <v>1021</v>
      </c>
      <c r="B957" t="s">
        <v>1204</v>
      </c>
      <c r="C957" t="s">
        <v>1205</v>
      </c>
      <c r="D957" s="12">
        <v>46303</v>
      </c>
      <c r="E957" s="11">
        <v>28</v>
      </c>
      <c r="F957" s="11" t="s">
        <v>5905</v>
      </c>
      <c r="G957">
        <v>20251001</v>
      </c>
      <c r="I957" s="11" t="s">
        <v>63</v>
      </c>
      <c r="J957" s="72">
        <v>20620136</v>
      </c>
      <c r="K957" s="99">
        <f>_xlfn.XLOOKUP(_2__ROI_Daily_Update[[#This Row],[CSM id]],SHP!F:F,SHP!EE:EE,"-")</f>
        <v>0</v>
      </c>
      <c r="L957" s="12"/>
      <c r="N957" s="11"/>
      <c r="P957"/>
      <c r="Q957"/>
      <c r="W957" s="28"/>
      <c r="AA957"/>
    </row>
    <row r="958" spans="1:27" x14ac:dyDescent="0.45">
      <c r="A958" s="57">
        <v>1022</v>
      </c>
      <c r="B958" t="s">
        <v>1242</v>
      </c>
      <c r="C958" t="s">
        <v>1243</v>
      </c>
      <c r="D958" s="12">
        <v>46303</v>
      </c>
      <c r="E958" s="11">
        <v>24</v>
      </c>
      <c r="F958" s="11" t="s">
        <v>5906</v>
      </c>
      <c r="G958">
        <v>20260701</v>
      </c>
      <c r="H958" s="12">
        <v>46569</v>
      </c>
      <c r="I958" s="11" t="s">
        <v>63</v>
      </c>
      <c r="J958" s="72">
        <v>40605842</v>
      </c>
      <c r="K958" s="99">
        <f>_xlfn.XLOOKUP(_2__ROI_Daily_Update[[#This Row],[CSM id]],SHP!F:F,SHP!EE:EE,"-")</f>
        <v>0</v>
      </c>
      <c r="L958" s="12"/>
      <c r="N958" s="11"/>
      <c r="P958"/>
      <c r="Q958"/>
      <c r="W958" s="28"/>
      <c r="AA958"/>
    </row>
    <row r="959" spans="1:27" x14ac:dyDescent="0.45">
      <c r="A959" s="57">
        <v>1511</v>
      </c>
      <c r="B959" t="s">
        <v>2638</v>
      </c>
      <c r="C959" t="s">
        <v>2639</v>
      </c>
      <c r="D959" s="12">
        <v>46303</v>
      </c>
      <c r="E959" s="11">
        <v>32</v>
      </c>
      <c r="F959" s="11" t="s">
        <v>5404</v>
      </c>
      <c r="G959">
        <v>20260401</v>
      </c>
      <c r="I959" s="11" t="s">
        <v>63</v>
      </c>
      <c r="J959" s="72">
        <v>90622641</v>
      </c>
      <c r="K959" s="99">
        <f>_xlfn.XLOOKUP(_2__ROI_Daily_Update[[#This Row],[CSM id]],SHP!F:F,SHP!EE:EE,"-")</f>
        <v>0</v>
      </c>
      <c r="L959" s="12"/>
      <c r="N959" s="11"/>
      <c r="P959"/>
      <c r="Q959"/>
      <c r="W959" s="28"/>
      <c r="AA959"/>
    </row>
    <row r="960" spans="1:27" x14ac:dyDescent="0.45">
      <c r="A960" s="57">
        <v>343</v>
      </c>
      <c r="B960" t="s">
        <v>120</v>
      </c>
      <c r="C960" t="s">
        <v>121</v>
      </c>
      <c r="D960" s="12">
        <v>46303</v>
      </c>
      <c r="E960" s="11">
        <v>52</v>
      </c>
      <c r="F960" s="11" t="s">
        <v>5910</v>
      </c>
      <c r="G960">
        <v>20260401</v>
      </c>
      <c r="I960" s="11" t="s">
        <v>63</v>
      </c>
      <c r="J960" s="72">
        <v>50625024</v>
      </c>
      <c r="K960" s="99">
        <f>_xlfn.XLOOKUP(_2__ROI_Daily_Update[[#This Row],[CSM id]],SHP!F:F,SHP!EE:EE,"-")</f>
        <v>0</v>
      </c>
      <c r="L960" s="12"/>
      <c r="N960" s="11"/>
      <c r="P960"/>
      <c r="Q960"/>
      <c r="W960" s="28"/>
      <c r="AA960"/>
    </row>
    <row r="961" spans="1:27" x14ac:dyDescent="0.45">
      <c r="A961" s="57">
        <v>1511</v>
      </c>
      <c r="B961" t="s">
        <v>2640</v>
      </c>
      <c r="C961" t="s">
        <v>2641</v>
      </c>
      <c r="D961" s="12">
        <v>46303</v>
      </c>
      <c r="E961" s="11">
        <v>48</v>
      </c>
      <c r="F961" s="11" t="s">
        <v>5404</v>
      </c>
      <c r="G961">
        <v>20261001</v>
      </c>
      <c r="I961" s="11" t="s">
        <v>63</v>
      </c>
      <c r="J961" s="72">
        <v>90636558</v>
      </c>
      <c r="K961" s="99">
        <f>_xlfn.XLOOKUP(_2__ROI_Daily_Update[[#This Row],[CSM id]],SHP!F:F,SHP!EE:EE,"-")</f>
        <v>0</v>
      </c>
      <c r="L961" s="12"/>
      <c r="N961" s="11"/>
      <c r="P961"/>
      <c r="Q961"/>
      <c r="W961" s="28"/>
      <c r="AA961"/>
    </row>
    <row r="962" spans="1:27" x14ac:dyDescent="0.45">
      <c r="A962" s="57">
        <v>1531</v>
      </c>
      <c r="B962" t="s">
        <v>2726</v>
      </c>
      <c r="C962" t="s">
        <v>2727</v>
      </c>
      <c r="D962" s="12">
        <v>46303</v>
      </c>
      <c r="E962" s="11">
        <v>40</v>
      </c>
      <c r="F962" s="11" t="s">
        <v>5409</v>
      </c>
      <c r="G962">
        <v>20251001</v>
      </c>
      <c r="H962" s="12">
        <v>46388</v>
      </c>
      <c r="I962" s="11" t="s">
        <v>63</v>
      </c>
      <c r="J962" s="72">
        <v>610077</v>
      </c>
      <c r="K962" s="99">
        <f>_xlfn.XLOOKUP(_2__ROI_Daily_Update[[#This Row],[CSM id]],SHP!F:F,SHP!EE:EE,"-")</f>
        <v>0</v>
      </c>
      <c r="L962" s="12"/>
      <c r="N962" s="11"/>
      <c r="P962"/>
      <c r="Q962"/>
      <c r="W962" s="28"/>
      <c r="AA962"/>
    </row>
    <row r="963" spans="1:27" x14ac:dyDescent="0.45">
      <c r="A963" s="57">
        <v>1815</v>
      </c>
      <c r="B963" t="s">
        <v>3488</v>
      </c>
      <c r="C963" t="s">
        <v>3489</v>
      </c>
      <c r="D963" s="12">
        <v>46305</v>
      </c>
      <c r="E963" s="11">
        <v>6975</v>
      </c>
      <c r="F963" s="11" t="s">
        <v>5651</v>
      </c>
      <c r="G963">
        <v>20161001</v>
      </c>
      <c r="I963" s="11" t="s">
        <v>32</v>
      </c>
      <c r="J963" s="72">
        <v>70316181</v>
      </c>
      <c r="K963" s="99">
        <f>_xlfn.XLOOKUP(_2__ROI_Daily_Update[[#This Row],[CSM id]],SHP!F:F,SHP!EE:EE,"-")</f>
        <v>0</v>
      </c>
      <c r="L963" s="12"/>
      <c r="N963" s="11"/>
      <c r="P963"/>
      <c r="Q963"/>
      <c r="W963" s="28"/>
      <c r="AA963"/>
    </row>
    <row r="964" spans="1:27" x14ac:dyDescent="0.45">
      <c r="A964" s="57">
        <v>1811</v>
      </c>
      <c r="B964" t="s">
        <v>3307</v>
      </c>
      <c r="C964" t="s">
        <v>3308</v>
      </c>
      <c r="D964" s="12">
        <v>46305</v>
      </c>
      <c r="E964" s="11">
        <v>576</v>
      </c>
      <c r="F964" s="11" t="s">
        <v>5651</v>
      </c>
      <c r="G964">
        <v>20240401</v>
      </c>
      <c r="I964" s="11" t="s">
        <v>32</v>
      </c>
      <c r="J964" s="72">
        <v>568530</v>
      </c>
      <c r="K964" s="99">
        <f>_xlfn.XLOOKUP(_2__ROI_Daily_Update[[#This Row],[CSM id]],SHP!F:F,SHP!EE:EE,"-")</f>
        <v>0</v>
      </c>
      <c r="L964" s="12"/>
      <c r="N964" s="11"/>
      <c r="P964"/>
      <c r="Q964"/>
      <c r="W964" s="28"/>
      <c r="AA964"/>
    </row>
    <row r="965" spans="1:27" x14ac:dyDescent="0.45">
      <c r="A965" s="57">
        <v>1815</v>
      </c>
      <c r="B965" t="s">
        <v>3490</v>
      </c>
      <c r="C965" t="s">
        <v>3491</v>
      </c>
      <c r="D965" s="12">
        <v>46305</v>
      </c>
      <c r="E965" s="11">
        <v>1350</v>
      </c>
      <c r="F965" s="11" t="s">
        <v>5651</v>
      </c>
      <c r="G965">
        <v>20191001</v>
      </c>
      <c r="I965" s="11" t="s">
        <v>32</v>
      </c>
      <c r="J965" s="72">
        <v>70444678</v>
      </c>
      <c r="K965" s="99">
        <f>_xlfn.XLOOKUP(_2__ROI_Daily_Update[[#This Row],[CSM id]],SHP!F:F,SHP!EE:EE,"-")</f>
        <v>0</v>
      </c>
      <c r="L965" s="12"/>
      <c r="N965" s="11"/>
      <c r="P965"/>
      <c r="Q965"/>
      <c r="W965" s="28"/>
      <c r="AA965"/>
    </row>
    <row r="966" spans="1:27" x14ac:dyDescent="0.45">
      <c r="A966" s="57">
        <v>1811</v>
      </c>
      <c r="B966" t="s">
        <v>3313</v>
      </c>
      <c r="C966" t="s">
        <v>3314</v>
      </c>
      <c r="D966" s="12">
        <v>46305</v>
      </c>
      <c r="E966" s="11">
        <v>336</v>
      </c>
      <c r="F966" s="11" t="s">
        <v>5651</v>
      </c>
      <c r="G966">
        <v>20240401</v>
      </c>
      <c r="I966" s="11" t="s">
        <v>32</v>
      </c>
      <c r="J966" s="72">
        <v>10568563</v>
      </c>
      <c r="K966" s="99">
        <f>_xlfn.XLOOKUP(_2__ROI_Daily_Update[[#This Row],[CSM id]],SHP!F:F,SHP!EE:EE,"-")</f>
        <v>0</v>
      </c>
      <c r="L966" s="12"/>
      <c r="N966" s="11"/>
      <c r="P966"/>
      <c r="Q966"/>
      <c r="W966" s="28"/>
      <c r="AA966"/>
    </row>
    <row r="967" spans="1:27" x14ac:dyDescent="0.45">
      <c r="A967" s="57">
        <v>1852</v>
      </c>
      <c r="B967" t="s">
        <v>3703</v>
      </c>
      <c r="C967" t="s">
        <v>3704</v>
      </c>
      <c r="D967" s="12">
        <v>46305</v>
      </c>
      <c r="E967" s="11">
        <v>80</v>
      </c>
      <c r="F967" s="11" t="s">
        <v>5651</v>
      </c>
      <c r="G967">
        <v>20200201</v>
      </c>
      <c r="I967" s="11" t="s">
        <v>32</v>
      </c>
      <c r="J967" s="72">
        <v>70420205</v>
      </c>
      <c r="K967" s="99">
        <f>_xlfn.XLOOKUP(_2__ROI_Daily_Update[[#This Row],[CSM id]],SHP!F:F,SHP!EE:EE,"-")</f>
        <v>0</v>
      </c>
      <c r="L967" s="12"/>
      <c r="N967" s="11"/>
      <c r="P967"/>
      <c r="Q967"/>
      <c r="W967" s="28"/>
      <c r="AA967"/>
    </row>
    <row r="968" spans="1:27" x14ac:dyDescent="0.45">
      <c r="A968" s="57">
        <v>1718</v>
      </c>
      <c r="B968" t="s">
        <v>3301</v>
      </c>
      <c r="C968" t="s">
        <v>3302</v>
      </c>
      <c r="D968" s="12">
        <v>46305</v>
      </c>
      <c r="E968" s="11">
        <v>30</v>
      </c>
      <c r="F968" s="11" t="s">
        <v>5651</v>
      </c>
      <c r="G968">
        <v>20150201</v>
      </c>
      <c r="I968" s="11" t="s">
        <v>32</v>
      </c>
      <c r="J968" s="72">
        <v>30238114</v>
      </c>
      <c r="K968" s="99">
        <f>_xlfn.XLOOKUP(_2__ROI_Daily_Update[[#This Row],[CSM id]],SHP!F:F,SHP!EE:EE,"-")</f>
        <v>0</v>
      </c>
      <c r="L968" s="12"/>
      <c r="N968" s="11"/>
      <c r="P968"/>
      <c r="Q968"/>
      <c r="W968" s="28"/>
      <c r="AA968"/>
    </row>
    <row r="969" spans="1:27" x14ac:dyDescent="0.45">
      <c r="A969" s="57">
        <v>1815</v>
      </c>
      <c r="B969" t="s">
        <v>3458</v>
      </c>
      <c r="C969" t="s">
        <v>3459</v>
      </c>
      <c r="D969" s="12">
        <v>46305</v>
      </c>
      <c r="E969" s="11">
        <v>22</v>
      </c>
      <c r="F969" s="11" t="s">
        <v>5651</v>
      </c>
      <c r="G969">
        <v>20191001</v>
      </c>
      <c r="I969" s="11" t="s">
        <v>32</v>
      </c>
      <c r="J969" s="72">
        <v>10411534</v>
      </c>
      <c r="K969" s="99">
        <f>_xlfn.XLOOKUP(_2__ROI_Daily_Update[[#This Row],[CSM id]],SHP!F:F,SHP!EE:EE,"-")</f>
        <v>0</v>
      </c>
      <c r="L969" s="12"/>
      <c r="N969" s="11"/>
      <c r="P969"/>
      <c r="Q969"/>
      <c r="W969" s="28"/>
      <c r="AA969"/>
    </row>
    <row r="970" spans="1:27" x14ac:dyDescent="0.45">
      <c r="A970" s="57">
        <v>1815</v>
      </c>
      <c r="B970" t="s">
        <v>3470</v>
      </c>
      <c r="C970" t="s">
        <v>3471</v>
      </c>
      <c r="D970" s="12">
        <v>46305</v>
      </c>
      <c r="E970" s="11">
        <v>180</v>
      </c>
      <c r="F970" s="11" t="s">
        <v>5651</v>
      </c>
      <c r="G970">
        <v>20140801</v>
      </c>
      <c r="I970" s="11" t="s">
        <v>32</v>
      </c>
      <c r="J970" s="72">
        <v>50180942</v>
      </c>
      <c r="K970" s="99">
        <f>_xlfn.XLOOKUP(_2__ROI_Daily_Update[[#This Row],[CSM id]],SHP!F:F,SHP!EE:EE,"-")</f>
        <v>0</v>
      </c>
      <c r="L970" s="12"/>
      <c r="N970" s="11"/>
      <c r="P970"/>
      <c r="Q970"/>
      <c r="W970" s="28"/>
      <c r="AA970"/>
    </row>
    <row r="971" spans="1:27" x14ac:dyDescent="0.45">
      <c r="A971" s="57">
        <v>214</v>
      </c>
      <c r="B971" t="s">
        <v>257</v>
      </c>
      <c r="C971" t="s">
        <v>258</v>
      </c>
      <c r="D971" s="12">
        <v>46305</v>
      </c>
      <c r="E971" s="11">
        <v>28</v>
      </c>
      <c r="F971" s="11" t="s">
        <v>6181</v>
      </c>
      <c r="G971">
        <v>20230701</v>
      </c>
      <c r="I971" s="11" t="s">
        <v>32</v>
      </c>
      <c r="J971" s="72">
        <v>90522038</v>
      </c>
      <c r="K971" s="99">
        <f>_xlfn.XLOOKUP(_2__ROI_Daily_Update[[#This Row],[CSM id]],SHP!F:F,SHP!EE:EE,"-")</f>
        <v>0</v>
      </c>
      <c r="L971" s="12"/>
      <c r="N971" s="11"/>
      <c r="P971"/>
      <c r="Q971"/>
      <c r="W971" s="28"/>
      <c r="AA971"/>
    </row>
    <row r="972" spans="1:27" x14ac:dyDescent="0.45">
      <c r="A972" s="57">
        <v>341</v>
      </c>
      <c r="B972" t="s">
        <v>341</v>
      </c>
      <c r="C972" t="s">
        <v>342</v>
      </c>
      <c r="D972" s="12">
        <v>46305</v>
      </c>
      <c r="E972" s="11">
        <v>27</v>
      </c>
      <c r="F972" s="11" t="s">
        <v>6181</v>
      </c>
      <c r="G972">
        <v>20210401</v>
      </c>
      <c r="I972" s="11" t="s">
        <v>32</v>
      </c>
      <c r="J972" s="72">
        <v>30460665</v>
      </c>
      <c r="K972" s="99">
        <f>_xlfn.XLOOKUP(_2__ROI_Daily_Update[[#This Row],[CSM id]],SHP!F:F,SHP!EE:EE,"-")</f>
        <v>0</v>
      </c>
      <c r="L972" s="12"/>
      <c r="N972" s="11"/>
      <c r="P972"/>
      <c r="Q972"/>
      <c r="W972" s="28"/>
      <c r="AA972"/>
    </row>
    <row r="973" spans="1:27" x14ac:dyDescent="0.45">
      <c r="A973" s="57">
        <v>1815</v>
      </c>
      <c r="B973" t="s">
        <v>3452</v>
      </c>
      <c r="C973" t="s">
        <v>3453</v>
      </c>
      <c r="D973" s="12">
        <v>46305</v>
      </c>
      <c r="E973" s="11">
        <v>416</v>
      </c>
      <c r="F973" s="11" t="s">
        <v>5651</v>
      </c>
      <c r="G973">
        <v>20211001</v>
      </c>
      <c r="I973" s="11" t="s">
        <v>32</v>
      </c>
      <c r="J973" s="72">
        <v>455081</v>
      </c>
      <c r="K973" s="99">
        <f>_xlfn.XLOOKUP(_2__ROI_Daily_Update[[#This Row],[CSM id]],SHP!F:F,SHP!EE:EE,"-")</f>
        <v>0</v>
      </c>
      <c r="L973" s="12"/>
      <c r="N973" s="11"/>
      <c r="P973"/>
      <c r="Q973"/>
      <c r="W973" s="28"/>
      <c r="AA973"/>
    </row>
    <row r="974" spans="1:27" x14ac:dyDescent="0.45">
      <c r="A974" s="57">
        <v>1815</v>
      </c>
      <c r="B974" t="s">
        <v>3472</v>
      </c>
      <c r="C974" t="s">
        <v>3473</v>
      </c>
      <c r="D974" s="12">
        <v>46305</v>
      </c>
      <c r="E974" s="11">
        <v>600</v>
      </c>
      <c r="F974" s="11" t="s">
        <v>5651</v>
      </c>
      <c r="G974">
        <v>20161001</v>
      </c>
      <c r="I974" s="11" t="s">
        <v>32</v>
      </c>
      <c r="J974" s="72">
        <v>50316064</v>
      </c>
      <c r="K974" s="99">
        <f>_xlfn.XLOOKUP(_2__ROI_Daily_Update[[#This Row],[CSM id]],SHP!F:F,SHP!EE:EE,"-")</f>
        <v>0</v>
      </c>
      <c r="L974" s="12"/>
      <c r="N974" s="11"/>
      <c r="P974"/>
      <c r="Q974"/>
      <c r="W974" s="28"/>
      <c r="AA974"/>
    </row>
    <row r="975" spans="1:27" x14ac:dyDescent="0.45">
      <c r="A975" s="57">
        <v>1718</v>
      </c>
      <c r="B975" t="s">
        <v>3303</v>
      </c>
      <c r="C975" t="s">
        <v>3304</v>
      </c>
      <c r="D975" s="12">
        <v>46305</v>
      </c>
      <c r="E975" s="11">
        <v>60</v>
      </c>
      <c r="F975" s="11" t="s">
        <v>4427</v>
      </c>
      <c r="G975">
        <v>20210201</v>
      </c>
      <c r="H975" s="12">
        <v>46569</v>
      </c>
      <c r="I975" s="11" t="s">
        <v>32</v>
      </c>
      <c r="J975" s="72">
        <v>60476735</v>
      </c>
      <c r="K975" s="99">
        <f>_xlfn.XLOOKUP(_2__ROI_Daily_Update[[#This Row],[CSM id]],SHP!F:F,SHP!EE:EE,"-")</f>
        <v>0</v>
      </c>
      <c r="L975" s="12"/>
      <c r="N975" s="11"/>
      <c r="P975"/>
      <c r="Q975"/>
      <c r="W975" s="28"/>
      <c r="AA975"/>
    </row>
    <row r="976" spans="1:27" x14ac:dyDescent="0.45">
      <c r="A976" s="57">
        <v>1852</v>
      </c>
      <c r="B976" t="s">
        <v>3707</v>
      </c>
      <c r="C976" t="s">
        <v>3708</v>
      </c>
      <c r="D976" s="12">
        <v>46305</v>
      </c>
      <c r="E976" s="11">
        <v>384</v>
      </c>
      <c r="F976" s="11" t="s">
        <v>5651</v>
      </c>
      <c r="G976">
        <v>20200201</v>
      </c>
      <c r="I976" s="11" t="s">
        <v>32</v>
      </c>
      <c r="J976" s="72">
        <v>80417523</v>
      </c>
      <c r="K976" s="99">
        <f>_xlfn.XLOOKUP(_2__ROI_Daily_Update[[#This Row],[CSM id]],SHP!F:F,SHP!EE:EE,"-")</f>
        <v>0</v>
      </c>
      <c r="L976" s="12"/>
      <c r="N976" s="11"/>
      <c r="P976"/>
      <c r="Q976"/>
      <c r="W976" s="28"/>
      <c r="AA976"/>
    </row>
    <row r="977" spans="1:27" x14ac:dyDescent="0.45">
      <c r="A977" s="57">
        <v>1815</v>
      </c>
      <c r="B977" t="s">
        <v>3450</v>
      </c>
      <c r="C977" t="s">
        <v>3451</v>
      </c>
      <c r="D977" s="12">
        <v>46305</v>
      </c>
      <c r="E977" s="11">
        <v>160</v>
      </c>
      <c r="F977" s="11" t="s">
        <v>5651</v>
      </c>
      <c r="G977">
        <v>20161001</v>
      </c>
      <c r="I977" s="11" t="s">
        <v>32</v>
      </c>
      <c r="J977" s="72">
        <v>316066</v>
      </c>
      <c r="K977" s="99">
        <f>_xlfn.XLOOKUP(_2__ROI_Daily_Update[[#This Row],[CSM id]],SHP!F:F,SHP!EE:EE,"-")</f>
        <v>0</v>
      </c>
      <c r="L977" s="12"/>
      <c r="N977" s="11"/>
      <c r="P977"/>
      <c r="Q977"/>
      <c r="W977" s="28"/>
      <c r="AA977"/>
    </row>
    <row r="978" spans="1:27" x14ac:dyDescent="0.45">
      <c r="A978" s="57">
        <v>983</v>
      </c>
      <c r="B978" t="s">
        <v>980</v>
      </c>
      <c r="C978" t="s">
        <v>981</v>
      </c>
      <c r="D978" s="12">
        <v>46305</v>
      </c>
      <c r="E978" s="11">
        <v>128</v>
      </c>
      <c r="F978" s="11" t="s">
        <v>5651</v>
      </c>
      <c r="G978">
        <v>20160401</v>
      </c>
      <c r="I978" s="11" t="s">
        <v>32</v>
      </c>
      <c r="J978" s="72">
        <v>30279944</v>
      </c>
      <c r="K978" s="99">
        <f>_xlfn.XLOOKUP(_2__ROI_Daily_Update[[#This Row],[CSM id]],SHP!F:F,SHP!EE:EE,"-")</f>
        <v>0</v>
      </c>
      <c r="L978" s="12"/>
      <c r="N978" s="11"/>
      <c r="P978"/>
      <c r="Q978"/>
      <c r="W978" s="28"/>
      <c r="AA978"/>
    </row>
    <row r="979" spans="1:27" x14ac:dyDescent="0.45">
      <c r="A979" s="57">
        <v>921</v>
      </c>
      <c r="B979" t="s">
        <v>5394</v>
      </c>
      <c r="C979" t="s">
        <v>5395</v>
      </c>
      <c r="D979" s="12">
        <v>46305</v>
      </c>
      <c r="E979" s="11">
        <v>224</v>
      </c>
      <c r="F979" s="11" t="s">
        <v>5651</v>
      </c>
      <c r="G979">
        <v>20250101</v>
      </c>
      <c r="I979" s="11" t="s">
        <v>32</v>
      </c>
      <c r="J979" s="72">
        <v>90582094</v>
      </c>
      <c r="K979" s="99">
        <f>_xlfn.XLOOKUP(_2__ROI_Daily_Update[[#This Row],[CSM id]],SHP!F:F,SHP!EE:EE,"-")</f>
        <v>0</v>
      </c>
      <c r="L979" s="12"/>
      <c r="N979" s="11"/>
      <c r="P979"/>
      <c r="Q979"/>
      <c r="W979" s="28"/>
      <c r="AA979"/>
    </row>
    <row r="980" spans="1:27" x14ac:dyDescent="0.45">
      <c r="A980" s="57">
        <v>1852</v>
      </c>
      <c r="B980" t="s">
        <v>3680</v>
      </c>
      <c r="C980" t="s">
        <v>3681</v>
      </c>
      <c r="D980" s="12">
        <v>46305</v>
      </c>
      <c r="E980" s="11">
        <v>168</v>
      </c>
      <c r="F980" s="11" t="s">
        <v>5651</v>
      </c>
      <c r="G980">
        <v>20200201</v>
      </c>
      <c r="I980" s="11" t="s">
        <v>32</v>
      </c>
      <c r="J980" s="72">
        <v>30420207</v>
      </c>
      <c r="K980" s="99">
        <f>_xlfn.XLOOKUP(_2__ROI_Daily_Update[[#This Row],[CSM id]],SHP!F:F,SHP!EE:EE,"-")</f>
        <v>0</v>
      </c>
      <c r="L980" s="12"/>
      <c r="N980" s="11"/>
      <c r="P980"/>
      <c r="Q980"/>
      <c r="W980" s="28"/>
      <c r="AA980"/>
    </row>
    <row r="981" spans="1:27" x14ac:dyDescent="0.45">
      <c r="A981" s="57">
        <v>1641</v>
      </c>
      <c r="B981" t="s">
        <v>3135</v>
      </c>
      <c r="C981" t="s">
        <v>3136</v>
      </c>
      <c r="D981" s="12">
        <v>46305</v>
      </c>
      <c r="E981" s="11">
        <v>90</v>
      </c>
      <c r="F981" s="11" t="s">
        <v>5651</v>
      </c>
      <c r="G981">
        <v>20140801</v>
      </c>
      <c r="I981" s="11" t="s">
        <v>32</v>
      </c>
      <c r="J981" s="72">
        <v>20256622</v>
      </c>
      <c r="K981" s="99">
        <f>_xlfn.XLOOKUP(_2__ROI_Daily_Update[[#This Row],[CSM id]],SHP!F:F,SHP!EE:EE,"-")</f>
        <v>0</v>
      </c>
      <c r="L981" s="12"/>
      <c r="N981" s="11"/>
      <c r="P981"/>
      <c r="Q981"/>
      <c r="W981" s="28"/>
      <c r="AA981"/>
    </row>
    <row r="982" spans="1:27" x14ac:dyDescent="0.45">
      <c r="A982" s="57">
        <v>1811</v>
      </c>
      <c r="B982" t="s">
        <v>3329</v>
      </c>
      <c r="C982" t="s">
        <v>3330</v>
      </c>
      <c r="D982" s="12">
        <v>46305</v>
      </c>
      <c r="E982" s="11">
        <v>640</v>
      </c>
      <c r="F982" s="11" t="s">
        <v>5651</v>
      </c>
      <c r="G982">
        <v>20240401</v>
      </c>
      <c r="I982" s="11" t="s">
        <v>32</v>
      </c>
      <c r="J982" s="72">
        <v>20568529</v>
      </c>
      <c r="K982" s="99">
        <f>_xlfn.XLOOKUP(_2__ROI_Daily_Update[[#This Row],[CSM id]],SHP!F:F,SHP!EE:EE,"-")</f>
        <v>0</v>
      </c>
      <c r="L982" s="12"/>
      <c r="N982" s="11"/>
      <c r="P982"/>
      <c r="Q982"/>
      <c r="W982" s="28"/>
      <c r="AA982"/>
    </row>
    <row r="983" spans="1:27" x14ac:dyDescent="0.45">
      <c r="A983" s="57">
        <v>131</v>
      </c>
      <c r="B983" t="s">
        <v>161</v>
      </c>
      <c r="C983" t="s">
        <v>162</v>
      </c>
      <c r="D983" s="12">
        <v>46305</v>
      </c>
      <c r="E983" s="11">
        <v>36</v>
      </c>
      <c r="F983" s="11" t="s">
        <v>6181</v>
      </c>
      <c r="G983">
        <v>20200201</v>
      </c>
      <c r="I983" s="11" t="s">
        <v>32</v>
      </c>
      <c r="J983" s="72">
        <v>10449909</v>
      </c>
      <c r="K983" s="99">
        <f>_xlfn.XLOOKUP(_2__ROI_Daily_Update[[#This Row],[CSM id]],SHP!F:F,SHP!EE:EE,"-")</f>
        <v>0</v>
      </c>
      <c r="L983" s="12"/>
      <c r="N983" s="11"/>
      <c r="P983"/>
      <c r="Q983"/>
      <c r="W983" s="28"/>
      <c r="AA983"/>
    </row>
    <row r="984" spans="1:27" x14ac:dyDescent="0.45">
      <c r="A984" s="57">
        <v>1718</v>
      </c>
      <c r="B984" t="s">
        <v>3303</v>
      </c>
      <c r="C984" t="s">
        <v>3304</v>
      </c>
      <c r="D984" s="12">
        <v>46305</v>
      </c>
      <c r="E984" s="11">
        <v>90</v>
      </c>
      <c r="F984" s="11" t="s">
        <v>5651</v>
      </c>
      <c r="G984">
        <v>20210201</v>
      </c>
      <c r="H984" s="12">
        <v>46569</v>
      </c>
      <c r="I984" s="11" t="s">
        <v>32</v>
      </c>
      <c r="J984" s="72">
        <v>60476735</v>
      </c>
      <c r="K984" s="99">
        <f>_xlfn.XLOOKUP(_2__ROI_Daily_Update[[#This Row],[CSM id]],SHP!F:F,SHP!EE:EE,"-")</f>
        <v>0</v>
      </c>
      <c r="L984" s="12"/>
      <c r="N984" s="11"/>
      <c r="P984"/>
      <c r="Q984"/>
      <c r="W984" s="28"/>
      <c r="AA984"/>
    </row>
    <row r="985" spans="1:27" x14ac:dyDescent="0.45">
      <c r="A985" s="57">
        <v>341</v>
      </c>
      <c r="B985" t="s">
        <v>349</v>
      </c>
      <c r="C985" t="s">
        <v>350</v>
      </c>
      <c r="D985" s="12">
        <v>46305</v>
      </c>
      <c r="E985" s="11">
        <v>27</v>
      </c>
      <c r="F985" s="11" t="s">
        <v>6181</v>
      </c>
      <c r="G985">
        <v>20170801</v>
      </c>
      <c r="I985" s="11" t="s">
        <v>32</v>
      </c>
      <c r="J985" s="72">
        <v>361756</v>
      </c>
      <c r="K985" s="99">
        <f>_xlfn.XLOOKUP(_2__ROI_Daily_Update[[#This Row],[CSM id]],SHP!F:F,SHP!EE:EE,"-")</f>
        <v>0</v>
      </c>
      <c r="L985" s="12"/>
      <c r="N985" s="11"/>
      <c r="P985"/>
      <c r="Q985"/>
      <c r="W985" s="28"/>
      <c r="AA985"/>
    </row>
    <row r="986" spans="1:27" x14ac:dyDescent="0.45">
      <c r="A986" s="57">
        <v>1811</v>
      </c>
      <c r="B986" t="s">
        <v>3347</v>
      </c>
      <c r="C986" t="s">
        <v>3348</v>
      </c>
      <c r="D986" s="12">
        <v>46305</v>
      </c>
      <c r="E986" s="11">
        <v>120</v>
      </c>
      <c r="F986" s="11" t="s">
        <v>5651</v>
      </c>
      <c r="G986">
        <v>20240401</v>
      </c>
      <c r="I986" s="11" t="s">
        <v>32</v>
      </c>
      <c r="J986" s="72">
        <v>70568522</v>
      </c>
      <c r="K986" s="99">
        <f>_xlfn.XLOOKUP(_2__ROI_Daily_Update[[#This Row],[CSM id]],SHP!F:F,SHP!EE:EE,"-")</f>
        <v>0</v>
      </c>
      <c r="L986" s="12"/>
      <c r="N986" s="11"/>
      <c r="P986"/>
      <c r="Q986"/>
      <c r="W986" s="28"/>
      <c r="AA986"/>
    </row>
    <row r="987" spans="1:27" x14ac:dyDescent="0.45">
      <c r="A987" s="57">
        <v>1815</v>
      </c>
      <c r="B987" t="s">
        <v>3468</v>
      </c>
      <c r="C987" t="s">
        <v>3469</v>
      </c>
      <c r="D987" s="12">
        <v>46305</v>
      </c>
      <c r="E987" s="11">
        <v>84</v>
      </c>
      <c r="F987" s="11" t="s">
        <v>5651</v>
      </c>
      <c r="G987">
        <v>20211001</v>
      </c>
      <c r="I987" s="11" t="s">
        <v>32</v>
      </c>
      <c r="J987" s="72">
        <v>40455084</v>
      </c>
      <c r="K987" s="99">
        <f>_xlfn.XLOOKUP(_2__ROI_Daily_Update[[#This Row],[CSM id]],SHP!F:F,SHP!EE:EE,"-")</f>
        <v>0</v>
      </c>
      <c r="L987" s="12"/>
      <c r="N987" s="11"/>
      <c r="P987"/>
      <c r="Q987"/>
      <c r="W987" s="28"/>
      <c r="AA987"/>
    </row>
    <row r="988" spans="1:27" x14ac:dyDescent="0.45">
      <c r="A988" s="57">
        <v>1815</v>
      </c>
      <c r="B988" t="s">
        <v>3492</v>
      </c>
      <c r="C988" t="s">
        <v>3493</v>
      </c>
      <c r="D988" s="12">
        <v>46305</v>
      </c>
      <c r="E988" s="11">
        <v>324</v>
      </c>
      <c r="F988" s="11" t="s">
        <v>5651</v>
      </c>
      <c r="G988">
        <v>20211001</v>
      </c>
      <c r="I988" s="11" t="s">
        <v>32</v>
      </c>
      <c r="J988" s="72">
        <v>80455082</v>
      </c>
      <c r="K988" s="99">
        <f>_xlfn.XLOOKUP(_2__ROI_Daily_Update[[#This Row],[CSM id]],SHP!F:F,SHP!EE:EE,"-")</f>
        <v>0</v>
      </c>
      <c r="L988" s="12"/>
      <c r="N988" s="11"/>
      <c r="P988"/>
      <c r="Q988"/>
      <c r="W988" s="28"/>
      <c r="AA988"/>
    </row>
    <row r="989" spans="1:27" x14ac:dyDescent="0.45">
      <c r="A989" s="57">
        <v>1852</v>
      </c>
      <c r="B989" t="s">
        <v>3670</v>
      </c>
      <c r="C989" t="s">
        <v>3671</v>
      </c>
      <c r="D989" s="12">
        <v>46305</v>
      </c>
      <c r="E989" s="11">
        <v>414</v>
      </c>
      <c r="F989" s="11" t="s">
        <v>5651</v>
      </c>
      <c r="G989">
        <v>20150401</v>
      </c>
      <c r="I989" s="11" t="s">
        <v>32</v>
      </c>
      <c r="J989" s="72">
        <v>295441</v>
      </c>
      <c r="K989" s="99">
        <f>_xlfn.XLOOKUP(_2__ROI_Daily_Update[[#This Row],[CSM id]],SHP!F:F,SHP!EE:EE,"-")</f>
        <v>0</v>
      </c>
      <c r="L989" s="12"/>
      <c r="N989" s="11"/>
      <c r="P989"/>
      <c r="Q989"/>
      <c r="W989" s="28"/>
      <c r="AA989"/>
    </row>
    <row r="990" spans="1:27" x14ac:dyDescent="0.45">
      <c r="A990" s="57">
        <v>761</v>
      </c>
      <c r="B990" t="s">
        <v>546</v>
      </c>
      <c r="C990" t="s">
        <v>547</v>
      </c>
      <c r="D990" s="12">
        <v>46305</v>
      </c>
      <c r="E990" s="11">
        <v>250</v>
      </c>
      <c r="F990" s="11" t="s">
        <v>5651</v>
      </c>
      <c r="G990">
        <v>20140801</v>
      </c>
      <c r="I990" s="11" t="s">
        <v>32</v>
      </c>
      <c r="J990" s="72">
        <v>10136512</v>
      </c>
      <c r="K990" s="99">
        <f>_xlfn.XLOOKUP(_2__ROI_Daily_Update[[#This Row],[CSM id]],SHP!F:F,SHP!EE:EE,"-")</f>
        <v>0</v>
      </c>
      <c r="L990" s="12"/>
      <c r="N990" s="11"/>
      <c r="P990"/>
      <c r="Q990"/>
      <c r="W990" s="28"/>
      <c r="AA990"/>
    </row>
    <row r="991" spans="1:27" x14ac:dyDescent="0.45">
      <c r="A991" s="57">
        <v>921</v>
      </c>
      <c r="B991" t="s">
        <v>702</v>
      </c>
      <c r="C991" t="s">
        <v>703</v>
      </c>
      <c r="D991" s="12">
        <v>46305</v>
      </c>
      <c r="E991" s="11">
        <v>216</v>
      </c>
      <c r="F991" s="11" t="s">
        <v>5651</v>
      </c>
      <c r="G991">
        <v>20250101</v>
      </c>
      <c r="I991" s="11" t="s">
        <v>32</v>
      </c>
      <c r="J991" s="72">
        <v>80582099</v>
      </c>
      <c r="K991" s="99">
        <f>_xlfn.XLOOKUP(_2__ROI_Daily_Update[[#This Row],[CSM id]],SHP!F:F,SHP!EE:EE,"-")</f>
        <v>0</v>
      </c>
      <c r="L991" s="12"/>
      <c r="N991" s="11"/>
      <c r="P991"/>
      <c r="Q991"/>
      <c r="W991" s="28"/>
      <c r="AA991"/>
    </row>
    <row r="992" spans="1:27" x14ac:dyDescent="0.45">
      <c r="A992" s="57">
        <v>921</v>
      </c>
      <c r="B992" t="s">
        <v>696</v>
      </c>
      <c r="C992" t="s">
        <v>697</v>
      </c>
      <c r="D992" s="12">
        <v>46305</v>
      </c>
      <c r="E992" s="11">
        <v>26</v>
      </c>
      <c r="F992" s="11" t="s">
        <v>6181</v>
      </c>
      <c r="G992">
        <v>20170401</v>
      </c>
      <c r="I992" s="11" t="s">
        <v>32</v>
      </c>
      <c r="J992" s="72">
        <v>60351434</v>
      </c>
      <c r="K992" s="99">
        <f>_xlfn.XLOOKUP(_2__ROI_Daily_Update[[#This Row],[CSM id]],SHP!F:F,SHP!EE:EE,"-")</f>
        <v>0</v>
      </c>
      <c r="L992" s="12"/>
      <c r="N992" s="11"/>
      <c r="P992"/>
      <c r="Q992"/>
      <c r="W992" s="28"/>
      <c r="AA992"/>
    </row>
    <row r="993" spans="1:27" x14ac:dyDescent="0.45">
      <c r="A993" s="57">
        <v>1815</v>
      </c>
      <c r="B993" t="s">
        <v>3494</v>
      </c>
      <c r="C993" t="s">
        <v>3495</v>
      </c>
      <c r="D993" s="12">
        <v>46305</v>
      </c>
      <c r="E993" s="11">
        <v>576</v>
      </c>
      <c r="F993" s="11" t="s">
        <v>5651</v>
      </c>
      <c r="G993">
        <v>20140801</v>
      </c>
      <c r="I993" s="11" t="s">
        <v>32</v>
      </c>
      <c r="J993" s="72">
        <v>90180940</v>
      </c>
      <c r="K993" s="99">
        <f>_xlfn.XLOOKUP(_2__ROI_Daily_Update[[#This Row],[CSM id]],SHP!F:F,SHP!EE:EE,"-")</f>
        <v>0</v>
      </c>
      <c r="L993" s="12"/>
      <c r="N993" s="11"/>
      <c r="P993"/>
      <c r="Q993"/>
      <c r="W993" s="28"/>
      <c r="AA993"/>
    </row>
    <row r="994" spans="1:27" x14ac:dyDescent="0.45">
      <c r="A994" s="57">
        <v>131</v>
      </c>
      <c r="B994" t="s">
        <v>151</v>
      </c>
      <c r="C994" t="s">
        <v>152</v>
      </c>
      <c r="D994" s="12">
        <v>46305</v>
      </c>
      <c r="E994" s="11">
        <v>60</v>
      </c>
      <c r="F994" s="11" t="s">
        <v>6181</v>
      </c>
      <c r="G994">
        <v>20231001</v>
      </c>
      <c r="I994" s="11" t="s">
        <v>32</v>
      </c>
      <c r="J994" s="72">
        <v>541423</v>
      </c>
      <c r="K994" s="99">
        <f>_xlfn.XLOOKUP(_2__ROI_Daily_Update[[#This Row],[CSM id]],SHP!F:F,SHP!EE:EE,"-")</f>
        <v>0</v>
      </c>
      <c r="L994" s="12"/>
      <c r="N994" s="11"/>
      <c r="P994"/>
      <c r="Q994"/>
      <c r="W994" s="28"/>
      <c r="AA994"/>
    </row>
    <row r="995" spans="1:27" x14ac:dyDescent="0.45">
      <c r="A995" s="57">
        <v>1815</v>
      </c>
      <c r="B995" t="s">
        <v>3486</v>
      </c>
      <c r="C995" t="s">
        <v>3487</v>
      </c>
      <c r="D995" s="12">
        <v>46305</v>
      </c>
      <c r="E995" s="11">
        <v>304</v>
      </c>
      <c r="F995" s="11" t="s">
        <v>5651</v>
      </c>
      <c r="G995">
        <v>20140801</v>
      </c>
      <c r="I995" s="11" t="s">
        <v>32</v>
      </c>
      <c r="J995" s="72">
        <v>70180941</v>
      </c>
      <c r="K995" s="99">
        <f>_xlfn.XLOOKUP(_2__ROI_Daily_Update[[#This Row],[CSM id]],SHP!F:F,SHP!EE:EE,"-")</f>
        <v>0</v>
      </c>
      <c r="L995" s="12"/>
      <c r="N995" s="11"/>
      <c r="P995"/>
      <c r="Q995"/>
      <c r="W995" s="28"/>
      <c r="AA995"/>
    </row>
    <row r="996" spans="1:27" x14ac:dyDescent="0.45">
      <c r="A996" s="57">
        <v>1811</v>
      </c>
      <c r="B996" t="s">
        <v>3349</v>
      </c>
      <c r="C996" t="s">
        <v>3350</v>
      </c>
      <c r="D996" s="12">
        <v>46305</v>
      </c>
      <c r="E996" s="11">
        <v>240</v>
      </c>
      <c r="F996" s="11" t="s">
        <v>5651</v>
      </c>
      <c r="G996">
        <v>20240401</v>
      </c>
      <c r="I996" s="11" t="s">
        <v>32</v>
      </c>
      <c r="J996" s="72">
        <v>70568536</v>
      </c>
      <c r="K996" s="99">
        <f>_xlfn.XLOOKUP(_2__ROI_Daily_Update[[#This Row],[CSM id]],SHP!F:F,SHP!EE:EE,"-")</f>
        <v>0</v>
      </c>
      <c r="L996" s="12"/>
      <c r="N996" s="11"/>
      <c r="P996"/>
      <c r="Q996"/>
      <c r="W996" s="28"/>
      <c r="AA996"/>
    </row>
    <row r="997" spans="1:27" x14ac:dyDescent="0.45">
      <c r="A997" s="57">
        <v>1815</v>
      </c>
      <c r="B997" t="s">
        <v>3456</v>
      </c>
      <c r="C997" t="s">
        <v>3457</v>
      </c>
      <c r="D997" s="12">
        <v>46305</v>
      </c>
      <c r="E997" s="11">
        <v>24</v>
      </c>
      <c r="F997" s="11" t="s">
        <v>5651</v>
      </c>
      <c r="G997">
        <v>20140801</v>
      </c>
      <c r="I997" s="11" t="s">
        <v>32</v>
      </c>
      <c r="J997" s="72">
        <v>10180944</v>
      </c>
      <c r="K997" s="99">
        <f>_xlfn.XLOOKUP(_2__ROI_Daily_Update[[#This Row],[CSM id]],SHP!F:F,SHP!EE:EE,"-")</f>
        <v>0</v>
      </c>
      <c r="L997" s="12"/>
      <c r="N997" s="11"/>
      <c r="P997"/>
      <c r="Q997"/>
      <c r="W997" s="28"/>
      <c r="AA997"/>
    </row>
    <row r="998" spans="1:27" x14ac:dyDescent="0.45">
      <c r="A998" s="57">
        <v>1813</v>
      </c>
      <c r="B998" t="s">
        <v>3434</v>
      </c>
      <c r="C998" t="s">
        <v>3435</v>
      </c>
      <c r="D998" s="12">
        <v>46306</v>
      </c>
      <c r="E998" s="11">
        <v>360</v>
      </c>
      <c r="F998" s="11" t="s">
        <v>0</v>
      </c>
      <c r="G998">
        <v>20210201</v>
      </c>
      <c r="I998" s="11" t="s">
        <v>32</v>
      </c>
      <c r="J998" s="72">
        <v>80468107</v>
      </c>
      <c r="K998" s="99" t="str">
        <f>_xlfn.XLOOKUP(_2__ROI_Daily_Update[[#This Row],[CSM id]],SHP!F:F,SHP!EE:EE,"-")</f>
        <v>-</v>
      </c>
      <c r="L998" s="12"/>
      <c r="N998" s="11"/>
      <c r="P998"/>
      <c r="Q998"/>
      <c r="W998" s="28"/>
      <c r="AA998"/>
    </row>
    <row r="999" spans="1:27" x14ac:dyDescent="0.45">
      <c r="A999" s="57">
        <v>214</v>
      </c>
      <c r="B999" t="s">
        <v>257</v>
      </c>
      <c r="C999" t="s">
        <v>258</v>
      </c>
      <c r="D999" s="12">
        <v>46306</v>
      </c>
      <c r="E999" s="11">
        <v>28</v>
      </c>
      <c r="F999" s="11" t="s">
        <v>160</v>
      </c>
      <c r="G999">
        <v>20230701</v>
      </c>
      <c r="I999" s="11" t="s">
        <v>32</v>
      </c>
      <c r="J999" s="72">
        <v>90522038</v>
      </c>
      <c r="K999" s="99">
        <f>_xlfn.XLOOKUP(_2__ROI_Daily_Update[[#This Row],[CSM id]],SHP!F:F,SHP!EE:EE,"-")</f>
        <v>0</v>
      </c>
      <c r="L999" s="12"/>
      <c r="N999" s="11"/>
      <c r="P999"/>
      <c r="Q999"/>
      <c r="W999" s="28"/>
      <c r="AA999"/>
    </row>
    <row r="1000" spans="1:27" x14ac:dyDescent="0.45">
      <c r="A1000" s="57">
        <v>341</v>
      </c>
      <c r="B1000" t="s">
        <v>349</v>
      </c>
      <c r="C1000" t="s">
        <v>350</v>
      </c>
      <c r="D1000" s="12">
        <v>46306</v>
      </c>
      <c r="E1000" s="11">
        <v>27</v>
      </c>
      <c r="F1000" s="11" t="s">
        <v>5123</v>
      </c>
      <c r="G1000">
        <v>20170801</v>
      </c>
      <c r="I1000" s="11" t="s">
        <v>32</v>
      </c>
      <c r="J1000" s="72">
        <v>361756</v>
      </c>
      <c r="K1000" s="99">
        <f>_xlfn.XLOOKUP(_2__ROI_Daily_Update[[#This Row],[CSM id]],SHP!F:F,SHP!EE:EE,"-")</f>
        <v>0</v>
      </c>
      <c r="L1000" s="12"/>
      <c r="N1000" s="11"/>
      <c r="P1000"/>
      <c r="Q1000"/>
      <c r="W1000" s="28"/>
      <c r="AA1000"/>
    </row>
    <row r="1001" spans="1:27" x14ac:dyDescent="0.45">
      <c r="A1001" s="57">
        <v>1633</v>
      </c>
      <c r="B1001" t="s">
        <v>3000</v>
      </c>
      <c r="C1001" t="s">
        <v>3001</v>
      </c>
      <c r="D1001" s="12">
        <v>46306</v>
      </c>
      <c r="E1001" s="11">
        <v>360</v>
      </c>
      <c r="F1001" s="11" t="s">
        <v>0</v>
      </c>
      <c r="G1001">
        <v>20210401</v>
      </c>
      <c r="I1001" s="11" t="s">
        <v>32</v>
      </c>
      <c r="J1001" s="72">
        <v>50470989</v>
      </c>
      <c r="K1001" s="99" t="str">
        <f>_xlfn.XLOOKUP(_2__ROI_Daily_Update[[#This Row],[CSM id]],SHP!F:F,SHP!EE:EE,"-")</f>
        <v>-</v>
      </c>
      <c r="L1001" s="12"/>
      <c r="N1001" s="11"/>
      <c r="P1001"/>
      <c r="Q1001"/>
      <c r="W1001" s="28"/>
      <c r="AA1001"/>
    </row>
    <row r="1002" spans="1:27" x14ac:dyDescent="0.45">
      <c r="A1002" s="57">
        <v>341</v>
      </c>
      <c r="B1002" t="s">
        <v>333</v>
      </c>
      <c r="C1002" t="s">
        <v>334</v>
      </c>
      <c r="D1002" s="12">
        <v>46306</v>
      </c>
      <c r="E1002" s="11">
        <v>9</v>
      </c>
      <c r="F1002" s="11" t="s">
        <v>5123</v>
      </c>
      <c r="G1002">
        <v>20170401</v>
      </c>
      <c r="H1002" s="12">
        <v>46478</v>
      </c>
      <c r="I1002" s="11" t="s">
        <v>32</v>
      </c>
      <c r="J1002" s="72">
        <v>80354276</v>
      </c>
      <c r="K1002" s="99">
        <f>_xlfn.XLOOKUP(_2__ROI_Daily_Update[[#This Row],[CSM id]],SHP!F:F,SHP!EE:EE,"-")</f>
        <v>0</v>
      </c>
      <c r="L1002" s="12"/>
      <c r="N1002" s="11"/>
      <c r="P1002"/>
      <c r="Q1002"/>
      <c r="W1002" s="28"/>
      <c r="AA1002"/>
    </row>
    <row r="1003" spans="1:27" x14ac:dyDescent="0.45">
      <c r="A1003" s="57">
        <v>921</v>
      </c>
      <c r="B1003" t="s">
        <v>696</v>
      </c>
      <c r="C1003" t="s">
        <v>697</v>
      </c>
      <c r="D1003" s="12">
        <v>46306</v>
      </c>
      <c r="E1003" s="11">
        <v>26</v>
      </c>
      <c r="F1003" s="11" t="s">
        <v>160</v>
      </c>
      <c r="G1003">
        <v>20170401</v>
      </c>
      <c r="I1003" s="11" t="s">
        <v>32</v>
      </c>
      <c r="J1003" s="72">
        <v>60351434</v>
      </c>
      <c r="K1003" s="99">
        <f>_xlfn.XLOOKUP(_2__ROI_Daily_Update[[#This Row],[CSM id]],SHP!F:F,SHP!EE:EE,"-")</f>
        <v>0</v>
      </c>
      <c r="L1003" s="12"/>
      <c r="N1003" s="11"/>
      <c r="P1003"/>
      <c r="Q1003"/>
      <c r="W1003" s="28"/>
      <c r="AA1003"/>
    </row>
    <row r="1004" spans="1:27" x14ac:dyDescent="0.45">
      <c r="A1004" s="57">
        <v>131</v>
      </c>
      <c r="B1004" t="s">
        <v>151</v>
      </c>
      <c r="C1004" t="s">
        <v>152</v>
      </c>
      <c r="D1004" s="12">
        <v>46306</v>
      </c>
      <c r="E1004" s="11">
        <v>150</v>
      </c>
      <c r="F1004" s="11" t="s">
        <v>160</v>
      </c>
      <c r="G1004">
        <v>20231001</v>
      </c>
      <c r="I1004" s="11" t="s">
        <v>32</v>
      </c>
      <c r="J1004" s="72">
        <v>541423</v>
      </c>
      <c r="K1004" s="99">
        <f>_xlfn.XLOOKUP(_2__ROI_Daily_Update[[#This Row],[CSM id]],SHP!F:F,SHP!EE:EE,"-")</f>
        <v>0</v>
      </c>
      <c r="L1004" s="12"/>
      <c r="N1004" s="11"/>
      <c r="P1004"/>
      <c r="Q1004"/>
      <c r="W1004" s="28"/>
      <c r="AA1004"/>
    </row>
    <row r="1005" spans="1:27" x14ac:dyDescent="0.45">
      <c r="A1005" s="57">
        <v>131</v>
      </c>
      <c r="B1005" t="s">
        <v>151</v>
      </c>
      <c r="C1005" t="s">
        <v>152</v>
      </c>
      <c r="D1005" s="12">
        <v>46306</v>
      </c>
      <c r="E1005" s="11">
        <v>120</v>
      </c>
      <c r="F1005" s="11" t="s">
        <v>5123</v>
      </c>
      <c r="G1005">
        <v>20231001</v>
      </c>
      <c r="I1005" s="11" t="s">
        <v>32</v>
      </c>
      <c r="J1005" s="72">
        <v>541423</v>
      </c>
      <c r="K1005" s="99">
        <f>_xlfn.XLOOKUP(_2__ROI_Daily_Update[[#This Row],[CSM id]],SHP!F:F,SHP!EE:EE,"-")</f>
        <v>0</v>
      </c>
      <c r="L1005" s="12"/>
      <c r="N1005" s="11"/>
      <c r="P1005"/>
      <c r="Q1005"/>
      <c r="W1005" s="28"/>
      <c r="AA1005"/>
    </row>
    <row r="1006" spans="1:27" x14ac:dyDescent="0.45">
      <c r="A1006" s="57">
        <v>1122</v>
      </c>
      <c r="B1006" t="s">
        <v>1625</v>
      </c>
      <c r="C1006" t="s">
        <v>1626</v>
      </c>
      <c r="D1006" s="12">
        <v>46307</v>
      </c>
      <c r="E1006" s="11">
        <v>60</v>
      </c>
      <c r="F1006" s="11" t="s">
        <v>6554</v>
      </c>
      <c r="G1006">
        <v>20190801</v>
      </c>
      <c r="H1006" s="12">
        <v>46478</v>
      </c>
      <c r="I1006" s="11" t="s">
        <v>18</v>
      </c>
      <c r="J1006" s="72">
        <v>80446097</v>
      </c>
      <c r="K1006" s="99">
        <f>_xlfn.XLOOKUP(_2__ROI_Daily_Update[[#This Row],[CSM id]],SHP!F:F,SHP!EE:EE,"-")</f>
        <v>0</v>
      </c>
      <c r="L1006" s="12"/>
      <c r="N1006" s="11"/>
      <c r="P1006"/>
      <c r="Q1006"/>
      <c r="W1006" s="28"/>
      <c r="AA1006"/>
    </row>
    <row r="1007" spans="1:27" x14ac:dyDescent="0.45">
      <c r="A1007" s="57">
        <v>982</v>
      </c>
      <c r="B1007" t="s">
        <v>953</v>
      </c>
      <c r="C1007" t="s">
        <v>954</v>
      </c>
      <c r="D1007" s="12">
        <v>46307</v>
      </c>
      <c r="E1007" s="11">
        <v>9</v>
      </c>
      <c r="F1007" s="11" t="s">
        <v>6555</v>
      </c>
      <c r="G1007">
        <v>20240701</v>
      </c>
      <c r="I1007" s="11" t="s">
        <v>18</v>
      </c>
      <c r="J1007" s="72">
        <v>10540296</v>
      </c>
      <c r="K1007" s="99">
        <f>_xlfn.XLOOKUP(_2__ROI_Daily_Update[[#This Row],[CSM id]],SHP!F:F,SHP!EE:EE,"-")</f>
        <v>0</v>
      </c>
      <c r="L1007" s="12"/>
      <c r="N1007" s="11"/>
      <c r="P1007"/>
      <c r="Q1007"/>
      <c r="W1007" s="28"/>
      <c r="AA1007"/>
    </row>
    <row r="1008" spans="1:27" x14ac:dyDescent="0.45">
      <c r="A1008" s="57">
        <v>1012</v>
      </c>
      <c r="B1008" t="s">
        <v>1064</v>
      </c>
      <c r="C1008" t="s">
        <v>1065</v>
      </c>
      <c r="D1008" s="12">
        <v>46307</v>
      </c>
      <c r="E1008" s="11">
        <v>18</v>
      </c>
      <c r="F1008" s="11" t="s">
        <v>6554</v>
      </c>
      <c r="G1008">
        <v>20140801</v>
      </c>
      <c r="I1008" s="11" t="s">
        <v>18</v>
      </c>
      <c r="J1008" s="72">
        <v>30283899</v>
      </c>
      <c r="K1008" s="99">
        <f>_xlfn.XLOOKUP(_2__ROI_Daily_Update[[#This Row],[CSM id]],SHP!F:F,SHP!EE:EE,"-")</f>
        <v>0</v>
      </c>
      <c r="L1008" s="12"/>
      <c r="N1008" s="11"/>
      <c r="P1008"/>
      <c r="Q1008"/>
      <c r="W1008" s="28"/>
      <c r="AA1008"/>
    </row>
    <row r="1009" spans="1:27" x14ac:dyDescent="0.45">
      <c r="A1009" s="57">
        <v>981</v>
      </c>
      <c r="B1009" t="s">
        <v>947</v>
      </c>
      <c r="C1009" t="s">
        <v>948</v>
      </c>
      <c r="D1009" s="12">
        <v>46307</v>
      </c>
      <c r="E1009" s="11">
        <v>48</v>
      </c>
      <c r="F1009" s="11" t="s">
        <v>6730</v>
      </c>
      <c r="G1009">
        <v>20180401</v>
      </c>
      <c r="I1009" s="11" t="s">
        <v>18</v>
      </c>
      <c r="J1009" s="72">
        <v>90365364</v>
      </c>
      <c r="K1009" s="99">
        <f>_xlfn.XLOOKUP(_2__ROI_Daily_Update[[#This Row],[CSM id]],SHP!F:F,SHP!EE:EE,"-")</f>
        <v>0</v>
      </c>
      <c r="L1009" s="12"/>
      <c r="N1009" s="11"/>
      <c r="P1009"/>
      <c r="Q1009"/>
      <c r="W1009" s="28"/>
      <c r="AA1009"/>
    </row>
    <row r="1010" spans="1:27" x14ac:dyDescent="0.45">
      <c r="A1010" s="57">
        <v>1122</v>
      </c>
      <c r="B1010" t="s">
        <v>1623</v>
      </c>
      <c r="C1010" t="s">
        <v>1624</v>
      </c>
      <c r="D1010" s="12">
        <v>46307</v>
      </c>
      <c r="E1010" s="11">
        <v>154</v>
      </c>
      <c r="F1010" s="11" t="s">
        <v>6730</v>
      </c>
      <c r="G1010">
        <v>20190801</v>
      </c>
      <c r="H1010" s="12">
        <v>46388</v>
      </c>
      <c r="I1010" s="11" t="s">
        <v>32</v>
      </c>
      <c r="J1010" s="72">
        <v>70444367</v>
      </c>
      <c r="K1010" s="99">
        <f>_xlfn.XLOOKUP(_2__ROI_Daily_Update[[#This Row],[CSM id]],SHP!F:F,SHP!EE:EE,"-")</f>
        <v>0</v>
      </c>
      <c r="L1010" s="12"/>
      <c r="N1010" s="11"/>
      <c r="P1010"/>
      <c r="Q1010"/>
      <c r="W1010" s="28"/>
      <c r="AA1010"/>
    </row>
    <row r="1011" spans="1:27" x14ac:dyDescent="0.45">
      <c r="A1011" s="57">
        <v>1122</v>
      </c>
      <c r="B1011" t="s">
        <v>1623</v>
      </c>
      <c r="C1011" t="s">
        <v>1624</v>
      </c>
      <c r="D1011" s="12">
        <v>46307</v>
      </c>
      <c r="E1011" s="11">
        <v>352</v>
      </c>
      <c r="F1011" s="11" t="s">
        <v>6555</v>
      </c>
      <c r="G1011">
        <v>20190801</v>
      </c>
      <c r="H1011" s="12">
        <v>46388</v>
      </c>
      <c r="I1011" s="11" t="s">
        <v>32</v>
      </c>
      <c r="J1011" s="72">
        <v>70444367</v>
      </c>
      <c r="K1011" s="99">
        <f>_xlfn.XLOOKUP(_2__ROI_Daily_Update[[#This Row],[CSM id]],SHP!F:F,SHP!EE:EE,"-")</f>
        <v>0</v>
      </c>
      <c r="L1011" s="12"/>
      <c r="N1011" s="11"/>
      <c r="P1011"/>
      <c r="Q1011"/>
      <c r="W1011" s="28"/>
      <c r="AA1011"/>
    </row>
    <row r="1012" spans="1:27" x14ac:dyDescent="0.45">
      <c r="A1012" s="57">
        <v>1122</v>
      </c>
      <c r="B1012" t="s">
        <v>1621</v>
      </c>
      <c r="C1012" t="s">
        <v>1622</v>
      </c>
      <c r="D1012" s="12">
        <v>46307</v>
      </c>
      <c r="E1012" s="11">
        <v>12</v>
      </c>
      <c r="F1012" s="11" t="s">
        <v>6730</v>
      </c>
      <c r="G1012">
        <v>20250101</v>
      </c>
      <c r="H1012" s="12">
        <v>46478</v>
      </c>
      <c r="I1012" s="11" t="s">
        <v>32</v>
      </c>
      <c r="J1012" s="72">
        <v>60596196</v>
      </c>
      <c r="K1012" s="99">
        <f>_xlfn.XLOOKUP(_2__ROI_Daily_Update[[#This Row],[CSM id]],SHP!F:F,SHP!EE:EE,"-")</f>
        <v>0</v>
      </c>
      <c r="L1012" s="12"/>
      <c r="N1012" s="11"/>
      <c r="P1012"/>
      <c r="Q1012"/>
      <c r="W1012" s="28"/>
      <c r="AA1012"/>
    </row>
    <row r="1013" spans="1:27" x14ac:dyDescent="0.45">
      <c r="A1013" s="57">
        <v>1832</v>
      </c>
      <c r="B1013" t="s">
        <v>3610</v>
      </c>
      <c r="C1013" t="s">
        <v>3611</v>
      </c>
      <c r="D1013" s="12">
        <v>46307</v>
      </c>
      <c r="E1013" s="11">
        <v>584</v>
      </c>
      <c r="F1013" s="11" t="s">
        <v>6554</v>
      </c>
      <c r="G1013">
        <v>20210201</v>
      </c>
      <c r="I1013" s="11" t="s">
        <v>18</v>
      </c>
      <c r="J1013" s="72">
        <v>20432480</v>
      </c>
      <c r="K1013" s="99">
        <f>_xlfn.XLOOKUP(_2__ROI_Daily_Update[[#This Row],[CSM id]],SHP!F:F,SHP!EE:EE,"-")</f>
        <v>0</v>
      </c>
      <c r="L1013" s="12"/>
      <c r="N1013" s="11"/>
      <c r="P1013"/>
      <c r="Q1013"/>
      <c r="W1013" s="28"/>
      <c r="AA1013"/>
    </row>
    <row r="1014" spans="1:27" x14ac:dyDescent="0.45">
      <c r="A1014" s="57">
        <v>981</v>
      </c>
      <c r="B1014" t="s">
        <v>949</v>
      </c>
      <c r="C1014" t="s">
        <v>950</v>
      </c>
      <c r="D1014" s="12">
        <v>46307</v>
      </c>
      <c r="E1014" s="11">
        <v>84</v>
      </c>
      <c r="F1014" s="11" t="s">
        <v>6554</v>
      </c>
      <c r="G1014">
        <v>20241001</v>
      </c>
      <c r="I1014" s="11" t="s">
        <v>18</v>
      </c>
      <c r="J1014" s="72">
        <v>90581985</v>
      </c>
      <c r="K1014" s="99">
        <f>_xlfn.XLOOKUP(_2__ROI_Daily_Update[[#This Row],[CSM id]],SHP!F:F,SHP!EE:EE,"-")</f>
        <v>0</v>
      </c>
      <c r="L1014" s="12"/>
      <c r="N1014" s="11"/>
      <c r="P1014"/>
      <c r="Q1014"/>
      <c r="W1014" s="28"/>
      <c r="AA1014"/>
    </row>
    <row r="1015" spans="1:27" x14ac:dyDescent="0.45">
      <c r="A1015" s="57">
        <v>1012</v>
      </c>
      <c r="B1015" t="s">
        <v>1064</v>
      </c>
      <c r="C1015" t="s">
        <v>1065</v>
      </c>
      <c r="D1015" s="12">
        <v>46307</v>
      </c>
      <c r="E1015" s="11">
        <v>18</v>
      </c>
      <c r="F1015" s="11" t="s">
        <v>6730</v>
      </c>
      <c r="G1015">
        <v>20140801</v>
      </c>
      <c r="I1015" s="11" t="s">
        <v>18</v>
      </c>
      <c r="J1015" s="72">
        <v>30283899</v>
      </c>
      <c r="K1015" s="99">
        <f>_xlfn.XLOOKUP(_2__ROI_Daily_Update[[#This Row],[CSM id]],SHP!F:F,SHP!EE:EE,"-")</f>
        <v>0</v>
      </c>
      <c r="L1015" s="12"/>
      <c r="N1015" s="11"/>
      <c r="P1015"/>
      <c r="Q1015"/>
      <c r="W1015" s="28"/>
      <c r="AA1015"/>
    </row>
    <row r="1016" spans="1:27" x14ac:dyDescent="0.45">
      <c r="A1016" s="57">
        <v>1122</v>
      </c>
      <c r="B1016" t="s">
        <v>1621</v>
      </c>
      <c r="C1016" t="s">
        <v>1622</v>
      </c>
      <c r="D1016" s="12">
        <v>46307</v>
      </c>
      <c r="E1016" s="11">
        <v>36</v>
      </c>
      <c r="F1016" s="11" t="s">
        <v>6555</v>
      </c>
      <c r="G1016">
        <v>20250101</v>
      </c>
      <c r="H1016" s="12">
        <v>46478</v>
      </c>
      <c r="I1016" s="11" t="s">
        <v>32</v>
      </c>
      <c r="J1016" s="72">
        <v>60596196</v>
      </c>
      <c r="K1016" s="99">
        <f>_xlfn.XLOOKUP(_2__ROI_Daily_Update[[#This Row],[CSM id]],SHP!F:F,SHP!EE:EE,"-")</f>
        <v>0</v>
      </c>
      <c r="L1016" s="12"/>
      <c r="N1016" s="11"/>
      <c r="P1016"/>
      <c r="Q1016"/>
      <c r="W1016" s="28"/>
      <c r="AA1016"/>
    </row>
    <row r="1017" spans="1:27" x14ac:dyDescent="0.45">
      <c r="A1017" s="57">
        <v>1122</v>
      </c>
      <c r="B1017" t="s">
        <v>1615</v>
      </c>
      <c r="C1017" t="s">
        <v>1616</v>
      </c>
      <c r="D1017" s="12">
        <v>46307</v>
      </c>
      <c r="E1017" s="11">
        <v>64</v>
      </c>
      <c r="F1017" s="11" t="s">
        <v>6730</v>
      </c>
      <c r="G1017">
        <v>20260401</v>
      </c>
      <c r="I1017" s="11" t="s">
        <v>18</v>
      </c>
      <c r="J1017" s="72">
        <v>40628626</v>
      </c>
      <c r="K1017" s="99">
        <f>_xlfn.XLOOKUP(_2__ROI_Daily_Update[[#This Row],[CSM id]],SHP!F:F,SHP!EE:EE,"-")</f>
        <v>0</v>
      </c>
      <c r="L1017" s="12"/>
      <c r="N1017" s="11"/>
      <c r="P1017"/>
      <c r="Q1017"/>
      <c r="W1017" s="28"/>
      <c r="AA1017"/>
    </row>
    <row r="1018" spans="1:27" x14ac:dyDescent="0.45">
      <c r="A1018" s="57">
        <v>1122</v>
      </c>
      <c r="B1018" t="s">
        <v>1619</v>
      </c>
      <c r="C1018" t="s">
        <v>1620</v>
      </c>
      <c r="D1018" s="12">
        <v>46307</v>
      </c>
      <c r="E1018" s="11">
        <v>50</v>
      </c>
      <c r="F1018" s="11" t="s">
        <v>6554</v>
      </c>
      <c r="G1018">
        <v>20230101</v>
      </c>
      <c r="I1018" s="11" t="s">
        <v>18</v>
      </c>
      <c r="J1018" s="72">
        <v>60544881</v>
      </c>
      <c r="K1018" s="99">
        <f>_xlfn.XLOOKUP(_2__ROI_Daily_Update[[#This Row],[CSM id]],SHP!F:F,SHP!EE:EE,"-")</f>
        <v>0</v>
      </c>
      <c r="L1018" s="12"/>
      <c r="N1018" s="11"/>
      <c r="P1018"/>
      <c r="Q1018"/>
      <c r="W1018" s="28"/>
      <c r="AA1018"/>
    </row>
    <row r="1019" spans="1:27" x14ac:dyDescent="0.45">
      <c r="A1019" s="57">
        <v>1122</v>
      </c>
      <c r="B1019" t="s">
        <v>1607</v>
      </c>
      <c r="C1019" t="s">
        <v>1608</v>
      </c>
      <c r="D1019" s="12">
        <v>46307</v>
      </c>
      <c r="E1019" s="11">
        <v>44</v>
      </c>
      <c r="F1019" s="11" t="s">
        <v>6730</v>
      </c>
      <c r="G1019">
        <v>20230701</v>
      </c>
      <c r="H1019" s="12">
        <v>46388</v>
      </c>
      <c r="I1019" s="11" t="s">
        <v>18</v>
      </c>
      <c r="J1019" s="72">
        <v>20560284</v>
      </c>
      <c r="K1019" s="99">
        <f>_xlfn.XLOOKUP(_2__ROI_Daily_Update[[#This Row],[CSM id]],SHP!F:F,SHP!EE:EE,"-")</f>
        <v>0</v>
      </c>
      <c r="L1019" s="12"/>
      <c r="N1019" s="11"/>
      <c r="P1019"/>
      <c r="Q1019"/>
      <c r="W1019" s="28"/>
      <c r="AA1019"/>
    </row>
    <row r="1020" spans="1:27" x14ac:dyDescent="0.45">
      <c r="A1020" s="57">
        <v>972</v>
      </c>
      <c r="B1020" t="s">
        <v>887</v>
      </c>
      <c r="C1020" t="s">
        <v>888</v>
      </c>
      <c r="D1020" s="12">
        <v>46307</v>
      </c>
      <c r="E1020" s="11">
        <v>96</v>
      </c>
      <c r="F1020" s="11" t="s">
        <v>6730</v>
      </c>
      <c r="G1020">
        <v>20240401</v>
      </c>
      <c r="I1020" s="11" t="s">
        <v>32</v>
      </c>
      <c r="J1020" s="72">
        <v>60572001</v>
      </c>
      <c r="K1020" s="99">
        <f>_xlfn.XLOOKUP(_2__ROI_Daily_Update[[#This Row],[CSM id]],SHP!F:F,SHP!EE:EE,"-")</f>
        <v>0</v>
      </c>
      <c r="L1020" s="12"/>
      <c r="N1020" s="11"/>
      <c r="P1020"/>
      <c r="Q1020"/>
      <c r="W1020" s="28"/>
      <c r="AA1020"/>
    </row>
    <row r="1021" spans="1:27" x14ac:dyDescent="0.45">
      <c r="A1021" s="57">
        <v>1832</v>
      </c>
      <c r="B1021" t="s">
        <v>3616</v>
      </c>
      <c r="C1021" t="s">
        <v>3617</v>
      </c>
      <c r="D1021" s="12">
        <v>46307</v>
      </c>
      <c r="E1021" s="11">
        <v>128</v>
      </c>
      <c r="F1021" s="11" t="s">
        <v>6730</v>
      </c>
      <c r="G1021">
        <v>20150801</v>
      </c>
      <c r="I1021" s="11" t="s">
        <v>18</v>
      </c>
      <c r="J1021" s="72">
        <v>50238542</v>
      </c>
      <c r="K1021" s="99">
        <f>_xlfn.XLOOKUP(_2__ROI_Daily_Update[[#This Row],[CSM id]],SHP!F:F,SHP!EE:EE,"-")</f>
        <v>0</v>
      </c>
      <c r="L1021" s="12"/>
      <c r="N1021" s="11"/>
      <c r="P1021"/>
      <c r="Q1021"/>
      <c r="W1021" s="28"/>
      <c r="AA1021"/>
    </row>
    <row r="1022" spans="1:27" x14ac:dyDescent="0.45">
      <c r="A1022" s="57">
        <v>981</v>
      </c>
      <c r="B1022" t="s">
        <v>5424</v>
      </c>
      <c r="C1022" t="s">
        <v>5425</v>
      </c>
      <c r="D1022" s="12">
        <v>46307</v>
      </c>
      <c r="E1022" s="11">
        <v>84</v>
      </c>
      <c r="F1022" s="11" t="s">
        <v>6730</v>
      </c>
      <c r="G1022">
        <v>20241001</v>
      </c>
      <c r="I1022" s="11" t="s">
        <v>18</v>
      </c>
      <c r="J1022" s="72">
        <v>586609</v>
      </c>
      <c r="K1022" s="99">
        <f>_xlfn.XLOOKUP(_2__ROI_Daily_Update[[#This Row],[CSM id]],SHP!F:F,SHP!EE:EE,"-")</f>
        <v>0</v>
      </c>
      <c r="L1022" s="12"/>
      <c r="N1022" s="11"/>
      <c r="P1022"/>
      <c r="Q1022"/>
      <c r="W1022" s="28"/>
      <c r="AA1022"/>
    </row>
    <row r="1023" spans="1:27" x14ac:dyDescent="0.45">
      <c r="A1023" s="57">
        <v>1121</v>
      </c>
      <c r="B1023" t="s">
        <v>1589</v>
      </c>
      <c r="C1023" t="s">
        <v>1590</v>
      </c>
      <c r="D1023" s="12">
        <v>46307</v>
      </c>
      <c r="E1023" s="11">
        <v>40</v>
      </c>
      <c r="F1023" s="11" t="s">
        <v>6555</v>
      </c>
      <c r="G1023">
        <v>20200401</v>
      </c>
      <c r="I1023" s="11" t="s">
        <v>18</v>
      </c>
      <c r="J1023" s="72">
        <v>60457987</v>
      </c>
      <c r="K1023" s="99">
        <f>_xlfn.XLOOKUP(_2__ROI_Daily_Update[[#This Row],[CSM id]],SHP!F:F,SHP!EE:EE,"-")</f>
        <v>0</v>
      </c>
      <c r="L1023" s="12"/>
      <c r="N1023" s="11"/>
      <c r="P1023"/>
      <c r="Q1023"/>
      <c r="W1023" s="28"/>
      <c r="AA1023"/>
    </row>
    <row r="1024" spans="1:27" x14ac:dyDescent="0.45">
      <c r="A1024" s="57">
        <v>1832</v>
      </c>
      <c r="B1024" t="s">
        <v>3616</v>
      </c>
      <c r="C1024" t="s">
        <v>3617</v>
      </c>
      <c r="D1024" s="12">
        <v>46307</v>
      </c>
      <c r="E1024" s="11">
        <v>128</v>
      </c>
      <c r="F1024" s="11" t="s">
        <v>6554</v>
      </c>
      <c r="G1024">
        <v>20150801</v>
      </c>
      <c r="I1024" s="11" t="s">
        <v>18</v>
      </c>
      <c r="J1024" s="72">
        <v>50238542</v>
      </c>
      <c r="K1024" s="99">
        <f>_xlfn.XLOOKUP(_2__ROI_Daily_Update[[#This Row],[CSM id]],SHP!F:F,SHP!EE:EE,"-")</f>
        <v>0</v>
      </c>
      <c r="L1024" s="12"/>
      <c r="N1024" s="11"/>
      <c r="P1024"/>
      <c r="Q1024"/>
      <c r="W1024" s="28"/>
      <c r="AA1024"/>
    </row>
    <row r="1025" spans="1:27" x14ac:dyDescent="0.45">
      <c r="A1025" s="57">
        <v>972</v>
      </c>
      <c r="B1025" t="s">
        <v>885</v>
      </c>
      <c r="C1025" t="s">
        <v>886</v>
      </c>
      <c r="D1025" s="12">
        <v>46307</v>
      </c>
      <c r="E1025" s="11">
        <v>18</v>
      </c>
      <c r="F1025" s="11" t="s">
        <v>6556</v>
      </c>
      <c r="G1025">
        <v>20261001</v>
      </c>
      <c r="I1025" s="11" t="s">
        <v>18</v>
      </c>
      <c r="J1025" s="72">
        <v>50620880</v>
      </c>
      <c r="K1025" s="99">
        <f>_xlfn.XLOOKUP(_2__ROI_Daily_Update[[#This Row],[CSM id]],SHP!F:F,SHP!EE:EE,"-")</f>
        <v>0</v>
      </c>
      <c r="L1025" s="12"/>
      <c r="N1025" s="11"/>
      <c r="P1025"/>
      <c r="Q1025"/>
      <c r="W1025" s="28"/>
      <c r="AA1025"/>
    </row>
    <row r="1026" spans="1:27" x14ac:dyDescent="0.45">
      <c r="A1026" s="57">
        <v>1122</v>
      </c>
      <c r="B1026" t="s">
        <v>1601</v>
      </c>
      <c r="C1026" t="s">
        <v>1602</v>
      </c>
      <c r="D1026" s="12">
        <v>46307</v>
      </c>
      <c r="E1026" s="11">
        <v>48</v>
      </c>
      <c r="F1026" s="11" t="s">
        <v>6730</v>
      </c>
      <c r="G1026">
        <v>20200401</v>
      </c>
      <c r="I1026" s="11" t="s">
        <v>18</v>
      </c>
      <c r="J1026" s="72">
        <v>10460591</v>
      </c>
      <c r="K1026" s="99">
        <f>_xlfn.XLOOKUP(_2__ROI_Daily_Update[[#This Row],[CSM id]],SHP!F:F,SHP!EE:EE,"-")</f>
        <v>0</v>
      </c>
      <c r="L1026" s="12"/>
      <c r="N1026" s="11"/>
      <c r="P1026"/>
      <c r="Q1026"/>
      <c r="W1026" s="28"/>
      <c r="AA1026"/>
    </row>
    <row r="1027" spans="1:27" x14ac:dyDescent="0.45">
      <c r="A1027" s="57">
        <v>1122</v>
      </c>
      <c r="B1027" t="s">
        <v>1599</v>
      </c>
      <c r="C1027" t="s">
        <v>1600</v>
      </c>
      <c r="D1027" s="12">
        <v>46307</v>
      </c>
      <c r="E1027" s="11">
        <v>36</v>
      </c>
      <c r="F1027" s="11" t="s">
        <v>6730</v>
      </c>
      <c r="G1027">
        <v>20200401</v>
      </c>
      <c r="I1027" s="11" t="s">
        <v>18</v>
      </c>
      <c r="J1027" s="72">
        <v>10460572</v>
      </c>
      <c r="K1027" s="99">
        <f>_xlfn.XLOOKUP(_2__ROI_Daily_Update[[#This Row],[CSM id]],SHP!F:F,SHP!EE:EE,"-")</f>
        <v>0</v>
      </c>
      <c r="L1027" s="12"/>
      <c r="N1027" s="11"/>
      <c r="P1027"/>
      <c r="Q1027"/>
      <c r="W1027" s="28"/>
      <c r="AA1027"/>
    </row>
    <row r="1028" spans="1:27" x14ac:dyDescent="0.45">
      <c r="A1028" s="57">
        <v>1122</v>
      </c>
      <c r="B1028" t="s">
        <v>1599</v>
      </c>
      <c r="C1028" t="s">
        <v>1600</v>
      </c>
      <c r="D1028" s="12">
        <v>46307</v>
      </c>
      <c r="E1028" s="11">
        <v>36</v>
      </c>
      <c r="F1028" s="11" t="s">
        <v>6554</v>
      </c>
      <c r="G1028">
        <v>20200401</v>
      </c>
      <c r="I1028" s="11" t="s">
        <v>18</v>
      </c>
      <c r="J1028" s="72">
        <v>10460572</v>
      </c>
      <c r="K1028" s="99">
        <f>_xlfn.XLOOKUP(_2__ROI_Daily_Update[[#This Row],[CSM id]],SHP!F:F,SHP!EE:EE,"-")</f>
        <v>0</v>
      </c>
      <c r="L1028" s="12"/>
      <c r="N1028" s="11"/>
      <c r="P1028"/>
      <c r="Q1028"/>
      <c r="W1028" s="28"/>
      <c r="AA1028"/>
    </row>
    <row r="1029" spans="1:27" x14ac:dyDescent="0.45">
      <c r="A1029" s="57">
        <v>981</v>
      </c>
      <c r="B1029" t="s">
        <v>939</v>
      </c>
      <c r="C1029" t="s">
        <v>940</v>
      </c>
      <c r="D1029" s="12">
        <v>46307</v>
      </c>
      <c r="E1029" s="11">
        <v>20</v>
      </c>
      <c r="F1029" s="11" t="s">
        <v>6555</v>
      </c>
      <c r="G1029">
        <v>20260201</v>
      </c>
      <c r="I1029" s="11" t="s">
        <v>18</v>
      </c>
      <c r="J1029" s="72">
        <v>598971</v>
      </c>
      <c r="K1029" s="99">
        <f>_xlfn.XLOOKUP(_2__ROI_Daily_Update[[#This Row],[CSM id]],SHP!F:F,SHP!EE:EE,"-")</f>
        <v>0</v>
      </c>
      <c r="L1029" s="12"/>
      <c r="N1029" s="11"/>
      <c r="P1029"/>
      <c r="Q1029"/>
      <c r="W1029" s="28"/>
      <c r="AA1029"/>
    </row>
    <row r="1030" spans="1:27" x14ac:dyDescent="0.45">
      <c r="A1030" s="57">
        <v>1122</v>
      </c>
      <c r="B1030" t="s">
        <v>1597</v>
      </c>
      <c r="C1030" t="s">
        <v>1598</v>
      </c>
      <c r="D1030" s="12">
        <v>46307</v>
      </c>
      <c r="E1030" s="11">
        <v>20</v>
      </c>
      <c r="F1030" s="11" t="s">
        <v>6730</v>
      </c>
      <c r="G1030">
        <v>20220401</v>
      </c>
      <c r="I1030" s="11" t="s">
        <v>18</v>
      </c>
      <c r="J1030" s="72">
        <v>10421000</v>
      </c>
      <c r="K1030" s="99">
        <f>_xlfn.XLOOKUP(_2__ROI_Daily_Update[[#This Row],[CSM id]],SHP!F:F,SHP!EE:EE,"-")</f>
        <v>0</v>
      </c>
      <c r="L1030" s="12"/>
      <c r="N1030" s="11"/>
      <c r="P1030"/>
      <c r="Q1030"/>
      <c r="W1030" s="28"/>
      <c r="AA1030"/>
    </row>
    <row r="1031" spans="1:27" x14ac:dyDescent="0.45">
      <c r="A1031" s="57">
        <v>1122</v>
      </c>
      <c r="B1031" t="s">
        <v>1597</v>
      </c>
      <c r="C1031" t="s">
        <v>1598</v>
      </c>
      <c r="D1031" s="12">
        <v>46307</v>
      </c>
      <c r="E1031" s="11">
        <v>20</v>
      </c>
      <c r="F1031" s="11" t="s">
        <v>6555</v>
      </c>
      <c r="G1031">
        <v>20220401</v>
      </c>
      <c r="I1031" s="11" t="s">
        <v>18</v>
      </c>
      <c r="J1031" s="72">
        <v>10421000</v>
      </c>
      <c r="K1031" s="99">
        <f>_xlfn.XLOOKUP(_2__ROI_Daily_Update[[#This Row],[CSM id]],SHP!F:F,SHP!EE:EE,"-")</f>
        <v>0</v>
      </c>
      <c r="L1031" s="12"/>
      <c r="N1031" s="11"/>
      <c r="P1031"/>
      <c r="Q1031"/>
      <c r="W1031" s="28"/>
      <c r="AA1031"/>
    </row>
    <row r="1032" spans="1:27" x14ac:dyDescent="0.45">
      <c r="A1032" s="57">
        <v>981</v>
      </c>
      <c r="B1032" t="s">
        <v>5174</v>
      </c>
      <c r="C1032" t="s">
        <v>5175</v>
      </c>
      <c r="D1032" s="12">
        <v>46307</v>
      </c>
      <c r="E1032" s="11">
        <v>24</v>
      </c>
      <c r="F1032" s="11" t="s">
        <v>6555</v>
      </c>
      <c r="G1032">
        <v>20241001</v>
      </c>
      <c r="I1032" s="11" t="s">
        <v>18</v>
      </c>
      <c r="J1032" s="72">
        <v>10581989</v>
      </c>
      <c r="K1032" s="99">
        <f>_xlfn.XLOOKUP(_2__ROI_Daily_Update[[#This Row],[CSM id]],SHP!F:F,SHP!EE:EE,"-")</f>
        <v>0</v>
      </c>
      <c r="L1032" s="12"/>
      <c r="N1032" s="11"/>
      <c r="P1032"/>
      <c r="Q1032"/>
      <c r="W1032" s="28"/>
      <c r="AA1032"/>
    </row>
    <row r="1033" spans="1:27" x14ac:dyDescent="0.45">
      <c r="A1033" s="57">
        <v>1122</v>
      </c>
      <c r="B1033" t="s">
        <v>1601</v>
      </c>
      <c r="C1033" t="s">
        <v>1602</v>
      </c>
      <c r="D1033" s="12">
        <v>46307</v>
      </c>
      <c r="E1033" s="11">
        <v>48</v>
      </c>
      <c r="F1033" s="11" t="s">
        <v>6555</v>
      </c>
      <c r="G1033">
        <v>20200401</v>
      </c>
      <c r="I1033" s="11" t="s">
        <v>18</v>
      </c>
      <c r="J1033" s="72">
        <v>10460591</v>
      </c>
      <c r="K1033" s="99">
        <f>_xlfn.XLOOKUP(_2__ROI_Daily_Update[[#This Row],[CSM id]],SHP!F:F,SHP!EE:EE,"-")</f>
        <v>0</v>
      </c>
      <c r="L1033" s="12"/>
      <c r="N1033" s="11"/>
      <c r="P1033"/>
      <c r="Q1033"/>
      <c r="W1033" s="28"/>
      <c r="AA1033"/>
    </row>
    <row r="1034" spans="1:27" x14ac:dyDescent="0.45">
      <c r="A1034" s="57">
        <v>1122</v>
      </c>
      <c r="B1034" t="s">
        <v>1619</v>
      </c>
      <c r="C1034" t="s">
        <v>1620</v>
      </c>
      <c r="D1034" s="12">
        <v>46307</v>
      </c>
      <c r="E1034" s="11">
        <v>50</v>
      </c>
      <c r="F1034" s="11" t="s">
        <v>6730</v>
      </c>
      <c r="G1034">
        <v>20230101</v>
      </c>
      <c r="I1034" s="11" t="s">
        <v>18</v>
      </c>
      <c r="J1034" s="72">
        <v>60544881</v>
      </c>
      <c r="K1034" s="99">
        <f>_xlfn.XLOOKUP(_2__ROI_Daily_Update[[#This Row],[CSM id]],SHP!F:F,SHP!EE:EE,"-")</f>
        <v>0</v>
      </c>
      <c r="L1034" s="12"/>
      <c r="N1034" s="11"/>
      <c r="P1034"/>
      <c r="Q1034"/>
      <c r="W1034" s="28"/>
      <c r="AA1034"/>
    </row>
    <row r="1035" spans="1:27" x14ac:dyDescent="0.45">
      <c r="A1035" s="57">
        <v>1831</v>
      </c>
      <c r="B1035" t="s">
        <v>3604</v>
      </c>
      <c r="C1035" t="s">
        <v>3605</v>
      </c>
      <c r="D1035" s="12">
        <v>46307</v>
      </c>
      <c r="E1035" s="11">
        <v>256</v>
      </c>
      <c r="F1035" s="11" t="s">
        <v>6730</v>
      </c>
      <c r="G1035">
        <v>20251001</v>
      </c>
      <c r="I1035" s="11" t="s">
        <v>18</v>
      </c>
      <c r="J1035" s="72">
        <v>80612261</v>
      </c>
      <c r="K1035" s="99">
        <f>_xlfn.XLOOKUP(_2__ROI_Daily_Update[[#This Row],[CSM id]],SHP!F:F,SHP!EE:EE,"-")</f>
        <v>0</v>
      </c>
      <c r="L1035" s="12"/>
      <c r="N1035" s="11"/>
      <c r="P1035"/>
      <c r="Q1035"/>
      <c r="W1035" s="28"/>
      <c r="AA1035"/>
    </row>
    <row r="1036" spans="1:27" x14ac:dyDescent="0.45">
      <c r="A1036" s="57">
        <v>1121</v>
      </c>
      <c r="B1036" t="s">
        <v>1585</v>
      </c>
      <c r="C1036" t="s">
        <v>1586</v>
      </c>
      <c r="D1036" s="12">
        <v>46307</v>
      </c>
      <c r="E1036" s="11">
        <v>28</v>
      </c>
      <c r="F1036" s="11" t="s">
        <v>6554</v>
      </c>
      <c r="G1036">
        <v>20200401</v>
      </c>
      <c r="I1036" s="11" t="s">
        <v>18</v>
      </c>
      <c r="J1036" s="72">
        <v>50457978</v>
      </c>
      <c r="K1036" s="99">
        <f>_xlfn.XLOOKUP(_2__ROI_Daily_Update[[#This Row],[CSM id]],SHP!F:F,SHP!EE:EE,"-")</f>
        <v>0</v>
      </c>
      <c r="L1036" s="12"/>
      <c r="N1036" s="11"/>
      <c r="P1036"/>
      <c r="Q1036"/>
      <c r="W1036" s="28"/>
      <c r="AA1036"/>
    </row>
    <row r="1037" spans="1:27" x14ac:dyDescent="0.45">
      <c r="A1037" s="57">
        <v>981</v>
      </c>
      <c r="B1037" t="s">
        <v>5128</v>
      </c>
      <c r="C1037" t="s">
        <v>5129</v>
      </c>
      <c r="D1037" s="12">
        <v>46307</v>
      </c>
      <c r="E1037" s="11">
        <v>24</v>
      </c>
      <c r="F1037" s="11" t="s">
        <v>6554</v>
      </c>
      <c r="G1037">
        <v>20241001</v>
      </c>
      <c r="I1037" s="11" t="s">
        <v>18</v>
      </c>
      <c r="J1037" s="72">
        <v>60581982</v>
      </c>
      <c r="K1037" s="99">
        <f>_xlfn.XLOOKUP(_2__ROI_Daily_Update[[#This Row],[CSM id]],SHP!F:F,SHP!EE:EE,"-")</f>
        <v>0</v>
      </c>
      <c r="L1037" s="12"/>
      <c r="N1037" s="11"/>
      <c r="P1037"/>
      <c r="Q1037"/>
      <c r="W1037" s="28"/>
      <c r="AA1037"/>
    </row>
    <row r="1038" spans="1:27" x14ac:dyDescent="0.45">
      <c r="A1038" s="57">
        <v>983</v>
      </c>
      <c r="B1038" t="s">
        <v>1004</v>
      </c>
      <c r="C1038" t="s">
        <v>1005</v>
      </c>
      <c r="D1038" s="12">
        <v>46307</v>
      </c>
      <c r="E1038" s="11">
        <v>60</v>
      </c>
      <c r="F1038" s="11" t="s">
        <v>6558</v>
      </c>
      <c r="G1038">
        <v>20250701</v>
      </c>
      <c r="I1038" s="11" t="s">
        <v>63</v>
      </c>
      <c r="J1038" s="72">
        <v>90596939</v>
      </c>
      <c r="K1038" s="99">
        <f>_xlfn.XLOOKUP(_2__ROI_Daily_Update[[#This Row],[CSM id]],SHP!F:F,SHP!EE:EE,"-")</f>
        <v>0</v>
      </c>
      <c r="L1038" s="12"/>
      <c r="N1038" s="11"/>
      <c r="P1038"/>
      <c r="Q1038"/>
      <c r="W1038" s="28"/>
      <c r="AA1038"/>
    </row>
    <row r="1039" spans="1:27" x14ac:dyDescent="0.45">
      <c r="A1039" s="57">
        <v>1831</v>
      </c>
      <c r="B1039" t="s">
        <v>3580</v>
      </c>
      <c r="C1039" t="s">
        <v>3581</v>
      </c>
      <c r="D1039" s="12">
        <v>46307</v>
      </c>
      <c r="E1039" s="11">
        <v>12</v>
      </c>
      <c r="F1039" s="11" t="s">
        <v>6554</v>
      </c>
      <c r="G1039">
        <v>20180401</v>
      </c>
      <c r="I1039" s="11" t="s">
        <v>18</v>
      </c>
      <c r="J1039" s="72">
        <v>20405778</v>
      </c>
      <c r="K1039" s="99">
        <f>_xlfn.XLOOKUP(_2__ROI_Daily_Update[[#This Row],[CSM id]],SHP!F:F,SHP!EE:EE,"-")</f>
        <v>0</v>
      </c>
      <c r="L1039" s="12"/>
      <c r="N1039" s="11"/>
      <c r="P1039"/>
      <c r="Q1039"/>
      <c r="W1039" s="28"/>
      <c r="AA1039"/>
    </row>
    <row r="1040" spans="1:27" x14ac:dyDescent="0.45">
      <c r="A1040" s="57">
        <v>1122</v>
      </c>
      <c r="B1040" t="s">
        <v>1617</v>
      </c>
      <c r="C1040" t="s">
        <v>1618</v>
      </c>
      <c r="D1040" s="12">
        <v>46307</v>
      </c>
      <c r="E1040" s="11">
        <v>36</v>
      </c>
      <c r="F1040" s="11" t="s">
        <v>6730</v>
      </c>
      <c r="G1040">
        <v>20200401</v>
      </c>
      <c r="I1040" s="11" t="s">
        <v>18</v>
      </c>
      <c r="J1040" s="72">
        <v>60460372</v>
      </c>
      <c r="K1040" s="99">
        <f>_xlfn.XLOOKUP(_2__ROI_Daily_Update[[#This Row],[CSM id]],SHP!F:F,SHP!EE:EE,"-")</f>
        <v>0</v>
      </c>
      <c r="L1040" s="12"/>
      <c r="N1040" s="11"/>
      <c r="P1040"/>
      <c r="Q1040"/>
      <c r="W1040" s="28"/>
      <c r="AA1040"/>
    </row>
    <row r="1041" spans="1:27" x14ac:dyDescent="0.45">
      <c r="A1041" s="57">
        <v>983</v>
      </c>
      <c r="B1041" t="s">
        <v>1000</v>
      </c>
      <c r="C1041" t="s">
        <v>1001</v>
      </c>
      <c r="D1041" s="12">
        <v>46307</v>
      </c>
      <c r="E1041" s="11">
        <v>48</v>
      </c>
      <c r="F1041" s="11" t="s">
        <v>6557</v>
      </c>
      <c r="G1041">
        <v>20211001</v>
      </c>
      <c r="I1041" s="11" t="s">
        <v>63</v>
      </c>
      <c r="J1041" s="72">
        <v>80517909</v>
      </c>
      <c r="K1041" s="99">
        <f>_xlfn.XLOOKUP(_2__ROI_Daily_Update[[#This Row],[CSM id]],SHP!F:F,SHP!EE:EE,"-")</f>
        <v>0</v>
      </c>
      <c r="L1041" s="12"/>
      <c r="N1041" s="11"/>
      <c r="P1041"/>
      <c r="Q1041"/>
      <c r="W1041" s="28"/>
      <c r="AA1041"/>
    </row>
    <row r="1042" spans="1:27" x14ac:dyDescent="0.45">
      <c r="A1042" s="57">
        <v>1831</v>
      </c>
      <c r="B1042" t="s">
        <v>5186</v>
      </c>
      <c r="C1042" t="s">
        <v>5187</v>
      </c>
      <c r="D1042" s="12">
        <v>46307</v>
      </c>
      <c r="E1042" s="11">
        <v>42</v>
      </c>
      <c r="F1042" s="11" t="s">
        <v>6555</v>
      </c>
      <c r="G1042">
        <v>20140801</v>
      </c>
      <c r="I1042" s="11" t="s">
        <v>18</v>
      </c>
      <c r="J1042" s="72">
        <v>40290371</v>
      </c>
      <c r="K1042" s="99">
        <f>_xlfn.XLOOKUP(_2__ROI_Daily_Update[[#This Row],[CSM id]],SHP!F:F,SHP!EE:EE,"-")</f>
        <v>0</v>
      </c>
      <c r="L1042" s="12"/>
      <c r="N1042" s="11"/>
      <c r="P1042"/>
      <c r="Q1042"/>
      <c r="W1042" s="28"/>
      <c r="AA1042"/>
    </row>
    <row r="1043" spans="1:27" x14ac:dyDescent="0.45">
      <c r="A1043" s="57">
        <v>973</v>
      </c>
      <c r="B1043" t="s">
        <v>901</v>
      </c>
      <c r="C1043" t="s">
        <v>902</v>
      </c>
      <c r="D1043" s="12">
        <v>46307</v>
      </c>
      <c r="E1043" s="11">
        <v>30</v>
      </c>
      <c r="F1043" s="11" t="s">
        <v>6555</v>
      </c>
      <c r="G1043">
        <v>20210701</v>
      </c>
      <c r="I1043" s="11" t="s">
        <v>32</v>
      </c>
      <c r="J1043" s="72">
        <v>10488967</v>
      </c>
      <c r="K1043" s="99">
        <f>_xlfn.XLOOKUP(_2__ROI_Daily_Update[[#This Row],[CSM id]],SHP!F:F,SHP!EE:EE,"-")</f>
        <v>0</v>
      </c>
      <c r="L1043" s="12"/>
      <c r="N1043" s="11"/>
      <c r="P1043"/>
      <c r="Q1043"/>
      <c r="W1043" s="28"/>
      <c r="AA1043"/>
    </row>
    <row r="1044" spans="1:27" x14ac:dyDescent="0.45">
      <c r="A1044" s="57">
        <v>1011</v>
      </c>
      <c r="B1044" t="s">
        <v>1036</v>
      </c>
      <c r="C1044" t="s">
        <v>1037</v>
      </c>
      <c r="D1044" s="12">
        <v>46307</v>
      </c>
      <c r="E1044" s="11">
        <v>12</v>
      </c>
      <c r="F1044" s="11" t="s">
        <v>6555</v>
      </c>
      <c r="G1044">
        <v>20160401</v>
      </c>
      <c r="I1044" s="11" t="s">
        <v>18</v>
      </c>
      <c r="J1044" s="72">
        <v>80321323</v>
      </c>
      <c r="K1044" s="99">
        <f>_xlfn.XLOOKUP(_2__ROI_Daily_Update[[#This Row],[CSM id]],SHP!F:F,SHP!EE:EE,"-")</f>
        <v>0</v>
      </c>
      <c r="L1044" s="12"/>
      <c r="N1044" s="11"/>
      <c r="P1044"/>
      <c r="Q1044"/>
      <c r="W1044" s="28"/>
      <c r="AA1044"/>
    </row>
    <row r="1045" spans="1:27" x14ac:dyDescent="0.45">
      <c r="A1045" s="57">
        <v>983</v>
      </c>
      <c r="B1045" t="s">
        <v>996</v>
      </c>
      <c r="C1045" t="s">
        <v>997</v>
      </c>
      <c r="D1045" s="12">
        <v>46307</v>
      </c>
      <c r="E1045" s="11">
        <v>204</v>
      </c>
      <c r="F1045" s="11" t="s">
        <v>6557</v>
      </c>
      <c r="G1045">
        <v>20250701</v>
      </c>
      <c r="I1045" s="11" t="s">
        <v>63</v>
      </c>
      <c r="J1045" s="72">
        <v>70596940</v>
      </c>
      <c r="K1045" s="99">
        <f>_xlfn.XLOOKUP(_2__ROI_Daily_Update[[#This Row],[CSM id]],SHP!F:F,SHP!EE:EE,"-")</f>
        <v>0</v>
      </c>
      <c r="L1045" s="12"/>
      <c r="N1045" s="11"/>
      <c r="P1045"/>
      <c r="Q1045"/>
      <c r="W1045" s="28"/>
      <c r="AA1045"/>
    </row>
    <row r="1046" spans="1:27" x14ac:dyDescent="0.45">
      <c r="A1046" s="57">
        <v>1122</v>
      </c>
      <c r="B1046" t="s">
        <v>1613</v>
      </c>
      <c r="C1046" t="s">
        <v>1614</v>
      </c>
      <c r="D1046" s="12">
        <v>46307</v>
      </c>
      <c r="E1046" s="11">
        <v>44</v>
      </c>
      <c r="F1046" s="11" t="s">
        <v>6730</v>
      </c>
      <c r="G1046">
        <v>20200601</v>
      </c>
      <c r="H1046" s="12">
        <v>46478</v>
      </c>
      <c r="I1046" s="11" t="s">
        <v>18</v>
      </c>
      <c r="J1046" s="72">
        <v>40470107</v>
      </c>
      <c r="K1046" s="99">
        <f>_xlfn.XLOOKUP(_2__ROI_Daily_Update[[#This Row],[CSM id]],SHP!F:F,SHP!EE:EE,"-")</f>
        <v>0</v>
      </c>
      <c r="L1046" s="12"/>
      <c r="N1046" s="11"/>
      <c r="P1046"/>
      <c r="Q1046"/>
      <c r="W1046" s="28"/>
      <c r="AA1046"/>
    </row>
    <row r="1047" spans="1:27" x14ac:dyDescent="0.45">
      <c r="A1047" s="57">
        <v>1122</v>
      </c>
      <c r="B1047" t="s">
        <v>1611</v>
      </c>
      <c r="C1047" t="s">
        <v>1612</v>
      </c>
      <c r="D1047" s="12">
        <v>46307</v>
      </c>
      <c r="E1047" s="11">
        <v>32</v>
      </c>
      <c r="F1047" s="11" t="s">
        <v>6555</v>
      </c>
      <c r="G1047">
        <v>20260401</v>
      </c>
      <c r="I1047" s="11" t="s">
        <v>18</v>
      </c>
      <c r="J1047" s="72">
        <v>30627199</v>
      </c>
      <c r="K1047" s="99">
        <f>_xlfn.XLOOKUP(_2__ROI_Daily_Update[[#This Row],[CSM id]],SHP!F:F,SHP!EE:EE,"-")</f>
        <v>0</v>
      </c>
      <c r="L1047" s="12"/>
      <c r="N1047" s="11"/>
      <c r="P1047"/>
      <c r="Q1047"/>
      <c r="W1047" s="28"/>
      <c r="AA1047"/>
    </row>
    <row r="1048" spans="1:27" x14ac:dyDescent="0.45">
      <c r="A1048" s="57">
        <v>1122</v>
      </c>
      <c r="B1048" t="s">
        <v>1611</v>
      </c>
      <c r="C1048" t="s">
        <v>1612</v>
      </c>
      <c r="D1048" s="12">
        <v>46307</v>
      </c>
      <c r="E1048" s="11">
        <v>32</v>
      </c>
      <c r="F1048" s="11" t="s">
        <v>6554</v>
      </c>
      <c r="G1048">
        <v>20260401</v>
      </c>
      <c r="I1048" s="11" t="s">
        <v>18</v>
      </c>
      <c r="J1048" s="72">
        <v>30627199</v>
      </c>
      <c r="K1048" s="99">
        <f>_xlfn.XLOOKUP(_2__ROI_Daily_Update[[#This Row],[CSM id]],SHP!F:F,SHP!EE:EE,"-")</f>
        <v>0</v>
      </c>
      <c r="L1048" s="12"/>
      <c r="N1048" s="11"/>
      <c r="P1048"/>
      <c r="Q1048"/>
      <c r="W1048" s="28"/>
      <c r="AA1048"/>
    </row>
    <row r="1049" spans="1:27" x14ac:dyDescent="0.45">
      <c r="A1049" s="57">
        <v>1121</v>
      </c>
      <c r="B1049" t="s">
        <v>1575</v>
      </c>
      <c r="C1049" t="s">
        <v>1576</v>
      </c>
      <c r="D1049" s="12">
        <v>46307</v>
      </c>
      <c r="E1049" s="11">
        <v>280</v>
      </c>
      <c r="F1049" s="11" t="s">
        <v>6554</v>
      </c>
      <c r="G1049">
        <v>20251001</v>
      </c>
      <c r="I1049" s="11" t="s">
        <v>18</v>
      </c>
      <c r="J1049" s="72">
        <v>20458427</v>
      </c>
      <c r="K1049" s="99">
        <f>_xlfn.XLOOKUP(_2__ROI_Daily_Update[[#This Row],[CSM id]],SHP!F:F,SHP!EE:EE,"-")</f>
        <v>0</v>
      </c>
      <c r="L1049" s="12"/>
      <c r="N1049" s="11"/>
      <c r="P1049"/>
      <c r="Q1049"/>
      <c r="W1049" s="28"/>
      <c r="AA1049"/>
    </row>
    <row r="1050" spans="1:27" x14ac:dyDescent="0.45">
      <c r="A1050" s="57">
        <v>981</v>
      </c>
      <c r="B1050" t="s">
        <v>5188</v>
      </c>
      <c r="C1050" t="s">
        <v>5189</v>
      </c>
      <c r="D1050" s="12">
        <v>46307</v>
      </c>
      <c r="E1050" s="11">
        <v>26</v>
      </c>
      <c r="F1050" s="11" t="s">
        <v>6555</v>
      </c>
      <c r="G1050">
        <v>20241001</v>
      </c>
      <c r="I1050" s="11" t="s">
        <v>18</v>
      </c>
      <c r="J1050" s="72">
        <v>30581993</v>
      </c>
      <c r="K1050" s="99">
        <f>_xlfn.XLOOKUP(_2__ROI_Daily_Update[[#This Row],[CSM id]],SHP!F:F,SHP!EE:EE,"-")</f>
        <v>0</v>
      </c>
      <c r="L1050" s="12"/>
      <c r="N1050" s="11"/>
      <c r="P1050"/>
      <c r="Q1050"/>
      <c r="W1050" s="28"/>
      <c r="AA1050"/>
    </row>
    <row r="1051" spans="1:27" x14ac:dyDescent="0.45">
      <c r="A1051" s="57">
        <v>1121</v>
      </c>
      <c r="B1051" t="s">
        <v>1573</v>
      </c>
      <c r="C1051" t="s">
        <v>1574</v>
      </c>
      <c r="D1051" s="12">
        <v>46307</v>
      </c>
      <c r="E1051" s="11">
        <v>128</v>
      </c>
      <c r="F1051" s="11" t="s">
        <v>6554</v>
      </c>
      <c r="G1051">
        <v>20251001</v>
      </c>
      <c r="I1051" s="11" t="s">
        <v>18</v>
      </c>
      <c r="J1051" s="72">
        <v>10607258</v>
      </c>
      <c r="K1051" s="99">
        <f>_xlfn.XLOOKUP(_2__ROI_Daily_Update[[#This Row],[CSM id]],SHP!F:F,SHP!EE:EE,"-")</f>
        <v>0</v>
      </c>
      <c r="L1051" s="12"/>
      <c r="N1051" s="11"/>
      <c r="P1051"/>
      <c r="Q1051"/>
      <c r="W1051" s="28"/>
      <c r="AA1051"/>
    </row>
    <row r="1052" spans="1:27" x14ac:dyDescent="0.45">
      <c r="A1052" s="57">
        <v>1122</v>
      </c>
      <c r="B1052" t="s">
        <v>1605</v>
      </c>
      <c r="C1052" t="s">
        <v>1606</v>
      </c>
      <c r="D1052" s="12">
        <v>46307</v>
      </c>
      <c r="E1052" s="11">
        <v>20</v>
      </c>
      <c r="F1052" s="11" t="s">
        <v>6555</v>
      </c>
      <c r="G1052">
        <v>20231001</v>
      </c>
      <c r="H1052" s="12">
        <v>46478</v>
      </c>
      <c r="I1052" s="11" t="s">
        <v>18</v>
      </c>
      <c r="J1052" s="72">
        <v>20554283</v>
      </c>
      <c r="K1052" s="99">
        <f>_xlfn.XLOOKUP(_2__ROI_Daily_Update[[#This Row],[CSM id]],SHP!F:F,SHP!EE:EE,"-")</f>
        <v>0</v>
      </c>
      <c r="L1052" s="12"/>
      <c r="N1052" s="11"/>
      <c r="P1052"/>
      <c r="Q1052"/>
      <c r="W1052" s="28"/>
      <c r="AA1052"/>
    </row>
    <row r="1053" spans="1:27" x14ac:dyDescent="0.45">
      <c r="A1053" s="57">
        <v>1423</v>
      </c>
      <c r="B1053" t="s">
        <v>2294</v>
      </c>
      <c r="C1053" t="s">
        <v>2295</v>
      </c>
      <c r="D1053" s="12">
        <v>46307</v>
      </c>
      <c r="E1053" s="11">
        <v>40</v>
      </c>
      <c r="F1053" s="11" t="s">
        <v>6557</v>
      </c>
      <c r="G1053">
        <v>20150401</v>
      </c>
      <c r="I1053" s="11" t="s">
        <v>63</v>
      </c>
      <c r="J1053" s="72">
        <v>90289266</v>
      </c>
      <c r="K1053" s="99">
        <f>_xlfn.XLOOKUP(_2__ROI_Daily_Update[[#This Row],[CSM id]],SHP!F:F,SHP!EE:EE,"-")</f>
        <v>0</v>
      </c>
      <c r="L1053" s="12"/>
      <c r="N1053" s="11"/>
      <c r="P1053"/>
      <c r="Q1053"/>
      <c r="W1053" s="28"/>
      <c r="AA1053"/>
    </row>
    <row r="1054" spans="1:27" x14ac:dyDescent="0.45">
      <c r="A1054" s="57">
        <v>1813</v>
      </c>
      <c r="B1054" t="s">
        <v>3366</v>
      </c>
      <c r="C1054" t="s">
        <v>3367</v>
      </c>
      <c r="D1054" s="12">
        <v>46307</v>
      </c>
      <c r="E1054" s="11">
        <v>176</v>
      </c>
      <c r="F1054" s="11" t="s">
        <v>6730</v>
      </c>
      <c r="G1054">
        <v>20210201</v>
      </c>
      <c r="I1054" s="11" t="s">
        <v>18</v>
      </c>
      <c r="J1054" s="72">
        <v>468106</v>
      </c>
      <c r="K1054" s="99">
        <f>_xlfn.XLOOKUP(_2__ROI_Daily_Update[[#This Row],[CSM id]],SHP!F:F,SHP!EE:EE,"-")</f>
        <v>0</v>
      </c>
      <c r="L1054" s="12"/>
      <c r="N1054" s="11"/>
      <c r="P1054"/>
      <c r="Q1054"/>
      <c r="W1054" s="28"/>
      <c r="AA1054"/>
    </row>
    <row r="1055" spans="1:27" x14ac:dyDescent="0.45">
      <c r="A1055" s="57">
        <v>1511</v>
      </c>
      <c r="B1055" t="s">
        <v>2590</v>
      </c>
      <c r="C1055" t="s">
        <v>2591</v>
      </c>
      <c r="D1055" s="12">
        <v>46307</v>
      </c>
      <c r="E1055" s="11">
        <v>108</v>
      </c>
      <c r="F1055" s="11" t="s">
        <v>6557</v>
      </c>
      <c r="G1055">
        <v>20260701</v>
      </c>
      <c r="I1055" s="11" t="s">
        <v>63</v>
      </c>
      <c r="J1055" s="72">
        <v>60609778</v>
      </c>
      <c r="K1055" s="99">
        <f>_xlfn.XLOOKUP(_2__ROI_Daily_Update[[#This Row],[CSM id]],SHP!F:F,SHP!EE:EE,"-")</f>
        <v>0</v>
      </c>
      <c r="L1055" s="12"/>
      <c r="N1055" s="11"/>
      <c r="P1055"/>
      <c r="Q1055"/>
      <c r="W1055" s="28"/>
      <c r="AA1055"/>
    </row>
    <row r="1056" spans="1:27" x14ac:dyDescent="0.45">
      <c r="A1056" s="57">
        <v>1511</v>
      </c>
      <c r="B1056" t="s">
        <v>2592</v>
      </c>
      <c r="C1056" t="s">
        <v>2593</v>
      </c>
      <c r="D1056" s="12">
        <v>46307</v>
      </c>
      <c r="E1056" s="11">
        <v>60</v>
      </c>
      <c r="F1056" s="11" t="s">
        <v>6557</v>
      </c>
      <c r="G1056">
        <v>20260701</v>
      </c>
      <c r="I1056" s="11" t="s">
        <v>63</v>
      </c>
      <c r="J1056" s="72">
        <v>60609797</v>
      </c>
      <c r="K1056" s="99">
        <f>_xlfn.XLOOKUP(_2__ROI_Daily_Update[[#This Row],[CSM id]],SHP!F:F,SHP!EE:EE,"-")</f>
        <v>0</v>
      </c>
      <c r="L1056" s="12"/>
      <c r="N1056" s="11"/>
      <c r="P1056"/>
      <c r="Q1056"/>
      <c r="W1056" s="28"/>
      <c r="AA1056"/>
    </row>
    <row r="1057" spans="1:27" x14ac:dyDescent="0.45">
      <c r="A1057" s="57">
        <v>1811</v>
      </c>
      <c r="B1057" t="s">
        <v>3327</v>
      </c>
      <c r="C1057" t="s">
        <v>3328</v>
      </c>
      <c r="D1057" s="12">
        <v>46307</v>
      </c>
      <c r="E1057" s="11">
        <v>189</v>
      </c>
      <c r="F1057" s="11" t="s">
        <v>6555</v>
      </c>
      <c r="G1057">
        <v>20240401</v>
      </c>
      <c r="I1057" s="11" t="s">
        <v>18</v>
      </c>
      <c r="J1057" s="72">
        <v>20546472</v>
      </c>
      <c r="K1057" s="99">
        <f>_xlfn.XLOOKUP(_2__ROI_Daily_Update[[#This Row],[CSM id]],SHP!F:F,SHP!EE:EE,"-")</f>
        <v>0</v>
      </c>
      <c r="L1057" s="12"/>
      <c r="N1057" s="11"/>
      <c r="P1057"/>
      <c r="Q1057"/>
      <c r="W1057" s="28"/>
      <c r="AA1057"/>
    </row>
    <row r="1058" spans="1:27" x14ac:dyDescent="0.45">
      <c r="A1058" s="57">
        <v>431</v>
      </c>
      <c r="B1058" t="s">
        <v>441</v>
      </c>
      <c r="C1058" t="s">
        <v>442</v>
      </c>
      <c r="D1058" s="12">
        <v>46307</v>
      </c>
      <c r="E1058" s="11">
        <v>16</v>
      </c>
      <c r="F1058" s="11" t="s">
        <v>6730</v>
      </c>
      <c r="G1058">
        <v>20180201</v>
      </c>
      <c r="H1058" s="12">
        <v>46388</v>
      </c>
      <c r="I1058" s="11" t="s">
        <v>18</v>
      </c>
      <c r="J1058" s="72">
        <v>383485</v>
      </c>
      <c r="K1058" s="99">
        <f>_xlfn.XLOOKUP(_2__ROI_Daily_Update[[#This Row],[CSM id]],SHP!F:F,SHP!EE:EE,"-")</f>
        <v>0</v>
      </c>
      <c r="L1058" s="12"/>
      <c r="N1058" s="11"/>
      <c r="P1058"/>
      <c r="Q1058"/>
      <c r="W1058" s="28"/>
      <c r="AA1058"/>
    </row>
    <row r="1059" spans="1:27" x14ac:dyDescent="0.45">
      <c r="A1059" s="57">
        <v>431</v>
      </c>
      <c r="B1059" t="s">
        <v>5194</v>
      </c>
      <c r="C1059" t="s">
        <v>5195</v>
      </c>
      <c r="D1059" s="12">
        <v>46307</v>
      </c>
      <c r="E1059" s="11">
        <v>20</v>
      </c>
      <c r="F1059" s="11" t="s">
        <v>6555</v>
      </c>
      <c r="G1059">
        <v>20180201</v>
      </c>
      <c r="H1059" s="12">
        <v>46388</v>
      </c>
      <c r="I1059" s="11" t="s">
        <v>18</v>
      </c>
      <c r="J1059" s="72">
        <v>40383817</v>
      </c>
      <c r="K1059" s="99">
        <f>_xlfn.XLOOKUP(_2__ROI_Daily_Update[[#This Row],[CSM id]],SHP!F:F,SHP!EE:EE,"-")</f>
        <v>0</v>
      </c>
      <c r="L1059" s="12"/>
      <c r="N1059" s="11"/>
      <c r="P1059"/>
      <c r="Q1059"/>
      <c r="W1059" s="28"/>
      <c r="AA1059"/>
    </row>
    <row r="1060" spans="1:27" x14ac:dyDescent="0.45">
      <c r="A1060" s="57">
        <v>1811</v>
      </c>
      <c r="B1060" t="s">
        <v>3317</v>
      </c>
      <c r="C1060" t="s">
        <v>3318</v>
      </c>
      <c r="D1060" s="12">
        <v>46307</v>
      </c>
      <c r="E1060" s="11">
        <v>52</v>
      </c>
      <c r="F1060" s="11" t="s">
        <v>6554</v>
      </c>
      <c r="G1060">
        <v>20250701</v>
      </c>
      <c r="I1060" s="11" t="s">
        <v>18</v>
      </c>
      <c r="J1060" s="72">
        <v>10599159</v>
      </c>
      <c r="K1060" s="99">
        <f>_xlfn.XLOOKUP(_2__ROI_Daily_Update[[#This Row],[CSM id]],SHP!F:F,SHP!EE:EE,"-")</f>
        <v>0</v>
      </c>
      <c r="L1060" s="12"/>
      <c r="N1060" s="11"/>
      <c r="P1060"/>
      <c r="Q1060"/>
      <c r="W1060" s="28"/>
      <c r="AA1060"/>
    </row>
    <row r="1061" spans="1:27" x14ac:dyDescent="0.45">
      <c r="A1061" s="57">
        <v>1511</v>
      </c>
      <c r="B1061" t="s">
        <v>2614</v>
      </c>
      <c r="C1061" t="s">
        <v>2615</v>
      </c>
      <c r="D1061" s="12">
        <v>46307</v>
      </c>
      <c r="E1061" s="11">
        <v>132</v>
      </c>
      <c r="F1061" s="11" t="s">
        <v>6557</v>
      </c>
      <c r="G1061">
        <v>20260701</v>
      </c>
      <c r="I1061" s="11" t="s">
        <v>63</v>
      </c>
      <c r="J1061" s="72">
        <v>70609810</v>
      </c>
      <c r="K1061" s="99">
        <f>_xlfn.XLOOKUP(_2__ROI_Daily_Update[[#This Row],[CSM id]],SHP!F:F,SHP!EE:EE,"-")</f>
        <v>0</v>
      </c>
      <c r="L1061" s="12"/>
      <c r="N1061" s="11"/>
      <c r="P1061"/>
      <c r="Q1061"/>
      <c r="W1061" s="28"/>
      <c r="AA1061"/>
    </row>
    <row r="1062" spans="1:27" x14ac:dyDescent="0.45">
      <c r="A1062" s="57">
        <v>1811</v>
      </c>
      <c r="B1062" t="s">
        <v>5190</v>
      </c>
      <c r="C1062" t="s">
        <v>5191</v>
      </c>
      <c r="D1062" s="12">
        <v>46307</v>
      </c>
      <c r="E1062" s="11">
        <v>204</v>
      </c>
      <c r="F1062" s="11" t="s">
        <v>6556</v>
      </c>
      <c r="G1062">
        <v>20140801</v>
      </c>
      <c r="I1062" s="11" t="s">
        <v>18</v>
      </c>
      <c r="J1062" s="72">
        <v>10219282</v>
      </c>
      <c r="K1062" s="99">
        <f>_xlfn.XLOOKUP(_2__ROI_Daily_Update[[#This Row],[CSM id]],SHP!F:F,SHP!EE:EE,"-")</f>
        <v>0</v>
      </c>
      <c r="L1062" s="12"/>
      <c r="N1062" s="11"/>
      <c r="P1062"/>
      <c r="Q1062"/>
      <c r="W1062" s="28"/>
      <c r="AA1062"/>
    </row>
    <row r="1063" spans="1:27" x14ac:dyDescent="0.45">
      <c r="A1063" s="57">
        <v>1511</v>
      </c>
      <c r="B1063" t="s">
        <v>2616</v>
      </c>
      <c r="C1063" t="s">
        <v>2617</v>
      </c>
      <c r="D1063" s="12">
        <v>46307</v>
      </c>
      <c r="E1063" s="11">
        <v>4</v>
      </c>
      <c r="F1063" s="11" t="s">
        <v>6558</v>
      </c>
      <c r="G1063">
        <v>20260401</v>
      </c>
      <c r="H1063" s="12">
        <v>46478</v>
      </c>
      <c r="I1063" s="11" t="s">
        <v>63</v>
      </c>
      <c r="J1063" s="72">
        <v>70614294</v>
      </c>
      <c r="K1063" s="99">
        <f>_xlfn.XLOOKUP(_2__ROI_Daily_Update[[#This Row],[CSM id]],SHP!F:F,SHP!EE:EE,"-")</f>
        <v>0</v>
      </c>
      <c r="L1063" s="12"/>
      <c r="N1063" s="11"/>
      <c r="P1063"/>
      <c r="Q1063"/>
      <c r="W1063" s="28"/>
      <c r="AA1063"/>
    </row>
    <row r="1064" spans="1:27" x14ac:dyDescent="0.45">
      <c r="A1064" s="57">
        <v>1511</v>
      </c>
      <c r="B1064" t="s">
        <v>2620</v>
      </c>
      <c r="C1064" t="s">
        <v>2621</v>
      </c>
      <c r="D1064" s="12">
        <v>46307</v>
      </c>
      <c r="E1064" s="11">
        <v>60</v>
      </c>
      <c r="F1064" s="11" t="s">
        <v>6558</v>
      </c>
      <c r="G1064">
        <v>20170401</v>
      </c>
      <c r="I1064" s="11" t="s">
        <v>63</v>
      </c>
      <c r="J1064" s="72">
        <v>80319023</v>
      </c>
      <c r="K1064" s="99">
        <f>_xlfn.XLOOKUP(_2__ROI_Daily_Update[[#This Row],[CSM id]],SHP!F:F,SHP!EE:EE,"-")</f>
        <v>0</v>
      </c>
      <c r="L1064" s="12"/>
      <c r="N1064" s="11"/>
      <c r="P1064"/>
      <c r="Q1064"/>
      <c r="W1064" s="28"/>
      <c r="AA1064"/>
    </row>
    <row r="1065" spans="1:27" x14ac:dyDescent="0.45">
      <c r="A1065" s="57">
        <v>1511</v>
      </c>
      <c r="B1065" t="s">
        <v>2624</v>
      </c>
      <c r="C1065" t="s">
        <v>2625</v>
      </c>
      <c r="D1065" s="12">
        <v>46307</v>
      </c>
      <c r="E1065" s="11">
        <v>84</v>
      </c>
      <c r="F1065" s="11" t="s">
        <v>6557</v>
      </c>
      <c r="G1065">
        <v>20250701</v>
      </c>
      <c r="I1065" s="11" t="s">
        <v>63</v>
      </c>
      <c r="J1065" s="72">
        <v>80600753</v>
      </c>
      <c r="K1065" s="99">
        <f>_xlfn.XLOOKUP(_2__ROI_Daily_Update[[#This Row],[CSM id]],SHP!F:F,SHP!EE:EE,"-")</f>
        <v>0</v>
      </c>
      <c r="L1065" s="12"/>
      <c r="N1065" s="11"/>
      <c r="P1065"/>
      <c r="Q1065"/>
      <c r="W1065" s="28"/>
      <c r="AA1065"/>
    </row>
    <row r="1066" spans="1:27" x14ac:dyDescent="0.45">
      <c r="A1066" s="57">
        <v>1511</v>
      </c>
      <c r="B1066" t="s">
        <v>2626</v>
      </c>
      <c r="C1066" t="s">
        <v>2627</v>
      </c>
      <c r="D1066" s="12">
        <v>46307</v>
      </c>
      <c r="E1066" s="11">
        <v>128</v>
      </c>
      <c r="F1066" s="11" t="s">
        <v>6557</v>
      </c>
      <c r="G1066">
        <v>20260701</v>
      </c>
      <c r="I1066" s="11" t="s">
        <v>63</v>
      </c>
      <c r="J1066" s="72">
        <v>80609782</v>
      </c>
      <c r="K1066" s="99">
        <f>_xlfn.XLOOKUP(_2__ROI_Daily_Update[[#This Row],[CSM id]],SHP!F:F,SHP!EE:EE,"-")</f>
        <v>0</v>
      </c>
      <c r="L1066" s="12"/>
      <c r="N1066" s="11"/>
      <c r="P1066"/>
      <c r="Q1066"/>
      <c r="W1066" s="28"/>
      <c r="AA1066"/>
    </row>
    <row r="1067" spans="1:27" x14ac:dyDescent="0.45">
      <c r="A1067" s="57">
        <v>1811</v>
      </c>
      <c r="B1067" t="s">
        <v>3305</v>
      </c>
      <c r="C1067" t="s">
        <v>3306</v>
      </c>
      <c r="D1067" s="12">
        <v>46307</v>
      </c>
      <c r="E1067" s="11">
        <v>966</v>
      </c>
      <c r="F1067" s="11" t="s">
        <v>6556</v>
      </c>
      <c r="G1067">
        <v>20240401</v>
      </c>
      <c r="I1067" s="11" t="s">
        <v>18</v>
      </c>
      <c r="J1067" s="72">
        <v>546468</v>
      </c>
      <c r="K1067" s="99">
        <f>_xlfn.XLOOKUP(_2__ROI_Daily_Update[[#This Row],[CSM id]],SHP!F:F,SHP!EE:EE,"-")</f>
        <v>0</v>
      </c>
      <c r="L1067" s="12"/>
      <c r="N1067" s="11"/>
      <c r="P1067"/>
      <c r="Q1067"/>
      <c r="W1067" s="28"/>
      <c r="AA1067"/>
    </row>
    <row r="1068" spans="1:27" x14ac:dyDescent="0.45">
      <c r="A1068" s="57">
        <v>1511</v>
      </c>
      <c r="B1068" t="s">
        <v>2628</v>
      </c>
      <c r="C1068" t="s">
        <v>2629</v>
      </c>
      <c r="D1068" s="12">
        <v>46307</v>
      </c>
      <c r="E1068" s="11">
        <v>66</v>
      </c>
      <c r="F1068" s="11" t="s">
        <v>6557</v>
      </c>
      <c r="G1068">
        <v>20260701</v>
      </c>
      <c r="I1068" s="11" t="s">
        <v>63</v>
      </c>
      <c r="J1068" s="72">
        <v>80609796</v>
      </c>
      <c r="K1068" s="99">
        <f>_xlfn.XLOOKUP(_2__ROI_Daily_Update[[#This Row],[CSM id]],SHP!F:F,SHP!EE:EE,"-")</f>
        <v>0</v>
      </c>
      <c r="L1068" s="12"/>
      <c r="N1068" s="11"/>
      <c r="P1068"/>
      <c r="Q1068"/>
      <c r="W1068" s="28"/>
      <c r="AA1068"/>
    </row>
    <row r="1069" spans="1:27" x14ac:dyDescent="0.45">
      <c r="A1069" s="57">
        <v>1511</v>
      </c>
      <c r="B1069" t="s">
        <v>2636</v>
      </c>
      <c r="C1069" t="s">
        <v>2637</v>
      </c>
      <c r="D1069" s="12">
        <v>46307</v>
      </c>
      <c r="E1069" s="11">
        <v>48</v>
      </c>
      <c r="F1069" s="11" t="s">
        <v>6558</v>
      </c>
      <c r="G1069">
        <v>20260401</v>
      </c>
      <c r="H1069" s="12">
        <v>46478</v>
      </c>
      <c r="I1069" s="11" t="s">
        <v>63</v>
      </c>
      <c r="J1069" s="72">
        <v>90614293</v>
      </c>
      <c r="K1069" s="99">
        <f>_xlfn.XLOOKUP(_2__ROI_Daily_Update[[#This Row],[CSM id]],SHP!F:F,SHP!EE:EE,"-")</f>
        <v>0</v>
      </c>
      <c r="L1069" s="12"/>
      <c r="N1069" s="11"/>
      <c r="P1069"/>
      <c r="Q1069"/>
      <c r="W1069" s="28"/>
      <c r="AA1069"/>
    </row>
    <row r="1070" spans="1:27" x14ac:dyDescent="0.45">
      <c r="A1070" s="57">
        <v>1512</v>
      </c>
      <c r="B1070" t="s">
        <v>2642</v>
      </c>
      <c r="C1070" t="s">
        <v>2643</v>
      </c>
      <c r="D1070" s="12">
        <v>46307</v>
      </c>
      <c r="E1070" s="11">
        <v>448</v>
      </c>
      <c r="F1070" s="11" t="s">
        <v>6557</v>
      </c>
      <c r="G1070">
        <v>20141201</v>
      </c>
      <c r="I1070" s="11" t="s">
        <v>63</v>
      </c>
      <c r="J1070" s="72">
        <v>214341</v>
      </c>
      <c r="K1070" s="99">
        <f>_xlfn.XLOOKUP(_2__ROI_Daily_Update[[#This Row],[CSM id]],SHP!F:F,SHP!EE:EE,"-")</f>
        <v>0</v>
      </c>
      <c r="L1070" s="12"/>
      <c r="N1070" s="11"/>
      <c r="P1070"/>
      <c r="Q1070"/>
      <c r="W1070" s="28"/>
      <c r="AA1070"/>
    </row>
    <row r="1071" spans="1:27" x14ac:dyDescent="0.45">
      <c r="A1071" s="57">
        <v>371</v>
      </c>
      <c r="B1071" t="s">
        <v>370</v>
      </c>
      <c r="C1071" t="s">
        <v>371</v>
      </c>
      <c r="D1071" s="12">
        <v>46307</v>
      </c>
      <c r="E1071" s="11">
        <v>3</v>
      </c>
      <c r="F1071" s="11" t="s">
        <v>6730</v>
      </c>
      <c r="G1071">
        <v>20221001</v>
      </c>
      <c r="I1071" s="11" t="s">
        <v>18</v>
      </c>
      <c r="J1071" s="72">
        <v>522033</v>
      </c>
      <c r="K1071" s="99">
        <f>_xlfn.XLOOKUP(_2__ROI_Daily_Update[[#This Row],[CSM id]],SHP!F:F,SHP!EE:EE,"-")</f>
        <v>0</v>
      </c>
      <c r="L1071" s="12"/>
      <c r="N1071" s="11"/>
      <c r="P1071"/>
      <c r="Q1071"/>
      <c r="W1071" s="28"/>
      <c r="AA1071"/>
    </row>
    <row r="1072" spans="1:27" x14ac:dyDescent="0.45">
      <c r="A1072" s="57">
        <v>371</v>
      </c>
      <c r="B1072" t="s">
        <v>370</v>
      </c>
      <c r="C1072" t="s">
        <v>371</v>
      </c>
      <c r="D1072" s="12">
        <v>46307</v>
      </c>
      <c r="E1072" s="11">
        <v>3</v>
      </c>
      <c r="F1072" s="11" t="s">
        <v>6555</v>
      </c>
      <c r="G1072">
        <v>20221001</v>
      </c>
      <c r="I1072" s="11" t="s">
        <v>18</v>
      </c>
      <c r="J1072" s="72">
        <v>522033</v>
      </c>
      <c r="K1072" s="99">
        <f>_xlfn.XLOOKUP(_2__ROI_Daily_Update[[#This Row],[CSM id]],SHP!F:F,SHP!EE:EE,"-")</f>
        <v>0</v>
      </c>
      <c r="L1072" s="12"/>
      <c r="N1072" s="11"/>
      <c r="P1072"/>
      <c r="Q1072"/>
      <c r="W1072" s="28"/>
      <c r="AA1072"/>
    </row>
    <row r="1073" spans="1:27" x14ac:dyDescent="0.45">
      <c r="A1073" s="57">
        <v>1512</v>
      </c>
      <c r="B1073" t="s">
        <v>2648</v>
      </c>
      <c r="C1073" t="s">
        <v>2649</v>
      </c>
      <c r="D1073" s="12">
        <v>46307</v>
      </c>
      <c r="E1073" s="11">
        <v>216</v>
      </c>
      <c r="F1073" s="11" t="s">
        <v>6557</v>
      </c>
      <c r="G1073">
        <v>20141201</v>
      </c>
      <c r="I1073" s="11" t="s">
        <v>63</v>
      </c>
      <c r="J1073" s="72">
        <v>20179624</v>
      </c>
      <c r="K1073" s="99">
        <f>_xlfn.XLOOKUP(_2__ROI_Daily_Update[[#This Row],[CSM id]],SHP!F:F,SHP!EE:EE,"-")</f>
        <v>0</v>
      </c>
      <c r="L1073" s="12"/>
      <c r="N1073" s="11"/>
      <c r="P1073"/>
      <c r="Q1073"/>
      <c r="W1073" s="28"/>
      <c r="AA1073"/>
    </row>
    <row r="1074" spans="1:27" x14ac:dyDescent="0.45">
      <c r="A1074" s="57">
        <v>1512</v>
      </c>
      <c r="B1074" t="s">
        <v>2652</v>
      </c>
      <c r="C1074" t="s">
        <v>2653</v>
      </c>
      <c r="D1074" s="12">
        <v>46307</v>
      </c>
      <c r="E1074" s="11">
        <v>60</v>
      </c>
      <c r="F1074" s="11" t="s">
        <v>6558</v>
      </c>
      <c r="G1074">
        <v>20251001</v>
      </c>
      <c r="H1074" s="12">
        <v>46569</v>
      </c>
      <c r="I1074" s="11" t="s">
        <v>63</v>
      </c>
      <c r="J1074" s="72">
        <v>30610090</v>
      </c>
      <c r="K1074" s="99">
        <f>_xlfn.XLOOKUP(_2__ROI_Daily_Update[[#This Row],[CSM id]],SHP!F:F,SHP!EE:EE,"-")</f>
        <v>0</v>
      </c>
      <c r="L1074" s="12"/>
      <c r="N1074" s="11"/>
      <c r="P1074"/>
      <c r="Q1074"/>
      <c r="W1074" s="28"/>
      <c r="AA1074"/>
    </row>
    <row r="1075" spans="1:27" x14ac:dyDescent="0.45">
      <c r="A1075" s="57">
        <v>1645</v>
      </c>
      <c r="B1075" t="s">
        <v>3291</v>
      </c>
      <c r="C1075" t="s">
        <v>3292</v>
      </c>
      <c r="D1075" s="12">
        <v>46307</v>
      </c>
      <c r="E1075" s="11">
        <v>152</v>
      </c>
      <c r="F1075" s="11" t="s">
        <v>6730</v>
      </c>
      <c r="G1075">
        <v>20221001</v>
      </c>
      <c r="I1075" s="11" t="s">
        <v>18</v>
      </c>
      <c r="J1075" s="72">
        <v>90542381</v>
      </c>
      <c r="K1075" s="99">
        <f>_xlfn.XLOOKUP(_2__ROI_Daily_Update[[#This Row],[CSM id]],SHP!F:F,SHP!EE:EE,"-")</f>
        <v>0</v>
      </c>
      <c r="L1075" s="12"/>
      <c r="N1075" s="11"/>
      <c r="P1075"/>
      <c r="Q1075"/>
      <c r="W1075" s="28"/>
      <c r="AA1075"/>
    </row>
    <row r="1076" spans="1:27" x14ac:dyDescent="0.45">
      <c r="A1076" s="57">
        <v>1521</v>
      </c>
      <c r="B1076" t="s">
        <v>2668</v>
      </c>
      <c r="C1076" t="s">
        <v>2669</v>
      </c>
      <c r="D1076" s="12">
        <v>46307</v>
      </c>
      <c r="E1076" s="11">
        <v>120</v>
      </c>
      <c r="F1076" s="11" t="s">
        <v>6558</v>
      </c>
      <c r="G1076">
        <v>20180201</v>
      </c>
      <c r="I1076" s="11" t="s">
        <v>63</v>
      </c>
      <c r="J1076" s="72">
        <v>309301</v>
      </c>
      <c r="K1076" s="99">
        <f>_xlfn.XLOOKUP(_2__ROI_Daily_Update[[#This Row],[CSM id]],SHP!F:F,SHP!EE:EE,"-")</f>
        <v>0</v>
      </c>
      <c r="L1076" s="12"/>
      <c r="N1076" s="11"/>
      <c r="P1076"/>
      <c r="Q1076"/>
      <c r="W1076" s="28"/>
      <c r="AA1076"/>
    </row>
    <row r="1077" spans="1:27" x14ac:dyDescent="0.45">
      <c r="A1077" s="57">
        <v>1521</v>
      </c>
      <c r="B1077" t="s">
        <v>2670</v>
      </c>
      <c r="C1077" t="s">
        <v>2671</v>
      </c>
      <c r="D1077" s="12">
        <v>46307</v>
      </c>
      <c r="E1077" s="11">
        <v>18</v>
      </c>
      <c r="F1077" s="11" t="s">
        <v>6557</v>
      </c>
      <c r="G1077">
        <v>20250401</v>
      </c>
      <c r="I1077" s="11" t="s">
        <v>63</v>
      </c>
      <c r="J1077" s="72">
        <v>592441</v>
      </c>
      <c r="K1077" s="99">
        <f>_xlfn.XLOOKUP(_2__ROI_Daily_Update[[#This Row],[CSM id]],SHP!F:F,SHP!EE:EE,"-")</f>
        <v>0</v>
      </c>
      <c r="L1077" s="12"/>
      <c r="N1077" s="11"/>
      <c r="P1077"/>
      <c r="Q1077"/>
      <c r="W1077" s="28"/>
      <c r="AA1077"/>
    </row>
    <row r="1078" spans="1:27" x14ac:dyDescent="0.45">
      <c r="A1078" s="57">
        <v>361</v>
      </c>
      <c r="B1078" t="s">
        <v>368</v>
      </c>
      <c r="C1078" t="s">
        <v>369</v>
      </c>
      <c r="D1078" s="12">
        <v>46307</v>
      </c>
      <c r="E1078" s="11">
        <v>36</v>
      </c>
      <c r="F1078" s="11" t="s">
        <v>6730</v>
      </c>
      <c r="G1078">
        <v>20210201</v>
      </c>
      <c r="I1078" s="11" t="s">
        <v>18</v>
      </c>
      <c r="J1078" s="72">
        <v>80485102</v>
      </c>
      <c r="K1078" s="99">
        <f>_xlfn.XLOOKUP(_2__ROI_Daily_Update[[#This Row],[CSM id]],SHP!F:F,SHP!EE:EE,"-")</f>
        <v>0</v>
      </c>
      <c r="L1078" s="12"/>
      <c r="N1078" s="11"/>
      <c r="P1078"/>
      <c r="Q1078"/>
      <c r="W1078" s="28"/>
      <c r="AA1078"/>
    </row>
    <row r="1079" spans="1:27" x14ac:dyDescent="0.45">
      <c r="A1079" s="57">
        <v>1852</v>
      </c>
      <c r="B1079" t="s">
        <v>3701</v>
      </c>
      <c r="C1079" t="s">
        <v>3702</v>
      </c>
      <c r="D1079" s="12">
        <v>46307</v>
      </c>
      <c r="E1079" s="11">
        <v>21</v>
      </c>
      <c r="F1079" s="11" t="s">
        <v>6555</v>
      </c>
      <c r="G1079">
        <v>20240101</v>
      </c>
      <c r="I1079" s="11" t="s">
        <v>18</v>
      </c>
      <c r="J1079" s="72">
        <v>60559981</v>
      </c>
      <c r="K1079" s="99">
        <f>_xlfn.XLOOKUP(_2__ROI_Daily_Update[[#This Row],[CSM id]],SHP!F:F,SHP!EE:EE,"-")</f>
        <v>0</v>
      </c>
      <c r="L1079" s="12"/>
      <c r="N1079" s="11"/>
      <c r="P1079"/>
      <c r="Q1079"/>
      <c r="W1079" s="28"/>
      <c r="AA1079"/>
    </row>
    <row r="1080" spans="1:27" x14ac:dyDescent="0.45">
      <c r="A1080" s="57">
        <v>1521</v>
      </c>
      <c r="B1080" t="s">
        <v>2684</v>
      </c>
      <c r="C1080" t="s">
        <v>2685</v>
      </c>
      <c r="D1080" s="12">
        <v>46307</v>
      </c>
      <c r="E1080" s="11">
        <v>6</v>
      </c>
      <c r="F1080" s="11" t="s">
        <v>6557</v>
      </c>
      <c r="G1080">
        <v>20250401</v>
      </c>
      <c r="I1080" s="11" t="s">
        <v>63</v>
      </c>
      <c r="J1080" s="72">
        <v>40592444</v>
      </c>
      <c r="K1080" s="99">
        <f>_xlfn.XLOOKUP(_2__ROI_Daily_Update[[#This Row],[CSM id]],SHP!F:F,SHP!EE:EE,"-")</f>
        <v>0</v>
      </c>
      <c r="L1080" s="12"/>
      <c r="N1080" s="11"/>
      <c r="P1080"/>
      <c r="Q1080"/>
      <c r="W1080" s="28"/>
      <c r="AA1080"/>
    </row>
    <row r="1081" spans="1:27" x14ac:dyDescent="0.45">
      <c r="A1081" s="57">
        <v>353</v>
      </c>
      <c r="B1081" t="s">
        <v>404</v>
      </c>
      <c r="C1081" t="s">
        <v>405</v>
      </c>
      <c r="D1081" s="12">
        <v>46307</v>
      </c>
      <c r="E1081" s="11">
        <v>9</v>
      </c>
      <c r="F1081" s="11" t="s">
        <v>6555</v>
      </c>
      <c r="G1081">
        <v>20211001</v>
      </c>
      <c r="I1081" s="11" t="s">
        <v>18</v>
      </c>
      <c r="J1081" s="72">
        <v>90474773</v>
      </c>
      <c r="K1081" s="99">
        <f>_xlfn.XLOOKUP(_2__ROI_Daily_Update[[#This Row],[CSM id]],SHP!F:F,SHP!EE:EE,"-")</f>
        <v>0</v>
      </c>
      <c r="L1081" s="12"/>
      <c r="N1081" s="11"/>
      <c r="P1081"/>
      <c r="Q1081"/>
      <c r="W1081" s="28"/>
      <c r="AA1081"/>
    </row>
    <row r="1082" spans="1:27" x14ac:dyDescent="0.45">
      <c r="A1082" s="57">
        <v>352</v>
      </c>
      <c r="B1082" t="s">
        <v>400</v>
      </c>
      <c r="C1082" t="s">
        <v>401</v>
      </c>
      <c r="D1082" s="12">
        <v>46307</v>
      </c>
      <c r="E1082" s="11">
        <v>10</v>
      </c>
      <c r="F1082" s="11" t="s">
        <v>6555</v>
      </c>
      <c r="G1082">
        <v>20261001</v>
      </c>
      <c r="I1082" s="11" t="s">
        <v>32</v>
      </c>
      <c r="J1082" s="72">
        <v>90608824</v>
      </c>
      <c r="K1082" s="99">
        <f>_xlfn.XLOOKUP(_2__ROI_Daily_Update[[#This Row],[CSM id]],SHP!F:F,SHP!EE:EE,"-")</f>
        <v>0</v>
      </c>
      <c r="L1082" s="12"/>
      <c r="N1082" s="11"/>
      <c r="P1082"/>
      <c r="Q1082"/>
      <c r="W1082" s="28"/>
      <c r="AA1082"/>
    </row>
    <row r="1083" spans="1:27" x14ac:dyDescent="0.45">
      <c r="A1083" s="57">
        <v>1521</v>
      </c>
      <c r="B1083" t="s">
        <v>2692</v>
      </c>
      <c r="C1083" t="s">
        <v>2693</v>
      </c>
      <c r="D1083" s="12">
        <v>46307</v>
      </c>
      <c r="E1083" s="11">
        <v>192</v>
      </c>
      <c r="F1083" s="11" t="s">
        <v>6558</v>
      </c>
      <c r="G1083">
        <v>20251001</v>
      </c>
      <c r="I1083" s="11" t="s">
        <v>63</v>
      </c>
      <c r="J1083" s="72">
        <v>50610107</v>
      </c>
      <c r="K1083" s="99">
        <f>_xlfn.XLOOKUP(_2__ROI_Daily_Update[[#This Row],[CSM id]],SHP!F:F,SHP!EE:EE,"-")</f>
        <v>0</v>
      </c>
      <c r="L1083" s="12"/>
      <c r="N1083" s="11"/>
      <c r="P1083"/>
      <c r="Q1083"/>
      <c r="W1083" s="28"/>
      <c r="AA1083"/>
    </row>
    <row r="1084" spans="1:27" x14ac:dyDescent="0.45">
      <c r="A1084" s="57">
        <v>1511</v>
      </c>
      <c r="B1084" t="s">
        <v>5224</v>
      </c>
      <c r="C1084" t="s">
        <v>5225</v>
      </c>
      <c r="D1084" s="12">
        <v>46307</v>
      </c>
      <c r="E1084" s="11">
        <v>108</v>
      </c>
      <c r="F1084" s="11" t="s">
        <v>6557</v>
      </c>
      <c r="G1084">
        <v>20250701</v>
      </c>
      <c r="I1084" s="11" t="s">
        <v>63</v>
      </c>
      <c r="J1084" s="72">
        <v>60600749</v>
      </c>
      <c r="K1084" s="99">
        <f>_xlfn.XLOOKUP(_2__ROI_Daily_Update[[#This Row],[CSM id]],SHP!F:F,SHP!EE:EE,"-")</f>
        <v>0</v>
      </c>
      <c r="L1084" s="12"/>
      <c r="N1084" s="11"/>
      <c r="P1084"/>
      <c r="Q1084"/>
      <c r="W1084" s="28"/>
      <c r="AA1084"/>
    </row>
    <row r="1085" spans="1:27" x14ac:dyDescent="0.45">
      <c r="A1085" s="57">
        <v>1521</v>
      </c>
      <c r="B1085" t="s">
        <v>2698</v>
      </c>
      <c r="C1085" t="s">
        <v>2699</v>
      </c>
      <c r="D1085" s="12">
        <v>46307</v>
      </c>
      <c r="E1085" s="11">
        <v>441</v>
      </c>
      <c r="F1085" s="11" t="s">
        <v>6557</v>
      </c>
      <c r="G1085">
        <v>20260101</v>
      </c>
      <c r="I1085" s="11" t="s">
        <v>63</v>
      </c>
      <c r="J1085" s="72">
        <v>60623185</v>
      </c>
      <c r="K1085" s="99">
        <f>_xlfn.XLOOKUP(_2__ROI_Daily_Update[[#This Row],[CSM id]],SHP!F:F,SHP!EE:EE,"-")</f>
        <v>0</v>
      </c>
      <c r="L1085" s="12"/>
      <c r="N1085" s="11"/>
      <c r="P1085"/>
      <c r="Q1085"/>
      <c r="W1085" s="28"/>
      <c r="AA1085"/>
    </row>
    <row r="1086" spans="1:27" x14ac:dyDescent="0.45">
      <c r="A1086" s="57">
        <v>1511</v>
      </c>
      <c r="B1086" t="s">
        <v>2572</v>
      </c>
      <c r="C1086" t="s">
        <v>2573</v>
      </c>
      <c r="D1086" s="12">
        <v>46307</v>
      </c>
      <c r="E1086" s="11">
        <v>220</v>
      </c>
      <c r="F1086" s="11" t="s">
        <v>6557</v>
      </c>
      <c r="G1086">
        <v>20251001</v>
      </c>
      <c r="I1086" s="11" t="s">
        <v>63</v>
      </c>
      <c r="J1086" s="72">
        <v>50607807</v>
      </c>
      <c r="K1086" s="99">
        <f>_xlfn.XLOOKUP(_2__ROI_Daily_Update[[#This Row],[CSM id]],SHP!F:F,SHP!EE:EE,"-")</f>
        <v>0</v>
      </c>
      <c r="L1086" s="12"/>
      <c r="N1086" s="11"/>
      <c r="P1086"/>
      <c r="Q1086"/>
      <c r="W1086" s="28"/>
      <c r="AA1086"/>
    </row>
    <row r="1087" spans="1:27" x14ac:dyDescent="0.45">
      <c r="A1087" s="57">
        <v>1511</v>
      </c>
      <c r="B1087" t="s">
        <v>2554</v>
      </c>
      <c r="C1087" t="s">
        <v>2555</v>
      </c>
      <c r="D1087" s="12">
        <v>46307</v>
      </c>
      <c r="E1087" s="11">
        <v>156</v>
      </c>
      <c r="F1087" s="11" t="s">
        <v>6557</v>
      </c>
      <c r="G1087">
        <v>20260401</v>
      </c>
      <c r="H1087" s="12">
        <v>46569</v>
      </c>
      <c r="I1087" s="11" t="s">
        <v>63</v>
      </c>
      <c r="J1087" s="72">
        <v>30621220</v>
      </c>
      <c r="K1087" s="99">
        <f>_xlfn.XLOOKUP(_2__ROI_Daily_Update[[#This Row],[CSM id]],SHP!F:F,SHP!EE:EE,"-")</f>
        <v>0</v>
      </c>
      <c r="L1087" s="12"/>
      <c r="N1087" s="11"/>
      <c r="P1087"/>
      <c r="Q1087"/>
      <c r="W1087" s="28"/>
      <c r="AA1087"/>
    </row>
    <row r="1088" spans="1:27" x14ac:dyDescent="0.45">
      <c r="A1088" s="57">
        <v>1433</v>
      </c>
      <c r="B1088" t="s">
        <v>2452</v>
      </c>
      <c r="C1088" t="s">
        <v>2453</v>
      </c>
      <c r="D1088" s="12">
        <v>46307</v>
      </c>
      <c r="E1088" s="11">
        <v>153</v>
      </c>
      <c r="F1088" s="11" t="s">
        <v>6554</v>
      </c>
      <c r="G1088">
        <v>20251001</v>
      </c>
      <c r="I1088" s="11" t="s">
        <v>18</v>
      </c>
      <c r="J1088" s="72">
        <v>605325</v>
      </c>
      <c r="K1088" s="99">
        <f>_xlfn.XLOOKUP(_2__ROI_Daily_Update[[#This Row],[CSM id]],SHP!F:F,SHP!EE:EE,"-")</f>
        <v>0</v>
      </c>
      <c r="L1088" s="12"/>
      <c r="N1088" s="11"/>
      <c r="P1088"/>
      <c r="Q1088"/>
      <c r="W1088" s="28"/>
      <c r="AA1088"/>
    </row>
    <row r="1089" spans="1:27" x14ac:dyDescent="0.45">
      <c r="A1089" s="57">
        <v>1433</v>
      </c>
      <c r="B1089" t="s">
        <v>2462</v>
      </c>
      <c r="C1089" t="s">
        <v>2463</v>
      </c>
      <c r="D1089" s="12">
        <v>46307</v>
      </c>
      <c r="E1089" s="11">
        <v>36</v>
      </c>
      <c r="F1089" s="11" t="s">
        <v>6730</v>
      </c>
      <c r="G1089">
        <v>20250101</v>
      </c>
      <c r="I1089" s="11" t="s">
        <v>18</v>
      </c>
      <c r="J1089" s="72">
        <v>50595437</v>
      </c>
      <c r="K1089" s="99">
        <f>_xlfn.XLOOKUP(_2__ROI_Daily_Update[[#This Row],[CSM id]],SHP!F:F,SHP!EE:EE,"-")</f>
        <v>0</v>
      </c>
      <c r="L1089" s="12"/>
      <c r="N1089" s="11"/>
      <c r="P1089"/>
      <c r="Q1089"/>
      <c r="W1089" s="28"/>
      <c r="AA1089"/>
    </row>
    <row r="1090" spans="1:27" x14ac:dyDescent="0.45">
      <c r="A1090" s="57">
        <v>1122</v>
      </c>
      <c r="B1090" t="s">
        <v>1625</v>
      </c>
      <c r="C1090" t="s">
        <v>1626</v>
      </c>
      <c r="D1090" s="12">
        <v>46307</v>
      </c>
      <c r="E1090" s="11">
        <v>110</v>
      </c>
      <c r="F1090" s="11" t="s">
        <v>6730</v>
      </c>
      <c r="G1090">
        <v>20190801</v>
      </c>
      <c r="H1090" s="12">
        <v>46478</v>
      </c>
      <c r="I1090" s="11" t="s">
        <v>18</v>
      </c>
      <c r="J1090" s="72">
        <v>80446097</v>
      </c>
      <c r="K1090" s="99">
        <f>_xlfn.XLOOKUP(_2__ROI_Daily_Update[[#This Row],[CSM id]],SHP!F:F,SHP!EE:EE,"-")</f>
        <v>0</v>
      </c>
      <c r="L1090" s="12"/>
      <c r="N1090" s="11"/>
      <c r="P1090"/>
      <c r="Q1090"/>
      <c r="W1090" s="28"/>
      <c r="AA1090"/>
    </row>
    <row r="1091" spans="1:27" x14ac:dyDescent="0.45">
      <c r="A1091" s="57">
        <v>1433</v>
      </c>
      <c r="B1091" t="s">
        <v>2480</v>
      </c>
      <c r="C1091" t="s">
        <v>2481</v>
      </c>
      <c r="D1091" s="12">
        <v>46307</v>
      </c>
      <c r="E1091" s="11">
        <v>102</v>
      </c>
      <c r="F1091" s="11" t="s">
        <v>6554</v>
      </c>
      <c r="G1091">
        <v>20251001</v>
      </c>
      <c r="I1091" s="11" t="s">
        <v>18</v>
      </c>
      <c r="J1091" s="72">
        <v>90605316</v>
      </c>
      <c r="K1091" s="99">
        <f>_xlfn.XLOOKUP(_2__ROI_Daily_Update[[#This Row],[CSM id]],SHP!F:F,SHP!EE:EE,"-")</f>
        <v>0</v>
      </c>
      <c r="L1091" s="12"/>
      <c r="N1091" s="11"/>
      <c r="P1091"/>
      <c r="Q1091"/>
      <c r="W1091" s="28"/>
      <c r="AA1091"/>
    </row>
    <row r="1092" spans="1:27" x14ac:dyDescent="0.45">
      <c r="A1092" s="57">
        <v>1434</v>
      </c>
      <c r="B1092" t="s">
        <v>2484</v>
      </c>
      <c r="C1092" t="s">
        <v>2485</v>
      </c>
      <c r="D1092" s="12">
        <v>46307</v>
      </c>
      <c r="E1092" s="11">
        <v>60</v>
      </c>
      <c r="F1092" s="11" t="s">
        <v>6557</v>
      </c>
      <c r="G1092">
        <v>20250701</v>
      </c>
      <c r="I1092" s="11" t="s">
        <v>63</v>
      </c>
      <c r="J1092" s="72">
        <v>10597527</v>
      </c>
      <c r="K1092" s="99">
        <f>_xlfn.XLOOKUP(_2__ROI_Daily_Update[[#This Row],[CSM id]],SHP!F:F,SHP!EE:EE,"-")</f>
        <v>0</v>
      </c>
      <c r="L1092" s="12"/>
      <c r="N1092" s="11"/>
      <c r="P1092"/>
      <c r="Q1092"/>
      <c r="W1092" s="28"/>
      <c r="AA1092"/>
    </row>
    <row r="1093" spans="1:27" x14ac:dyDescent="0.45">
      <c r="A1093" s="57">
        <v>1434</v>
      </c>
      <c r="B1093" t="s">
        <v>2486</v>
      </c>
      <c r="C1093" t="s">
        <v>2487</v>
      </c>
      <c r="D1093" s="12">
        <v>46307</v>
      </c>
      <c r="E1093" s="11">
        <v>34</v>
      </c>
      <c r="F1093" s="11" t="s">
        <v>6554</v>
      </c>
      <c r="G1093">
        <v>20261001</v>
      </c>
      <c r="I1093" s="11" t="s">
        <v>18</v>
      </c>
      <c r="J1093" s="72">
        <v>30497720</v>
      </c>
      <c r="K1093" s="99">
        <f>_xlfn.XLOOKUP(_2__ROI_Daily_Update[[#This Row],[CSM id]],SHP!F:F,SHP!EE:EE,"-")</f>
        <v>0</v>
      </c>
      <c r="L1093" s="12"/>
      <c r="N1093" s="11"/>
      <c r="P1093"/>
      <c r="Q1093"/>
      <c r="W1093" s="28"/>
      <c r="AA1093"/>
    </row>
    <row r="1094" spans="1:27" x14ac:dyDescent="0.45">
      <c r="A1094" s="57">
        <v>1434</v>
      </c>
      <c r="B1094" t="s">
        <v>2486</v>
      </c>
      <c r="C1094" t="s">
        <v>2487</v>
      </c>
      <c r="D1094" s="12">
        <v>46307</v>
      </c>
      <c r="E1094" s="11">
        <v>34</v>
      </c>
      <c r="F1094" s="11" t="s">
        <v>6730</v>
      </c>
      <c r="G1094">
        <v>20261001</v>
      </c>
      <c r="I1094" s="11" t="s">
        <v>18</v>
      </c>
      <c r="J1094" s="72">
        <v>30497720</v>
      </c>
      <c r="K1094" s="99">
        <f>_xlfn.XLOOKUP(_2__ROI_Daily_Update[[#This Row],[CSM id]],SHP!F:F,SHP!EE:EE,"-")</f>
        <v>0</v>
      </c>
      <c r="L1094" s="12"/>
      <c r="N1094" s="11"/>
      <c r="P1094"/>
      <c r="Q1094"/>
      <c r="W1094" s="28"/>
      <c r="AA1094"/>
    </row>
    <row r="1095" spans="1:27" x14ac:dyDescent="0.45">
      <c r="A1095" s="57">
        <v>621</v>
      </c>
      <c r="B1095" t="s">
        <v>491</v>
      </c>
      <c r="C1095" t="s">
        <v>492</v>
      </c>
      <c r="D1095" s="12">
        <v>46307</v>
      </c>
      <c r="E1095" s="11">
        <v>576</v>
      </c>
      <c r="F1095" s="11" t="s">
        <v>6557</v>
      </c>
      <c r="G1095">
        <v>20260101</v>
      </c>
      <c r="I1095" s="11" t="s">
        <v>63</v>
      </c>
      <c r="J1095" s="72">
        <v>50628975</v>
      </c>
      <c r="K1095" s="99">
        <f>_xlfn.XLOOKUP(_2__ROI_Daily_Update[[#This Row],[CSM id]],SHP!F:F,SHP!EE:EE,"-")</f>
        <v>0</v>
      </c>
      <c r="L1095" s="12"/>
      <c r="N1095" s="11"/>
      <c r="P1095"/>
      <c r="Q1095"/>
      <c r="W1095" s="28"/>
      <c r="AA1095"/>
    </row>
    <row r="1096" spans="1:27" x14ac:dyDescent="0.45">
      <c r="A1096" s="57">
        <v>1434</v>
      </c>
      <c r="B1096" t="s">
        <v>2498</v>
      </c>
      <c r="C1096" t="s">
        <v>2499</v>
      </c>
      <c r="D1096" s="12">
        <v>46307</v>
      </c>
      <c r="E1096" s="11">
        <v>192</v>
      </c>
      <c r="F1096" s="11" t="s">
        <v>6557</v>
      </c>
      <c r="G1096">
        <v>20240101</v>
      </c>
      <c r="I1096" s="11" t="s">
        <v>63</v>
      </c>
      <c r="J1096" s="72">
        <v>70572816</v>
      </c>
      <c r="K1096" s="99">
        <f>_xlfn.XLOOKUP(_2__ROI_Daily_Update[[#This Row],[CSM id]],SHP!F:F,SHP!EE:EE,"-")</f>
        <v>0</v>
      </c>
      <c r="L1096" s="12"/>
      <c r="N1096" s="11"/>
      <c r="P1096"/>
      <c r="Q1096"/>
      <c r="W1096" s="28"/>
      <c r="AA1096"/>
    </row>
    <row r="1097" spans="1:27" x14ac:dyDescent="0.45">
      <c r="A1097" s="57">
        <v>612</v>
      </c>
      <c r="B1097" t="s">
        <v>429</v>
      </c>
      <c r="C1097" t="s">
        <v>430</v>
      </c>
      <c r="D1097" s="12">
        <v>46307</v>
      </c>
      <c r="E1097" s="11">
        <v>60</v>
      </c>
      <c r="F1097" s="11" t="s">
        <v>6730</v>
      </c>
      <c r="G1097">
        <v>20261001</v>
      </c>
      <c r="I1097" s="11" t="s">
        <v>18</v>
      </c>
      <c r="J1097" s="72">
        <v>40563719</v>
      </c>
      <c r="K1097" s="99">
        <f>_xlfn.XLOOKUP(_2__ROI_Daily_Update[[#This Row],[CSM id]],SHP!F:F,SHP!EE:EE,"-")</f>
        <v>0</v>
      </c>
      <c r="L1097" s="12"/>
      <c r="N1097" s="11"/>
      <c r="P1097"/>
      <c r="Q1097"/>
      <c r="W1097" s="28"/>
      <c r="AA1097"/>
    </row>
    <row r="1098" spans="1:27" x14ac:dyDescent="0.45">
      <c r="A1098" s="57">
        <v>612</v>
      </c>
      <c r="B1098" t="s">
        <v>429</v>
      </c>
      <c r="C1098" t="s">
        <v>430</v>
      </c>
      <c r="D1098" s="12">
        <v>46307</v>
      </c>
      <c r="E1098" s="11">
        <v>60</v>
      </c>
      <c r="F1098" s="11" t="s">
        <v>6554</v>
      </c>
      <c r="G1098">
        <v>20261001</v>
      </c>
      <c r="I1098" s="11" t="s">
        <v>18</v>
      </c>
      <c r="J1098" s="72">
        <v>40563719</v>
      </c>
      <c r="K1098" s="99">
        <f>_xlfn.XLOOKUP(_2__ROI_Daily_Update[[#This Row],[CSM id]],SHP!F:F,SHP!EE:EE,"-")</f>
        <v>0</v>
      </c>
      <c r="L1098" s="12"/>
      <c r="N1098" s="11"/>
      <c r="P1098"/>
      <c r="Q1098"/>
      <c r="W1098" s="28"/>
      <c r="AA1098"/>
    </row>
    <row r="1099" spans="1:27" x14ac:dyDescent="0.45">
      <c r="A1099" s="57">
        <v>1511</v>
      </c>
      <c r="B1099" t="s">
        <v>2516</v>
      </c>
      <c r="C1099" t="s">
        <v>2517</v>
      </c>
      <c r="D1099" s="12">
        <v>46307</v>
      </c>
      <c r="E1099" s="11">
        <v>69</v>
      </c>
      <c r="F1099" s="11" t="s">
        <v>6558</v>
      </c>
      <c r="G1099">
        <v>20250401</v>
      </c>
      <c r="I1099" s="11" t="s">
        <v>63</v>
      </c>
      <c r="J1099" s="72">
        <v>10592332</v>
      </c>
      <c r="K1099" s="99">
        <f>_xlfn.XLOOKUP(_2__ROI_Daily_Update[[#This Row],[CSM id]],SHP!F:F,SHP!EE:EE,"-")</f>
        <v>0</v>
      </c>
      <c r="L1099" s="12"/>
      <c r="N1099" s="11"/>
      <c r="P1099"/>
      <c r="Q1099"/>
      <c r="W1099" s="28"/>
      <c r="AA1099"/>
    </row>
    <row r="1100" spans="1:27" x14ac:dyDescent="0.45">
      <c r="A1100" s="57">
        <v>612</v>
      </c>
      <c r="B1100" t="s">
        <v>293</v>
      </c>
      <c r="C1100" t="s">
        <v>294</v>
      </c>
      <c r="D1100" s="12">
        <v>46307</v>
      </c>
      <c r="E1100" s="11">
        <v>56</v>
      </c>
      <c r="F1100" s="11" t="s">
        <v>6555</v>
      </c>
      <c r="G1100">
        <v>20250701</v>
      </c>
      <c r="I1100" s="11" t="s">
        <v>18</v>
      </c>
      <c r="J1100" s="72">
        <v>10613909</v>
      </c>
      <c r="K1100" s="99">
        <f>_xlfn.XLOOKUP(_2__ROI_Daily_Update[[#This Row],[CSM id]],SHP!F:F,SHP!EE:EE,"-")</f>
        <v>0</v>
      </c>
      <c r="L1100" s="12"/>
      <c r="N1100" s="11"/>
      <c r="P1100"/>
      <c r="Q1100"/>
      <c r="W1100" s="28"/>
      <c r="AA1100"/>
    </row>
    <row r="1101" spans="1:27" x14ac:dyDescent="0.45">
      <c r="A1101" s="57">
        <v>612</v>
      </c>
      <c r="B1101" t="s">
        <v>293</v>
      </c>
      <c r="C1101" t="s">
        <v>294</v>
      </c>
      <c r="D1101" s="12">
        <v>46307</v>
      </c>
      <c r="E1101" s="11">
        <v>168</v>
      </c>
      <c r="F1101" s="11" t="s">
        <v>6730</v>
      </c>
      <c r="G1101">
        <v>20250701</v>
      </c>
      <c r="I1101" s="11" t="s">
        <v>18</v>
      </c>
      <c r="J1101" s="72">
        <v>10613909</v>
      </c>
      <c r="K1101" s="99">
        <f>_xlfn.XLOOKUP(_2__ROI_Daily_Update[[#This Row],[CSM id]],SHP!F:F,SHP!EE:EE,"-")</f>
        <v>0</v>
      </c>
      <c r="L1101" s="12"/>
      <c r="N1101" s="11"/>
      <c r="P1101"/>
      <c r="Q1101"/>
      <c r="W1101" s="28"/>
      <c r="AA1101"/>
    </row>
    <row r="1102" spans="1:27" x14ac:dyDescent="0.45">
      <c r="A1102" s="57">
        <v>612</v>
      </c>
      <c r="B1102" t="s">
        <v>483</v>
      </c>
      <c r="C1102" t="s">
        <v>484</v>
      </c>
      <c r="D1102" s="12">
        <v>46307</v>
      </c>
      <c r="E1102" s="11">
        <v>99</v>
      </c>
      <c r="F1102" s="11" t="s">
        <v>6730</v>
      </c>
      <c r="G1102">
        <v>20150101</v>
      </c>
      <c r="I1102" s="11" t="s">
        <v>18</v>
      </c>
      <c r="J1102" s="72">
        <v>50243968</v>
      </c>
      <c r="K1102" s="99">
        <f>_xlfn.XLOOKUP(_2__ROI_Daily_Update[[#This Row],[CSM id]],SHP!F:F,SHP!EE:EE,"-")</f>
        <v>0</v>
      </c>
      <c r="L1102" s="12"/>
      <c r="N1102" s="11"/>
      <c r="P1102"/>
      <c r="Q1102"/>
      <c r="W1102" s="28"/>
      <c r="AA1102"/>
    </row>
    <row r="1103" spans="1:27" x14ac:dyDescent="0.45">
      <c r="A1103" s="57">
        <v>1511</v>
      </c>
      <c r="B1103" t="s">
        <v>2534</v>
      </c>
      <c r="C1103" t="s">
        <v>2535</v>
      </c>
      <c r="D1103" s="12">
        <v>46307</v>
      </c>
      <c r="E1103" s="11">
        <v>144</v>
      </c>
      <c r="F1103" s="11" t="s">
        <v>6557</v>
      </c>
      <c r="G1103">
        <v>20250701</v>
      </c>
      <c r="I1103" s="11" t="s">
        <v>63</v>
      </c>
      <c r="J1103" s="72">
        <v>20600751</v>
      </c>
      <c r="K1103" s="99">
        <f>_xlfn.XLOOKUP(_2__ROI_Daily_Update[[#This Row],[CSM id]],SHP!F:F,SHP!EE:EE,"-")</f>
        <v>0</v>
      </c>
      <c r="L1103" s="12"/>
      <c r="N1103" s="11"/>
      <c r="P1103"/>
      <c r="Q1103"/>
      <c r="W1103" s="28"/>
      <c r="AA1103"/>
    </row>
    <row r="1104" spans="1:27" x14ac:dyDescent="0.45">
      <c r="A1104" s="57">
        <v>1811</v>
      </c>
      <c r="B1104" t="s">
        <v>5618</v>
      </c>
      <c r="C1104" t="s">
        <v>5619</v>
      </c>
      <c r="D1104" s="12">
        <v>46307</v>
      </c>
      <c r="E1104" s="11">
        <v>80</v>
      </c>
      <c r="F1104" s="11" t="s">
        <v>6731</v>
      </c>
      <c r="G1104">
        <v>20230401</v>
      </c>
      <c r="I1104" s="11" t="s">
        <v>18</v>
      </c>
      <c r="J1104" s="72">
        <v>80526876</v>
      </c>
      <c r="K1104" s="99">
        <f>_xlfn.XLOOKUP(_2__ROI_Daily_Update[[#This Row],[CSM id]],SHP!F:F,SHP!EE:EE,"-")</f>
        <v>0</v>
      </c>
      <c r="L1104" s="12"/>
      <c r="N1104" s="11"/>
      <c r="P1104"/>
      <c r="Q1104"/>
      <c r="W1104" s="28"/>
      <c r="AA1104"/>
    </row>
    <row r="1105" spans="1:27" x14ac:dyDescent="0.45">
      <c r="A1105" s="57">
        <v>1511</v>
      </c>
      <c r="B1105" t="s">
        <v>2546</v>
      </c>
      <c r="C1105" t="s">
        <v>2547</v>
      </c>
      <c r="D1105" s="12">
        <v>46307</v>
      </c>
      <c r="E1105" s="11">
        <v>168</v>
      </c>
      <c r="F1105" s="11" t="s">
        <v>6557</v>
      </c>
      <c r="G1105">
        <v>20251001</v>
      </c>
      <c r="I1105" s="11" t="s">
        <v>63</v>
      </c>
      <c r="J1105" s="72">
        <v>30607380</v>
      </c>
      <c r="K1105" s="99">
        <f>_xlfn.XLOOKUP(_2__ROI_Daily_Update[[#This Row],[CSM id]],SHP!F:F,SHP!EE:EE,"-")</f>
        <v>0</v>
      </c>
      <c r="L1105" s="12"/>
      <c r="N1105" s="11"/>
      <c r="P1105"/>
      <c r="Q1105"/>
      <c r="W1105" s="28"/>
      <c r="AA1105"/>
    </row>
    <row r="1106" spans="1:27" x14ac:dyDescent="0.45">
      <c r="A1106" s="57">
        <v>435</v>
      </c>
      <c r="B1106" t="s">
        <v>21</v>
      </c>
      <c r="C1106" t="s">
        <v>22</v>
      </c>
      <c r="D1106" s="12">
        <v>46307</v>
      </c>
      <c r="E1106" s="11">
        <v>23</v>
      </c>
      <c r="F1106" s="11" t="s">
        <v>6730</v>
      </c>
      <c r="G1106">
        <v>20180801</v>
      </c>
      <c r="I1106" s="11" t="s">
        <v>18</v>
      </c>
      <c r="J1106" s="72">
        <v>80397308</v>
      </c>
      <c r="K1106" s="99">
        <f>_xlfn.XLOOKUP(_2__ROI_Daily_Update[[#This Row],[CSM id]],SHP!F:F,SHP!EE:EE,"-")</f>
        <v>0</v>
      </c>
      <c r="L1106" s="12"/>
      <c r="N1106" s="11"/>
      <c r="P1106"/>
      <c r="Q1106"/>
      <c r="W1106" s="28"/>
      <c r="AA1106"/>
    </row>
    <row r="1107" spans="1:27" x14ac:dyDescent="0.45">
      <c r="A1107" s="57">
        <v>1811</v>
      </c>
      <c r="B1107" t="s">
        <v>3345</v>
      </c>
      <c r="C1107" t="s">
        <v>3346</v>
      </c>
      <c r="D1107" s="12">
        <v>46307</v>
      </c>
      <c r="E1107" s="11">
        <v>204</v>
      </c>
      <c r="F1107" s="11" t="s">
        <v>6731</v>
      </c>
      <c r="G1107">
        <v>20160401</v>
      </c>
      <c r="I1107" s="11" t="s">
        <v>18</v>
      </c>
      <c r="J1107" s="72">
        <v>70262828</v>
      </c>
      <c r="K1107" s="99">
        <f>_xlfn.XLOOKUP(_2__ROI_Daily_Update[[#This Row],[CSM id]],SHP!F:F,SHP!EE:EE,"-")</f>
        <v>0</v>
      </c>
      <c r="L1107" s="12"/>
      <c r="N1107" s="11"/>
      <c r="P1107"/>
      <c r="Q1107"/>
      <c r="W1107" s="28"/>
      <c r="AA1107"/>
    </row>
    <row r="1108" spans="1:27" x14ac:dyDescent="0.45">
      <c r="A1108" s="57">
        <v>1511</v>
      </c>
      <c r="B1108" t="s">
        <v>2548</v>
      </c>
      <c r="C1108" t="s">
        <v>2549</v>
      </c>
      <c r="D1108" s="12">
        <v>46307</v>
      </c>
      <c r="E1108" s="11">
        <v>216</v>
      </c>
      <c r="F1108" s="11" t="s">
        <v>6558</v>
      </c>
      <c r="G1108">
        <v>20251001</v>
      </c>
      <c r="I1108" s="11" t="s">
        <v>63</v>
      </c>
      <c r="J1108" s="72">
        <v>30607403</v>
      </c>
      <c r="K1108" s="99">
        <f>_xlfn.XLOOKUP(_2__ROI_Daily_Update[[#This Row],[CSM id]],SHP!F:F,SHP!EE:EE,"-")</f>
        <v>0</v>
      </c>
      <c r="L1108" s="12"/>
      <c r="N1108" s="11"/>
      <c r="P1108"/>
      <c r="Q1108"/>
      <c r="W1108" s="28"/>
      <c r="AA1108"/>
    </row>
    <row r="1109" spans="1:27" x14ac:dyDescent="0.45">
      <c r="A1109" s="57">
        <v>1852</v>
      </c>
      <c r="B1109" t="s">
        <v>3689</v>
      </c>
      <c r="C1109" t="s">
        <v>3690</v>
      </c>
      <c r="D1109" s="12">
        <v>46307</v>
      </c>
      <c r="E1109" s="11">
        <v>60</v>
      </c>
      <c r="F1109" s="11" t="s">
        <v>6555</v>
      </c>
      <c r="G1109">
        <v>20261001</v>
      </c>
      <c r="I1109" s="11" t="s">
        <v>18</v>
      </c>
      <c r="J1109" s="72">
        <v>40645305</v>
      </c>
      <c r="K1109" s="99">
        <f>_xlfn.XLOOKUP(_2__ROI_Daily_Update[[#This Row],[CSM id]],SHP!F:F,SHP!EE:EE,"-")</f>
        <v>0</v>
      </c>
      <c r="L1109" s="12"/>
      <c r="N1109" s="11"/>
      <c r="P1109"/>
      <c r="Q1109"/>
      <c r="W1109" s="28"/>
      <c r="AA1109"/>
    </row>
    <row r="1110" spans="1:27" x14ac:dyDescent="0.45">
      <c r="A1110" s="57">
        <v>1811</v>
      </c>
      <c r="B1110" t="s">
        <v>3345</v>
      </c>
      <c r="C1110" t="s">
        <v>3346</v>
      </c>
      <c r="D1110" s="12">
        <v>46307</v>
      </c>
      <c r="E1110" s="11">
        <v>204</v>
      </c>
      <c r="F1110" s="11" t="s">
        <v>6556</v>
      </c>
      <c r="G1110">
        <v>20160401</v>
      </c>
      <c r="I1110" s="11" t="s">
        <v>18</v>
      </c>
      <c r="J1110" s="72">
        <v>70262828</v>
      </c>
      <c r="K1110" s="99">
        <f>_xlfn.XLOOKUP(_2__ROI_Daily_Update[[#This Row],[CSM id]],SHP!F:F,SHP!EE:EE,"-")</f>
        <v>0</v>
      </c>
      <c r="L1110" s="12"/>
      <c r="N1110" s="11"/>
      <c r="P1110"/>
      <c r="Q1110"/>
      <c r="W1110" s="28"/>
      <c r="AA1110"/>
    </row>
    <row r="1111" spans="1:27" x14ac:dyDescent="0.45">
      <c r="A1111" s="57">
        <v>1511</v>
      </c>
      <c r="B1111" t="s">
        <v>5222</v>
      </c>
      <c r="C1111" t="s">
        <v>5223</v>
      </c>
      <c r="D1111" s="12">
        <v>46307</v>
      </c>
      <c r="E1111" s="11">
        <v>68</v>
      </c>
      <c r="F1111" s="11" t="s">
        <v>6557</v>
      </c>
      <c r="G1111">
        <v>20260701</v>
      </c>
      <c r="I1111" s="11" t="s">
        <v>63</v>
      </c>
      <c r="J1111" s="72">
        <v>30609807</v>
      </c>
      <c r="K1111" s="99">
        <f>_xlfn.XLOOKUP(_2__ROI_Daily_Update[[#This Row],[CSM id]],SHP!F:F,SHP!EE:EE,"-")</f>
        <v>0</v>
      </c>
      <c r="L1111" s="12"/>
      <c r="N1111" s="11"/>
      <c r="P1111"/>
      <c r="Q1111"/>
      <c r="W1111" s="28"/>
      <c r="AA1111"/>
    </row>
    <row r="1112" spans="1:27" x14ac:dyDescent="0.45">
      <c r="A1112" s="57">
        <v>1511</v>
      </c>
      <c r="B1112" t="s">
        <v>2552</v>
      </c>
      <c r="C1112" t="s">
        <v>2553</v>
      </c>
      <c r="D1112" s="12">
        <v>46307</v>
      </c>
      <c r="E1112" s="11">
        <v>1056</v>
      </c>
      <c r="F1112" s="11" t="s">
        <v>6558</v>
      </c>
      <c r="G1112">
        <v>20260201</v>
      </c>
      <c r="I1112" s="11" t="s">
        <v>63</v>
      </c>
      <c r="J1112" s="72">
        <v>30613791</v>
      </c>
      <c r="K1112" s="99">
        <f>_xlfn.XLOOKUP(_2__ROI_Daily_Update[[#This Row],[CSM id]],SHP!F:F,SHP!EE:EE,"-")</f>
        <v>0</v>
      </c>
      <c r="L1112" s="12"/>
      <c r="N1112" s="11"/>
      <c r="P1112"/>
      <c r="Q1112"/>
      <c r="W1112" s="28"/>
      <c r="AA1112"/>
    </row>
    <row r="1113" spans="1:27" x14ac:dyDescent="0.45">
      <c r="A1113" s="57">
        <v>435</v>
      </c>
      <c r="B1113" t="s">
        <v>38</v>
      </c>
      <c r="C1113" t="s">
        <v>39</v>
      </c>
      <c r="D1113" s="12">
        <v>46307</v>
      </c>
      <c r="E1113" s="11">
        <v>42</v>
      </c>
      <c r="F1113" s="11" t="s">
        <v>6730</v>
      </c>
      <c r="G1113">
        <v>20221001</v>
      </c>
      <c r="I1113" s="11" t="s">
        <v>18</v>
      </c>
      <c r="J1113" s="72">
        <v>70530987</v>
      </c>
      <c r="K1113" s="99">
        <f>_xlfn.XLOOKUP(_2__ROI_Daily_Update[[#This Row],[CSM id]],SHP!F:F,SHP!EE:EE,"-")</f>
        <v>0</v>
      </c>
      <c r="L1113" s="12"/>
      <c r="N1113" s="11"/>
      <c r="P1113"/>
      <c r="Q1113"/>
      <c r="W1113" s="28"/>
      <c r="AA1113"/>
    </row>
    <row r="1114" spans="1:27" x14ac:dyDescent="0.45">
      <c r="A1114" s="57">
        <v>435</v>
      </c>
      <c r="B1114" t="s">
        <v>38</v>
      </c>
      <c r="C1114" t="s">
        <v>39</v>
      </c>
      <c r="D1114" s="12">
        <v>46307</v>
      </c>
      <c r="E1114" s="11">
        <v>42</v>
      </c>
      <c r="F1114" s="11" t="s">
        <v>6555</v>
      </c>
      <c r="G1114">
        <v>20221001</v>
      </c>
      <c r="I1114" s="11" t="s">
        <v>18</v>
      </c>
      <c r="J1114" s="72">
        <v>70530987</v>
      </c>
      <c r="K1114" s="99">
        <f>_xlfn.XLOOKUP(_2__ROI_Daily_Update[[#This Row],[CSM id]],SHP!F:F,SHP!EE:EE,"-")</f>
        <v>0</v>
      </c>
      <c r="L1114" s="12"/>
      <c r="N1114" s="11"/>
      <c r="P1114"/>
      <c r="Q1114"/>
      <c r="W1114" s="28"/>
      <c r="AA1114"/>
    </row>
    <row r="1115" spans="1:27" x14ac:dyDescent="0.45">
      <c r="A1115" s="57">
        <v>433</v>
      </c>
      <c r="B1115" t="s">
        <v>467</v>
      </c>
      <c r="C1115" t="s">
        <v>468</v>
      </c>
      <c r="D1115" s="12">
        <v>46307</v>
      </c>
      <c r="E1115" s="11">
        <v>78</v>
      </c>
      <c r="F1115" s="11" t="s">
        <v>6730</v>
      </c>
      <c r="G1115">
        <v>20140801</v>
      </c>
      <c r="I1115" s="11" t="s">
        <v>18</v>
      </c>
      <c r="J1115" s="72">
        <v>30231631</v>
      </c>
      <c r="K1115" s="99">
        <f>_xlfn.XLOOKUP(_2__ROI_Daily_Update[[#This Row],[CSM id]],SHP!F:F,SHP!EE:EE,"-")</f>
        <v>0</v>
      </c>
      <c r="L1115" s="12"/>
      <c r="N1115" s="11"/>
      <c r="P1115"/>
      <c r="Q1115"/>
      <c r="W1115" s="28"/>
      <c r="AA1115"/>
    </row>
    <row r="1116" spans="1:27" x14ac:dyDescent="0.45">
      <c r="A1116" s="57">
        <v>433</v>
      </c>
      <c r="B1116" t="s">
        <v>467</v>
      </c>
      <c r="C1116" t="s">
        <v>468</v>
      </c>
      <c r="D1116" s="12">
        <v>46307</v>
      </c>
      <c r="E1116" s="11">
        <v>39</v>
      </c>
      <c r="F1116" s="11" t="s">
        <v>6554</v>
      </c>
      <c r="G1116">
        <v>20140801</v>
      </c>
      <c r="I1116" s="11" t="s">
        <v>18</v>
      </c>
      <c r="J1116" s="72">
        <v>30231631</v>
      </c>
      <c r="K1116" s="99">
        <f>_xlfn.XLOOKUP(_2__ROI_Daily_Update[[#This Row],[CSM id]],SHP!F:F,SHP!EE:EE,"-")</f>
        <v>0</v>
      </c>
      <c r="L1116" s="12"/>
      <c r="N1116" s="11"/>
      <c r="P1116"/>
      <c r="Q1116"/>
      <c r="W1116" s="28"/>
      <c r="AA1116"/>
    </row>
    <row r="1117" spans="1:27" x14ac:dyDescent="0.45">
      <c r="A1117" s="57">
        <v>1511</v>
      </c>
      <c r="B1117" t="s">
        <v>2556</v>
      </c>
      <c r="C1117" t="s">
        <v>2557</v>
      </c>
      <c r="D1117" s="12">
        <v>46307</v>
      </c>
      <c r="E1117" s="11">
        <v>72</v>
      </c>
      <c r="F1117" s="11" t="s">
        <v>6558</v>
      </c>
      <c r="G1117">
        <v>20260401</v>
      </c>
      <c r="I1117" s="11" t="s">
        <v>63</v>
      </c>
      <c r="J1117" s="72">
        <v>30622644</v>
      </c>
      <c r="K1117" s="99">
        <f>_xlfn.XLOOKUP(_2__ROI_Daily_Update[[#This Row],[CSM id]],SHP!F:F,SHP!EE:EE,"-")</f>
        <v>0</v>
      </c>
      <c r="L1117" s="12"/>
      <c r="N1117" s="11"/>
      <c r="P1117"/>
      <c r="Q1117"/>
      <c r="W1117" s="28"/>
      <c r="AA1117"/>
    </row>
    <row r="1118" spans="1:27" x14ac:dyDescent="0.45">
      <c r="A1118" s="57">
        <v>1431</v>
      </c>
      <c r="B1118" t="s">
        <v>2446</v>
      </c>
      <c r="C1118" t="s">
        <v>2447</v>
      </c>
      <c r="D1118" s="12">
        <v>46307</v>
      </c>
      <c r="E1118" s="11">
        <v>32</v>
      </c>
      <c r="F1118" s="11" t="s">
        <v>6557</v>
      </c>
      <c r="G1118">
        <v>20260401</v>
      </c>
      <c r="I1118" s="11" t="s">
        <v>63</v>
      </c>
      <c r="J1118" s="72">
        <v>90624225</v>
      </c>
      <c r="K1118" s="99">
        <f>_xlfn.XLOOKUP(_2__ROI_Daily_Update[[#This Row],[CSM id]],SHP!F:F,SHP!EE:EE,"-")</f>
        <v>0</v>
      </c>
      <c r="L1118" s="12"/>
      <c r="N1118" s="11"/>
      <c r="P1118"/>
      <c r="Q1118"/>
      <c r="W1118" s="28"/>
      <c r="AA1118"/>
    </row>
    <row r="1119" spans="1:27" x14ac:dyDescent="0.45">
      <c r="A1119" s="57">
        <v>1522</v>
      </c>
      <c r="B1119" t="s">
        <v>2708</v>
      </c>
      <c r="C1119" t="s">
        <v>2709</v>
      </c>
      <c r="D1119" s="12">
        <v>46307</v>
      </c>
      <c r="E1119" s="11">
        <v>288</v>
      </c>
      <c r="F1119" s="11" t="s">
        <v>6557</v>
      </c>
      <c r="G1119">
        <v>20160801</v>
      </c>
      <c r="I1119" s="11" t="s">
        <v>63</v>
      </c>
      <c r="J1119" s="72">
        <v>322473</v>
      </c>
      <c r="K1119" s="99">
        <f>_xlfn.XLOOKUP(_2__ROI_Daily_Update[[#This Row],[CSM id]],SHP!F:F,SHP!EE:EE,"-")</f>
        <v>0</v>
      </c>
      <c r="L1119" s="12"/>
      <c r="N1119" s="11"/>
      <c r="P1119"/>
      <c r="Q1119"/>
      <c r="W1119" s="28"/>
      <c r="AA1119"/>
    </row>
    <row r="1120" spans="1:27" x14ac:dyDescent="0.45">
      <c r="A1120" s="57">
        <v>343</v>
      </c>
      <c r="B1120" t="s">
        <v>380</v>
      </c>
      <c r="C1120" t="s">
        <v>381</v>
      </c>
      <c r="D1120" s="12">
        <v>46307</v>
      </c>
      <c r="E1120" s="11">
        <v>32</v>
      </c>
      <c r="F1120" s="11" t="s">
        <v>6554</v>
      </c>
      <c r="G1120">
        <v>20160201</v>
      </c>
      <c r="I1120" s="11" t="s">
        <v>18</v>
      </c>
      <c r="J1120" s="72">
        <v>10326178</v>
      </c>
      <c r="K1120" s="99">
        <f>_xlfn.XLOOKUP(_2__ROI_Daily_Update[[#This Row],[CSM id]],SHP!F:F,SHP!EE:EE,"-")</f>
        <v>0</v>
      </c>
      <c r="L1120" s="12"/>
      <c r="N1120" s="11"/>
      <c r="P1120"/>
      <c r="Q1120"/>
      <c r="W1120" s="28"/>
      <c r="AA1120"/>
    </row>
    <row r="1121" spans="1:27" x14ac:dyDescent="0.45">
      <c r="A1121" s="57">
        <v>215</v>
      </c>
      <c r="B1121" t="s">
        <v>279</v>
      </c>
      <c r="C1121" t="s">
        <v>280</v>
      </c>
      <c r="D1121" s="12">
        <v>46307</v>
      </c>
      <c r="E1121" s="11">
        <v>62</v>
      </c>
      <c r="F1121" s="11" t="s">
        <v>6554</v>
      </c>
      <c r="G1121">
        <v>20150201</v>
      </c>
      <c r="I1121" s="11" t="s">
        <v>18</v>
      </c>
      <c r="J1121" s="72">
        <v>60168529</v>
      </c>
      <c r="K1121" s="99">
        <f>_xlfn.XLOOKUP(_2__ROI_Daily_Update[[#This Row],[CSM id]],SHP!F:F,SHP!EE:EE,"-")</f>
        <v>0</v>
      </c>
      <c r="L1121" s="12"/>
      <c r="N1121" s="11"/>
      <c r="P1121"/>
      <c r="Q1121"/>
      <c r="W1121" s="28"/>
      <c r="AA1121"/>
    </row>
    <row r="1122" spans="1:27" x14ac:dyDescent="0.45">
      <c r="A1122" s="57">
        <v>215</v>
      </c>
      <c r="B1122" t="s">
        <v>297</v>
      </c>
      <c r="C1122" t="s">
        <v>298</v>
      </c>
      <c r="D1122" s="12">
        <v>46307</v>
      </c>
      <c r="E1122" s="11">
        <v>42</v>
      </c>
      <c r="F1122" s="11" t="s">
        <v>6554</v>
      </c>
      <c r="G1122">
        <v>20250401</v>
      </c>
      <c r="I1122" s="11" t="s">
        <v>18</v>
      </c>
      <c r="J1122" s="72">
        <v>90574598</v>
      </c>
      <c r="K1122" s="99">
        <f>_xlfn.XLOOKUP(_2__ROI_Daily_Update[[#This Row],[CSM id]],SHP!F:F,SHP!EE:EE,"-")</f>
        <v>0</v>
      </c>
      <c r="L1122" s="12"/>
      <c r="N1122" s="11"/>
      <c r="P1122"/>
      <c r="Q1122"/>
      <c r="W1122" s="28"/>
      <c r="AA1122"/>
    </row>
    <row r="1123" spans="1:27" x14ac:dyDescent="0.45">
      <c r="A1123" s="57">
        <v>1881</v>
      </c>
      <c r="B1123" t="s">
        <v>5202</v>
      </c>
      <c r="C1123" t="s">
        <v>5203</v>
      </c>
      <c r="D1123" s="12">
        <v>46307</v>
      </c>
      <c r="E1123" s="11">
        <v>192</v>
      </c>
      <c r="F1123" s="11" t="s">
        <v>6555</v>
      </c>
      <c r="G1123">
        <v>20231001</v>
      </c>
      <c r="I1123" s="11" t="s">
        <v>18</v>
      </c>
      <c r="J1123" s="72">
        <v>60556690</v>
      </c>
      <c r="K1123" s="99">
        <f>_xlfn.XLOOKUP(_2__ROI_Daily_Update[[#This Row],[CSM id]],SHP!F:F,SHP!EE:EE,"-")</f>
        <v>0</v>
      </c>
      <c r="L1123" s="12"/>
      <c r="N1123" s="11"/>
      <c r="P1123"/>
      <c r="Q1123"/>
      <c r="W1123" s="28"/>
      <c r="AA1123"/>
    </row>
    <row r="1124" spans="1:27" x14ac:dyDescent="0.45">
      <c r="A1124" s="57">
        <v>215</v>
      </c>
      <c r="B1124" t="s">
        <v>287</v>
      </c>
      <c r="C1124" t="s">
        <v>288</v>
      </c>
      <c r="D1124" s="12">
        <v>46307</v>
      </c>
      <c r="E1124" s="11">
        <v>36</v>
      </c>
      <c r="F1124" s="11" t="s">
        <v>6554</v>
      </c>
      <c r="G1124">
        <v>20211001</v>
      </c>
      <c r="I1124" s="11" t="s">
        <v>18</v>
      </c>
      <c r="J1124" s="72">
        <v>60487814</v>
      </c>
      <c r="K1124" s="99">
        <f>_xlfn.XLOOKUP(_2__ROI_Daily_Update[[#This Row],[CSM id]],SHP!F:F,SHP!EE:EE,"-")</f>
        <v>0</v>
      </c>
      <c r="L1124" s="12"/>
      <c r="N1124" s="11"/>
      <c r="P1124"/>
      <c r="Q1124"/>
      <c r="W1124" s="28"/>
      <c r="AA1124"/>
    </row>
    <row r="1125" spans="1:27" x14ac:dyDescent="0.45">
      <c r="A1125" s="57">
        <v>1623</v>
      </c>
      <c r="B1125" t="s">
        <v>5644</v>
      </c>
      <c r="C1125" t="s">
        <v>5645</v>
      </c>
      <c r="D1125" s="12">
        <v>46307</v>
      </c>
      <c r="E1125" s="11">
        <v>12</v>
      </c>
      <c r="F1125" s="11" t="s">
        <v>6730</v>
      </c>
      <c r="G1125">
        <v>20260401</v>
      </c>
      <c r="I1125" s="11" t="s">
        <v>18</v>
      </c>
      <c r="J1125" s="72">
        <v>90600875</v>
      </c>
      <c r="K1125" s="99">
        <f>_xlfn.XLOOKUP(_2__ROI_Daily_Update[[#This Row],[CSM id]],SHP!F:F,SHP!EE:EE,"-")</f>
        <v>0</v>
      </c>
      <c r="L1125" s="12"/>
      <c r="N1125" s="11"/>
      <c r="P1125"/>
      <c r="Q1125"/>
      <c r="W1125" s="28"/>
      <c r="AA1125"/>
    </row>
    <row r="1126" spans="1:27" x14ac:dyDescent="0.45">
      <c r="A1126" s="57">
        <v>1624</v>
      </c>
      <c r="B1126" t="s">
        <v>5126</v>
      </c>
      <c r="C1126" t="s">
        <v>5127</v>
      </c>
      <c r="D1126" s="12">
        <v>46307</v>
      </c>
      <c r="E1126" s="11">
        <v>40</v>
      </c>
      <c r="F1126" s="11" t="s">
        <v>6555</v>
      </c>
      <c r="G1126">
        <v>20160201</v>
      </c>
      <c r="I1126" s="11" t="s">
        <v>18</v>
      </c>
      <c r="J1126" s="72">
        <v>80294961</v>
      </c>
      <c r="K1126" s="99">
        <f>_xlfn.XLOOKUP(_2__ROI_Daily_Update[[#This Row],[CSM id]],SHP!F:F,SHP!EE:EE,"-")</f>
        <v>0</v>
      </c>
      <c r="L1126" s="12"/>
      <c r="N1126" s="11"/>
      <c r="P1126"/>
      <c r="Q1126"/>
      <c r="W1126" s="28"/>
      <c r="AA1126"/>
    </row>
    <row r="1127" spans="1:27" x14ac:dyDescent="0.45">
      <c r="A1127" s="57">
        <v>1633</v>
      </c>
      <c r="B1127" t="s">
        <v>2970</v>
      </c>
      <c r="C1127" t="s">
        <v>2971</v>
      </c>
      <c r="D1127" s="12">
        <v>46307</v>
      </c>
      <c r="E1127" s="11">
        <v>30</v>
      </c>
      <c r="F1127" s="11" t="s">
        <v>6558</v>
      </c>
      <c r="G1127">
        <v>20141201</v>
      </c>
      <c r="I1127" s="11" t="s">
        <v>63</v>
      </c>
      <c r="J1127" s="72">
        <v>10191631</v>
      </c>
      <c r="K1127" s="99">
        <f>_xlfn.XLOOKUP(_2__ROI_Daily_Update[[#This Row],[CSM id]],SHP!F:F,SHP!EE:EE,"-")</f>
        <v>0</v>
      </c>
      <c r="L1127" s="12"/>
      <c r="N1127" s="11"/>
      <c r="P1127"/>
      <c r="Q1127"/>
      <c r="W1127" s="28"/>
      <c r="AA1127"/>
    </row>
    <row r="1128" spans="1:27" x14ac:dyDescent="0.45">
      <c r="A1128" s="57">
        <v>214</v>
      </c>
      <c r="B1128" t="s">
        <v>245</v>
      </c>
      <c r="C1128" t="s">
        <v>246</v>
      </c>
      <c r="D1128" s="12">
        <v>46307</v>
      </c>
      <c r="E1128" s="11">
        <v>108</v>
      </c>
      <c r="F1128" s="11" t="s">
        <v>6554</v>
      </c>
      <c r="G1128">
        <v>20210701</v>
      </c>
      <c r="I1128" s="11" t="s">
        <v>18</v>
      </c>
      <c r="J1128" s="72">
        <v>10483875</v>
      </c>
      <c r="K1128" s="99">
        <f>_xlfn.XLOOKUP(_2__ROI_Daily_Update[[#This Row],[CSM id]],SHP!F:F,SHP!EE:EE,"-")</f>
        <v>0</v>
      </c>
      <c r="L1128" s="12"/>
      <c r="N1128" s="11"/>
      <c r="P1128"/>
      <c r="Q1128"/>
      <c r="W1128" s="28"/>
      <c r="AA1128"/>
    </row>
    <row r="1129" spans="1:27" x14ac:dyDescent="0.45">
      <c r="A1129" s="57">
        <v>1633</v>
      </c>
      <c r="B1129" t="s">
        <v>2976</v>
      </c>
      <c r="C1129" t="s">
        <v>2977</v>
      </c>
      <c r="D1129" s="12">
        <v>46307</v>
      </c>
      <c r="E1129" s="11">
        <v>24</v>
      </c>
      <c r="F1129" s="11" t="s">
        <v>6557</v>
      </c>
      <c r="G1129">
        <v>20260801</v>
      </c>
      <c r="H1129" s="12">
        <v>46388</v>
      </c>
      <c r="I1129" s="11" t="s">
        <v>63</v>
      </c>
      <c r="J1129" s="72">
        <v>10632936</v>
      </c>
      <c r="K1129" s="99">
        <f>_xlfn.XLOOKUP(_2__ROI_Daily_Update[[#This Row],[CSM id]],SHP!F:F,SHP!EE:EE,"-")</f>
        <v>0</v>
      </c>
      <c r="L1129" s="12"/>
      <c r="N1129" s="11"/>
      <c r="P1129"/>
      <c r="Q1129"/>
      <c r="W1129" s="28"/>
      <c r="AA1129"/>
    </row>
    <row r="1130" spans="1:27" x14ac:dyDescent="0.45">
      <c r="A1130" s="57">
        <v>211</v>
      </c>
      <c r="B1130" t="s">
        <v>222</v>
      </c>
      <c r="C1130" t="s">
        <v>223</v>
      </c>
      <c r="D1130" s="12">
        <v>46307</v>
      </c>
      <c r="E1130" s="11">
        <v>21</v>
      </c>
      <c r="F1130" s="11" t="s">
        <v>6731</v>
      </c>
      <c r="G1130">
        <v>20241001</v>
      </c>
      <c r="I1130" s="11" t="s">
        <v>18</v>
      </c>
      <c r="J1130" s="72">
        <v>40574586</v>
      </c>
      <c r="K1130" s="99">
        <f>_xlfn.XLOOKUP(_2__ROI_Daily_Update[[#This Row],[CSM id]],SHP!F:F,SHP!EE:EE,"-")</f>
        <v>0</v>
      </c>
      <c r="L1130" s="12"/>
      <c r="N1130" s="11"/>
      <c r="P1130"/>
      <c r="Q1130"/>
      <c r="W1130" s="28"/>
      <c r="AA1130"/>
    </row>
    <row r="1131" spans="1:27" x14ac:dyDescent="0.45">
      <c r="A1131" s="57">
        <v>1633</v>
      </c>
      <c r="B1131" t="s">
        <v>2978</v>
      </c>
      <c r="C1131" t="s">
        <v>2979</v>
      </c>
      <c r="D1131" s="12">
        <v>46307</v>
      </c>
      <c r="E1131" s="11">
        <v>12</v>
      </c>
      <c r="F1131" s="11" t="s">
        <v>6557</v>
      </c>
      <c r="G1131">
        <v>20261001</v>
      </c>
      <c r="H1131" s="12">
        <v>46388</v>
      </c>
      <c r="I1131" s="11" t="s">
        <v>63</v>
      </c>
      <c r="J1131" s="72">
        <v>10638896</v>
      </c>
      <c r="K1131" s="99">
        <f>_xlfn.XLOOKUP(_2__ROI_Daily_Update[[#This Row],[CSM id]],SHP!F:F,SHP!EE:EE,"-")</f>
        <v>0</v>
      </c>
      <c r="L1131" s="12"/>
      <c r="N1131" s="11"/>
      <c r="P1131"/>
      <c r="Q1131"/>
      <c r="W1131" s="28"/>
      <c r="AA1131"/>
    </row>
    <row r="1132" spans="1:27" x14ac:dyDescent="0.45">
      <c r="A1132" s="57">
        <v>1633</v>
      </c>
      <c r="B1132" t="s">
        <v>2986</v>
      </c>
      <c r="C1132" t="s">
        <v>2987</v>
      </c>
      <c r="D1132" s="12">
        <v>46307</v>
      </c>
      <c r="E1132" s="11">
        <v>24</v>
      </c>
      <c r="F1132" s="11" t="s">
        <v>6557</v>
      </c>
      <c r="G1132">
        <v>20260801</v>
      </c>
      <c r="H1132" s="12">
        <v>46388</v>
      </c>
      <c r="I1132" s="11" t="s">
        <v>63</v>
      </c>
      <c r="J1132" s="72">
        <v>20630545</v>
      </c>
      <c r="K1132" s="99">
        <f>_xlfn.XLOOKUP(_2__ROI_Daily_Update[[#This Row],[CSM id]],SHP!F:F,SHP!EE:EE,"-")</f>
        <v>0</v>
      </c>
      <c r="L1132" s="12"/>
      <c r="N1132" s="11"/>
      <c r="P1132"/>
      <c r="Q1132"/>
      <c r="W1132" s="28"/>
      <c r="AA1132"/>
    </row>
    <row r="1133" spans="1:27" x14ac:dyDescent="0.45">
      <c r="A1133" s="57">
        <v>131</v>
      </c>
      <c r="B1133" t="s">
        <v>169</v>
      </c>
      <c r="C1133" t="s">
        <v>170</v>
      </c>
      <c r="D1133" s="12">
        <v>46307</v>
      </c>
      <c r="E1133" s="11">
        <v>28</v>
      </c>
      <c r="F1133" s="11" t="s">
        <v>6554</v>
      </c>
      <c r="G1133">
        <v>20230401</v>
      </c>
      <c r="I1133" s="11" t="s">
        <v>18</v>
      </c>
      <c r="J1133" s="72">
        <v>20530918</v>
      </c>
      <c r="K1133" s="99">
        <f>_xlfn.XLOOKUP(_2__ROI_Daily_Update[[#This Row],[CSM id]],SHP!F:F,SHP!EE:EE,"-")</f>
        <v>0</v>
      </c>
      <c r="L1133" s="12"/>
      <c r="N1133" s="11"/>
      <c r="P1133"/>
      <c r="Q1133"/>
      <c r="W1133" s="28"/>
      <c r="AA1133"/>
    </row>
    <row r="1134" spans="1:27" x14ac:dyDescent="0.45">
      <c r="A1134" s="57">
        <v>1633</v>
      </c>
      <c r="B1134" t="s">
        <v>2994</v>
      </c>
      <c r="C1134" t="s">
        <v>2995</v>
      </c>
      <c r="D1134" s="12">
        <v>46307</v>
      </c>
      <c r="E1134" s="11">
        <v>84</v>
      </c>
      <c r="F1134" s="11" t="s">
        <v>6557</v>
      </c>
      <c r="G1134">
        <v>20260801</v>
      </c>
      <c r="H1134" s="12">
        <v>46388</v>
      </c>
      <c r="I1134" s="11" t="s">
        <v>63</v>
      </c>
      <c r="J1134" s="72">
        <v>40630059</v>
      </c>
      <c r="K1134" s="99">
        <f>_xlfn.XLOOKUP(_2__ROI_Daily_Update[[#This Row],[CSM id]],SHP!F:F,SHP!EE:EE,"-")</f>
        <v>0</v>
      </c>
      <c r="L1134" s="12"/>
      <c r="N1134" s="11"/>
      <c r="P1134"/>
      <c r="Q1134"/>
      <c r="W1134" s="28"/>
      <c r="AA1134"/>
    </row>
    <row r="1135" spans="1:27" x14ac:dyDescent="0.45">
      <c r="A1135" s="57">
        <v>1633</v>
      </c>
      <c r="B1135" t="s">
        <v>2996</v>
      </c>
      <c r="C1135" t="s">
        <v>2997</v>
      </c>
      <c r="D1135" s="12">
        <v>46307</v>
      </c>
      <c r="E1135" s="11">
        <v>54</v>
      </c>
      <c r="F1135" s="11" t="s">
        <v>6557</v>
      </c>
      <c r="G1135">
        <v>20260801</v>
      </c>
      <c r="H1135" s="12">
        <v>46388</v>
      </c>
      <c r="I1135" s="11" t="s">
        <v>63</v>
      </c>
      <c r="J1135" s="72">
        <v>40630605</v>
      </c>
      <c r="K1135" s="99">
        <f>_xlfn.XLOOKUP(_2__ROI_Daily_Update[[#This Row],[CSM id]],SHP!F:F,SHP!EE:EE,"-")</f>
        <v>0</v>
      </c>
      <c r="L1135" s="12"/>
      <c r="N1135" s="11"/>
      <c r="P1135"/>
      <c r="Q1135"/>
      <c r="W1135" s="28"/>
      <c r="AA1135"/>
    </row>
    <row r="1136" spans="1:27" x14ac:dyDescent="0.45">
      <c r="A1136" s="57">
        <v>1633</v>
      </c>
      <c r="B1136" t="s">
        <v>3006</v>
      </c>
      <c r="C1136" t="s">
        <v>3007</v>
      </c>
      <c r="D1136" s="12">
        <v>46307</v>
      </c>
      <c r="E1136" s="11">
        <v>36</v>
      </c>
      <c r="F1136" s="11" t="s">
        <v>6557</v>
      </c>
      <c r="G1136">
        <v>20261001</v>
      </c>
      <c r="H1136" s="12">
        <v>46388</v>
      </c>
      <c r="I1136" s="11" t="s">
        <v>63</v>
      </c>
      <c r="J1136" s="72">
        <v>50636697</v>
      </c>
      <c r="K1136" s="99">
        <f>_xlfn.XLOOKUP(_2__ROI_Daily_Update[[#This Row],[CSM id]],SHP!F:F,SHP!EE:EE,"-")</f>
        <v>0</v>
      </c>
      <c r="L1136" s="12"/>
      <c r="N1136" s="11"/>
      <c r="P1136"/>
      <c r="Q1136"/>
      <c r="W1136" s="28"/>
      <c r="AA1136"/>
    </row>
    <row r="1137" spans="1:27" x14ac:dyDescent="0.45">
      <c r="A1137" s="57">
        <v>1633</v>
      </c>
      <c r="B1137" t="s">
        <v>3018</v>
      </c>
      <c r="C1137" t="s">
        <v>3019</v>
      </c>
      <c r="D1137" s="12">
        <v>46307</v>
      </c>
      <c r="E1137" s="11">
        <v>12</v>
      </c>
      <c r="F1137" s="11" t="s">
        <v>6558</v>
      </c>
      <c r="G1137">
        <v>20141201</v>
      </c>
      <c r="I1137" s="11" t="s">
        <v>63</v>
      </c>
      <c r="J1137" s="72">
        <v>90191632</v>
      </c>
      <c r="K1137" s="99">
        <f>_xlfn.XLOOKUP(_2__ROI_Daily_Update[[#This Row],[CSM id]],SHP!F:F,SHP!EE:EE,"-")</f>
        <v>0</v>
      </c>
      <c r="L1137" s="12"/>
      <c r="N1137" s="11"/>
      <c r="P1137"/>
      <c r="Q1137"/>
      <c r="W1137" s="28"/>
      <c r="AA1137"/>
    </row>
    <row r="1138" spans="1:27" x14ac:dyDescent="0.45">
      <c r="A1138" s="57">
        <v>1882</v>
      </c>
      <c r="B1138" t="s">
        <v>3743</v>
      </c>
      <c r="C1138" t="s">
        <v>3744</v>
      </c>
      <c r="D1138" s="12">
        <v>46307</v>
      </c>
      <c r="E1138" s="11">
        <v>504</v>
      </c>
      <c r="F1138" s="11" t="s">
        <v>6555</v>
      </c>
      <c r="G1138">
        <v>20140801</v>
      </c>
      <c r="I1138" s="11" t="s">
        <v>18</v>
      </c>
      <c r="J1138" s="72">
        <v>70147758</v>
      </c>
      <c r="K1138" s="99">
        <f>_xlfn.XLOOKUP(_2__ROI_Daily_Update[[#This Row],[CSM id]],SHP!F:F,SHP!EE:EE,"-")</f>
        <v>0</v>
      </c>
      <c r="L1138" s="12"/>
      <c r="N1138" s="11"/>
      <c r="P1138"/>
      <c r="Q1138"/>
      <c r="W1138" s="28"/>
      <c r="AA1138"/>
    </row>
    <row r="1139" spans="1:27" x14ac:dyDescent="0.45">
      <c r="A1139" s="57">
        <v>1641</v>
      </c>
      <c r="B1139" t="s">
        <v>3185</v>
      </c>
      <c r="C1139" t="s">
        <v>3186</v>
      </c>
      <c r="D1139" s="12">
        <v>46307</v>
      </c>
      <c r="E1139" s="11">
        <v>72</v>
      </c>
      <c r="F1139" s="11" t="s">
        <v>6730</v>
      </c>
      <c r="G1139">
        <v>20200801</v>
      </c>
      <c r="I1139" s="11" t="s">
        <v>18</v>
      </c>
      <c r="J1139" s="72">
        <v>80459122</v>
      </c>
      <c r="K1139" s="99">
        <f>_xlfn.XLOOKUP(_2__ROI_Daily_Update[[#This Row],[CSM id]],SHP!F:F,SHP!EE:EE,"-")</f>
        <v>0</v>
      </c>
      <c r="L1139" s="12"/>
      <c r="N1139" s="11"/>
      <c r="P1139"/>
      <c r="Q1139"/>
      <c r="W1139" s="28"/>
      <c r="AA1139"/>
    </row>
    <row r="1140" spans="1:27" x14ac:dyDescent="0.45">
      <c r="A1140" s="57">
        <v>126</v>
      </c>
      <c r="B1140" t="s">
        <v>147</v>
      </c>
      <c r="C1140" t="s">
        <v>148</v>
      </c>
      <c r="D1140" s="12">
        <v>46307</v>
      </c>
      <c r="E1140" s="11">
        <v>48</v>
      </c>
      <c r="F1140" s="11" t="s">
        <v>6555</v>
      </c>
      <c r="G1140">
        <v>20240401</v>
      </c>
      <c r="I1140" s="11" t="s">
        <v>18</v>
      </c>
      <c r="J1140" s="72">
        <v>70531901</v>
      </c>
      <c r="K1140" s="99">
        <f>_xlfn.XLOOKUP(_2__ROI_Daily_Update[[#This Row],[CSM id]],SHP!F:F,SHP!EE:EE,"-")</f>
        <v>0</v>
      </c>
      <c r="L1140" s="12"/>
      <c r="N1140" s="11"/>
      <c r="P1140"/>
      <c r="Q1140"/>
      <c r="W1140" s="28"/>
      <c r="AA1140"/>
    </row>
    <row r="1141" spans="1:27" x14ac:dyDescent="0.45">
      <c r="A1141" s="57">
        <v>1641</v>
      </c>
      <c r="B1141" t="s">
        <v>5448</v>
      </c>
      <c r="C1141" t="s">
        <v>5449</v>
      </c>
      <c r="D1141" s="12">
        <v>46307</v>
      </c>
      <c r="E1141" s="11">
        <v>40</v>
      </c>
      <c r="F1141" s="11" t="s">
        <v>6730</v>
      </c>
      <c r="G1141">
        <v>20240401</v>
      </c>
      <c r="I1141" s="11" t="s">
        <v>18</v>
      </c>
      <c r="J1141" s="72">
        <v>550097</v>
      </c>
      <c r="K1141" s="99">
        <f>_xlfn.XLOOKUP(_2__ROI_Daily_Update[[#This Row],[CSM id]],SHP!F:F,SHP!EE:EE,"-")</f>
        <v>0</v>
      </c>
      <c r="L1141" s="12"/>
      <c r="N1141" s="11"/>
      <c r="P1141"/>
      <c r="Q1141"/>
      <c r="W1141" s="28"/>
      <c r="AA1141"/>
    </row>
    <row r="1142" spans="1:27" x14ac:dyDescent="0.45">
      <c r="A1142" s="57">
        <v>1641</v>
      </c>
      <c r="B1142" t="s">
        <v>5426</v>
      </c>
      <c r="C1142" t="s">
        <v>5427</v>
      </c>
      <c r="D1142" s="12">
        <v>46307</v>
      </c>
      <c r="E1142" s="11">
        <v>40</v>
      </c>
      <c r="F1142" s="11" t="s">
        <v>6730</v>
      </c>
      <c r="G1142">
        <v>20240401</v>
      </c>
      <c r="I1142" s="11" t="s">
        <v>18</v>
      </c>
      <c r="J1142" s="72">
        <v>550101</v>
      </c>
      <c r="K1142" s="99">
        <f>_xlfn.XLOOKUP(_2__ROI_Daily_Update[[#This Row],[CSM id]],SHP!F:F,SHP!EE:EE,"-")</f>
        <v>0</v>
      </c>
      <c r="L1142" s="12"/>
      <c r="N1142" s="11"/>
      <c r="P1142"/>
      <c r="Q1142"/>
      <c r="W1142" s="28"/>
      <c r="AA1142"/>
    </row>
    <row r="1143" spans="1:27" x14ac:dyDescent="0.45">
      <c r="A1143" s="57">
        <v>1641</v>
      </c>
      <c r="B1143" t="s">
        <v>5206</v>
      </c>
      <c r="C1143" t="s">
        <v>5207</v>
      </c>
      <c r="D1143" s="12">
        <v>46307</v>
      </c>
      <c r="E1143" s="11">
        <v>20</v>
      </c>
      <c r="F1143" s="11" t="s">
        <v>6555</v>
      </c>
      <c r="G1143">
        <v>20240401</v>
      </c>
      <c r="I1143" s="11" t="s">
        <v>18</v>
      </c>
      <c r="J1143" s="72">
        <v>10550110</v>
      </c>
      <c r="K1143" s="99">
        <f>_xlfn.XLOOKUP(_2__ROI_Daily_Update[[#This Row],[CSM id]],SHP!F:F,SHP!EE:EE,"-")</f>
        <v>0</v>
      </c>
      <c r="L1143" s="12"/>
      <c r="N1143" s="11"/>
      <c r="P1143"/>
      <c r="Q1143"/>
      <c r="W1143" s="28"/>
      <c r="AA1143"/>
    </row>
    <row r="1144" spans="1:27" x14ac:dyDescent="0.45">
      <c r="A1144" s="57">
        <v>125</v>
      </c>
      <c r="B1144" t="s">
        <v>108</v>
      </c>
      <c r="C1144" t="s">
        <v>109</v>
      </c>
      <c r="D1144" s="12">
        <v>46307</v>
      </c>
      <c r="E1144" s="11">
        <v>28</v>
      </c>
      <c r="F1144" s="11" t="s">
        <v>6554</v>
      </c>
      <c r="G1144">
        <v>20240101</v>
      </c>
      <c r="H1144" s="12">
        <v>46388</v>
      </c>
      <c r="I1144" s="11" t="s">
        <v>18</v>
      </c>
      <c r="J1144" s="72">
        <v>20570829</v>
      </c>
      <c r="K1144" s="99">
        <f>_xlfn.XLOOKUP(_2__ROI_Daily_Update[[#This Row],[CSM id]],SHP!F:F,SHP!EE:EE,"-")</f>
        <v>0</v>
      </c>
      <c r="L1144" s="12"/>
      <c r="N1144" s="11"/>
      <c r="P1144"/>
      <c r="Q1144"/>
      <c r="W1144" s="28"/>
      <c r="AA1144"/>
    </row>
    <row r="1145" spans="1:27" x14ac:dyDescent="0.45">
      <c r="A1145" s="57">
        <v>1641</v>
      </c>
      <c r="B1145" t="s">
        <v>3159</v>
      </c>
      <c r="C1145" t="s">
        <v>3160</v>
      </c>
      <c r="D1145" s="12">
        <v>46307</v>
      </c>
      <c r="E1145" s="11">
        <v>40</v>
      </c>
      <c r="F1145" s="11" t="s">
        <v>6730</v>
      </c>
      <c r="G1145">
        <v>20240401</v>
      </c>
      <c r="I1145" s="11" t="s">
        <v>18</v>
      </c>
      <c r="J1145" s="72">
        <v>50553710</v>
      </c>
      <c r="K1145" s="99">
        <f>_xlfn.XLOOKUP(_2__ROI_Daily_Update[[#This Row],[CSM id]],SHP!F:F,SHP!EE:EE,"-")</f>
        <v>0</v>
      </c>
      <c r="L1145" s="12"/>
      <c r="N1145" s="11"/>
      <c r="P1145"/>
      <c r="Q1145"/>
      <c r="W1145" s="28"/>
      <c r="AA1145"/>
    </row>
    <row r="1146" spans="1:27" x14ac:dyDescent="0.45">
      <c r="A1146" s="57">
        <v>113</v>
      </c>
      <c r="B1146" t="s">
        <v>89</v>
      </c>
      <c r="C1146" t="s">
        <v>90</v>
      </c>
      <c r="D1146" s="12">
        <v>46307</v>
      </c>
      <c r="E1146" s="11">
        <v>12</v>
      </c>
      <c r="F1146" s="11" t="s">
        <v>6554</v>
      </c>
      <c r="G1146">
        <v>20140801</v>
      </c>
      <c r="I1146" s="11" t="s">
        <v>18</v>
      </c>
      <c r="J1146" s="72">
        <v>40158654</v>
      </c>
      <c r="K1146" s="99">
        <f>_xlfn.XLOOKUP(_2__ROI_Daily_Update[[#This Row],[CSM id]],SHP!F:F,SHP!EE:EE,"-")</f>
        <v>0</v>
      </c>
      <c r="L1146" s="12"/>
      <c r="N1146" s="11"/>
      <c r="P1146"/>
      <c r="Q1146"/>
      <c r="W1146" s="28"/>
      <c r="AA1146"/>
    </row>
    <row r="1147" spans="1:27" x14ac:dyDescent="0.45">
      <c r="A1147" s="57">
        <v>1641</v>
      </c>
      <c r="B1147" t="s">
        <v>3167</v>
      </c>
      <c r="C1147" t="s">
        <v>3168</v>
      </c>
      <c r="D1147" s="12">
        <v>46307</v>
      </c>
      <c r="E1147" s="11">
        <v>72</v>
      </c>
      <c r="F1147" s="11" t="s">
        <v>6554</v>
      </c>
      <c r="G1147">
        <v>20200801</v>
      </c>
      <c r="I1147" s="11" t="s">
        <v>18</v>
      </c>
      <c r="J1147" s="72">
        <v>60459123</v>
      </c>
      <c r="K1147" s="99">
        <f>_xlfn.XLOOKUP(_2__ROI_Daily_Update[[#This Row],[CSM id]],SHP!F:F,SHP!EE:EE,"-")</f>
        <v>0</v>
      </c>
      <c r="L1147" s="12"/>
      <c r="N1147" s="11"/>
      <c r="P1147"/>
      <c r="Q1147"/>
      <c r="W1147" s="28"/>
      <c r="AA1147"/>
    </row>
    <row r="1148" spans="1:27" x14ac:dyDescent="0.45">
      <c r="A1148" s="57">
        <v>113</v>
      </c>
      <c r="B1148" t="s">
        <v>91</v>
      </c>
      <c r="C1148" t="s">
        <v>92</v>
      </c>
      <c r="D1148" s="12">
        <v>46307</v>
      </c>
      <c r="E1148" s="11">
        <v>4</v>
      </c>
      <c r="F1148" s="11" t="s">
        <v>6555</v>
      </c>
      <c r="G1148">
        <v>20241001</v>
      </c>
      <c r="H1148" s="12">
        <v>46569</v>
      </c>
      <c r="I1148" s="11" t="s">
        <v>32</v>
      </c>
      <c r="J1148" s="72">
        <v>60355762</v>
      </c>
      <c r="K1148" s="99">
        <f>_xlfn.XLOOKUP(_2__ROI_Daily_Update[[#This Row],[CSM id]],SHP!F:F,SHP!EE:EE,"-")</f>
        <v>0</v>
      </c>
      <c r="L1148" s="12"/>
      <c r="N1148" s="11"/>
      <c r="P1148"/>
      <c r="Q1148"/>
      <c r="W1148" s="28"/>
      <c r="AA1148"/>
    </row>
    <row r="1149" spans="1:27" x14ac:dyDescent="0.45">
      <c r="A1149" s="57">
        <v>111</v>
      </c>
      <c r="B1149" t="s">
        <v>44</v>
      </c>
      <c r="C1149" t="s">
        <v>45</v>
      </c>
      <c r="D1149" s="12">
        <v>46307</v>
      </c>
      <c r="E1149" s="11">
        <v>8</v>
      </c>
      <c r="F1149" s="11" t="s">
        <v>6555</v>
      </c>
      <c r="G1149">
        <v>20210701</v>
      </c>
      <c r="I1149" s="11" t="s">
        <v>18</v>
      </c>
      <c r="J1149" s="72">
        <v>10489009</v>
      </c>
      <c r="K1149" s="99">
        <f>_xlfn.XLOOKUP(_2__ROI_Daily_Update[[#This Row],[CSM id]],SHP!F:F,SHP!EE:EE,"-")</f>
        <v>0</v>
      </c>
      <c r="L1149" s="12"/>
      <c r="N1149" s="11"/>
      <c r="P1149"/>
      <c r="Q1149"/>
      <c r="W1149" s="28"/>
      <c r="AA1149"/>
    </row>
    <row r="1150" spans="1:27" x14ac:dyDescent="0.45">
      <c r="A1150" s="57">
        <v>1552</v>
      </c>
      <c r="B1150" t="s">
        <v>5228</v>
      </c>
      <c r="C1150" t="s">
        <v>5229</v>
      </c>
      <c r="D1150" s="12">
        <v>46307</v>
      </c>
      <c r="E1150" s="11">
        <v>48</v>
      </c>
      <c r="F1150" s="11" t="s">
        <v>6557</v>
      </c>
      <c r="G1150">
        <v>20220401</v>
      </c>
      <c r="I1150" s="11" t="s">
        <v>63</v>
      </c>
      <c r="J1150" s="72">
        <v>40511527</v>
      </c>
      <c r="K1150" s="99">
        <f>_xlfn.XLOOKUP(_2__ROI_Daily_Update[[#This Row],[CSM id]],SHP!F:F,SHP!EE:EE,"-")</f>
        <v>0</v>
      </c>
      <c r="L1150" s="12"/>
      <c r="N1150" s="11"/>
      <c r="P1150"/>
      <c r="Q1150"/>
      <c r="W1150" s="28"/>
      <c r="AA1150"/>
    </row>
    <row r="1151" spans="1:27" x14ac:dyDescent="0.45">
      <c r="A1151" s="57">
        <v>1522</v>
      </c>
      <c r="B1151" t="s">
        <v>2710</v>
      </c>
      <c r="C1151" t="s">
        <v>2711</v>
      </c>
      <c r="D1151" s="12">
        <v>46307</v>
      </c>
      <c r="E1151" s="11">
        <v>1296</v>
      </c>
      <c r="F1151" s="11" t="s">
        <v>6557</v>
      </c>
      <c r="G1151">
        <v>20200601</v>
      </c>
      <c r="I1151" s="11" t="s">
        <v>63</v>
      </c>
      <c r="J1151" s="72">
        <v>30434737</v>
      </c>
      <c r="K1151" s="99">
        <f>_xlfn.XLOOKUP(_2__ROI_Daily_Update[[#This Row],[CSM id]],SHP!F:F,SHP!EE:EE,"-")</f>
        <v>0</v>
      </c>
      <c r="L1151" s="12"/>
      <c r="N1151" s="11"/>
      <c r="P1151"/>
      <c r="Q1151"/>
      <c r="W1151" s="28"/>
      <c r="AA1151"/>
    </row>
    <row r="1152" spans="1:27" x14ac:dyDescent="0.45">
      <c r="A1152" s="57">
        <v>1552</v>
      </c>
      <c r="B1152" t="s">
        <v>2839</v>
      </c>
      <c r="C1152" t="s">
        <v>2840</v>
      </c>
      <c r="D1152" s="12">
        <v>46307</v>
      </c>
      <c r="E1152" s="11">
        <v>30</v>
      </c>
      <c r="F1152" s="11" t="s">
        <v>6557</v>
      </c>
      <c r="G1152">
        <v>20150401</v>
      </c>
      <c r="I1152" s="11" t="s">
        <v>63</v>
      </c>
      <c r="J1152" s="72">
        <v>20297849</v>
      </c>
      <c r="K1152" s="99">
        <f>_xlfn.XLOOKUP(_2__ROI_Daily_Update[[#This Row],[CSM id]],SHP!F:F,SHP!EE:EE,"-")</f>
        <v>0</v>
      </c>
      <c r="L1152" s="12"/>
      <c r="N1152" s="11"/>
      <c r="P1152"/>
      <c r="Q1152"/>
      <c r="W1152" s="28"/>
      <c r="AA1152"/>
    </row>
    <row r="1153" spans="1:27" x14ac:dyDescent="0.45">
      <c r="A1153" s="57">
        <v>1643</v>
      </c>
      <c r="B1153" t="s">
        <v>3215</v>
      </c>
      <c r="C1153" t="s">
        <v>3216</v>
      </c>
      <c r="D1153" s="12">
        <v>46307</v>
      </c>
      <c r="E1153" s="11">
        <v>216</v>
      </c>
      <c r="F1153" s="11" t="s">
        <v>6730</v>
      </c>
      <c r="G1153">
        <v>20231001</v>
      </c>
      <c r="I1153" s="11" t="s">
        <v>18</v>
      </c>
      <c r="J1153" s="72">
        <v>570335</v>
      </c>
      <c r="K1153" s="99">
        <f>_xlfn.XLOOKUP(_2__ROI_Daily_Update[[#This Row],[CSM id]],SHP!F:F,SHP!EE:EE,"-")</f>
        <v>0</v>
      </c>
      <c r="L1153" s="12"/>
      <c r="N1153" s="11"/>
      <c r="P1153"/>
      <c r="Q1153"/>
      <c r="W1153" s="28"/>
      <c r="AA1153"/>
    </row>
    <row r="1154" spans="1:27" x14ac:dyDescent="0.45">
      <c r="A1154" s="57">
        <v>343</v>
      </c>
      <c r="B1154" t="s">
        <v>382</v>
      </c>
      <c r="C1154" t="s">
        <v>383</v>
      </c>
      <c r="D1154" s="12">
        <v>46307</v>
      </c>
      <c r="E1154" s="11">
        <v>32</v>
      </c>
      <c r="F1154" s="11" t="s">
        <v>6554</v>
      </c>
      <c r="G1154">
        <v>20260101</v>
      </c>
      <c r="I1154" s="11" t="s">
        <v>18</v>
      </c>
      <c r="J1154" s="72">
        <v>40609072</v>
      </c>
      <c r="K1154" s="99">
        <f>_xlfn.XLOOKUP(_2__ROI_Daily_Update[[#This Row],[CSM id]],SHP!F:F,SHP!EE:EE,"-")</f>
        <v>0</v>
      </c>
      <c r="L1154" s="12"/>
      <c r="N1154" s="11"/>
      <c r="P1154"/>
      <c r="Q1154"/>
      <c r="W1154" s="28"/>
      <c r="AA1154"/>
    </row>
    <row r="1155" spans="1:27" x14ac:dyDescent="0.45">
      <c r="A1155" s="57">
        <v>1531</v>
      </c>
      <c r="B1155" t="s">
        <v>2726</v>
      </c>
      <c r="C1155" t="s">
        <v>2727</v>
      </c>
      <c r="D1155" s="12">
        <v>46307</v>
      </c>
      <c r="E1155" s="11">
        <v>80</v>
      </c>
      <c r="F1155" s="11" t="s">
        <v>6557</v>
      </c>
      <c r="G1155">
        <v>20251001</v>
      </c>
      <c r="H1155" s="12">
        <v>46388</v>
      </c>
      <c r="I1155" s="11" t="s">
        <v>63</v>
      </c>
      <c r="J1155" s="72">
        <v>610077</v>
      </c>
      <c r="K1155" s="99">
        <f>_xlfn.XLOOKUP(_2__ROI_Daily_Update[[#This Row],[CSM id]],SHP!F:F,SHP!EE:EE,"-")</f>
        <v>0</v>
      </c>
      <c r="L1155" s="12"/>
      <c r="N1155" s="11"/>
      <c r="P1155"/>
      <c r="Q1155"/>
      <c r="W1155" s="28"/>
      <c r="AA1155"/>
    </row>
    <row r="1156" spans="1:27" x14ac:dyDescent="0.45">
      <c r="A1156" s="57">
        <v>342</v>
      </c>
      <c r="B1156" t="s">
        <v>374</v>
      </c>
      <c r="C1156" t="s">
        <v>375</v>
      </c>
      <c r="D1156" s="12">
        <v>46307</v>
      </c>
      <c r="E1156" s="11">
        <v>40</v>
      </c>
      <c r="F1156" s="11" t="s">
        <v>6555</v>
      </c>
      <c r="G1156">
        <v>20200401</v>
      </c>
      <c r="H1156" s="12">
        <v>46569</v>
      </c>
      <c r="I1156" s="11" t="s">
        <v>18</v>
      </c>
      <c r="J1156" s="72">
        <v>30406796</v>
      </c>
      <c r="K1156" s="99">
        <f>_xlfn.XLOOKUP(_2__ROI_Daily_Update[[#This Row],[CSM id]],SHP!F:F,SHP!EE:EE,"-")</f>
        <v>0</v>
      </c>
      <c r="L1156" s="12"/>
      <c r="N1156" s="11"/>
      <c r="P1156"/>
      <c r="Q1156"/>
      <c r="W1156" s="28"/>
      <c r="AA1156"/>
    </row>
    <row r="1157" spans="1:27" x14ac:dyDescent="0.45">
      <c r="A1157" s="57">
        <v>1531</v>
      </c>
      <c r="B1157" t="s">
        <v>2732</v>
      </c>
      <c r="C1157" t="s">
        <v>2733</v>
      </c>
      <c r="D1157" s="12">
        <v>46307</v>
      </c>
      <c r="E1157" s="11">
        <v>480</v>
      </c>
      <c r="F1157" s="11" t="s">
        <v>6557</v>
      </c>
      <c r="G1157">
        <v>20180601</v>
      </c>
      <c r="I1157" s="11" t="s">
        <v>63</v>
      </c>
      <c r="J1157" s="72">
        <v>40293874</v>
      </c>
      <c r="K1157" s="99">
        <f>_xlfn.XLOOKUP(_2__ROI_Daily_Update[[#This Row],[CSM id]],SHP!F:F,SHP!EE:EE,"-")</f>
        <v>0</v>
      </c>
      <c r="L1157" s="12"/>
      <c r="N1157" s="11"/>
      <c r="P1157"/>
      <c r="Q1157"/>
      <c r="W1157" s="28"/>
      <c r="AA1157"/>
    </row>
    <row r="1158" spans="1:27" x14ac:dyDescent="0.45">
      <c r="A1158" s="57">
        <v>341</v>
      </c>
      <c r="B1158" t="s">
        <v>372</v>
      </c>
      <c r="C1158" t="s">
        <v>373</v>
      </c>
      <c r="D1158" s="12">
        <v>46307</v>
      </c>
      <c r="E1158" s="11">
        <v>72</v>
      </c>
      <c r="F1158" s="11" t="s">
        <v>6555</v>
      </c>
      <c r="G1158">
        <v>20140801</v>
      </c>
      <c r="I1158" s="11" t="s">
        <v>18</v>
      </c>
      <c r="J1158" s="72">
        <v>70264304</v>
      </c>
      <c r="K1158" s="99">
        <f>_xlfn.XLOOKUP(_2__ROI_Daily_Update[[#This Row],[CSM id]],SHP!F:F,SHP!EE:EE,"-")</f>
        <v>0</v>
      </c>
      <c r="L1158" s="12"/>
      <c r="N1158" s="11"/>
      <c r="P1158"/>
      <c r="Q1158"/>
      <c r="W1158" s="28"/>
      <c r="AA1158"/>
    </row>
    <row r="1159" spans="1:27" x14ac:dyDescent="0.45">
      <c r="A1159" s="57">
        <v>341</v>
      </c>
      <c r="B1159" t="s">
        <v>372</v>
      </c>
      <c r="C1159" t="s">
        <v>373</v>
      </c>
      <c r="D1159" s="12">
        <v>46307</v>
      </c>
      <c r="E1159" s="11">
        <v>72</v>
      </c>
      <c r="F1159" s="11" t="s">
        <v>6730</v>
      </c>
      <c r="G1159">
        <v>20140801</v>
      </c>
      <c r="I1159" s="11" t="s">
        <v>18</v>
      </c>
      <c r="J1159" s="72">
        <v>70264304</v>
      </c>
      <c r="K1159" s="99">
        <f>_xlfn.XLOOKUP(_2__ROI_Daily_Update[[#This Row],[CSM id]],SHP!F:F,SHP!EE:EE,"-")</f>
        <v>0</v>
      </c>
      <c r="L1159" s="12"/>
      <c r="N1159" s="11"/>
      <c r="P1159"/>
      <c r="Q1159"/>
      <c r="W1159" s="28"/>
      <c r="AA1159"/>
    </row>
    <row r="1160" spans="1:27" x14ac:dyDescent="0.45">
      <c r="A1160" s="57">
        <v>1643</v>
      </c>
      <c r="B1160" t="s">
        <v>3245</v>
      </c>
      <c r="C1160" t="s">
        <v>3246</v>
      </c>
      <c r="D1160" s="12">
        <v>46307</v>
      </c>
      <c r="E1160" s="11">
        <v>44</v>
      </c>
      <c r="F1160" s="11" t="s">
        <v>6730</v>
      </c>
      <c r="G1160">
        <v>20221001</v>
      </c>
      <c r="I1160" s="11" t="s">
        <v>18</v>
      </c>
      <c r="J1160" s="72">
        <v>70540854</v>
      </c>
      <c r="K1160" s="99">
        <f>_xlfn.XLOOKUP(_2__ROI_Daily_Update[[#This Row],[CSM id]],SHP!F:F,SHP!EE:EE,"-")</f>
        <v>0</v>
      </c>
      <c r="L1160" s="12"/>
      <c r="N1160" s="11"/>
      <c r="P1160"/>
      <c r="Q1160"/>
      <c r="W1160" s="28"/>
      <c r="AA1160"/>
    </row>
    <row r="1161" spans="1:27" x14ac:dyDescent="0.45">
      <c r="A1161" s="57">
        <v>1531</v>
      </c>
      <c r="B1161" t="s">
        <v>2740</v>
      </c>
      <c r="C1161" t="s">
        <v>2741</v>
      </c>
      <c r="D1161" s="12">
        <v>46307</v>
      </c>
      <c r="E1161" s="11">
        <v>168</v>
      </c>
      <c r="F1161" s="11" t="s">
        <v>6557</v>
      </c>
      <c r="G1161">
        <v>20220401</v>
      </c>
      <c r="H1161" s="12">
        <v>46478</v>
      </c>
      <c r="I1161" s="11" t="s">
        <v>63</v>
      </c>
      <c r="J1161" s="72">
        <v>50521031</v>
      </c>
      <c r="K1161" s="99">
        <f>_xlfn.XLOOKUP(_2__ROI_Daily_Update[[#This Row],[CSM id]],SHP!F:F,SHP!EE:EE,"-")</f>
        <v>0</v>
      </c>
      <c r="L1161" s="12"/>
      <c r="N1161" s="11"/>
      <c r="P1161"/>
      <c r="Q1161"/>
      <c r="W1161" s="28"/>
      <c r="AA1161"/>
    </row>
    <row r="1162" spans="1:27" x14ac:dyDescent="0.45">
      <c r="A1162" s="57">
        <v>341</v>
      </c>
      <c r="B1162" t="s">
        <v>52</v>
      </c>
      <c r="C1162" t="s">
        <v>53</v>
      </c>
      <c r="D1162" s="12">
        <v>46307</v>
      </c>
      <c r="E1162" s="11">
        <v>6</v>
      </c>
      <c r="F1162" s="11" t="s">
        <v>6730</v>
      </c>
      <c r="G1162">
        <v>20170401</v>
      </c>
      <c r="H1162" s="12">
        <v>46478</v>
      </c>
      <c r="I1162" s="11" t="s">
        <v>18</v>
      </c>
      <c r="J1162" s="72">
        <v>20354284</v>
      </c>
      <c r="K1162" s="99">
        <f>_xlfn.XLOOKUP(_2__ROI_Daily_Update[[#This Row],[CSM id]],SHP!F:F,SHP!EE:EE,"-")</f>
        <v>0</v>
      </c>
      <c r="L1162" s="12"/>
      <c r="N1162" s="11"/>
      <c r="P1162"/>
      <c r="Q1162"/>
      <c r="W1162" s="28"/>
      <c r="AA1162"/>
    </row>
    <row r="1163" spans="1:27" x14ac:dyDescent="0.45">
      <c r="A1163" s="57">
        <v>1531</v>
      </c>
      <c r="B1163" t="s">
        <v>2742</v>
      </c>
      <c r="C1163" t="s">
        <v>2743</v>
      </c>
      <c r="D1163" s="12">
        <v>46307</v>
      </c>
      <c r="E1163" s="11">
        <v>640</v>
      </c>
      <c r="F1163" s="11" t="s">
        <v>6557</v>
      </c>
      <c r="G1163">
        <v>20240401</v>
      </c>
      <c r="I1163" s="11" t="s">
        <v>63</v>
      </c>
      <c r="J1163" s="72">
        <v>50573322</v>
      </c>
      <c r="K1163" s="99">
        <f>_xlfn.XLOOKUP(_2__ROI_Daily_Update[[#This Row],[CSM id]],SHP!F:F,SHP!EE:EE,"-")</f>
        <v>0</v>
      </c>
      <c r="L1163" s="12"/>
      <c r="N1163" s="11"/>
      <c r="P1163"/>
      <c r="Q1163"/>
      <c r="W1163" s="28"/>
      <c r="AA1163"/>
    </row>
    <row r="1164" spans="1:27" x14ac:dyDescent="0.45">
      <c r="A1164" s="57">
        <v>1531</v>
      </c>
      <c r="B1164" t="s">
        <v>2744</v>
      </c>
      <c r="C1164" t="s">
        <v>2745</v>
      </c>
      <c r="D1164" s="12">
        <v>46307</v>
      </c>
      <c r="E1164" s="11">
        <v>28</v>
      </c>
      <c r="F1164" s="11" t="s">
        <v>6557</v>
      </c>
      <c r="G1164">
        <v>20251001</v>
      </c>
      <c r="I1164" s="11" t="s">
        <v>63</v>
      </c>
      <c r="J1164" s="72">
        <v>50609590</v>
      </c>
      <c r="K1164" s="99">
        <f>_xlfn.XLOOKUP(_2__ROI_Daily_Update[[#This Row],[CSM id]],SHP!F:F,SHP!EE:EE,"-")</f>
        <v>0</v>
      </c>
      <c r="L1164" s="12"/>
      <c r="N1164" s="11"/>
      <c r="P1164"/>
      <c r="Q1164"/>
      <c r="W1164" s="28"/>
      <c r="AA1164"/>
    </row>
    <row r="1165" spans="1:27" x14ac:dyDescent="0.45">
      <c r="A1165" s="57">
        <v>341</v>
      </c>
      <c r="B1165" t="s">
        <v>283</v>
      </c>
      <c r="C1165" t="s">
        <v>284</v>
      </c>
      <c r="D1165" s="12">
        <v>46307</v>
      </c>
      <c r="E1165" s="11">
        <v>16</v>
      </c>
      <c r="F1165" s="11" t="s">
        <v>6555</v>
      </c>
      <c r="G1165">
        <v>20170401</v>
      </c>
      <c r="H1165" s="12">
        <v>46478</v>
      </c>
      <c r="I1165" s="11" t="s">
        <v>18</v>
      </c>
      <c r="J1165" s="72">
        <v>80354281</v>
      </c>
      <c r="K1165" s="99">
        <f>_xlfn.XLOOKUP(_2__ROI_Daily_Update[[#This Row],[CSM id]],SHP!F:F,SHP!EE:EE,"-")</f>
        <v>0</v>
      </c>
      <c r="L1165" s="12"/>
      <c r="N1165" s="11"/>
      <c r="P1165"/>
      <c r="Q1165"/>
      <c r="W1165" s="28"/>
      <c r="AA1165"/>
    </row>
    <row r="1166" spans="1:27" x14ac:dyDescent="0.45">
      <c r="A1166" s="57">
        <v>1531</v>
      </c>
      <c r="B1166" t="s">
        <v>2746</v>
      </c>
      <c r="C1166" t="s">
        <v>2747</v>
      </c>
      <c r="D1166" s="12">
        <v>46307</v>
      </c>
      <c r="E1166" s="11">
        <v>48</v>
      </c>
      <c r="F1166" s="11" t="s">
        <v>6557</v>
      </c>
      <c r="G1166">
        <v>20260101</v>
      </c>
      <c r="I1166" s="11" t="s">
        <v>63</v>
      </c>
      <c r="J1166" s="72">
        <v>50610070</v>
      </c>
      <c r="K1166" s="99">
        <f>_xlfn.XLOOKUP(_2__ROI_Daily_Update[[#This Row],[CSM id]],SHP!F:F,SHP!EE:EE,"-")</f>
        <v>0</v>
      </c>
      <c r="L1166" s="12"/>
      <c r="N1166" s="11"/>
      <c r="P1166"/>
      <c r="Q1166"/>
      <c r="W1166" s="28"/>
      <c r="AA1166"/>
    </row>
    <row r="1167" spans="1:27" x14ac:dyDescent="0.45">
      <c r="A1167" s="57">
        <v>1531</v>
      </c>
      <c r="B1167" t="s">
        <v>2752</v>
      </c>
      <c r="C1167" t="s">
        <v>2753</v>
      </c>
      <c r="D1167" s="12">
        <v>46307</v>
      </c>
      <c r="E1167" s="11">
        <v>648</v>
      </c>
      <c r="F1167" s="11" t="s">
        <v>6557</v>
      </c>
      <c r="G1167">
        <v>20180401</v>
      </c>
      <c r="I1167" s="11" t="s">
        <v>63</v>
      </c>
      <c r="J1167" s="72">
        <v>80343004</v>
      </c>
      <c r="K1167" s="99">
        <f>_xlfn.XLOOKUP(_2__ROI_Daily_Update[[#This Row],[CSM id]],SHP!F:F,SHP!EE:EE,"-")</f>
        <v>0</v>
      </c>
      <c r="L1167" s="12"/>
      <c r="N1167" s="11"/>
      <c r="P1167"/>
      <c r="Q1167"/>
      <c r="W1167" s="28"/>
      <c r="AA1167"/>
    </row>
    <row r="1168" spans="1:27" x14ac:dyDescent="0.45">
      <c r="A1168" s="57">
        <v>1531</v>
      </c>
      <c r="B1168" t="s">
        <v>2756</v>
      </c>
      <c r="C1168" t="s">
        <v>2757</v>
      </c>
      <c r="D1168" s="12">
        <v>46307</v>
      </c>
      <c r="E1168" s="11">
        <v>108</v>
      </c>
      <c r="F1168" s="11" t="s">
        <v>6557</v>
      </c>
      <c r="G1168">
        <v>20141201</v>
      </c>
      <c r="H1168" s="12">
        <v>46569</v>
      </c>
      <c r="I1168" s="11" t="s">
        <v>63</v>
      </c>
      <c r="J1168" s="72">
        <v>90177589</v>
      </c>
      <c r="K1168" s="99">
        <f>_xlfn.XLOOKUP(_2__ROI_Daily_Update[[#This Row],[CSM id]],SHP!F:F,SHP!EE:EE,"-")</f>
        <v>0</v>
      </c>
      <c r="L1168" s="12"/>
      <c r="N1168" s="11"/>
      <c r="P1168"/>
      <c r="Q1168"/>
      <c r="W1168" s="28"/>
      <c r="AA1168"/>
    </row>
    <row r="1169" spans="1:27" x14ac:dyDescent="0.45">
      <c r="A1169" s="57">
        <v>1541</v>
      </c>
      <c r="B1169" t="s">
        <v>2765</v>
      </c>
      <c r="C1169" t="s">
        <v>2766</v>
      </c>
      <c r="D1169" s="12">
        <v>46307</v>
      </c>
      <c r="E1169" s="11">
        <v>272</v>
      </c>
      <c r="F1169" s="11" t="s">
        <v>6558</v>
      </c>
      <c r="G1169">
        <v>20260801</v>
      </c>
      <c r="H1169" s="12">
        <v>46388</v>
      </c>
      <c r="I1169" s="11" t="s">
        <v>63</v>
      </c>
      <c r="J1169" s="72">
        <v>30632780</v>
      </c>
      <c r="K1169" s="99">
        <f>_xlfn.XLOOKUP(_2__ROI_Daily_Update[[#This Row],[CSM id]],SHP!F:F,SHP!EE:EE,"-")</f>
        <v>0</v>
      </c>
      <c r="L1169" s="12"/>
      <c r="N1169" s="11"/>
      <c r="P1169"/>
      <c r="Q1169"/>
      <c r="W1169" s="28"/>
      <c r="AA1169"/>
    </row>
    <row r="1170" spans="1:27" x14ac:dyDescent="0.45">
      <c r="A1170" s="57">
        <v>1541</v>
      </c>
      <c r="B1170" t="s">
        <v>5331</v>
      </c>
      <c r="C1170" t="s">
        <v>5332</v>
      </c>
      <c r="D1170" s="12">
        <v>46307</v>
      </c>
      <c r="E1170" s="11">
        <v>120</v>
      </c>
      <c r="F1170" s="11" t="s">
        <v>6558</v>
      </c>
      <c r="G1170">
        <v>20250701</v>
      </c>
      <c r="I1170" s="11" t="s">
        <v>63</v>
      </c>
      <c r="J1170" s="72">
        <v>40174215</v>
      </c>
      <c r="K1170" s="99">
        <f>_xlfn.XLOOKUP(_2__ROI_Daily_Update[[#This Row],[CSM id]],SHP!F:F,SHP!EE:EE,"-")</f>
        <v>0</v>
      </c>
      <c r="L1170" s="12"/>
      <c r="N1170" s="11"/>
      <c r="P1170"/>
      <c r="Q1170"/>
      <c r="W1170" s="28"/>
      <c r="AA1170"/>
    </row>
    <row r="1171" spans="1:27" x14ac:dyDescent="0.45">
      <c r="A1171" s="57">
        <v>1643</v>
      </c>
      <c r="B1171" t="s">
        <v>3229</v>
      </c>
      <c r="C1171" t="s">
        <v>3230</v>
      </c>
      <c r="D1171" s="12">
        <v>46307</v>
      </c>
      <c r="E1171" s="11">
        <v>9</v>
      </c>
      <c r="F1171" s="11" t="s">
        <v>6554</v>
      </c>
      <c r="G1171">
        <v>20221001</v>
      </c>
      <c r="I1171" s="11" t="s">
        <v>18</v>
      </c>
      <c r="J1171" s="72">
        <v>30540865</v>
      </c>
      <c r="K1171" s="99">
        <f>_xlfn.XLOOKUP(_2__ROI_Daily_Update[[#This Row],[CSM id]],SHP!F:F,SHP!EE:EE,"-")</f>
        <v>0</v>
      </c>
      <c r="L1171" s="12"/>
      <c r="N1171" s="11"/>
      <c r="P1171"/>
      <c r="Q1171"/>
      <c r="W1171" s="28"/>
      <c r="AA1171"/>
    </row>
    <row r="1172" spans="1:27" x14ac:dyDescent="0.45">
      <c r="A1172" s="57">
        <v>341</v>
      </c>
      <c r="B1172" t="s">
        <v>301</v>
      </c>
      <c r="C1172" t="s">
        <v>302</v>
      </c>
      <c r="D1172" s="12">
        <v>46307</v>
      </c>
      <c r="E1172" s="11">
        <v>36</v>
      </c>
      <c r="F1172" s="11" t="s">
        <v>6730</v>
      </c>
      <c r="G1172">
        <v>20230901</v>
      </c>
      <c r="I1172" s="11" t="s">
        <v>18</v>
      </c>
      <c r="J1172" s="72">
        <v>60557802</v>
      </c>
      <c r="K1172" s="99">
        <f>_xlfn.XLOOKUP(_2__ROI_Daily_Update[[#This Row],[CSM id]],SHP!F:F,SHP!EE:EE,"-")</f>
        <v>0</v>
      </c>
      <c r="L1172" s="12"/>
      <c r="N1172" s="11"/>
      <c r="P1172"/>
      <c r="Q1172"/>
      <c r="W1172" s="28"/>
      <c r="AA1172"/>
    </row>
    <row r="1173" spans="1:27" x14ac:dyDescent="0.45">
      <c r="A1173" s="57">
        <v>1542</v>
      </c>
      <c r="B1173" t="s">
        <v>2783</v>
      </c>
      <c r="C1173" t="s">
        <v>2784</v>
      </c>
      <c r="D1173" s="12">
        <v>46307</v>
      </c>
      <c r="E1173" s="11">
        <v>144</v>
      </c>
      <c r="F1173" s="11" t="s">
        <v>6555</v>
      </c>
      <c r="G1173">
        <v>20200601</v>
      </c>
      <c r="I1173" s="11" t="s">
        <v>18</v>
      </c>
      <c r="J1173" s="72">
        <v>10470509</v>
      </c>
      <c r="K1173" s="99">
        <f>_xlfn.XLOOKUP(_2__ROI_Daily_Update[[#This Row],[CSM id]],SHP!F:F,SHP!EE:EE,"-")</f>
        <v>0</v>
      </c>
      <c r="L1173" s="12"/>
      <c r="N1173" s="11"/>
      <c r="P1173"/>
      <c r="Q1173"/>
      <c r="W1173" s="28"/>
      <c r="AA1173"/>
    </row>
    <row r="1174" spans="1:27" x14ac:dyDescent="0.45">
      <c r="A1174" s="57">
        <v>1551</v>
      </c>
      <c r="B1174" t="s">
        <v>2799</v>
      </c>
      <c r="C1174" t="s">
        <v>2800</v>
      </c>
      <c r="D1174" s="12">
        <v>46307</v>
      </c>
      <c r="E1174" s="11">
        <v>210</v>
      </c>
      <c r="F1174" s="11" t="s">
        <v>6558</v>
      </c>
      <c r="G1174">
        <v>20250401</v>
      </c>
      <c r="I1174" s="11" t="s">
        <v>63</v>
      </c>
      <c r="J1174" s="72">
        <v>601799</v>
      </c>
      <c r="K1174" s="99">
        <f>_xlfn.XLOOKUP(_2__ROI_Daily_Update[[#This Row],[CSM id]],SHP!F:F,SHP!EE:EE,"-")</f>
        <v>0</v>
      </c>
      <c r="L1174" s="12"/>
      <c r="N1174" s="11"/>
      <c r="P1174"/>
      <c r="Q1174"/>
      <c r="W1174" s="28"/>
      <c r="AA1174"/>
    </row>
    <row r="1175" spans="1:27" x14ac:dyDescent="0.45">
      <c r="A1175" s="57">
        <v>241</v>
      </c>
      <c r="B1175" t="s">
        <v>347</v>
      </c>
      <c r="C1175" t="s">
        <v>348</v>
      </c>
      <c r="D1175" s="12">
        <v>46307</v>
      </c>
      <c r="E1175" s="11">
        <v>14</v>
      </c>
      <c r="F1175" s="11" t="s">
        <v>6555</v>
      </c>
      <c r="G1175">
        <v>20221001</v>
      </c>
      <c r="I1175" s="11" t="s">
        <v>18</v>
      </c>
      <c r="J1175" s="72">
        <v>80530977</v>
      </c>
      <c r="K1175" s="99">
        <f>_xlfn.XLOOKUP(_2__ROI_Daily_Update[[#This Row],[CSM id]],SHP!F:F,SHP!EE:EE,"-")</f>
        <v>0</v>
      </c>
      <c r="L1175" s="12"/>
      <c r="N1175" s="11"/>
      <c r="P1175"/>
      <c r="Q1175"/>
      <c r="W1175" s="28"/>
      <c r="AA1175"/>
    </row>
    <row r="1176" spans="1:27" x14ac:dyDescent="0.45">
      <c r="A1176" s="57">
        <v>1551</v>
      </c>
      <c r="B1176" t="s">
        <v>2807</v>
      </c>
      <c r="C1176" t="s">
        <v>2808</v>
      </c>
      <c r="D1176" s="12">
        <v>46307</v>
      </c>
      <c r="E1176" s="11">
        <v>90</v>
      </c>
      <c r="F1176" s="11" t="s">
        <v>6557</v>
      </c>
      <c r="G1176">
        <v>20260101</v>
      </c>
      <c r="I1176" s="11" t="s">
        <v>63</v>
      </c>
      <c r="J1176" s="72">
        <v>20603684</v>
      </c>
      <c r="K1176" s="99">
        <f>_xlfn.XLOOKUP(_2__ROI_Daily_Update[[#This Row],[CSM id]],SHP!F:F,SHP!EE:EE,"-")</f>
        <v>0</v>
      </c>
      <c r="L1176" s="12"/>
      <c r="N1176" s="11"/>
      <c r="P1176"/>
      <c r="Q1176"/>
      <c r="W1176" s="28"/>
      <c r="AA1176"/>
    </row>
    <row r="1177" spans="1:27" x14ac:dyDescent="0.45">
      <c r="A1177" s="57">
        <v>1551</v>
      </c>
      <c r="B1177" t="s">
        <v>2811</v>
      </c>
      <c r="C1177" t="s">
        <v>2812</v>
      </c>
      <c r="D1177" s="12">
        <v>46307</v>
      </c>
      <c r="E1177" s="11">
        <v>864</v>
      </c>
      <c r="F1177" s="11" t="s">
        <v>6558</v>
      </c>
      <c r="G1177">
        <v>20181001</v>
      </c>
      <c r="I1177" s="11" t="s">
        <v>63</v>
      </c>
      <c r="J1177" s="72">
        <v>40417450</v>
      </c>
      <c r="K1177" s="99">
        <f>_xlfn.XLOOKUP(_2__ROI_Daily_Update[[#This Row],[CSM id]],SHP!F:F,SHP!EE:EE,"-")</f>
        <v>0</v>
      </c>
      <c r="L1177" s="12"/>
      <c r="N1177" s="11"/>
      <c r="P1177"/>
      <c r="Q1177"/>
      <c r="W1177" s="28"/>
      <c r="AA1177"/>
    </row>
    <row r="1178" spans="1:27" x14ac:dyDescent="0.45">
      <c r="A1178" s="57">
        <v>241</v>
      </c>
      <c r="B1178" t="s">
        <v>335</v>
      </c>
      <c r="C1178" t="s">
        <v>336</v>
      </c>
      <c r="D1178" s="12">
        <v>46307</v>
      </c>
      <c r="E1178" s="11">
        <v>27</v>
      </c>
      <c r="F1178" s="11" t="s">
        <v>6554</v>
      </c>
      <c r="G1178">
        <v>20140801</v>
      </c>
      <c r="I1178" s="11" t="s">
        <v>18</v>
      </c>
      <c r="J1178" s="72">
        <v>167207</v>
      </c>
      <c r="K1178" s="99">
        <f>_xlfn.XLOOKUP(_2__ROI_Daily_Update[[#This Row],[CSM id]],SHP!F:F,SHP!EE:EE,"-")</f>
        <v>0</v>
      </c>
      <c r="L1178" s="12"/>
      <c r="N1178" s="11"/>
      <c r="P1178"/>
      <c r="Q1178"/>
      <c r="W1178" s="28"/>
      <c r="AA1178"/>
    </row>
    <row r="1179" spans="1:27" x14ac:dyDescent="0.45">
      <c r="A1179" s="57">
        <v>1551</v>
      </c>
      <c r="B1179" t="s">
        <v>2815</v>
      </c>
      <c r="C1179" t="s">
        <v>2816</v>
      </c>
      <c r="D1179" s="12">
        <v>46307</v>
      </c>
      <c r="E1179" s="11">
        <v>120</v>
      </c>
      <c r="F1179" s="11" t="s">
        <v>6557</v>
      </c>
      <c r="G1179">
        <v>20260701</v>
      </c>
      <c r="I1179" s="11" t="s">
        <v>63</v>
      </c>
      <c r="J1179" s="72">
        <v>40635504</v>
      </c>
      <c r="K1179" s="99">
        <f>_xlfn.XLOOKUP(_2__ROI_Daily_Update[[#This Row],[CSM id]],SHP!F:F,SHP!EE:EE,"-")</f>
        <v>0</v>
      </c>
      <c r="L1179" s="12"/>
      <c r="N1179" s="11"/>
      <c r="P1179"/>
      <c r="Q1179"/>
      <c r="W1179" s="28"/>
      <c r="AA1179"/>
    </row>
    <row r="1180" spans="1:27" x14ac:dyDescent="0.45">
      <c r="A1180" s="57">
        <v>241</v>
      </c>
      <c r="B1180" t="s">
        <v>5124</v>
      </c>
      <c r="C1180" t="s">
        <v>5125</v>
      </c>
      <c r="D1180" s="12">
        <v>46307</v>
      </c>
      <c r="E1180" s="11">
        <v>52</v>
      </c>
      <c r="F1180" s="11" t="s">
        <v>6554</v>
      </c>
      <c r="G1180">
        <v>20210201</v>
      </c>
      <c r="I1180" s="11" t="s">
        <v>18</v>
      </c>
      <c r="J1180" s="72">
        <v>40483077</v>
      </c>
      <c r="K1180" s="99">
        <f>_xlfn.XLOOKUP(_2__ROI_Daily_Update[[#This Row],[CSM id]],SHP!F:F,SHP!EE:EE,"-")</f>
        <v>0</v>
      </c>
      <c r="L1180" s="12"/>
      <c r="N1180" s="11"/>
      <c r="P1180"/>
      <c r="Q1180"/>
      <c r="W1180" s="28"/>
      <c r="AA1180"/>
    </row>
    <row r="1181" spans="1:27" x14ac:dyDescent="0.45">
      <c r="A1181" s="57">
        <v>241</v>
      </c>
      <c r="B1181" t="s">
        <v>310</v>
      </c>
      <c r="C1181" t="s">
        <v>311</v>
      </c>
      <c r="D1181" s="12">
        <v>46307</v>
      </c>
      <c r="E1181" s="11">
        <v>24</v>
      </c>
      <c r="F1181" s="11" t="s">
        <v>6554</v>
      </c>
      <c r="G1181">
        <v>20140801</v>
      </c>
      <c r="I1181" s="11" t="s">
        <v>18</v>
      </c>
      <c r="J1181" s="72">
        <v>20167206</v>
      </c>
      <c r="K1181" s="99">
        <f>_xlfn.XLOOKUP(_2__ROI_Daily_Update[[#This Row],[CSM id]],SHP!F:F,SHP!EE:EE,"-")</f>
        <v>0</v>
      </c>
      <c r="L1181" s="12"/>
      <c r="N1181" s="11"/>
      <c r="P1181"/>
      <c r="Q1181"/>
      <c r="W1181" s="28"/>
      <c r="AA1181"/>
    </row>
    <row r="1182" spans="1:27" x14ac:dyDescent="0.45">
      <c r="A1182" s="57">
        <v>221</v>
      </c>
      <c r="B1182" t="s">
        <v>314</v>
      </c>
      <c r="C1182" t="s">
        <v>315</v>
      </c>
      <c r="D1182" s="12">
        <v>46307</v>
      </c>
      <c r="E1182" s="11">
        <v>60</v>
      </c>
      <c r="F1182" s="11" t="s">
        <v>6554</v>
      </c>
      <c r="G1182">
        <v>20210701</v>
      </c>
      <c r="I1182" s="11" t="s">
        <v>18</v>
      </c>
      <c r="J1182" s="72">
        <v>10502992</v>
      </c>
      <c r="K1182" s="99">
        <f>_xlfn.XLOOKUP(_2__ROI_Daily_Update[[#This Row],[CSM id]],SHP!F:F,SHP!EE:EE,"-")</f>
        <v>0</v>
      </c>
      <c r="L1182" s="12"/>
      <c r="N1182" s="11"/>
      <c r="P1182"/>
      <c r="Q1182"/>
      <c r="W1182" s="28"/>
      <c r="AA1182"/>
    </row>
    <row r="1183" spans="1:27" x14ac:dyDescent="0.45">
      <c r="A1183" s="57">
        <v>1643</v>
      </c>
      <c r="B1183" t="s">
        <v>3215</v>
      </c>
      <c r="C1183" t="s">
        <v>3216</v>
      </c>
      <c r="D1183" s="12">
        <v>46307</v>
      </c>
      <c r="E1183" s="11">
        <v>216</v>
      </c>
      <c r="F1183" s="11" t="s">
        <v>6555</v>
      </c>
      <c r="G1183">
        <v>20231001</v>
      </c>
      <c r="I1183" s="11" t="s">
        <v>18</v>
      </c>
      <c r="J1183" s="72">
        <v>570335</v>
      </c>
      <c r="K1183" s="99">
        <f>_xlfn.XLOOKUP(_2__ROI_Daily_Update[[#This Row],[CSM id]],SHP!F:F,SHP!EE:EE,"-")</f>
        <v>0</v>
      </c>
      <c r="L1183" s="12"/>
      <c r="N1183" s="11"/>
      <c r="P1183"/>
      <c r="Q1183"/>
      <c r="W1183" s="28"/>
      <c r="AA1183"/>
    </row>
    <row r="1184" spans="1:27" x14ac:dyDescent="0.45">
      <c r="A1184" s="57">
        <v>1431</v>
      </c>
      <c r="B1184" t="s">
        <v>2440</v>
      </c>
      <c r="C1184" t="s">
        <v>2441</v>
      </c>
      <c r="D1184" s="12">
        <v>46307</v>
      </c>
      <c r="E1184" s="11">
        <v>160</v>
      </c>
      <c r="F1184" s="11" t="s">
        <v>6557</v>
      </c>
      <c r="G1184">
        <v>20211001</v>
      </c>
      <c r="I1184" s="11" t="s">
        <v>63</v>
      </c>
      <c r="J1184" s="72">
        <v>90497802</v>
      </c>
      <c r="K1184" s="99">
        <f>_xlfn.XLOOKUP(_2__ROI_Daily_Update[[#This Row],[CSM id]],SHP!F:F,SHP!EE:EE,"-")</f>
        <v>0</v>
      </c>
      <c r="L1184" s="12"/>
      <c r="N1184" s="11"/>
      <c r="P1184"/>
      <c r="Q1184"/>
      <c r="W1184" s="28"/>
      <c r="AA1184"/>
    </row>
    <row r="1185" spans="1:27" x14ac:dyDescent="0.45">
      <c r="A1185" s="57">
        <v>111</v>
      </c>
      <c r="B1185" t="s">
        <v>44</v>
      </c>
      <c r="C1185" t="s">
        <v>45</v>
      </c>
      <c r="D1185" s="12">
        <v>46307</v>
      </c>
      <c r="E1185" s="11">
        <v>20</v>
      </c>
      <c r="F1185" s="11" t="s">
        <v>6554</v>
      </c>
      <c r="G1185">
        <v>20210701</v>
      </c>
      <c r="I1185" s="11" t="s">
        <v>18</v>
      </c>
      <c r="J1185" s="72">
        <v>10489009</v>
      </c>
      <c r="K1185" s="99">
        <f>_xlfn.XLOOKUP(_2__ROI_Daily_Update[[#This Row],[CSM id]],SHP!F:F,SHP!EE:EE,"-")</f>
        <v>0</v>
      </c>
      <c r="L1185" s="12"/>
      <c r="N1185" s="11"/>
      <c r="P1185"/>
      <c r="Q1185"/>
      <c r="W1185" s="28"/>
      <c r="AA1185"/>
    </row>
    <row r="1186" spans="1:27" x14ac:dyDescent="0.45">
      <c r="A1186" s="57">
        <v>1813</v>
      </c>
      <c r="B1186" t="s">
        <v>3372</v>
      </c>
      <c r="C1186" t="s">
        <v>3373</v>
      </c>
      <c r="D1186" s="12">
        <v>46307</v>
      </c>
      <c r="E1186" s="11">
        <v>84</v>
      </c>
      <c r="F1186" s="11" t="s">
        <v>6554</v>
      </c>
      <c r="G1186">
        <v>20260701</v>
      </c>
      <c r="I1186" s="11" t="s">
        <v>18</v>
      </c>
      <c r="J1186" s="72">
        <v>598589</v>
      </c>
      <c r="K1186" s="99">
        <f>_xlfn.XLOOKUP(_2__ROI_Daily_Update[[#This Row],[CSM id]],SHP!F:F,SHP!EE:EE,"-")</f>
        <v>0</v>
      </c>
      <c r="L1186" s="12"/>
      <c r="N1186" s="11"/>
      <c r="P1186"/>
      <c r="Q1186"/>
      <c r="W1186" s="28"/>
      <c r="AA1186"/>
    </row>
    <row r="1187" spans="1:27" x14ac:dyDescent="0.45">
      <c r="A1187" s="57">
        <v>922</v>
      </c>
      <c r="B1187" t="s">
        <v>720</v>
      </c>
      <c r="C1187" t="s">
        <v>721</v>
      </c>
      <c r="D1187" s="12">
        <v>46307</v>
      </c>
      <c r="E1187" s="11">
        <v>216</v>
      </c>
      <c r="F1187" s="11" t="s">
        <v>6555</v>
      </c>
      <c r="G1187">
        <v>20260101</v>
      </c>
      <c r="I1187" s="11" t="s">
        <v>18</v>
      </c>
      <c r="J1187" s="72">
        <v>40604121</v>
      </c>
      <c r="K1187" s="99">
        <f>_xlfn.XLOOKUP(_2__ROI_Daily_Update[[#This Row],[CSM id]],SHP!F:F,SHP!EE:EE,"-")</f>
        <v>0</v>
      </c>
      <c r="L1187" s="12"/>
      <c r="N1187" s="11"/>
      <c r="P1187"/>
      <c r="Q1187"/>
      <c r="W1187" s="28"/>
      <c r="AA1187"/>
    </row>
    <row r="1188" spans="1:27" x14ac:dyDescent="0.45">
      <c r="A1188" s="57">
        <v>922</v>
      </c>
      <c r="B1188" t="s">
        <v>720</v>
      </c>
      <c r="C1188" t="s">
        <v>721</v>
      </c>
      <c r="D1188" s="12">
        <v>46307</v>
      </c>
      <c r="E1188" s="11">
        <v>72</v>
      </c>
      <c r="F1188" s="11" t="s">
        <v>6554</v>
      </c>
      <c r="G1188">
        <v>20260101</v>
      </c>
      <c r="I1188" s="11" t="s">
        <v>18</v>
      </c>
      <c r="J1188" s="72">
        <v>40604121</v>
      </c>
      <c r="K1188" s="99">
        <f>_xlfn.XLOOKUP(_2__ROI_Daily_Update[[#This Row],[CSM id]],SHP!F:F,SHP!EE:EE,"-")</f>
        <v>0</v>
      </c>
      <c r="L1188" s="12"/>
      <c r="N1188" s="11"/>
      <c r="P1188"/>
      <c r="Q1188"/>
      <c r="W1188" s="28"/>
      <c r="AA1188"/>
    </row>
    <row r="1189" spans="1:27" x14ac:dyDescent="0.45">
      <c r="A1189" s="57">
        <v>1821</v>
      </c>
      <c r="B1189" t="s">
        <v>3535</v>
      </c>
      <c r="C1189" t="s">
        <v>3536</v>
      </c>
      <c r="D1189" s="12">
        <v>46307</v>
      </c>
      <c r="E1189" s="11">
        <v>56</v>
      </c>
      <c r="F1189" s="11" t="s">
        <v>6730</v>
      </c>
      <c r="G1189">
        <v>20180201</v>
      </c>
      <c r="I1189" s="11" t="s">
        <v>18</v>
      </c>
      <c r="J1189" s="72">
        <v>60320800</v>
      </c>
      <c r="K1189" s="99">
        <f>_xlfn.XLOOKUP(_2__ROI_Daily_Update[[#This Row],[CSM id]],SHP!F:F,SHP!EE:EE,"-")</f>
        <v>0</v>
      </c>
      <c r="L1189" s="12"/>
      <c r="N1189" s="11"/>
      <c r="P1189"/>
      <c r="Q1189"/>
      <c r="W1189" s="28"/>
      <c r="AA1189"/>
    </row>
    <row r="1190" spans="1:27" x14ac:dyDescent="0.45">
      <c r="A1190" s="57">
        <v>1411</v>
      </c>
      <c r="B1190" t="s">
        <v>2086</v>
      </c>
      <c r="C1190" t="s">
        <v>2087</v>
      </c>
      <c r="D1190" s="12">
        <v>46307</v>
      </c>
      <c r="E1190" s="11">
        <v>44</v>
      </c>
      <c r="F1190" s="11" t="s">
        <v>6557</v>
      </c>
      <c r="G1190">
        <v>20261001</v>
      </c>
      <c r="I1190" s="11" t="s">
        <v>63</v>
      </c>
      <c r="J1190" s="72">
        <v>30633751</v>
      </c>
      <c r="K1190" s="99">
        <f>_xlfn.XLOOKUP(_2__ROI_Daily_Update[[#This Row],[CSM id]],SHP!F:F,SHP!EE:EE,"-")</f>
        <v>0</v>
      </c>
      <c r="L1190" s="12"/>
      <c r="N1190" s="11"/>
      <c r="P1190"/>
      <c r="Q1190"/>
      <c r="W1190" s="28"/>
      <c r="AA1190"/>
    </row>
    <row r="1191" spans="1:27" x14ac:dyDescent="0.45">
      <c r="A1191" s="57">
        <v>922</v>
      </c>
      <c r="B1191" t="s">
        <v>712</v>
      </c>
      <c r="C1191" t="s">
        <v>713</v>
      </c>
      <c r="D1191" s="12">
        <v>46307</v>
      </c>
      <c r="E1191" s="11">
        <v>252</v>
      </c>
      <c r="F1191" s="11" t="s">
        <v>6555</v>
      </c>
      <c r="G1191">
        <v>20260101</v>
      </c>
      <c r="I1191" s="11" t="s">
        <v>18</v>
      </c>
      <c r="J1191" s="72">
        <v>20604117</v>
      </c>
      <c r="K1191" s="99">
        <f>_xlfn.XLOOKUP(_2__ROI_Daily_Update[[#This Row],[CSM id]],SHP!F:F,SHP!EE:EE,"-")</f>
        <v>0</v>
      </c>
      <c r="L1191" s="12"/>
      <c r="N1191" s="11"/>
      <c r="P1191"/>
      <c r="Q1191"/>
      <c r="W1191" s="28"/>
      <c r="AA1191"/>
    </row>
    <row r="1192" spans="1:27" x14ac:dyDescent="0.45">
      <c r="A1192" s="57">
        <v>922</v>
      </c>
      <c r="B1192" t="s">
        <v>712</v>
      </c>
      <c r="C1192" t="s">
        <v>713</v>
      </c>
      <c r="D1192" s="12">
        <v>46307</v>
      </c>
      <c r="E1192" s="11">
        <v>252</v>
      </c>
      <c r="F1192" s="11" t="s">
        <v>6554</v>
      </c>
      <c r="G1192">
        <v>20260101</v>
      </c>
      <c r="I1192" s="11" t="s">
        <v>18</v>
      </c>
      <c r="J1192" s="72">
        <v>20604117</v>
      </c>
      <c r="K1192" s="99">
        <f>_xlfn.XLOOKUP(_2__ROI_Daily_Update[[#This Row],[CSM id]],SHP!F:F,SHP!EE:EE,"-")</f>
        <v>0</v>
      </c>
      <c r="L1192" s="12"/>
      <c r="N1192" s="11"/>
      <c r="P1192"/>
      <c r="Q1192"/>
      <c r="W1192" s="28"/>
      <c r="AA1192"/>
    </row>
    <row r="1193" spans="1:27" x14ac:dyDescent="0.45">
      <c r="A1193" s="57">
        <v>1411</v>
      </c>
      <c r="B1193" t="s">
        <v>2096</v>
      </c>
      <c r="C1193" t="s">
        <v>2097</v>
      </c>
      <c r="D1193" s="12">
        <v>46307</v>
      </c>
      <c r="E1193" s="11">
        <v>36</v>
      </c>
      <c r="F1193" s="11" t="s">
        <v>6557</v>
      </c>
      <c r="G1193">
        <v>20261001</v>
      </c>
      <c r="I1193" s="11" t="s">
        <v>63</v>
      </c>
      <c r="J1193" s="72">
        <v>50650363</v>
      </c>
      <c r="K1193" s="99">
        <f>_xlfn.XLOOKUP(_2__ROI_Daily_Update[[#This Row],[CSM id]],SHP!F:F,SHP!EE:EE,"-")</f>
        <v>0</v>
      </c>
      <c r="L1193" s="12"/>
      <c r="N1193" s="11"/>
      <c r="P1193"/>
      <c r="Q1193"/>
      <c r="W1193" s="28"/>
      <c r="AA1193"/>
    </row>
    <row r="1194" spans="1:27" x14ac:dyDescent="0.45">
      <c r="A1194" s="57">
        <v>922</v>
      </c>
      <c r="B1194" t="s">
        <v>5550</v>
      </c>
      <c r="C1194" t="s">
        <v>5551</v>
      </c>
      <c r="D1194" s="12">
        <v>46307</v>
      </c>
      <c r="E1194" s="11">
        <v>14</v>
      </c>
      <c r="F1194" s="11" t="s">
        <v>6731</v>
      </c>
      <c r="G1194">
        <v>20251001</v>
      </c>
      <c r="H1194" s="12">
        <v>46478</v>
      </c>
      <c r="I1194" s="11" t="s">
        <v>18</v>
      </c>
      <c r="J1194" s="72">
        <v>10603217</v>
      </c>
      <c r="K1194" s="99">
        <f>_xlfn.XLOOKUP(_2__ROI_Daily_Update[[#This Row],[CSM id]],SHP!F:F,SHP!EE:EE,"-")</f>
        <v>0</v>
      </c>
      <c r="L1194" s="12"/>
      <c r="N1194" s="11"/>
      <c r="P1194"/>
      <c r="Q1194"/>
      <c r="W1194" s="28"/>
      <c r="AA1194"/>
    </row>
    <row r="1195" spans="1:27" x14ac:dyDescent="0.45">
      <c r="A1195" s="57">
        <v>1412</v>
      </c>
      <c r="B1195" t="s">
        <v>2110</v>
      </c>
      <c r="C1195" t="s">
        <v>2111</v>
      </c>
      <c r="D1195" s="12">
        <v>46307</v>
      </c>
      <c r="E1195" s="11">
        <v>28</v>
      </c>
      <c r="F1195" s="11" t="s">
        <v>6557</v>
      </c>
      <c r="G1195">
        <v>20250701</v>
      </c>
      <c r="I1195" s="11" t="s">
        <v>63</v>
      </c>
      <c r="J1195" s="72">
        <v>602510</v>
      </c>
      <c r="K1195" s="99">
        <f>_xlfn.XLOOKUP(_2__ROI_Daily_Update[[#This Row],[CSM id]],SHP!F:F,SHP!EE:EE,"-")</f>
        <v>0</v>
      </c>
      <c r="L1195" s="12"/>
      <c r="N1195" s="11"/>
      <c r="P1195"/>
      <c r="Q1195"/>
      <c r="W1195" s="28"/>
      <c r="AA1195"/>
    </row>
    <row r="1196" spans="1:27" x14ac:dyDescent="0.45">
      <c r="A1196" s="57">
        <v>921</v>
      </c>
      <c r="B1196" t="s">
        <v>700</v>
      </c>
      <c r="C1196" t="s">
        <v>701</v>
      </c>
      <c r="D1196" s="12">
        <v>46307</v>
      </c>
      <c r="E1196" s="11">
        <v>132</v>
      </c>
      <c r="F1196" s="11" t="s">
        <v>6730</v>
      </c>
      <c r="G1196">
        <v>20250101</v>
      </c>
      <c r="I1196" s="11" t="s">
        <v>18</v>
      </c>
      <c r="J1196" s="72">
        <v>80582080</v>
      </c>
      <c r="K1196" s="99">
        <f>_xlfn.XLOOKUP(_2__ROI_Daily_Update[[#This Row],[CSM id]],SHP!F:F,SHP!EE:EE,"-")</f>
        <v>0</v>
      </c>
      <c r="L1196" s="12"/>
      <c r="N1196" s="11"/>
      <c r="P1196"/>
      <c r="Q1196"/>
      <c r="W1196" s="28"/>
      <c r="AA1196"/>
    </row>
    <row r="1197" spans="1:27" x14ac:dyDescent="0.45">
      <c r="A1197" s="57">
        <v>1412</v>
      </c>
      <c r="B1197" t="s">
        <v>2118</v>
      </c>
      <c r="C1197" t="s">
        <v>2119</v>
      </c>
      <c r="D1197" s="12">
        <v>46307</v>
      </c>
      <c r="E1197" s="11">
        <v>120</v>
      </c>
      <c r="F1197" s="11" t="s">
        <v>6557</v>
      </c>
      <c r="G1197">
        <v>20250101</v>
      </c>
      <c r="I1197" s="11" t="s">
        <v>63</v>
      </c>
      <c r="J1197" s="72">
        <v>10587175</v>
      </c>
      <c r="K1197" s="99">
        <f>_xlfn.XLOOKUP(_2__ROI_Daily_Update[[#This Row],[CSM id]],SHP!F:F,SHP!EE:EE,"-")</f>
        <v>0</v>
      </c>
      <c r="L1197" s="12"/>
      <c r="N1197" s="11"/>
      <c r="P1197"/>
      <c r="Q1197"/>
      <c r="W1197" s="28"/>
      <c r="AA1197"/>
    </row>
    <row r="1198" spans="1:27" x14ac:dyDescent="0.45">
      <c r="A1198" s="57">
        <v>1412</v>
      </c>
      <c r="B1198" t="s">
        <v>2120</v>
      </c>
      <c r="C1198" t="s">
        <v>2121</v>
      </c>
      <c r="D1198" s="12">
        <v>46307</v>
      </c>
      <c r="E1198" s="11">
        <v>352</v>
      </c>
      <c r="F1198" s="11" t="s">
        <v>6557</v>
      </c>
      <c r="G1198">
        <v>20250701</v>
      </c>
      <c r="H1198" s="12">
        <v>46388</v>
      </c>
      <c r="I1198" s="11" t="s">
        <v>63</v>
      </c>
      <c r="J1198" s="72">
        <v>20581154</v>
      </c>
      <c r="K1198" s="99">
        <f>_xlfn.XLOOKUP(_2__ROI_Daily_Update[[#This Row],[CSM id]],SHP!F:F,SHP!EE:EE,"-")</f>
        <v>0</v>
      </c>
      <c r="L1198" s="12"/>
      <c r="N1198" s="11"/>
      <c r="P1198"/>
      <c r="Q1198"/>
      <c r="W1198" s="28"/>
      <c r="AA1198"/>
    </row>
    <row r="1199" spans="1:27" x14ac:dyDescent="0.45">
      <c r="A1199" s="57">
        <v>922</v>
      </c>
      <c r="B1199" t="s">
        <v>720</v>
      </c>
      <c r="C1199" t="s">
        <v>721</v>
      </c>
      <c r="D1199" s="12">
        <v>46307</v>
      </c>
      <c r="E1199" s="11">
        <v>144</v>
      </c>
      <c r="F1199" s="11" t="s">
        <v>6730</v>
      </c>
      <c r="G1199">
        <v>20260101</v>
      </c>
      <c r="I1199" s="11" t="s">
        <v>18</v>
      </c>
      <c r="J1199" s="72">
        <v>40604121</v>
      </c>
      <c r="K1199" s="99">
        <f>_xlfn.XLOOKUP(_2__ROI_Daily_Update[[#This Row],[CSM id]],SHP!F:F,SHP!EE:EE,"-")</f>
        <v>0</v>
      </c>
      <c r="L1199" s="12"/>
      <c r="N1199" s="11"/>
      <c r="P1199"/>
      <c r="Q1199"/>
      <c r="W1199" s="28"/>
      <c r="AA1199"/>
    </row>
    <row r="1200" spans="1:27" x14ac:dyDescent="0.45">
      <c r="A1200" s="57">
        <v>1412</v>
      </c>
      <c r="B1200" t="s">
        <v>2122</v>
      </c>
      <c r="C1200" t="s">
        <v>2123</v>
      </c>
      <c r="D1200" s="12">
        <v>46307</v>
      </c>
      <c r="E1200" s="11">
        <v>20</v>
      </c>
      <c r="F1200" s="11" t="s">
        <v>6557</v>
      </c>
      <c r="G1200">
        <v>20250701</v>
      </c>
      <c r="I1200" s="11" t="s">
        <v>63</v>
      </c>
      <c r="J1200" s="72">
        <v>20602514</v>
      </c>
      <c r="K1200" s="99">
        <f>_xlfn.XLOOKUP(_2__ROI_Daily_Update[[#This Row],[CSM id]],SHP!F:F,SHP!EE:EE,"-")</f>
        <v>0</v>
      </c>
      <c r="L1200" s="12"/>
      <c r="N1200" s="11"/>
      <c r="P1200"/>
      <c r="Q1200"/>
      <c r="W1200" s="28"/>
      <c r="AA1200"/>
    </row>
    <row r="1201" spans="1:27" x14ac:dyDescent="0.45">
      <c r="A1201" s="57">
        <v>921</v>
      </c>
      <c r="B1201" t="s">
        <v>688</v>
      </c>
      <c r="C1201" t="s">
        <v>689</v>
      </c>
      <c r="D1201" s="12">
        <v>46307</v>
      </c>
      <c r="E1201" s="11">
        <v>32</v>
      </c>
      <c r="F1201" s="11" t="s">
        <v>6554</v>
      </c>
      <c r="G1201">
        <v>20210201</v>
      </c>
      <c r="I1201" s="11" t="s">
        <v>18</v>
      </c>
      <c r="J1201" s="72">
        <v>40434143</v>
      </c>
      <c r="K1201" s="99">
        <f>_xlfn.XLOOKUP(_2__ROI_Daily_Update[[#This Row],[CSM id]],SHP!F:F,SHP!EE:EE,"-")</f>
        <v>0</v>
      </c>
      <c r="L1201" s="12"/>
      <c r="N1201" s="11"/>
      <c r="P1201"/>
      <c r="Q1201"/>
      <c r="W1201" s="28"/>
      <c r="AA1201"/>
    </row>
    <row r="1202" spans="1:27" x14ac:dyDescent="0.45">
      <c r="A1202" s="57">
        <v>921</v>
      </c>
      <c r="B1202" t="s">
        <v>684</v>
      </c>
      <c r="C1202" t="s">
        <v>685</v>
      </c>
      <c r="D1202" s="12">
        <v>46307</v>
      </c>
      <c r="E1202" s="11">
        <v>512</v>
      </c>
      <c r="F1202" s="11" t="s">
        <v>6730</v>
      </c>
      <c r="G1202">
        <v>20250101</v>
      </c>
      <c r="I1202" s="11" t="s">
        <v>18</v>
      </c>
      <c r="J1202" s="72">
        <v>30582073</v>
      </c>
      <c r="K1202" s="99">
        <f>_xlfn.XLOOKUP(_2__ROI_Daily_Update[[#This Row],[CSM id]],SHP!F:F,SHP!EE:EE,"-")</f>
        <v>0</v>
      </c>
      <c r="L1202" s="12"/>
      <c r="N1202" s="11"/>
      <c r="P1202"/>
      <c r="Q1202"/>
      <c r="W1202" s="28"/>
      <c r="AA1202"/>
    </row>
    <row r="1203" spans="1:27" x14ac:dyDescent="0.45">
      <c r="A1203" s="57">
        <v>1412</v>
      </c>
      <c r="B1203" t="s">
        <v>2142</v>
      </c>
      <c r="C1203" t="s">
        <v>2143</v>
      </c>
      <c r="D1203" s="12">
        <v>46307</v>
      </c>
      <c r="E1203" s="11">
        <v>140</v>
      </c>
      <c r="F1203" s="11" t="s">
        <v>6557</v>
      </c>
      <c r="G1203">
        <v>20260701</v>
      </c>
      <c r="I1203" s="11" t="s">
        <v>63</v>
      </c>
      <c r="J1203" s="72">
        <v>70609476</v>
      </c>
      <c r="K1203" s="99">
        <f>_xlfn.XLOOKUP(_2__ROI_Daily_Update[[#This Row],[CSM id]],SHP!F:F,SHP!EE:EE,"-")</f>
        <v>0</v>
      </c>
      <c r="L1203" s="12"/>
      <c r="N1203" s="11"/>
      <c r="P1203"/>
      <c r="Q1203"/>
      <c r="W1203" s="28"/>
      <c r="AA1203"/>
    </row>
    <row r="1204" spans="1:27" x14ac:dyDescent="0.45">
      <c r="A1204" s="57">
        <v>1431</v>
      </c>
      <c r="B1204" t="s">
        <v>2438</v>
      </c>
      <c r="C1204" t="s">
        <v>2439</v>
      </c>
      <c r="D1204" s="12">
        <v>46307</v>
      </c>
      <c r="E1204" s="11">
        <v>750</v>
      </c>
      <c r="F1204" s="11" t="s">
        <v>6557</v>
      </c>
      <c r="G1204">
        <v>20210701</v>
      </c>
      <c r="I1204" s="11" t="s">
        <v>63</v>
      </c>
      <c r="J1204" s="72">
        <v>90497213</v>
      </c>
      <c r="K1204" s="99">
        <f>_xlfn.XLOOKUP(_2__ROI_Daily_Update[[#This Row],[CSM id]],SHP!F:F,SHP!EE:EE,"-")</f>
        <v>0</v>
      </c>
      <c r="L1204" s="12"/>
      <c r="N1204" s="11"/>
      <c r="P1204"/>
      <c r="Q1204"/>
      <c r="W1204" s="28"/>
      <c r="AA1204"/>
    </row>
    <row r="1205" spans="1:27" x14ac:dyDescent="0.45">
      <c r="A1205" s="57">
        <v>1413</v>
      </c>
      <c r="B1205" t="s">
        <v>2152</v>
      </c>
      <c r="C1205" t="s">
        <v>2153</v>
      </c>
      <c r="D1205" s="12">
        <v>46307</v>
      </c>
      <c r="E1205" s="11">
        <v>6</v>
      </c>
      <c r="F1205" s="11" t="s">
        <v>6558</v>
      </c>
      <c r="G1205">
        <v>20260801</v>
      </c>
      <c r="H1205" s="12">
        <v>46388</v>
      </c>
      <c r="I1205" s="11" t="s">
        <v>63</v>
      </c>
      <c r="J1205" s="72">
        <v>632927</v>
      </c>
      <c r="K1205" s="99">
        <f>_xlfn.XLOOKUP(_2__ROI_Daily_Update[[#This Row],[CSM id]],SHP!F:F,SHP!EE:EE,"-")</f>
        <v>0</v>
      </c>
      <c r="L1205" s="12"/>
      <c r="N1205" s="11"/>
      <c r="P1205"/>
      <c r="Q1205"/>
      <c r="W1205" s="28"/>
      <c r="AA1205"/>
    </row>
    <row r="1206" spans="1:27" x14ac:dyDescent="0.45">
      <c r="A1206" s="57">
        <v>1413</v>
      </c>
      <c r="B1206" t="s">
        <v>2160</v>
      </c>
      <c r="C1206" t="s">
        <v>2161</v>
      </c>
      <c r="D1206" s="12">
        <v>46307</v>
      </c>
      <c r="E1206" s="11">
        <v>24</v>
      </c>
      <c r="F1206" s="11" t="s">
        <v>6558</v>
      </c>
      <c r="G1206">
        <v>20260801</v>
      </c>
      <c r="I1206" s="11" t="s">
        <v>63</v>
      </c>
      <c r="J1206" s="72">
        <v>30631945</v>
      </c>
      <c r="K1206" s="99">
        <f>_xlfn.XLOOKUP(_2__ROI_Daily_Update[[#This Row],[CSM id]],SHP!F:F,SHP!EE:EE,"-")</f>
        <v>0</v>
      </c>
      <c r="L1206" s="12"/>
      <c r="N1206" s="11"/>
      <c r="P1206"/>
      <c r="Q1206"/>
      <c r="W1206" s="28"/>
      <c r="AA1206"/>
    </row>
    <row r="1207" spans="1:27" x14ac:dyDescent="0.45">
      <c r="A1207" s="57">
        <v>1413</v>
      </c>
      <c r="B1207" t="s">
        <v>2162</v>
      </c>
      <c r="C1207" t="s">
        <v>2163</v>
      </c>
      <c r="D1207" s="12">
        <v>46307</v>
      </c>
      <c r="E1207" s="11">
        <v>24</v>
      </c>
      <c r="F1207" s="11" t="s">
        <v>6557</v>
      </c>
      <c r="G1207">
        <v>20141201</v>
      </c>
      <c r="I1207" s="11" t="s">
        <v>63</v>
      </c>
      <c r="J1207" s="72">
        <v>40133989</v>
      </c>
      <c r="K1207" s="99">
        <f>_xlfn.XLOOKUP(_2__ROI_Daily_Update[[#This Row],[CSM id]],SHP!F:F,SHP!EE:EE,"-")</f>
        <v>0</v>
      </c>
      <c r="L1207" s="12"/>
      <c r="N1207" s="11"/>
      <c r="P1207"/>
      <c r="Q1207"/>
      <c r="W1207" s="28"/>
      <c r="AA1207"/>
    </row>
    <row r="1208" spans="1:27" x14ac:dyDescent="0.45">
      <c r="A1208" s="57">
        <v>822</v>
      </c>
      <c r="B1208" t="s">
        <v>5166</v>
      </c>
      <c r="C1208" t="s">
        <v>5167</v>
      </c>
      <c r="D1208" s="12">
        <v>46307</v>
      </c>
      <c r="E1208" s="11">
        <v>42</v>
      </c>
      <c r="F1208" s="11" t="s">
        <v>6555</v>
      </c>
      <c r="G1208">
        <v>20261001</v>
      </c>
      <c r="I1208" s="11" t="s">
        <v>18</v>
      </c>
      <c r="J1208" s="72">
        <v>80652520</v>
      </c>
      <c r="K1208" s="99">
        <f>_xlfn.XLOOKUP(_2__ROI_Daily_Update[[#This Row],[CSM id]],SHP!F:F,SHP!EE:EE,"-")</f>
        <v>0</v>
      </c>
      <c r="L1208" s="12"/>
      <c r="N1208" s="11"/>
      <c r="P1208"/>
      <c r="Q1208"/>
      <c r="W1208" s="28"/>
      <c r="AA1208"/>
    </row>
    <row r="1209" spans="1:27" x14ac:dyDescent="0.45">
      <c r="A1209" s="57">
        <v>1414</v>
      </c>
      <c r="B1209" t="s">
        <v>2174</v>
      </c>
      <c r="C1209" t="s">
        <v>2175</v>
      </c>
      <c r="D1209" s="12">
        <v>46307</v>
      </c>
      <c r="E1209" s="11">
        <v>38</v>
      </c>
      <c r="F1209" s="11" t="s">
        <v>6557</v>
      </c>
      <c r="G1209">
        <v>20260801</v>
      </c>
      <c r="H1209" s="12">
        <v>46388</v>
      </c>
      <c r="I1209" s="11" t="s">
        <v>63</v>
      </c>
      <c r="J1209" s="72">
        <v>20632323</v>
      </c>
      <c r="K1209" s="99">
        <f>_xlfn.XLOOKUP(_2__ROI_Daily_Update[[#This Row],[CSM id]],SHP!F:F,SHP!EE:EE,"-")</f>
        <v>0</v>
      </c>
      <c r="L1209" s="12"/>
      <c r="N1209" s="11"/>
      <c r="P1209"/>
      <c r="Q1209"/>
      <c r="W1209" s="28"/>
      <c r="AA1209"/>
    </row>
    <row r="1210" spans="1:27" x14ac:dyDescent="0.45">
      <c r="A1210" s="57">
        <v>1414</v>
      </c>
      <c r="B1210" t="s">
        <v>5226</v>
      </c>
      <c r="C1210" t="s">
        <v>5227</v>
      </c>
      <c r="D1210" s="12">
        <v>46307</v>
      </c>
      <c r="E1210" s="11">
        <v>420</v>
      </c>
      <c r="F1210" s="11" t="s">
        <v>6557</v>
      </c>
      <c r="G1210">
        <v>20161001</v>
      </c>
      <c r="I1210" s="11" t="s">
        <v>63</v>
      </c>
      <c r="J1210" s="72">
        <v>30323305</v>
      </c>
      <c r="K1210" s="99">
        <f>_xlfn.XLOOKUP(_2__ROI_Daily_Update[[#This Row],[CSM id]],SHP!F:F,SHP!EE:EE,"-")</f>
        <v>0</v>
      </c>
      <c r="L1210" s="12"/>
      <c r="N1210" s="11"/>
      <c r="P1210"/>
      <c r="Q1210"/>
      <c r="W1210" s="28"/>
      <c r="AA1210"/>
    </row>
    <row r="1211" spans="1:27" x14ac:dyDescent="0.45">
      <c r="A1211" s="57">
        <v>1821</v>
      </c>
      <c r="B1211" t="s">
        <v>3504</v>
      </c>
      <c r="C1211" t="s">
        <v>3505</v>
      </c>
      <c r="D1211" s="12">
        <v>46307</v>
      </c>
      <c r="E1211" s="11">
        <v>128</v>
      </c>
      <c r="F1211" s="11" t="s">
        <v>6554</v>
      </c>
      <c r="G1211">
        <v>20220401</v>
      </c>
      <c r="I1211" s="11" t="s">
        <v>18</v>
      </c>
      <c r="J1211" s="72">
        <v>10517762</v>
      </c>
      <c r="K1211" s="99">
        <f>_xlfn.XLOOKUP(_2__ROI_Daily_Update[[#This Row],[CSM id]],SHP!F:F,SHP!EE:EE,"-")</f>
        <v>0</v>
      </c>
      <c r="L1211" s="12"/>
      <c r="N1211" s="11"/>
      <c r="P1211"/>
      <c r="Q1211"/>
      <c r="W1211" s="28"/>
      <c r="AA1211"/>
    </row>
    <row r="1212" spans="1:27" x14ac:dyDescent="0.45">
      <c r="A1212" s="57">
        <v>1414</v>
      </c>
      <c r="B1212" t="s">
        <v>2180</v>
      </c>
      <c r="C1212" t="s">
        <v>2181</v>
      </c>
      <c r="D1212" s="12">
        <v>46307</v>
      </c>
      <c r="E1212" s="11">
        <v>72</v>
      </c>
      <c r="F1212" s="11" t="s">
        <v>6557</v>
      </c>
      <c r="G1212">
        <v>20141201</v>
      </c>
      <c r="I1212" s="11" t="s">
        <v>63</v>
      </c>
      <c r="J1212" s="72">
        <v>50174516</v>
      </c>
      <c r="K1212" s="99">
        <f>_xlfn.XLOOKUP(_2__ROI_Daily_Update[[#This Row],[CSM id]],SHP!F:F,SHP!EE:EE,"-")</f>
        <v>0</v>
      </c>
      <c r="L1212" s="12"/>
      <c r="N1212" s="11"/>
      <c r="P1212"/>
      <c r="Q1212"/>
      <c r="W1212" s="28"/>
      <c r="AA1212"/>
    </row>
    <row r="1213" spans="1:27" x14ac:dyDescent="0.45">
      <c r="A1213" s="57">
        <v>1821</v>
      </c>
      <c r="B1213" t="s">
        <v>3527</v>
      </c>
      <c r="C1213" t="s">
        <v>3528</v>
      </c>
      <c r="D1213" s="12">
        <v>46307</v>
      </c>
      <c r="E1213" s="11">
        <v>200</v>
      </c>
      <c r="F1213" s="11" t="s">
        <v>6554</v>
      </c>
      <c r="G1213">
        <v>20180201</v>
      </c>
      <c r="I1213" s="11" t="s">
        <v>18</v>
      </c>
      <c r="J1213" s="72">
        <v>40320797</v>
      </c>
      <c r="K1213" s="99">
        <f>_xlfn.XLOOKUP(_2__ROI_Daily_Update[[#This Row],[CSM id]],SHP!F:F,SHP!EE:EE,"-")</f>
        <v>0</v>
      </c>
      <c r="L1213" s="12"/>
      <c r="N1213" s="11"/>
      <c r="P1213"/>
      <c r="Q1213"/>
      <c r="W1213" s="28"/>
      <c r="AA1213"/>
    </row>
    <row r="1214" spans="1:27" x14ac:dyDescent="0.45">
      <c r="A1214" s="57">
        <v>1414</v>
      </c>
      <c r="B1214" t="s">
        <v>2182</v>
      </c>
      <c r="C1214" t="s">
        <v>2183</v>
      </c>
      <c r="D1214" s="12">
        <v>46307</v>
      </c>
      <c r="E1214" s="11">
        <v>24</v>
      </c>
      <c r="F1214" s="11" t="s">
        <v>6557</v>
      </c>
      <c r="G1214">
        <v>20160401</v>
      </c>
      <c r="I1214" s="11" t="s">
        <v>63</v>
      </c>
      <c r="J1214" s="72">
        <v>50289249</v>
      </c>
      <c r="K1214" s="99">
        <f>_xlfn.XLOOKUP(_2__ROI_Daily_Update[[#This Row],[CSM id]],SHP!F:F,SHP!EE:EE,"-")</f>
        <v>0</v>
      </c>
      <c r="L1214" s="12"/>
      <c r="N1214" s="11"/>
      <c r="P1214"/>
      <c r="Q1214"/>
      <c r="W1214" s="28"/>
      <c r="AA1214"/>
    </row>
    <row r="1215" spans="1:27" x14ac:dyDescent="0.45">
      <c r="A1215" s="57">
        <v>922</v>
      </c>
      <c r="B1215" t="s">
        <v>733</v>
      </c>
      <c r="C1215" t="s">
        <v>734</v>
      </c>
      <c r="D1215" s="12">
        <v>46307</v>
      </c>
      <c r="E1215" s="11">
        <v>714</v>
      </c>
      <c r="F1215" s="11" t="s">
        <v>6730</v>
      </c>
      <c r="G1215">
        <v>20260101</v>
      </c>
      <c r="I1215" s="11" t="s">
        <v>18</v>
      </c>
      <c r="J1215" s="72">
        <v>80604119</v>
      </c>
      <c r="K1215" s="99">
        <f>_xlfn.XLOOKUP(_2__ROI_Daily_Update[[#This Row],[CSM id]],SHP!F:F,SHP!EE:EE,"-")</f>
        <v>0</v>
      </c>
      <c r="L1215" s="12"/>
      <c r="N1215" s="11"/>
      <c r="P1215"/>
      <c r="Q1215"/>
      <c r="W1215" s="28"/>
      <c r="AA1215"/>
    </row>
    <row r="1216" spans="1:27" x14ac:dyDescent="0.45">
      <c r="A1216" s="57">
        <v>922</v>
      </c>
      <c r="B1216" t="s">
        <v>739</v>
      </c>
      <c r="C1216" t="s">
        <v>740</v>
      </c>
      <c r="D1216" s="12">
        <v>46307</v>
      </c>
      <c r="E1216" s="11">
        <v>192</v>
      </c>
      <c r="F1216" s="11" t="s">
        <v>6554</v>
      </c>
      <c r="G1216">
        <v>20231001</v>
      </c>
      <c r="I1216" s="11" t="s">
        <v>18</v>
      </c>
      <c r="J1216" s="72">
        <v>90560624</v>
      </c>
      <c r="K1216" s="99">
        <f>_xlfn.XLOOKUP(_2__ROI_Daily_Update[[#This Row],[CSM id]],SHP!F:F,SHP!EE:EE,"-")</f>
        <v>0</v>
      </c>
      <c r="L1216" s="12"/>
      <c r="N1216" s="11"/>
      <c r="P1216"/>
      <c r="Q1216"/>
      <c r="W1216" s="28"/>
      <c r="AA1216"/>
    </row>
    <row r="1217" spans="1:27" x14ac:dyDescent="0.45">
      <c r="A1217" s="57">
        <v>1122</v>
      </c>
      <c r="B1217" t="s">
        <v>1627</v>
      </c>
      <c r="C1217" t="s">
        <v>1628</v>
      </c>
      <c r="D1217" s="12">
        <v>46307</v>
      </c>
      <c r="E1217" s="11">
        <v>20</v>
      </c>
      <c r="F1217" s="11" t="s">
        <v>6555</v>
      </c>
      <c r="G1217">
        <v>20220101</v>
      </c>
      <c r="H1217" s="12">
        <v>46478</v>
      </c>
      <c r="I1217" s="11" t="s">
        <v>32</v>
      </c>
      <c r="J1217" s="72">
        <v>80513218</v>
      </c>
      <c r="K1217" s="99">
        <f>_xlfn.XLOOKUP(_2__ROI_Daily_Update[[#This Row],[CSM id]],SHP!F:F,SHP!EE:EE,"-")</f>
        <v>0</v>
      </c>
      <c r="L1217" s="12"/>
      <c r="N1217" s="11"/>
      <c r="P1217"/>
      <c r="Q1217"/>
      <c r="W1217" s="28"/>
      <c r="AA1217"/>
    </row>
    <row r="1218" spans="1:27" x14ac:dyDescent="0.45">
      <c r="A1218" s="57">
        <v>1122</v>
      </c>
      <c r="B1218" t="s">
        <v>1627</v>
      </c>
      <c r="C1218" t="s">
        <v>1628</v>
      </c>
      <c r="D1218" s="12">
        <v>46307</v>
      </c>
      <c r="E1218" s="11">
        <v>20</v>
      </c>
      <c r="F1218" s="11" t="s">
        <v>6730</v>
      </c>
      <c r="G1218">
        <v>20220101</v>
      </c>
      <c r="H1218" s="12">
        <v>46478</v>
      </c>
      <c r="I1218" s="11" t="s">
        <v>32</v>
      </c>
      <c r="J1218" s="72">
        <v>80513218</v>
      </c>
      <c r="K1218" s="99">
        <f>_xlfn.XLOOKUP(_2__ROI_Daily_Update[[#This Row],[CSM id]],SHP!F:F,SHP!EE:EE,"-")</f>
        <v>0</v>
      </c>
      <c r="L1218" s="12"/>
      <c r="N1218" s="11"/>
      <c r="P1218"/>
      <c r="Q1218"/>
      <c r="W1218" s="28"/>
      <c r="AA1218"/>
    </row>
    <row r="1219" spans="1:27" x14ac:dyDescent="0.45">
      <c r="A1219" s="57">
        <v>1123</v>
      </c>
      <c r="B1219" t="s">
        <v>1633</v>
      </c>
      <c r="C1219" t="s">
        <v>1634</v>
      </c>
      <c r="D1219" s="12">
        <v>46307</v>
      </c>
      <c r="E1219" s="11">
        <v>20</v>
      </c>
      <c r="F1219" s="11" t="s">
        <v>6730</v>
      </c>
      <c r="G1219">
        <v>20241001</v>
      </c>
      <c r="I1219" s="11" t="s">
        <v>18</v>
      </c>
      <c r="J1219" s="72">
        <v>40543613</v>
      </c>
      <c r="K1219" s="99">
        <f>_xlfn.XLOOKUP(_2__ROI_Daily_Update[[#This Row],[CSM id]],SHP!F:F,SHP!EE:EE,"-")</f>
        <v>0</v>
      </c>
      <c r="L1219" s="12"/>
      <c r="N1219" s="11"/>
      <c r="P1219"/>
      <c r="Q1219"/>
      <c r="W1219" s="28"/>
      <c r="AA1219"/>
    </row>
    <row r="1220" spans="1:27" x14ac:dyDescent="0.45">
      <c r="A1220" s="57">
        <v>972</v>
      </c>
      <c r="B1220" t="s">
        <v>859</v>
      </c>
      <c r="C1220" t="s">
        <v>860</v>
      </c>
      <c r="D1220" s="12">
        <v>46307</v>
      </c>
      <c r="E1220" s="11">
        <v>90</v>
      </c>
      <c r="F1220" s="11" t="s">
        <v>6555</v>
      </c>
      <c r="G1220">
        <v>20171001</v>
      </c>
      <c r="I1220" s="11" t="s">
        <v>32</v>
      </c>
      <c r="J1220" s="72">
        <v>330067</v>
      </c>
      <c r="K1220" s="99">
        <f>_xlfn.XLOOKUP(_2__ROI_Daily_Update[[#This Row],[CSM id]],SHP!F:F,SHP!EE:EE,"-")</f>
        <v>0</v>
      </c>
      <c r="L1220" s="12"/>
      <c r="N1220" s="11"/>
      <c r="P1220"/>
      <c r="Q1220"/>
      <c r="W1220" s="28"/>
      <c r="AA1220"/>
    </row>
    <row r="1221" spans="1:27" x14ac:dyDescent="0.45">
      <c r="A1221" s="57">
        <v>1132</v>
      </c>
      <c r="B1221" t="s">
        <v>1685</v>
      </c>
      <c r="C1221" t="s">
        <v>1686</v>
      </c>
      <c r="D1221" s="12">
        <v>46307</v>
      </c>
      <c r="E1221" s="11">
        <v>344</v>
      </c>
      <c r="F1221" s="11" t="s">
        <v>6730</v>
      </c>
      <c r="G1221">
        <v>20250701</v>
      </c>
      <c r="I1221" s="11" t="s">
        <v>18</v>
      </c>
      <c r="J1221" s="72">
        <v>30610269</v>
      </c>
      <c r="K1221" s="99">
        <f>_xlfn.XLOOKUP(_2__ROI_Daily_Update[[#This Row],[CSM id]],SHP!F:F,SHP!EE:EE,"-")</f>
        <v>0</v>
      </c>
      <c r="L1221" s="12"/>
      <c r="N1221" s="11"/>
      <c r="P1221"/>
      <c r="Q1221"/>
      <c r="W1221" s="28"/>
      <c r="AA1221"/>
    </row>
    <row r="1222" spans="1:27" x14ac:dyDescent="0.45">
      <c r="A1222" s="57">
        <v>1833</v>
      </c>
      <c r="B1222" t="s">
        <v>3628</v>
      </c>
      <c r="C1222" t="s">
        <v>3629</v>
      </c>
      <c r="D1222" s="12">
        <v>46307</v>
      </c>
      <c r="E1222" s="11">
        <v>120</v>
      </c>
      <c r="F1222" s="11" t="s">
        <v>6730</v>
      </c>
      <c r="G1222">
        <v>20240101</v>
      </c>
      <c r="I1222" s="11" t="s">
        <v>18</v>
      </c>
      <c r="J1222" s="72">
        <v>567724</v>
      </c>
      <c r="K1222" s="99">
        <f>_xlfn.XLOOKUP(_2__ROI_Daily_Update[[#This Row],[CSM id]],SHP!F:F,SHP!EE:EE,"-")</f>
        <v>0</v>
      </c>
      <c r="L1222" s="12"/>
      <c r="N1222" s="11"/>
      <c r="P1222"/>
      <c r="Q1222"/>
      <c r="W1222" s="28"/>
      <c r="AA1222"/>
    </row>
    <row r="1223" spans="1:27" x14ac:dyDescent="0.45">
      <c r="A1223" s="57">
        <v>971</v>
      </c>
      <c r="B1223" t="s">
        <v>814</v>
      </c>
      <c r="C1223" t="s">
        <v>815</v>
      </c>
      <c r="D1223" s="12">
        <v>46307</v>
      </c>
      <c r="E1223" s="11">
        <v>36</v>
      </c>
      <c r="F1223" s="11" t="s">
        <v>6556</v>
      </c>
      <c r="G1223">
        <v>20261001</v>
      </c>
      <c r="I1223" s="11" t="s">
        <v>18</v>
      </c>
      <c r="J1223" s="72">
        <v>603048</v>
      </c>
      <c r="K1223" s="99">
        <f>_xlfn.XLOOKUP(_2__ROI_Daily_Update[[#This Row],[CSM id]],SHP!F:F,SHP!EE:EE,"-")</f>
        <v>0</v>
      </c>
      <c r="L1223" s="12"/>
      <c r="N1223" s="11"/>
      <c r="P1223"/>
      <c r="Q1223"/>
      <c r="W1223" s="28"/>
      <c r="AA1223"/>
    </row>
    <row r="1224" spans="1:27" x14ac:dyDescent="0.45">
      <c r="A1224" s="57">
        <v>967</v>
      </c>
      <c r="B1224" t="s">
        <v>808</v>
      </c>
      <c r="C1224" t="s">
        <v>809</v>
      </c>
      <c r="D1224" s="12">
        <v>46307</v>
      </c>
      <c r="E1224" s="11">
        <v>320</v>
      </c>
      <c r="F1224" s="11" t="s">
        <v>6556</v>
      </c>
      <c r="G1224">
        <v>20250401</v>
      </c>
      <c r="I1224" s="11" t="s">
        <v>18</v>
      </c>
      <c r="J1224" s="72">
        <v>90591319</v>
      </c>
      <c r="K1224" s="99">
        <f>_xlfn.XLOOKUP(_2__ROI_Daily_Update[[#This Row],[CSM id]],SHP!F:F,SHP!EE:EE,"-")</f>
        <v>0</v>
      </c>
      <c r="L1224" s="12"/>
      <c r="N1224" s="11"/>
      <c r="P1224"/>
      <c r="Q1224"/>
      <c r="W1224" s="28"/>
      <c r="AA1224"/>
    </row>
    <row r="1225" spans="1:27" x14ac:dyDescent="0.45">
      <c r="A1225" s="57">
        <v>967</v>
      </c>
      <c r="B1225" t="s">
        <v>802</v>
      </c>
      <c r="C1225" t="s">
        <v>803</v>
      </c>
      <c r="D1225" s="12">
        <v>46307</v>
      </c>
      <c r="E1225" s="11">
        <v>126</v>
      </c>
      <c r="F1225" s="11" t="s">
        <v>6556</v>
      </c>
      <c r="G1225">
        <v>20250401</v>
      </c>
      <c r="I1225" s="11" t="s">
        <v>18</v>
      </c>
      <c r="J1225" s="72">
        <v>60591580</v>
      </c>
      <c r="K1225" s="99">
        <f>_xlfn.XLOOKUP(_2__ROI_Daily_Update[[#This Row],[CSM id]],SHP!F:F,SHP!EE:EE,"-")</f>
        <v>0</v>
      </c>
      <c r="L1225" s="12"/>
      <c r="N1225" s="11"/>
      <c r="P1225"/>
      <c r="Q1225"/>
      <c r="W1225" s="28"/>
      <c r="AA1225"/>
    </row>
    <row r="1226" spans="1:27" x14ac:dyDescent="0.45">
      <c r="A1226" s="57">
        <v>1214</v>
      </c>
      <c r="B1226" t="s">
        <v>1823</v>
      </c>
      <c r="C1226" t="s">
        <v>1824</v>
      </c>
      <c r="D1226" s="12">
        <v>46307</v>
      </c>
      <c r="E1226" s="11">
        <v>2304</v>
      </c>
      <c r="F1226" s="11" t="s">
        <v>6555</v>
      </c>
      <c r="G1226">
        <v>20140801</v>
      </c>
      <c r="H1226" s="12">
        <v>46478</v>
      </c>
      <c r="I1226" s="11" t="s">
        <v>32</v>
      </c>
      <c r="J1226" s="72">
        <v>70219892</v>
      </c>
      <c r="K1226" s="99">
        <f>_xlfn.XLOOKUP(_2__ROI_Daily_Update[[#This Row],[CSM id]],SHP!F:F,SHP!EE:EE,"-")</f>
        <v>0</v>
      </c>
      <c r="L1226" s="12"/>
      <c r="N1226" s="11"/>
      <c r="P1226"/>
      <c r="Q1226"/>
      <c r="W1226" s="28"/>
      <c r="AA1226"/>
    </row>
    <row r="1227" spans="1:27" x14ac:dyDescent="0.45">
      <c r="A1227" s="57">
        <v>966</v>
      </c>
      <c r="B1227" t="s">
        <v>783</v>
      </c>
      <c r="C1227" t="s">
        <v>784</v>
      </c>
      <c r="D1227" s="12">
        <v>46307</v>
      </c>
      <c r="E1227" s="11">
        <v>32</v>
      </c>
      <c r="F1227" s="11" t="s">
        <v>6554</v>
      </c>
      <c r="G1227">
        <v>20260701</v>
      </c>
      <c r="I1227" s="11" t="s">
        <v>18</v>
      </c>
      <c r="J1227" s="72">
        <v>20625110</v>
      </c>
      <c r="K1227" s="99">
        <f>_xlfn.XLOOKUP(_2__ROI_Daily_Update[[#This Row],[CSM id]],SHP!F:F,SHP!EE:EE,"-")</f>
        <v>0</v>
      </c>
      <c r="L1227" s="12"/>
      <c r="N1227" s="11"/>
      <c r="P1227"/>
      <c r="Q1227"/>
      <c r="W1227" s="28"/>
      <c r="AA1227"/>
    </row>
    <row r="1228" spans="1:27" x14ac:dyDescent="0.45">
      <c r="A1228" s="57">
        <v>1231</v>
      </c>
      <c r="B1228" t="s">
        <v>1869</v>
      </c>
      <c r="C1228" t="s">
        <v>1870</v>
      </c>
      <c r="D1228" s="12">
        <v>46307</v>
      </c>
      <c r="E1228" s="11">
        <v>120</v>
      </c>
      <c r="F1228" s="11" t="s">
        <v>6554</v>
      </c>
      <c r="G1228">
        <v>20230401</v>
      </c>
      <c r="I1228" s="11" t="s">
        <v>18</v>
      </c>
      <c r="J1228" s="72">
        <v>30550703</v>
      </c>
      <c r="K1228" s="99">
        <f>_xlfn.XLOOKUP(_2__ROI_Daily_Update[[#This Row],[CSM id]],SHP!F:F,SHP!EE:EE,"-")</f>
        <v>0</v>
      </c>
      <c r="L1228" s="12"/>
      <c r="N1228" s="11"/>
      <c r="P1228"/>
      <c r="Q1228"/>
      <c r="W1228" s="28"/>
      <c r="AA1228"/>
    </row>
    <row r="1229" spans="1:27" x14ac:dyDescent="0.45">
      <c r="A1229" s="57">
        <v>1233</v>
      </c>
      <c r="B1229" t="s">
        <v>1996</v>
      </c>
      <c r="C1229" t="s">
        <v>1997</v>
      </c>
      <c r="D1229" s="12">
        <v>46307</v>
      </c>
      <c r="E1229" s="11">
        <v>240</v>
      </c>
      <c r="F1229" s="11" t="s">
        <v>6555</v>
      </c>
      <c r="G1229">
        <v>20261001</v>
      </c>
      <c r="I1229" s="11" t="s">
        <v>18</v>
      </c>
      <c r="J1229" s="72">
        <v>50636249</v>
      </c>
      <c r="K1229" s="99">
        <f>_xlfn.XLOOKUP(_2__ROI_Daily_Update[[#This Row],[CSM id]],SHP!F:F,SHP!EE:EE,"-")</f>
        <v>0</v>
      </c>
      <c r="L1229" s="12"/>
      <c r="N1229" s="11"/>
      <c r="P1229"/>
      <c r="Q1229"/>
      <c r="W1229" s="28"/>
      <c r="AA1229"/>
    </row>
    <row r="1230" spans="1:27" x14ac:dyDescent="0.45">
      <c r="A1230" s="57">
        <v>1231</v>
      </c>
      <c r="B1230" t="s">
        <v>1909</v>
      </c>
      <c r="C1230" t="s">
        <v>1910</v>
      </c>
      <c r="D1230" s="12">
        <v>46307</v>
      </c>
      <c r="E1230" s="11">
        <v>136</v>
      </c>
      <c r="F1230" s="11" t="s">
        <v>6555</v>
      </c>
      <c r="G1230">
        <v>20180801</v>
      </c>
      <c r="I1230" s="11" t="s">
        <v>18</v>
      </c>
      <c r="J1230" s="72">
        <v>70372775</v>
      </c>
      <c r="K1230" s="99">
        <f>_xlfn.XLOOKUP(_2__ROI_Daily_Update[[#This Row],[CSM id]],SHP!F:F,SHP!EE:EE,"-")</f>
        <v>0</v>
      </c>
      <c r="L1230" s="12"/>
      <c r="N1230" s="11"/>
      <c r="P1230"/>
      <c r="Q1230"/>
      <c r="W1230" s="28"/>
      <c r="AA1230"/>
    </row>
    <row r="1231" spans="1:27" x14ac:dyDescent="0.45">
      <c r="A1231" s="57">
        <v>965</v>
      </c>
      <c r="B1231" t="s">
        <v>765</v>
      </c>
      <c r="C1231" t="s">
        <v>766</v>
      </c>
      <c r="D1231" s="12">
        <v>46307</v>
      </c>
      <c r="E1231" s="11">
        <v>18</v>
      </c>
      <c r="F1231" s="11" t="s">
        <v>6555</v>
      </c>
      <c r="G1231">
        <v>20240101</v>
      </c>
      <c r="I1231" s="11" t="s">
        <v>32</v>
      </c>
      <c r="J1231" s="72">
        <v>30569514</v>
      </c>
      <c r="K1231" s="99">
        <f>_xlfn.XLOOKUP(_2__ROI_Daily_Update[[#This Row],[CSM id]],SHP!F:F,SHP!EE:EE,"-")</f>
        <v>0</v>
      </c>
      <c r="L1231" s="12"/>
      <c r="N1231" s="11"/>
      <c r="P1231"/>
      <c r="Q1231"/>
      <c r="W1231" s="28"/>
      <c r="AA1231"/>
    </row>
    <row r="1232" spans="1:27" x14ac:dyDescent="0.45">
      <c r="A1232" s="57">
        <v>1231</v>
      </c>
      <c r="B1232" t="s">
        <v>1913</v>
      </c>
      <c r="C1232" t="s">
        <v>1914</v>
      </c>
      <c r="D1232" s="12">
        <v>46307</v>
      </c>
      <c r="E1232" s="11">
        <v>30</v>
      </c>
      <c r="F1232" s="11" t="s">
        <v>6730</v>
      </c>
      <c r="G1232">
        <v>20230401</v>
      </c>
      <c r="I1232" s="11" t="s">
        <v>18</v>
      </c>
      <c r="J1232" s="72">
        <v>70550697</v>
      </c>
      <c r="K1232" s="99">
        <f>_xlfn.XLOOKUP(_2__ROI_Daily_Update[[#This Row],[CSM id]],SHP!F:F,SHP!EE:EE,"-")</f>
        <v>0</v>
      </c>
      <c r="L1232" s="12"/>
      <c r="N1232" s="11"/>
      <c r="P1232"/>
      <c r="Q1232"/>
      <c r="W1232" s="28"/>
      <c r="AA1232"/>
    </row>
    <row r="1233" spans="1:27" x14ac:dyDescent="0.45">
      <c r="A1233" s="57">
        <v>1232</v>
      </c>
      <c r="B1233" t="s">
        <v>1957</v>
      </c>
      <c r="C1233" t="s">
        <v>1958</v>
      </c>
      <c r="D1233" s="12">
        <v>46307</v>
      </c>
      <c r="E1233" s="11">
        <v>144</v>
      </c>
      <c r="F1233" s="11" t="s">
        <v>6554</v>
      </c>
      <c r="G1233">
        <v>20230101</v>
      </c>
      <c r="H1233" s="12">
        <v>46569</v>
      </c>
      <c r="I1233" s="11" t="s">
        <v>18</v>
      </c>
      <c r="J1233" s="72">
        <v>529096</v>
      </c>
      <c r="K1233" s="99">
        <f>_xlfn.XLOOKUP(_2__ROI_Daily_Update[[#This Row],[CSM id]],SHP!F:F,SHP!EE:EE,"-")</f>
        <v>0</v>
      </c>
      <c r="L1233" s="12"/>
      <c r="N1233" s="11"/>
      <c r="P1233"/>
      <c r="Q1233"/>
      <c r="W1233" s="28"/>
      <c r="AA1233"/>
    </row>
    <row r="1234" spans="1:27" x14ac:dyDescent="0.45">
      <c r="A1234" s="57">
        <v>1232</v>
      </c>
      <c r="B1234" t="s">
        <v>1965</v>
      </c>
      <c r="C1234" t="s">
        <v>1966</v>
      </c>
      <c r="D1234" s="12">
        <v>46307</v>
      </c>
      <c r="E1234" s="11">
        <v>40</v>
      </c>
      <c r="F1234" s="11" t="s">
        <v>6555</v>
      </c>
      <c r="G1234">
        <v>20230401</v>
      </c>
      <c r="I1234" s="11" t="s">
        <v>18</v>
      </c>
      <c r="J1234" s="72">
        <v>50549544</v>
      </c>
      <c r="K1234" s="99">
        <f>_xlfn.XLOOKUP(_2__ROI_Daily_Update[[#This Row],[CSM id]],SHP!F:F,SHP!EE:EE,"-")</f>
        <v>0</v>
      </c>
      <c r="L1234" s="12"/>
      <c r="N1234" s="11"/>
      <c r="P1234"/>
      <c r="Q1234"/>
      <c r="W1234" s="28"/>
      <c r="AA1234"/>
    </row>
    <row r="1235" spans="1:27" x14ac:dyDescent="0.45">
      <c r="A1235" s="57">
        <v>1232</v>
      </c>
      <c r="B1235" t="s">
        <v>1969</v>
      </c>
      <c r="C1235" t="s">
        <v>1970</v>
      </c>
      <c r="D1235" s="12">
        <v>46307</v>
      </c>
      <c r="E1235" s="11">
        <v>48</v>
      </c>
      <c r="F1235" s="11" t="s">
        <v>6554</v>
      </c>
      <c r="G1235">
        <v>20261001</v>
      </c>
      <c r="I1235" s="11" t="s">
        <v>18</v>
      </c>
      <c r="J1235" s="72">
        <v>50630426</v>
      </c>
      <c r="K1235" s="99">
        <f>_xlfn.XLOOKUP(_2__ROI_Daily_Update[[#This Row],[CSM id]],SHP!F:F,SHP!EE:EE,"-")</f>
        <v>0</v>
      </c>
      <c r="L1235" s="12"/>
      <c r="N1235" s="11"/>
      <c r="P1235"/>
      <c r="Q1235"/>
      <c r="W1235" s="28"/>
      <c r="AA1235"/>
    </row>
    <row r="1236" spans="1:27" x14ac:dyDescent="0.45">
      <c r="A1236" s="57">
        <v>1232</v>
      </c>
      <c r="B1236" t="s">
        <v>1975</v>
      </c>
      <c r="C1236" t="s">
        <v>1976</v>
      </c>
      <c r="D1236" s="12">
        <v>46307</v>
      </c>
      <c r="E1236" s="11">
        <v>180</v>
      </c>
      <c r="F1236" s="11" t="s">
        <v>6554</v>
      </c>
      <c r="G1236">
        <v>20160801</v>
      </c>
      <c r="I1236" s="11" t="s">
        <v>18</v>
      </c>
      <c r="J1236" s="72">
        <v>70304890</v>
      </c>
      <c r="K1236" s="99">
        <f>_xlfn.XLOOKUP(_2__ROI_Daily_Update[[#This Row],[CSM id]],SHP!F:F,SHP!EE:EE,"-")</f>
        <v>0</v>
      </c>
      <c r="L1236" s="12"/>
      <c r="N1236" s="11"/>
      <c r="P1236"/>
      <c r="Q1236"/>
      <c r="W1236" s="28"/>
      <c r="AA1236"/>
    </row>
    <row r="1237" spans="1:27" x14ac:dyDescent="0.45">
      <c r="A1237" s="57">
        <v>1233</v>
      </c>
      <c r="B1237" t="s">
        <v>1982</v>
      </c>
      <c r="C1237" t="s">
        <v>1983</v>
      </c>
      <c r="D1237" s="12">
        <v>46307</v>
      </c>
      <c r="E1237" s="11">
        <v>96</v>
      </c>
      <c r="F1237" s="11" t="s">
        <v>6555</v>
      </c>
      <c r="G1237">
        <v>20230701</v>
      </c>
      <c r="I1237" s="11" t="s">
        <v>18</v>
      </c>
      <c r="J1237" s="72">
        <v>560204</v>
      </c>
      <c r="K1237" s="99">
        <f>_xlfn.XLOOKUP(_2__ROI_Daily_Update[[#This Row],[CSM id]],SHP!F:F,SHP!EE:EE,"-")</f>
        <v>0</v>
      </c>
      <c r="L1237" s="12"/>
      <c r="N1237" s="11"/>
      <c r="P1237"/>
      <c r="Q1237"/>
      <c r="W1237" s="28"/>
      <c r="AA1237"/>
    </row>
    <row r="1238" spans="1:27" x14ac:dyDescent="0.45">
      <c r="A1238" s="57">
        <v>1233</v>
      </c>
      <c r="B1238" t="s">
        <v>1984</v>
      </c>
      <c r="C1238" t="s">
        <v>1985</v>
      </c>
      <c r="D1238" s="12">
        <v>46307</v>
      </c>
      <c r="E1238" s="11">
        <v>120</v>
      </c>
      <c r="F1238" s="11" t="s">
        <v>6555</v>
      </c>
      <c r="G1238">
        <v>20140801</v>
      </c>
      <c r="I1238" s="11" t="s">
        <v>18</v>
      </c>
      <c r="J1238" s="72">
        <v>10174995</v>
      </c>
      <c r="K1238" s="99">
        <f>_xlfn.XLOOKUP(_2__ROI_Daily_Update[[#This Row],[CSM id]],SHP!F:F,SHP!EE:EE,"-")</f>
        <v>0</v>
      </c>
      <c r="L1238" s="12"/>
      <c r="N1238" s="11"/>
      <c r="P1238"/>
      <c r="Q1238"/>
      <c r="W1238" s="28"/>
      <c r="AA1238"/>
    </row>
    <row r="1239" spans="1:27" x14ac:dyDescent="0.45">
      <c r="A1239" s="57">
        <v>1233</v>
      </c>
      <c r="B1239" t="s">
        <v>1984</v>
      </c>
      <c r="C1239" t="s">
        <v>1985</v>
      </c>
      <c r="D1239" s="12">
        <v>46307</v>
      </c>
      <c r="E1239" s="11">
        <v>120</v>
      </c>
      <c r="F1239" s="11" t="s">
        <v>6730</v>
      </c>
      <c r="G1239">
        <v>20140801</v>
      </c>
      <c r="I1239" s="11" t="s">
        <v>18</v>
      </c>
      <c r="J1239" s="72">
        <v>10174995</v>
      </c>
      <c r="K1239" s="99">
        <f>_xlfn.XLOOKUP(_2__ROI_Daily_Update[[#This Row],[CSM id]],SHP!F:F,SHP!EE:EE,"-")</f>
        <v>0</v>
      </c>
      <c r="L1239" s="12"/>
      <c r="N1239" s="11"/>
      <c r="P1239"/>
      <c r="Q1239"/>
      <c r="W1239" s="28"/>
      <c r="AA1239"/>
    </row>
    <row r="1240" spans="1:27" x14ac:dyDescent="0.45">
      <c r="A1240" s="57">
        <v>1233</v>
      </c>
      <c r="B1240" t="s">
        <v>1986</v>
      </c>
      <c r="C1240" t="s">
        <v>1987</v>
      </c>
      <c r="D1240" s="12">
        <v>46307</v>
      </c>
      <c r="E1240" s="11">
        <v>240</v>
      </c>
      <c r="F1240" s="11" t="s">
        <v>6555</v>
      </c>
      <c r="G1240">
        <v>20140801</v>
      </c>
      <c r="I1240" s="11" t="s">
        <v>18</v>
      </c>
      <c r="J1240" s="72">
        <v>10175004</v>
      </c>
      <c r="K1240" s="99">
        <f>_xlfn.XLOOKUP(_2__ROI_Daily_Update[[#This Row],[CSM id]],SHP!F:F,SHP!EE:EE,"-")</f>
        <v>0</v>
      </c>
      <c r="L1240" s="12"/>
      <c r="N1240" s="11"/>
      <c r="P1240"/>
      <c r="Q1240"/>
      <c r="W1240" s="28"/>
      <c r="AA1240"/>
    </row>
    <row r="1241" spans="1:27" x14ac:dyDescent="0.45">
      <c r="A1241" s="57">
        <v>1233</v>
      </c>
      <c r="B1241" t="s">
        <v>1986</v>
      </c>
      <c r="C1241" t="s">
        <v>1987</v>
      </c>
      <c r="D1241" s="12">
        <v>46307</v>
      </c>
      <c r="E1241" s="11">
        <v>120</v>
      </c>
      <c r="F1241" s="11" t="s">
        <v>6730</v>
      </c>
      <c r="G1241">
        <v>20140801</v>
      </c>
      <c r="I1241" s="11" t="s">
        <v>18</v>
      </c>
      <c r="J1241" s="72">
        <v>10175004</v>
      </c>
      <c r="K1241" s="99">
        <f>_xlfn.XLOOKUP(_2__ROI_Daily_Update[[#This Row],[CSM id]],SHP!F:F,SHP!EE:EE,"-")</f>
        <v>0</v>
      </c>
      <c r="L1241" s="12"/>
      <c r="N1241" s="11"/>
      <c r="P1241"/>
      <c r="Q1241"/>
      <c r="W1241" s="28"/>
      <c r="AA1241"/>
    </row>
    <row r="1242" spans="1:27" x14ac:dyDescent="0.45">
      <c r="A1242" s="57">
        <v>1233</v>
      </c>
      <c r="B1242" t="s">
        <v>1988</v>
      </c>
      <c r="C1242" t="s">
        <v>1989</v>
      </c>
      <c r="D1242" s="12">
        <v>46307</v>
      </c>
      <c r="E1242" s="11">
        <v>40</v>
      </c>
      <c r="F1242" s="11" t="s">
        <v>6730</v>
      </c>
      <c r="G1242">
        <v>20251001</v>
      </c>
      <c r="I1242" s="11" t="s">
        <v>18</v>
      </c>
      <c r="J1242" s="72">
        <v>10612165</v>
      </c>
      <c r="K1242" s="99">
        <f>_xlfn.XLOOKUP(_2__ROI_Daily_Update[[#This Row],[CSM id]],SHP!F:F,SHP!EE:EE,"-")</f>
        <v>0</v>
      </c>
      <c r="L1242" s="12"/>
      <c r="N1242" s="11"/>
      <c r="P1242"/>
      <c r="Q1242"/>
      <c r="W1242" s="28"/>
      <c r="AA1242"/>
    </row>
    <row r="1243" spans="1:27" x14ac:dyDescent="0.45">
      <c r="A1243" s="57">
        <v>1231</v>
      </c>
      <c r="B1243" t="s">
        <v>1913</v>
      </c>
      <c r="C1243" t="s">
        <v>1914</v>
      </c>
      <c r="D1243" s="12">
        <v>46307</v>
      </c>
      <c r="E1243" s="11">
        <v>30</v>
      </c>
      <c r="F1243" s="11" t="s">
        <v>6554</v>
      </c>
      <c r="G1243">
        <v>20230401</v>
      </c>
      <c r="I1243" s="11" t="s">
        <v>18</v>
      </c>
      <c r="J1243" s="72">
        <v>70550697</v>
      </c>
      <c r="K1243" s="99">
        <f>_xlfn.XLOOKUP(_2__ROI_Daily_Update[[#This Row],[CSM id]],SHP!F:F,SHP!EE:EE,"-")</f>
        <v>0</v>
      </c>
      <c r="L1243" s="12"/>
      <c r="N1243" s="11"/>
      <c r="P1243"/>
      <c r="Q1243"/>
      <c r="W1243" s="28"/>
      <c r="AA1243"/>
    </row>
    <row r="1244" spans="1:27" x14ac:dyDescent="0.45">
      <c r="A1244" s="57">
        <v>1821</v>
      </c>
      <c r="B1244" t="s">
        <v>3498</v>
      </c>
      <c r="C1244" t="s">
        <v>3499</v>
      </c>
      <c r="D1244" s="12">
        <v>46307</v>
      </c>
      <c r="E1244" s="11">
        <v>96</v>
      </c>
      <c r="F1244" s="11" t="s">
        <v>6730</v>
      </c>
      <c r="G1244">
        <v>20250101</v>
      </c>
      <c r="I1244" s="11" t="s">
        <v>18</v>
      </c>
      <c r="J1244" s="72">
        <v>591842</v>
      </c>
      <c r="K1244" s="99">
        <f>_xlfn.XLOOKUP(_2__ROI_Daily_Update[[#This Row],[CSM id]],SHP!F:F,SHP!EE:EE,"-")</f>
        <v>0</v>
      </c>
      <c r="L1244" s="12"/>
      <c r="N1244" s="11"/>
      <c r="P1244"/>
      <c r="Q1244"/>
      <c r="W1244" s="28"/>
      <c r="AA1244"/>
    </row>
    <row r="1245" spans="1:27" x14ac:dyDescent="0.45">
      <c r="A1245" s="57">
        <v>1412</v>
      </c>
      <c r="B1245" t="s">
        <v>2150</v>
      </c>
      <c r="C1245" t="s">
        <v>2151</v>
      </c>
      <c r="D1245" s="12">
        <v>46307</v>
      </c>
      <c r="E1245" s="11">
        <v>120</v>
      </c>
      <c r="F1245" s="11" t="s">
        <v>6557</v>
      </c>
      <c r="G1245">
        <v>20250101</v>
      </c>
      <c r="I1245" s="11" t="s">
        <v>63</v>
      </c>
      <c r="J1245" s="72">
        <v>90587176</v>
      </c>
      <c r="K1245" s="99">
        <f>_xlfn.XLOOKUP(_2__ROI_Daily_Update[[#This Row],[CSM id]],SHP!F:F,SHP!EE:EE,"-")</f>
        <v>0</v>
      </c>
      <c r="L1245" s="12"/>
      <c r="N1245" s="11"/>
      <c r="P1245"/>
      <c r="Q1245"/>
      <c r="W1245" s="28"/>
      <c r="AA1245"/>
    </row>
    <row r="1246" spans="1:27" x14ac:dyDescent="0.45">
      <c r="A1246" s="57">
        <v>1414</v>
      </c>
      <c r="B1246" t="s">
        <v>2188</v>
      </c>
      <c r="C1246" t="s">
        <v>2189</v>
      </c>
      <c r="D1246" s="12">
        <v>46307</v>
      </c>
      <c r="E1246" s="11">
        <v>144</v>
      </c>
      <c r="F1246" s="11" t="s">
        <v>6557</v>
      </c>
      <c r="G1246">
        <v>20210201</v>
      </c>
      <c r="I1246" s="11" t="s">
        <v>63</v>
      </c>
      <c r="J1246" s="72">
        <v>90485272</v>
      </c>
      <c r="K1246" s="99">
        <f>_xlfn.XLOOKUP(_2__ROI_Daily_Update[[#This Row],[CSM id]],SHP!F:F,SHP!EE:EE,"-")</f>
        <v>0</v>
      </c>
      <c r="L1246" s="12"/>
      <c r="N1246" s="11"/>
      <c r="P1246"/>
      <c r="Q1246"/>
      <c r="W1246" s="28"/>
      <c r="AA1246"/>
    </row>
    <row r="1247" spans="1:27" x14ac:dyDescent="0.45">
      <c r="A1247" s="57">
        <v>1423</v>
      </c>
      <c r="B1247" t="s">
        <v>2280</v>
      </c>
      <c r="C1247" t="s">
        <v>2281</v>
      </c>
      <c r="D1247" s="12">
        <v>46307</v>
      </c>
      <c r="E1247" s="11">
        <v>22</v>
      </c>
      <c r="F1247" s="11" t="s">
        <v>6557</v>
      </c>
      <c r="G1247">
        <v>20190801</v>
      </c>
      <c r="I1247" s="11" t="s">
        <v>63</v>
      </c>
      <c r="J1247" s="72">
        <v>30454966</v>
      </c>
      <c r="K1247" s="99">
        <f>_xlfn.XLOOKUP(_2__ROI_Daily_Update[[#This Row],[CSM id]],SHP!F:F,SHP!EE:EE,"-")</f>
        <v>0</v>
      </c>
      <c r="L1247" s="12"/>
      <c r="N1247" s="11"/>
      <c r="P1247"/>
      <c r="Q1247"/>
      <c r="W1247" s="28"/>
      <c r="AA1247"/>
    </row>
    <row r="1248" spans="1:27" x14ac:dyDescent="0.45">
      <c r="A1248" s="57">
        <v>1423</v>
      </c>
      <c r="B1248" t="s">
        <v>2282</v>
      </c>
      <c r="C1248" t="s">
        <v>2283</v>
      </c>
      <c r="D1248" s="12">
        <v>46307</v>
      </c>
      <c r="E1248" s="11">
        <v>80</v>
      </c>
      <c r="F1248" s="11" t="s">
        <v>6557</v>
      </c>
      <c r="G1248">
        <v>20150401</v>
      </c>
      <c r="I1248" s="11" t="s">
        <v>63</v>
      </c>
      <c r="J1248" s="72">
        <v>50283520</v>
      </c>
      <c r="K1248" s="99">
        <f>_xlfn.XLOOKUP(_2__ROI_Daily_Update[[#This Row],[CSM id]],SHP!F:F,SHP!EE:EE,"-")</f>
        <v>0</v>
      </c>
      <c r="L1248" s="12"/>
      <c r="N1248" s="11"/>
      <c r="P1248"/>
      <c r="Q1248"/>
      <c r="W1248" s="28"/>
      <c r="AA1248"/>
    </row>
    <row r="1249" spans="1:27" x14ac:dyDescent="0.45">
      <c r="A1249" s="57">
        <v>1423</v>
      </c>
      <c r="B1249" t="s">
        <v>2286</v>
      </c>
      <c r="C1249" t="s">
        <v>2287</v>
      </c>
      <c r="D1249" s="12">
        <v>46307</v>
      </c>
      <c r="E1249" s="11">
        <v>88</v>
      </c>
      <c r="F1249" s="11" t="s">
        <v>6557</v>
      </c>
      <c r="G1249">
        <v>20250701</v>
      </c>
      <c r="I1249" s="11" t="s">
        <v>63</v>
      </c>
      <c r="J1249" s="72">
        <v>60606652</v>
      </c>
      <c r="K1249" s="99">
        <f>_xlfn.XLOOKUP(_2__ROI_Daily_Update[[#This Row],[CSM id]],SHP!F:F,SHP!EE:EE,"-")</f>
        <v>0</v>
      </c>
      <c r="L1249" s="12"/>
      <c r="N1249" s="11"/>
      <c r="P1249"/>
      <c r="Q1249"/>
      <c r="W1249" s="28"/>
      <c r="AA1249"/>
    </row>
    <row r="1250" spans="1:27" x14ac:dyDescent="0.45">
      <c r="A1250" s="57">
        <v>1423</v>
      </c>
      <c r="B1250" t="s">
        <v>5392</v>
      </c>
      <c r="C1250" t="s">
        <v>5393</v>
      </c>
      <c r="D1250" s="12">
        <v>46307</v>
      </c>
      <c r="E1250" s="11">
        <v>32</v>
      </c>
      <c r="F1250" s="11" t="s">
        <v>6557</v>
      </c>
      <c r="G1250">
        <v>20250701</v>
      </c>
      <c r="I1250" s="11" t="s">
        <v>63</v>
      </c>
      <c r="J1250" s="72">
        <v>80602479</v>
      </c>
      <c r="K1250" s="99">
        <f>_xlfn.XLOOKUP(_2__ROI_Daily_Update[[#This Row],[CSM id]],SHP!F:F,SHP!EE:EE,"-")</f>
        <v>0</v>
      </c>
      <c r="L1250" s="12"/>
      <c r="N1250" s="11"/>
      <c r="P1250"/>
      <c r="Q1250"/>
      <c r="W1250" s="28"/>
      <c r="AA1250"/>
    </row>
    <row r="1251" spans="1:27" x14ac:dyDescent="0.45">
      <c r="A1251" s="57">
        <v>821</v>
      </c>
      <c r="B1251" t="s">
        <v>649</v>
      </c>
      <c r="C1251" t="s">
        <v>650</v>
      </c>
      <c r="D1251" s="12">
        <v>46307</v>
      </c>
      <c r="E1251" s="11">
        <v>64</v>
      </c>
      <c r="F1251" s="11" t="s">
        <v>6555</v>
      </c>
      <c r="G1251">
        <v>20260101</v>
      </c>
      <c r="I1251" s="11" t="s">
        <v>18</v>
      </c>
      <c r="J1251" s="72">
        <v>80611817</v>
      </c>
      <c r="K1251" s="99">
        <f>_xlfn.XLOOKUP(_2__ROI_Daily_Update[[#This Row],[CSM id]],SHP!F:F,SHP!EE:EE,"-")</f>
        <v>0</v>
      </c>
      <c r="L1251" s="12"/>
      <c r="N1251" s="11"/>
      <c r="P1251"/>
      <c r="Q1251"/>
      <c r="W1251" s="28"/>
      <c r="AA1251"/>
    </row>
    <row r="1252" spans="1:27" x14ac:dyDescent="0.45">
      <c r="A1252" s="57">
        <v>1813</v>
      </c>
      <c r="B1252" t="s">
        <v>3418</v>
      </c>
      <c r="C1252" t="s">
        <v>3419</v>
      </c>
      <c r="D1252" s="12">
        <v>46307</v>
      </c>
      <c r="E1252" s="11">
        <v>360</v>
      </c>
      <c r="F1252" s="11" t="s">
        <v>6730</v>
      </c>
      <c r="G1252">
        <v>20220701</v>
      </c>
      <c r="I1252" s="11" t="s">
        <v>18</v>
      </c>
      <c r="J1252" s="72">
        <v>70531939</v>
      </c>
      <c r="K1252" s="99">
        <f>_xlfn.XLOOKUP(_2__ROI_Daily_Update[[#This Row],[CSM id]],SHP!F:F,SHP!EE:EE,"-")</f>
        <v>0</v>
      </c>
      <c r="L1252" s="12"/>
      <c r="N1252" s="11"/>
      <c r="P1252"/>
      <c r="Q1252"/>
      <c r="W1252" s="28"/>
      <c r="AA1252"/>
    </row>
    <row r="1253" spans="1:27" x14ac:dyDescent="0.45">
      <c r="A1253" s="57">
        <v>1424</v>
      </c>
      <c r="B1253" t="s">
        <v>2318</v>
      </c>
      <c r="C1253" t="s">
        <v>2319</v>
      </c>
      <c r="D1253" s="12">
        <v>46307</v>
      </c>
      <c r="E1253" s="11">
        <v>480</v>
      </c>
      <c r="F1253" s="11" t="s">
        <v>6558</v>
      </c>
      <c r="G1253">
        <v>20220701</v>
      </c>
      <c r="I1253" s="11" t="s">
        <v>63</v>
      </c>
      <c r="J1253" s="72">
        <v>90515165</v>
      </c>
      <c r="K1253" s="99">
        <f>_xlfn.XLOOKUP(_2__ROI_Daily_Update[[#This Row],[CSM id]],SHP!F:F,SHP!EE:EE,"-")</f>
        <v>0</v>
      </c>
      <c r="L1253" s="12"/>
      <c r="N1253" s="11"/>
      <c r="P1253"/>
      <c r="Q1253"/>
      <c r="W1253" s="28"/>
      <c r="AA1253"/>
    </row>
    <row r="1254" spans="1:27" x14ac:dyDescent="0.45">
      <c r="A1254" s="57">
        <v>1431</v>
      </c>
      <c r="B1254" t="s">
        <v>2334</v>
      </c>
      <c r="C1254" t="s">
        <v>2335</v>
      </c>
      <c r="D1254" s="12">
        <v>46307</v>
      </c>
      <c r="E1254" s="11">
        <v>816</v>
      </c>
      <c r="F1254" s="11" t="s">
        <v>6558</v>
      </c>
      <c r="G1254">
        <v>20260801</v>
      </c>
      <c r="H1254" s="12">
        <v>46388</v>
      </c>
      <c r="I1254" s="11" t="s">
        <v>63</v>
      </c>
      <c r="J1254" s="72">
        <v>631522</v>
      </c>
      <c r="K1254" s="99">
        <f>_xlfn.XLOOKUP(_2__ROI_Daily_Update[[#This Row],[CSM id]],SHP!F:F,SHP!EE:EE,"-")</f>
        <v>0</v>
      </c>
      <c r="L1254" s="12"/>
      <c r="N1254" s="11"/>
      <c r="P1254"/>
      <c r="Q1254"/>
      <c r="W1254" s="28"/>
      <c r="AA1254"/>
    </row>
    <row r="1255" spans="1:27" x14ac:dyDescent="0.45">
      <c r="A1255" s="57">
        <v>1431</v>
      </c>
      <c r="B1255" t="s">
        <v>2344</v>
      </c>
      <c r="C1255" t="s">
        <v>2345</v>
      </c>
      <c r="D1255" s="12">
        <v>46307</v>
      </c>
      <c r="E1255" s="11">
        <v>432</v>
      </c>
      <c r="F1255" s="11" t="s">
        <v>6557</v>
      </c>
      <c r="G1255">
        <v>20210701</v>
      </c>
      <c r="I1255" s="11" t="s">
        <v>63</v>
      </c>
      <c r="J1255" s="72">
        <v>10497924</v>
      </c>
      <c r="K1255" s="99">
        <f>_xlfn.XLOOKUP(_2__ROI_Daily_Update[[#This Row],[CSM id]],SHP!F:F,SHP!EE:EE,"-")</f>
        <v>0</v>
      </c>
      <c r="L1255" s="12"/>
      <c r="N1255" s="11"/>
      <c r="P1255"/>
      <c r="Q1255"/>
      <c r="W1255" s="28"/>
      <c r="AA1255"/>
    </row>
    <row r="1256" spans="1:27" x14ac:dyDescent="0.45">
      <c r="A1256" s="57">
        <v>1431</v>
      </c>
      <c r="B1256" t="s">
        <v>2358</v>
      </c>
      <c r="C1256" t="s">
        <v>2359</v>
      </c>
      <c r="D1256" s="12">
        <v>46307</v>
      </c>
      <c r="E1256" s="11">
        <v>720</v>
      </c>
      <c r="F1256" s="11" t="s">
        <v>6557</v>
      </c>
      <c r="G1256">
        <v>20250701</v>
      </c>
      <c r="I1256" s="11" t="s">
        <v>63</v>
      </c>
      <c r="J1256" s="72">
        <v>20596711</v>
      </c>
      <c r="K1256" s="99">
        <f>_xlfn.XLOOKUP(_2__ROI_Daily_Update[[#This Row],[CSM id]],SHP!F:F,SHP!EE:EE,"-")</f>
        <v>0</v>
      </c>
      <c r="L1256" s="12"/>
      <c r="N1256" s="11"/>
      <c r="P1256"/>
      <c r="Q1256"/>
      <c r="W1256" s="28"/>
      <c r="AA1256"/>
    </row>
    <row r="1257" spans="1:27" x14ac:dyDescent="0.45">
      <c r="A1257" s="57">
        <v>1431</v>
      </c>
      <c r="B1257" t="s">
        <v>2366</v>
      </c>
      <c r="C1257" t="s">
        <v>2367</v>
      </c>
      <c r="D1257" s="12">
        <v>46307</v>
      </c>
      <c r="E1257" s="11">
        <v>1080</v>
      </c>
      <c r="F1257" s="11" t="s">
        <v>6558</v>
      </c>
      <c r="G1257">
        <v>20261001</v>
      </c>
      <c r="H1257" s="12">
        <v>46478</v>
      </c>
      <c r="I1257" s="11" t="s">
        <v>63</v>
      </c>
      <c r="J1257" s="72">
        <v>20649069</v>
      </c>
      <c r="K1257" s="99">
        <f>_xlfn.XLOOKUP(_2__ROI_Daily_Update[[#This Row],[CSM id]],SHP!F:F,SHP!EE:EE,"-")</f>
        <v>0</v>
      </c>
      <c r="L1257" s="12"/>
      <c r="N1257" s="11"/>
      <c r="P1257"/>
      <c r="Q1257"/>
      <c r="W1257" s="28"/>
      <c r="AA1257"/>
    </row>
    <row r="1258" spans="1:27" x14ac:dyDescent="0.45">
      <c r="A1258" s="57">
        <v>1431</v>
      </c>
      <c r="B1258" t="s">
        <v>2382</v>
      </c>
      <c r="C1258" t="s">
        <v>2383</v>
      </c>
      <c r="D1258" s="12">
        <v>46307</v>
      </c>
      <c r="E1258" s="11">
        <v>10</v>
      </c>
      <c r="F1258" s="11" t="s">
        <v>6557</v>
      </c>
      <c r="G1258">
        <v>20260401</v>
      </c>
      <c r="I1258" s="11" t="s">
        <v>63</v>
      </c>
      <c r="J1258" s="72">
        <v>30624228</v>
      </c>
      <c r="K1258" s="99">
        <f>_xlfn.XLOOKUP(_2__ROI_Daily_Update[[#This Row],[CSM id]],SHP!F:F,SHP!EE:EE,"-")</f>
        <v>0</v>
      </c>
      <c r="L1258" s="12"/>
      <c r="N1258" s="11"/>
      <c r="P1258"/>
      <c r="Q1258"/>
      <c r="W1258" s="28"/>
      <c r="AA1258"/>
    </row>
    <row r="1259" spans="1:27" x14ac:dyDescent="0.45">
      <c r="A1259" s="57">
        <v>1852</v>
      </c>
      <c r="B1259" t="s">
        <v>3676</v>
      </c>
      <c r="C1259" t="s">
        <v>3677</v>
      </c>
      <c r="D1259" s="12">
        <v>46307</v>
      </c>
      <c r="E1259" s="11">
        <v>35</v>
      </c>
      <c r="F1259" s="11" t="s">
        <v>6555</v>
      </c>
      <c r="G1259">
        <v>20240101</v>
      </c>
      <c r="I1259" s="11" t="s">
        <v>18</v>
      </c>
      <c r="J1259" s="72">
        <v>20559978</v>
      </c>
      <c r="K1259" s="99">
        <f>_xlfn.XLOOKUP(_2__ROI_Daily_Update[[#This Row],[CSM id]],SHP!F:F,SHP!EE:EE,"-")</f>
        <v>0</v>
      </c>
      <c r="L1259" s="12"/>
      <c r="N1259" s="11"/>
      <c r="P1259"/>
      <c r="Q1259"/>
      <c r="W1259" s="28"/>
      <c r="AA1259"/>
    </row>
    <row r="1260" spans="1:27" x14ac:dyDescent="0.45">
      <c r="A1260" s="57">
        <v>1431</v>
      </c>
      <c r="B1260" t="s">
        <v>2384</v>
      </c>
      <c r="C1260" t="s">
        <v>2385</v>
      </c>
      <c r="D1260" s="12">
        <v>46307</v>
      </c>
      <c r="E1260" s="11">
        <v>66</v>
      </c>
      <c r="F1260" s="11" t="s">
        <v>6557</v>
      </c>
      <c r="G1260">
        <v>20261001</v>
      </c>
      <c r="I1260" s="11" t="s">
        <v>63</v>
      </c>
      <c r="J1260" s="72">
        <v>30638584</v>
      </c>
      <c r="K1260" s="99">
        <f>_xlfn.XLOOKUP(_2__ROI_Daily_Update[[#This Row],[CSM id]],SHP!F:F,SHP!EE:EE,"-")</f>
        <v>0</v>
      </c>
      <c r="L1260" s="12"/>
      <c r="N1260" s="11"/>
      <c r="P1260"/>
      <c r="Q1260"/>
      <c r="W1260" s="28"/>
      <c r="AA1260"/>
    </row>
    <row r="1261" spans="1:27" x14ac:dyDescent="0.45">
      <c r="A1261" s="57">
        <v>1431</v>
      </c>
      <c r="B1261" t="s">
        <v>2392</v>
      </c>
      <c r="C1261" t="s">
        <v>2393</v>
      </c>
      <c r="D1261" s="12">
        <v>46307</v>
      </c>
      <c r="E1261" s="11">
        <v>135</v>
      </c>
      <c r="F1261" s="11" t="s">
        <v>6557</v>
      </c>
      <c r="G1261">
        <v>20251001</v>
      </c>
      <c r="I1261" s="11" t="s">
        <v>63</v>
      </c>
      <c r="J1261" s="72">
        <v>40605696</v>
      </c>
      <c r="K1261" s="99">
        <f>_xlfn.XLOOKUP(_2__ROI_Daily_Update[[#This Row],[CSM id]],SHP!F:F,SHP!EE:EE,"-")</f>
        <v>0</v>
      </c>
      <c r="L1261" s="12"/>
      <c r="N1261" s="11"/>
      <c r="P1261"/>
      <c r="Q1261"/>
      <c r="W1261" s="28"/>
      <c r="AA1261"/>
    </row>
    <row r="1262" spans="1:27" x14ac:dyDescent="0.45">
      <c r="A1262" s="57">
        <v>623</v>
      </c>
      <c r="B1262" t="s">
        <v>5640</v>
      </c>
      <c r="C1262" t="s">
        <v>5641</v>
      </c>
      <c r="D1262" s="12">
        <v>46307</v>
      </c>
      <c r="E1262" s="11">
        <v>192</v>
      </c>
      <c r="F1262" s="11" t="s">
        <v>6730</v>
      </c>
      <c r="G1262">
        <v>20190201</v>
      </c>
      <c r="H1262" s="12">
        <v>46388</v>
      </c>
      <c r="I1262" s="11" t="s">
        <v>18</v>
      </c>
      <c r="J1262" s="72">
        <v>30400308</v>
      </c>
      <c r="K1262" s="99">
        <f>_xlfn.XLOOKUP(_2__ROI_Daily_Update[[#This Row],[CSM id]],SHP!F:F,SHP!EE:EE,"-")</f>
        <v>0</v>
      </c>
      <c r="L1262" s="12"/>
      <c r="N1262" s="11"/>
      <c r="P1262"/>
      <c r="Q1262"/>
      <c r="W1262" s="28"/>
      <c r="AA1262"/>
    </row>
    <row r="1263" spans="1:27" x14ac:dyDescent="0.45">
      <c r="A1263" s="57">
        <v>623</v>
      </c>
      <c r="B1263" t="s">
        <v>437</v>
      </c>
      <c r="C1263" t="s">
        <v>438</v>
      </c>
      <c r="D1263" s="12">
        <v>46307</v>
      </c>
      <c r="E1263" s="11">
        <v>72</v>
      </c>
      <c r="F1263" s="11" t="s">
        <v>6554</v>
      </c>
      <c r="G1263">
        <v>20260401</v>
      </c>
      <c r="I1263" s="11" t="s">
        <v>18</v>
      </c>
      <c r="J1263" s="72">
        <v>40621427</v>
      </c>
      <c r="K1263" s="99">
        <f>_xlfn.XLOOKUP(_2__ROI_Daily_Update[[#This Row],[CSM id]],SHP!F:F,SHP!EE:EE,"-")</f>
        <v>0</v>
      </c>
      <c r="L1263" s="12"/>
      <c r="N1263" s="11"/>
      <c r="P1263"/>
      <c r="Q1263"/>
      <c r="W1263" s="28"/>
      <c r="AA1263"/>
    </row>
    <row r="1264" spans="1:27" x14ac:dyDescent="0.45">
      <c r="A1264" s="57">
        <v>623</v>
      </c>
      <c r="B1264" t="s">
        <v>526</v>
      </c>
      <c r="C1264" t="s">
        <v>527</v>
      </c>
      <c r="D1264" s="12">
        <v>46307</v>
      </c>
      <c r="E1264" s="11">
        <v>36</v>
      </c>
      <c r="F1264" s="11" t="s">
        <v>6554</v>
      </c>
      <c r="G1264">
        <v>20251001</v>
      </c>
      <c r="I1264" s="11" t="s">
        <v>18</v>
      </c>
      <c r="J1264" s="72">
        <v>10605481</v>
      </c>
      <c r="K1264" s="99">
        <f>_xlfn.XLOOKUP(_2__ROI_Daily_Update[[#This Row],[CSM id]],SHP!F:F,SHP!EE:EE,"-")</f>
        <v>0</v>
      </c>
      <c r="L1264" s="12"/>
      <c r="N1264" s="11"/>
      <c r="P1264"/>
      <c r="Q1264"/>
      <c r="W1264" s="28"/>
      <c r="AA1264"/>
    </row>
    <row r="1265" spans="1:27" x14ac:dyDescent="0.45">
      <c r="A1265" s="57">
        <v>623</v>
      </c>
      <c r="B1265" t="s">
        <v>530</v>
      </c>
      <c r="C1265" t="s">
        <v>531</v>
      </c>
      <c r="D1265" s="12">
        <v>46307</v>
      </c>
      <c r="E1265" s="11">
        <v>36</v>
      </c>
      <c r="F1265" s="11" t="s">
        <v>6554</v>
      </c>
      <c r="G1265">
        <v>20251001</v>
      </c>
      <c r="I1265" s="11" t="s">
        <v>18</v>
      </c>
      <c r="J1265" s="72">
        <v>20604867</v>
      </c>
      <c r="K1265" s="99">
        <f>_xlfn.XLOOKUP(_2__ROI_Daily_Update[[#This Row],[CSM id]],SHP!F:F,SHP!EE:EE,"-")</f>
        <v>0</v>
      </c>
      <c r="L1265" s="12"/>
      <c r="N1265" s="11"/>
      <c r="P1265"/>
      <c r="Q1265"/>
      <c r="W1265" s="28"/>
      <c r="AA1265"/>
    </row>
    <row r="1266" spans="1:27" x14ac:dyDescent="0.45">
      <c r="A1266" s="57">
        <v>1431</v>
      </c>
      <c r="B1266" t="s">
        <v>2416</v>
      </c>
      <c r="C1266" t="s">
        <v>2417</v>
      </c>
      <c r="D1266" s="12">
        <v>46307</v>
      </c>
      <c r="E1266" s="11">
        <v>1836</v>
      </c>
      <c r="F1266" s="11" t="s">
        <v>6554</v>
      </c>
      <c r="G1266">
        <v>20260701</v>
      </c>
      <c r="I1266" s="11" t="s">
        <v>18</v>
      </c>
      <c r="J1266" s="72">
        <v>60625486</v>
      </c>
      <c r="K1266" s="99">
        <f>_xlfn.XLOOKUP(_2__ROI_Daily_Update[[#This Row],[CSM id]],SHP!F:F,SHP!EE:EE,"-")</f>
        <v>0</v>
      </c>
      <c r="L1266" s="12"/>
      <c r="N1266" s="11"/>
      <c r="P1266"/>
      <c r="Q1266"/>
      <c r="W1266" s="28"/>
      <c r="AA1266"/>
    </row>
    <row r="1267" spans="1:27" x14ac:dyDescent="0.45">
      <c r="A1267" s="57">
        <v>1431</v>
      </c>
      <c r="B1267" t="s">
        <v>2422</v>
      </c>
      <c r="C1267" t="s">
        <v>2423</v>
      </c>
      <c r="D1267" s="12">
        <v>46307</v>
      </c>
      <c r="E1267" s="11">
        <v>96</v>
      </c>
      <c r="F1267" s="11" t="s">
        <v>6557</v>
      </c>
      <c r="G1267">
        <v>20180401</v>
      </c>
      <c r="I1267" s="11" t="s">
        <v>63</v>
      </c>
      <c r="J1267" s="72">
        <v>70381906</v>
      </c>
      <c r="K1267" s="99">
        <f>_xlfn.XLOOKUP(_2__ROI_Daily_Update[[#This Row],[CSM id]],SHP!F:F,SHP!EE:EE,"-")</f>
        <v>0</v>
      </c>
      <c r="L1267" s="12"/>
      <c r="N1267" s="11"/>
      <c r="P1267"/>
      <c r="Q1267"/>
      <c r="W1267" s="28"/>
      <c r="AA1267"/>
    </row>
    <row r="1268" spans="1:27" x14ac:dyDescent="0.45">
      <c r="A1268" s="57">
        <v>623</v>
      </c>
      <c r="B1268" t="s">
        <v>532</v>
      </c>
      <c r="C1268" t="s">
        <v>533</v>
      </c>
      <c r="D1268" s="12">
        <v>46307</v>
      </c>
      <c r="E1268" s="11">
        <v>72</v>
      </c>
      <c r="F1268" s="11" t="s">
        <v>6554</v>
      </c>
      <c r="G1268">
        <v>20260401</v>
      </c>
      <c r="I1268" s="11" t="s">
        <v>18</v>
      </c>
      <c r="J1268" s="72">
        <v>20623494</v>
      </c>
      <c r="K1268" s="99">
        <f>_xlfn.XLOOKUP(_2__ROI_Daily_Update[[#This Row],[CSM id]],SHP!F:F,SHP!EE:EE,"-")</f>
        <v>0</v>
      </c>
      <c r="L1268" s="12"/>
      <c r="N1268" s="11"/>
      <c r="P1268"/>
      <c r="Q1268"/>
      <c r="W1268" s="28"/>
      <c r="AA1268"/>
    </row>
    <row r="1269" spans="1:27" x14ac:dyDescent="0.45">
      <c r="A1269" s="57">
        <v>1813</v>
      </c>
      <c r="B1269" t="s">
        <v>3380</v>
      </c>
      <c r="C1269" t="s">
        <v>3381</v>
      </c>
      <c r="D1269" s="12">
        <v>46307</v>
      </c>
      <c r="E1269" s="11">
        <v>16</v>
      </c>
      <c r="F1269" s="11" t="s">
        <v>6554</v>
      </c>
      <c r="G1269">
        <v>20250701</v>
      </c>
      <c r="I1269" s="11" t="s">
        <v>18</v>
      </c>
      <c r="J1269" s="72">
        <v>10596919</v>
      </c>
      <c r="K1269" s="99">
        <f>_xlfn.XLOOKUP(_2__ROI_Daily_Update[[#This Row],[CSM id]],SHP!F:F,SHP!EE:EE,"-")</f>
        <v>0</v>
      </c>
      <c r="L1269" s="12"/>
      <c r="N1269" s="11"/>
      <c r="P1269"/>
      <c r="Q1269"/>
      <c r="W1269" s="28"/>
      <c r="AA1269"/>
    </row>
    <row r="1270" spans="1:27" x14ac:dyDescent="0.45">
      <c r="A1270" s="57">
        <v>623</v>
      </c>
      <c r="B1270" t="s">
        <v>534</v>
      </c>
      <c r="C1270" t="s">
        <v>535</v>
      </c>
      <c r="D1270" s="12">
        <v>46307</v>
      </c>
      <c r="E1270" s="11">
        <v>448</v>
      </c>
      <c r="F1270" s="11" t="s">
        <v>6555</v>
      </c>
      <c r="G1270">
        <v>20241001</v>
      </c>
      <c r="I1270" s="11" t="s">
        <v>18</v>
      </c>
      <c r="J1270" s="72">
        <v>70574434</v>
      </c>
      <c r="K1270" s="99">
        <f>_xlfn.XLOOKUP(_2__ROI_Daily_Update[[#This Row],[CSM id]],SHP!F:F,SHP!EE:EE,"-")</f>
        <v>0</v>
      </c>
      <c r="L1270" s="12"/>
      <c r="N1270" s="11"/>
      <c r="P1270"/>
      <c r="Q1270"/>
      <c r="W1270" s="28"/>
      <c r="AA1270"/>
    </row>
    <row r="1271" spans="1:27" x14ac:dyDescent="0.45">
      <c r="A1271" s="57">
        <v>622</v>
      </c>
      <c r="B1271" t="s">
        <v>512</v>
      </c>
      <c r="C1271" t="s">
        <v>513</v>
      </c>
      <c r="D1271" s="12">
        <v>46307</v>
      </c>
      <c r="E1271" s="11">
        <v>120</v>
      </c>
      <c r="F1271" s="11" t="s">
        <v>6554</v>
      </c>
      <c r="G1271">
        <v>20190201</v>
      </c>
      <c r="I1271" s="11" t="s">
        <v>18</v>
      </c>
      <c r="J1271" s="72">
        <v>20381287</v>
      </c>
      <c r="K1271" s="99">
        <f>_xlfn.XLOOKUP(_2__ROI_Daily_Update[[#This Row],[CSM id]],SHP!F:F,SHP!EE:EE,"-")</f>
        <v>0</v>
      </c>
      <c r="L1271" s="12"/>
      <c r="N1271" s="11"/>
      <c r="P1271"/>
      <c r="Q1271"/>
      <c r="W1271" s="28"/>
      <c r="AA1271"/>
    </row>
    <row r="1272" spans="1:27" x14ac:dyDescent="0.45">
      <c r="A1272" s="57">
        <v>1423</v>
      </c>
      <c r="B1272" t="s">
        <v>2276</v>
      </c>
      <c r="C1272" t="s">
        <v>2277</v>
      </c>
      <c r="D1272" s="12">
        <v>46307</v>
      </c>
      <c r="E1272" s="11">
        <v>64</v>
      </c>
      <c r="F1272" s="11" t="s">
        <v>6557</v>
      </c>
      <c r="G1272">
        <v>20250701</v>
      </c>
      <c r="I1272" s="11" t="s">
        <v>63</v>
      </c>
      <c r="J1272" s="72">
        <v>20602482</v>
      </c>
      <c r="K1272" s="99">
        <f>_xlfn.XLOOKUP(_2__ROI_Daily_Update[[#This Row],[CSM id]],SHP!F:F,SHP!EE:EE,"-")</f>
        <v>0</v>
      </c>
      <c r="L1272" s="12"/>
      <c r="N1272" s="11"/>
      <c r="P1272"/>
      <c r="Q1272"/>
      <c r="W1272" s="28"/>
      <c r="AA1272"/>
    </row>
    <row r="1273" spans="1:27" x14ac:dyDescent="0.45">
      <c r="A1273" s="57">
        <v>761</v>
      </c>
      <c r="B1273" t="s">
        <v>5214</v>
      </c>
      <c r="C1273" t="s">
        <v>5215</v>
      </c>
      <c r="D1273" s="12">
        <v>46307</v>
      </c>
      <c r="E1273" s="11">
        <v>26</v>
      </c>
      <c r="F1273" s="11" t="s">
        <v>6555</v>
      </c>
      <c r="G1273">
        <v>20211001</v>
      </c>
      <c r="I1273" s="11" t="s">
        <v>18</v>
      </c>
      <c r="J1273" s="72">
        <v>30486415</v>
      </c>
      <c r="K1273" s="99">
        <f>_xlfn.XLOOKUP(_2__ROI_Daily_Update[[#This Row],[CSM id]],SHP!F:F,SHP!EE:EE,"-")</f>
        <v>0</v>
      </c>
      <c r="L1273" s="12"/>
      <c r="N1273" s="11"/>
      <c r="P1273"/>
      <c r="Q1273"/>
      <c r="W1273" s="28"/>
      <c r="AA1273"/>
    </row>
    <row r="1274" spans="1:27" x14ac:dyDescent="0.45">
      <c r="A1274" s="57">
        <v>1424</v>
      </c>
      <c r="B1274" t="s">
        <v>2310</v>
      </c>
      <c r="C1274" t="s">
        <v>2311</v>
      </c>
      <c r="D1274" s="12">
        <v>46307</v>
      </c>
      <c r="E1274" s="11">
        <v>90</v>
      </c>
      <c r="F1274" s="11" t="s">
        <v>6557</v>
      </c>
      <c r="G1274">
        <v>20141201</v>
      </c>
      <c r="I1274" s="11" t="s">
        <v>63</v>
      </c>
      <c r="J1274" s="72">
        <v>40233427</v>
      </c>
      <c r="K1274" s="99">
        <f>_xlfn.XLOOKUP(_2__ROI_Daily_Update[[#This Row],[CSM id]],SHP!F:F,SHP!EE:EE,"-")</f>
        <v>0</v>
      </c>
      <c r="L1274" s="12"/>
      <c r="N1274" s="11"/>
      <c r="P1274"/>
      <c r="Q1274"/>
      <c r="W1274" s="28"/>
      <c r="AA1274"/>
    </row>
    <row r="1275" spans="1:27" x14ac:dyDescent="0.45">
      <c r="A1275" s="57">
        <v>782</v>
      </c>
      <c r="B1275" t="s">
        <v>589</v>
      </c>
      <c r="C1275" t="s">
        <v>590</v>
      </c>
      <c r="D1275" s="12">
        <v>46307</v>
      </c>
      <c r="E1275" s="11">
        <v>56</v>
      </c>
      <c r="F1275" s="11" t="s">
        <v>6731</v>
      </c>
      <c r="G1275">
        <v>20250101</v>
      </c>
      <c r="I1275" s="11" t="s">
        <v>18</v>
      </c>
      <c r="J1275" s="72">
        <v>40586792</v>
      </c>
      <c r="K1275" s="99">
        <f>_xlfn.XLOOKUP(_2__ROI_Daily_Update[[#This Row],[CSM id]],SHP!F:F,SHP!EE:EE,"-")</f>
        <v>0</v>
      </c>
      <c r="L1275" s="12"/>
      <c r="N1275" s="11"/>
      <c r="P1275"/>
      <c r="Q1275"/>
      <c r="W1275" s="28"/>
      <c r="AA1275"/>
    </row>
    <row r="1276" spans="1:27" x14ac:dyDescent="0.45">
      <c r="A1276" s="57">
        <v>1422</v>
      </c>
      <c r="B1276" t="s">
        <v>2218</v>
      </c>
      <c r="C1276" t="s">
        <v>2219</v>
      </c>
      <c r="D1276" s="12">
        <v>46307</v>
      </c>
      <c r="E1276" s="11">
        <v>96</v>
      </c>
      <c r="F1276" s="11" t="s">
        <v>6557</v>
      </c>
      <c r="G1276">
        <v>20240101</v>
      </c>
      <c r="I1276" s="11" t="s">
        <v>63</v>
      </c>
      <c r="J1276" s="72">
        <v>20566342</v>
      </c>
      <c r="K1276" s="99">
        <f>_xlfn.XLOOKUP(_2__ROI_Daily_Update[[#This Row],[CSM id]],SHP!F:F,SHP!EE:EE,"-")</f>
        <v>0</v>
      </c>
      <c r="L1276" s="12"/>
      <c r="N1276" s="11"/>
      <c r="P1276"/>
      <c r="Q1276"/>
      <c r="W1276" s="28"/>
      <c r="AA1276"/>
    </row>
    <row r="1277" spans="1:27" x14ac:dyDescent="0.45">
      <c r="A1277" s="57">
        <v>811</v>
      </c>
      <c r="B1277" t="s">
        <v>619</v>
      </c>
      <c r="C1277" t="s">
        <v>620</v>
      </c>
      <c r="D1277" s="12">
        <v>46307</v>
      </c>
      <c r="E1277" s="11">
        <v>15</v>
      </c>
      <c r="F1277" s="11" t="s">
        <v>6555</v>
      </c>
      <c r="G1277">
        <v>20240701</v>
      </c>
      <c r="I1277" s="11" t="s">
        <v>32</v>
      </c>
      <c r="J1277" s="72">
        <v>70546894</v>
      </c>
      <c r="K1277" s="99">
        <f>_xlfn.XLOOKUP(_2__ROI_Daily_Update[[#This Row],[CSM id]],SHP!F:F,SHP!EE:EE,"-")</f>
        <v>0</v>
      </c>
      <c r="L1277" s="12"/>
      <c r="N1277" s="11"/>
      <c r="P1277"/>
      <c r="Q1277"/>
      <c r="W1277" s="28"/>
      <c r="AA1277"/>
    </row>
    <row r="1278" spans="1:27" x14ac:dyDescent="0.45">
      <c r="A1278" s="57">
        <v>811</v>
      </c>
      <c r="B1278" t="s">
        <v>617</v>
      </c>
      <c r="C1278" t="s">
        <v>618</v>
      </c>
      <c r="D1278" s="12">
        <v>46307</v>
      </c>
      <c r="E1278" s="11">
        <v>12</v>
      </c>
      <c r="F1278" s="11" t="s">
        <v>6555</v>
      </c>
      <c r="G1278">
        <v>20251001</v>
      </c>
      <c r="I1278" s="11" t="s">
        <v>18</v>
      </c>
      <c r="J1278" s="72">
        <v>30592736</v>
      </c>
      <c r="K1278" s="99">
        <f>_xlfn.XLOOKUP(_2__ROI_Daily_Update[[#This Row],[CSM id]],SHP!F:F,SHP!EE:EE,"-")</f>
        <v>0</v>
      </c>
      <c r="L1278" s="12"/>
      <c r="N1278" s="11"/>
      <c r="P1278"/>
      <c r="Q1278"/>
      <c r="W1278" s="28"/>
      <c r="AA1278"/>
    </row>
    <row r="1279" spans="1:27" x14ac:dyDescent="0.45">
      <c r="A1279" s="57">
        <v>1422</v>
      </c>
      <c r="B1279" t="s">
        <v>2223</v>
      </c>
      <c r="C1279" t="s">
        <v>2224</v>
      </c>
      <c r="D1279" s="12">
        <v>46307</v>
      </c>
      <c r="E1279" s="11">
        <v>67</v>
      </c>
      <c r="F1279" s="11" t="s">
        <v>6557</v>
      </c>
      <c r="G1279">
        <v>20260101</v>
      </c>
      <c r="I1279" s="11" t="s">
        <v>63</v>
      </c>
      <c r="J1279" s="72">
        <v>30605630</v>
      </c>
      <c r="K1279" s="99">
        <f>_xlfn.XLOOKUP(_2__ROI_Daily_Update[[#This Row],[CSM id]],SHP!F:F,SHP!EE:EE,"-")</f>
        <v>0</v>
      </c>
      <c r="L1279" s="12"/>
      <c r="N1279" s="11"/>
      <c r="P1279"/>
      <c r="Q1279"/>
      <c r="W1279" s="28"/>
      <c r="AA1279"/>
    </row>
    <row r="1280" spans="1:27" x14ac:dyDescent="0.45">
      <c r="A1280" s="57">
        <v>1422</v>
      </c>
      <c r="B1280" t="s">
        <v>2212</v>
      </c>
      <c r="C1280" t="s">
        <v>2213</v>
      </c>
      <c r="D1280" s="12">
        <v>46307</v>
      </c>
      <c r="E1280" s="11">
        <v>40</v>
      </c>
      <c r="F1280" s="11" t="s">
        <v>6557</v>
      </c>
      <c r="G1280">
        <v>20141001</v>
      </c>
      <c r="I1280" s="11" t="s">
        <v>63</v>
      </c>
      <c r="J1280" s="72">
        <v>10171303</v>
      </c>
      <c r="K1280" s="99">
        <f>_xlfn.XLOOKUP(_2__ROI_Daily_Update[[#This Row],[CSM id]],SHP!F:F,SHP!EE:EE,"-")</f>
        <v>0</v>
      </c>
      <c r="L1280" s="12"/>
      <c r="N1280" s="11"/>
      <c r="P1280"/>
      <c r="Q1280"/>
      <c r="W1280" s="28"/>
      <c r="AA1280"/>
    </row>
    <row r="1281" spans="1:27" x14ac:dyDescent="0.45">
      <c r="A1281" s="57">
        <v>821</v>
      </c>
      <c r="B1281" t="s">
        <v>632</v>
      </c>
      <c r="C1281" t="s">
        <v>633</v>
      </c>
      <c r="D1281" s="12">
        <v>46307</v>
      </c>
      <c r="E1281" s="11">
        <v>8</v>
      </c>
      <c r="F1281" s="11" t="s">
        <v>6731</v>
      </c>
      <c r="G1281">
        <v>20170801</v>
      </c>
      <c r="I1281" s="11" t="s">
        <v>18</v>
      </c>
      <c r="J1281" s="72">
        <v>40359997</v>
      </c>
      <c r="K1281" s="99">
        <f>_xlfn.XLOOKUP(_2__ROI_Daily_Update[[#This Row],[CSM id]],SHP!F:F,SHP!EE:EE,"-")</f>
        <v>0</v>
      </c>
      <c r="L1281" s="12"/>
      <c r="N1281" s="11"/>
      <c r="P1281"/>
      <c r="Q1281"/>
      <c r="W1281" s="28"/>
      <c r="AA1281"/>
    </row>
    <row r="1282" spans="1:27" x14ac:dyDescent="0.45">
      <c r="A1282" s="57">
        <v>811</v>
      </c>
      <c r="B1282" t="s">
        <v>615</v>
      </c>
      <c r="C1282" t="s">
        <v>616</v>
      </c>
      <c r="D1282" s="12">
        <v>46307</v>
      </c>
      <c r="E1282" s="11">
        <v>12</v>
      </c>
      <c r="F1282" s="11" t="s">
        <v>6730</v>
      </c>
      <c r="G1282">
        <v>20250401</v>
      </c>
      <c r="I1282" s="11" t="s">
        <v>18</v>
      </c>
      <c r="J1282" s="72">
        <v>10592737</v>
      </c>
      <c r="K1282" s="99">
        <f>_xlfn.XLOOKUP(_2__ROI_Daily_Update[[#This Row],[CSM id]],SHP!F:F,SHP!EE:EE,"-")</f>
        <v>0</v>
      </c>
      <c r="L1282" s="12"/>
      <c r="N1282" s="11"/>
      <c r="P1282"/>
      <c r="Q1282"/>
      <c r="W1282" s="28"/>
      <c r="AA1282"/>
    </row>
    <row r="1283" spans="1:27" x14ac:dyDescent="0.45">
      <c r="A1283" s="57">
        <v>1423</v>
      </c>
      <c r="B1283" t="s">
        <v>2272</v>
      </c>
      <c r="C1283" t="s">
        <v>2273</v>
      </c>
      <c r="D1283" s="12">
        <v>46307</v>
      </c>
      <c r="E1283" s="11">
        <v>30</v>
      </c>
      <c r="F1283" s="11" t="s">
        <v>6557</v>
      </c>
      <c r="G1283">
        <v>20220701</v>
      </c>
      <c r="H1283" s="12">
        <v>46388</v>
      </c>
      <c r="I1283" s="11" t="s">
        <v>63</v>
      </c>
      <c r="J1283" s="72">
        <v>10521943</v>
      </c>
      <c r="K1283" s="99">
        <f>_xlfn.XLOOKUP(_2__ROI_Daily_Update[[#This Row],[CSM id]],SHP!F:F,SHP!EE:EE,"-")</f>
        <v>0</v>
      </c>
      <c r="L1283" s="12"/>
      <c r="N1283" s="11"/>
      <c r="P1283"/>
      <c r="Q1283"/>
      <c r="W1283" s="28"/>
      <c r="AA1283"/>
    </row>
    <row r="1284" spans="1:27" x14ac:dyDescent="0.45">
      <c r="A1284" s="57">
        <v>811</v>
      </c>
      <c r="B1284" t="s">
        <v>613</v>
      </c>
      <c r="C1284" t="s">
        <v>614</v>
      </c>
      <c r="D1284" s="12">
        <v>46307</v>
      </c>
      <c r="E1284" s="11">
        <v>48</v>
      </c>
      <c r="F1284" s="11" t="s">
        <v>6730</v>
      </c>
      <c r="G1284">
        <v>20250401</v>
      </c>
      <c r="I1284" s="11" t="s">
        <v>18</v>
      </c>
      <c r="J1284" s="72">
        <v>594553</v>
      </c>
      <c r="K1284" s="99">
        <f>_xlfn.XLOOKUP(_2__ROI_Daily_Update[[#This Row],[CSM id]],SHP!F:F,SHP!EE:EE,"-")</f>
        <v>0</v>
      </c>
      <c r="L1284" s="12"/>
      <c r="N1284" s="11"/>
      <c r="P1284"/>
      <c r="Q1284"/>
      <c r="W1284" s="28"/>
      <c r="AA1284"/>
    </row>
    <row r="1285" spans="1:27" x14ac:dyDescent="0.45">
      <c r="A1285" s="57">
        <v>782</v>
      </c>
      <c r="B1285" t="s">
        <v>602</v>
      </c>
      <c r="C1285" t="s">
        <v>603</v>
      </c>
      <c r="D1285" s="12">
        <v>46307</v>
      </c>
      <c r="E1285" s="11">
        <v>22</v>
      </c>
      <c r="F1285" s="11" t="s">
        <v>6555</v>
      </c>
      <c r="G1285">
        <v>20250101</v>
      </c>
      <c r="I1285" s="11" t="s">
        <v>18</v>
      </c>
      <c r="J1285" s="72">
        <v>70591768</v>
      </c>
      <c r="K1285" s="99">
        <f>_xlfn.XLOOKUP(_2__ROI_Daily_Update[[#This Row],[CSM id]],SHP!F:F,SHP!EE:EE,"-")</f>
        <v>0</v>
      </c>
      <c r="L1285" s="12"/>
      <c r="N1285" s="11"/>
      <c r="P1285"/>
      <c r="Q1285"/>
      <c r="W1285" s="28"/>
      <c r="AA1285"/>
    </row>
    <row r="1286" spans="1:27" x14ac:dyDescent="0.45">
      <c r="A1286" s="57">
        <v>1422</v>
      </c>
      <c r="B1286" t="s">
        <v>2241</v>
      </c>
      <c r="C1286" t="s">
        <v>2242</v>
      </c>
      <c r="D1286" s="12">
        <v>46307</v>
      </c>
      <c r="E1286" s="11">
        <v>144</v>
      </c>
      <c r="F1286" s="11" t="s">
        <v>6557</v>
      </c>
      <c r="G1286">
        <v>20141201</v>
      </c>
      <c r="I1286" s="11" t="s">
        <v>63</v>
      </c>
      <c r="J1286" s="72">
        <v>60173564</v>
      </c>
      <c r="K1286" s="99">
        <f>_xlfn.XLOOKUP(_2__ROI_Daily_Update[[#This Row],[CSM id]],SHP!F:F,SHP!EE:EE,"-")</f>
        <v>0</v>
      </c>
      <c r="L1286" s="12"/>
      <c r="N1286" s="11"/>
      <c r="P1286"/>
      <c r="Q1286"/>
      <c r="W1286" s="28"/>
      <c r="AA1286"/>
    </row>
    <row r="1287" spans="1:27" x14ac:dyDescent="0.45">
      <c r="A1287" s="57">
        <v>1422</v>
      </c>
      <c r="B1287" t="s">
        <v>2243</v>
      </c>
      <c r="C1287" t="s">
        <v>2244</v>
      </c>
      <c r="D1287" s="12">
        <v>46307</v>
      </c>
      <c r="E1287" s="11">
        <v>170</v>
      </c>
      <c r="F1287" s="11" t="s">
        <v>6557</v>
      </c>
      <c r="G1287">
        <v>20161001</v>
      </c>
      <c r="I1287" s="11" t="s">
        <v>63</v>
      </c>
      <c r="J1287" s="72">
        <v>60324365</v>
      </c>
      <c r="K1287" s="99">
        <f>_xlfn.XLOOKUP(_2__ROI_Daily_Update[[#This Row],[CSM id]],SHP!F:F,SHP!EE:EE,"-")</f>
        <v>0</v>
      </c>
      <c r="L1287" s="12"/>
      <c r="N1287" s="11"/>
      <c r="P1287"/>
      <c r="Q1287"/>
      <c r="W1287" s="28"/>
      <c r="AA1287"/>
    </row>
    <row r="1288" spans="1:27" x14ac:dyDescent="0.45">
      <c r="A1288" s="57">
        <v>821</v>
      </c>
      <c r="B1288" t="s">
        <v>621</v>
      </c>
      <c r="C1288" t="s">
        <v>622</v>
      </c>
      <c r="D1288" s="12">
        <v>46307</v>
      </c>
      <c r="E1288" s="11">
        <v>32</v>
      </c>
      <c r="F1288" s="11" t="s">
        <v>6730</v>
      </c>
      <c r="G1288">
        <v>20220701</v>
      </c>
      <c r="I1288" s="11" t="s">
        <v>18</v>
      </c>
      <c r="J1288" s="72">
        <v>530622</v>
      </c>
      <c r="K1288" s="99">
        <f>_xlfn.XLOOKUP(_2__ROI_Daily_Update[[#This Row],[CSM id]],SHP!F:F,SHP!EE:EE,"-")</f>
        <v>0</v>
      </c>
      <c r="L1288" s="12"/>
      <c r="N1288" s="11"/>
      <c r="P1288"/>
      <c r="Q1288"/>
      <c r="W1288" s="28"/>
      <c r="AA1288"/>
    </row>
    <row r="1289" spans="1:27" x14ac:dyDescent="0.45">
      <c r="A1289" s="57">
        <v>1422</v>
      </c>
      <c r="B1289" t="s">
        <v>2245</v>
      </c>
      <c r="C1289" t="s">
        <v>2246</v>
      </c>
      <c r="D1289" s="12">
        <v>46307</v>
      </c>
      <c r="E1289" s="11">
        <v>84</v>
      </c>
      <c r="F1289" s="11" t="s">
        <v>6557</v>
      </c>
      <c r="G1289">
        <v>20221001</v>
      </c>
      <c r="H1289" s="12">
        <v>46388</v>
      </c>
      <c r="I1289" s="11" t="s">
        <v>63</v>
      </c>
      <c r="J1289" s="72">
        <v>60529381</v>
      </c>
      <c r="K1289" s="99">
        <f>_xlfn.XLOOKUP(_2__ROI_Daily_Update[[#This Row],[CSM id]],SHP!F:F,SHP!EE:EE,"-")</f>
        <v>0</v>
      </c>
      <c r="L1289" s="12"/>
      <c r="N1289" s="11"/>
      <c r="P1289"/>
      <c r="Q1289"/>
      <c r="W1289" s="28"/>
      <c r="AA1289"/>
    </row>
    <row r="1290" spans="1:27" x14ac:dyDescent="0.45">
      <c r="A1290" s="57">
        <v>1422</v>
      </c>
      <c r="B1290" t="s">
        <v>2214</v>
      </c>
      <c r="C1290" t="s">
        <v>2215</v>
      </c>
      <c r="D1290" s="12">
        <v>46307</v>
      </c>
      <c r="E1290" s="11">
        <v>680</v>
      </c>
      <c r="F1290" s="11" t="s">
        <v>6557</v>
      </c>
      <c r="G1290">
        <v>20170201</v>
      </c>
      <c r="I1290" s="11" t="s">
        <v>63</v>
      </c>
      <c r="J1290" s="72">
        <v>10328554</v>
      </c>
      <c r="K1290" s="99">
        <f>_xlfn.XLOOKUP(_2__ROI_Daily_Update[[#This Row],[CSM id]],SHP!F:F,SHP!EE:EE,"-")</f>
        <v>0</v>
      </c>
      <c r="L1290" s="12"/>
      <c r="N1290" s="11"/>
      <c r="P1290"/>
      <c r="Q1290"/>
      <c r="W1290" s="28"/>
      <c r="AA1290"/>
    </row>
    <row r="1291" spans="1:27" x14ac:dyDescent="0.45">
      <c r="A1291" s="57">
        <v>761</v>
      </c>
      <c r="B1291" t="s">
        <v>560</v>
      </c>
      <c r="C1291" t="s">
        <v>561</v>
      </c>
      <c r="D1291" s="12">
        <v>46307</v>
      </c>
      <c r="E1291" s="11">
        <v>728</v>
      </c>
      <c r="F1291" s="11" t="s">
        <v>6556</v>
      </c>
      <c r="G1291">
        <v>20140801</v>
      </c>
      <c r="I1291" s="11" t="s">
        <v>18</v>
      </c>
      <c r="J1291" s="72">
        <v>40177742</v>
      </c>
      <c r="K1291" s="99">
        <f>_xlfn.XLOOKUP(_2__ROI_Daily_Update[[#This Row],[CSM id]],SHP!F:F,SHP!EE:EE,"-")</f>
        <v>0</v>
      </c>
      <c r="L1291" s="12"/>
      <c r="N1291" s="11"/>
      <c r="P1291"/>
      <c r="Q1291"/>
      <c r="W1291" s="28"/>
      <c r="AA1291"/>
    </row>
    <row r="1292" spans="1:27" x14ac:dyDescent="0.45">
      <c r="A1292" s="57">
        <v>821</v>
      </c>
      <c r="B1292" t="s">
        <v>643</v>
      </c>
      <c r="C1292" t="s">
        <v>644</v>
      </c>
      <c r="D1292" s="12">
        <v>46307</v>
      </c>
      <c r="E1292" s="11">
        <v>52</v>
      </c>
      <c r="F1292" s="11" t="s">
        <v>6555</v>
      </c>
      <c r="G1292">
        <v>20261001</v>
      </c>
      <c r="I1292" s="11" t="s">
        <v>18</v>
      </c>
      <c r="J1292" s="72">
        <v>70651743</v>
      </c>
      <c r="K1292" s="99">
        <f>_xlfn.XLOOKUP(_2__ROI_Daily_Update[[#This Row],[CSM id]],SHP!F:F,SHP!EE:EE,"-")</f>
        <v>0</v>
      </c>
      <c r="L1292" s="12"/>
      <c r="N1292" s="11"/>
      <c r="P1292"/>
      <c r="Q1292"/>
      <c r="W1292" s="28"/>
      <c r="AA1292"/>
    </row>
    <row r="1293" spans="1:27" x14ac:dyDescent="0.45">
      <c r="A1293" s="57">
        <v>1815</v>
      </c>
      <c r="B1293" t="s">
        <v>3496</v>
      </c>
      <c r="C1293" t="s">
        <v>3497</v>
      </c>
      <c r="D1293" s="12">
        <v>46307</v>
      </c>
      <c r="E1293" s="11">
        <v>180</v>
      </c>
      <c r="F1293" s="11" t="s">
        <v>6730</v>
      </c>
      <c r="G1293">
        <v>20260701</v>
      </c>
      <c r="I1293" s="11" t="s">
        <v>18</v>
      </c>
      <c r="J1293" s="72">
        <v>90644285</v>
      </c>
      <c r="K1293" s="99">
        <f>_xlfn.XLOOKUP(_2__ROI_Daily_Update[[#This Row],[CSM id]],SHP!F:F,SHP!EE:EE,"-")</f>
        <v>0</v>
      </c>
      <c r="L1293" s="12"/>
      <c r="N1293" s="11"/>
      <c r="P1293"/>
      <c r="Q1293"/>
      <c r="W1293" s="28"/>
      <c r="AA1293"/>
    </row>
    <row r="1294" spans="1:27" x14ac:dyDescent="0.45">
      <c r="A1294" s="57">
        <v>1421</v>
      </c>
      <c r="B1294" t="s">
        <v>5230</v>
      </c>
      <c r="C1294" t="s">
        <v>5231</v>
      </c>
      <c r="D1294" s="12">
        <v>46307</v>
      </c>
      <c r="E1294" s="11">
        <v>36</v>
      </c>
      <c r="F1294" s="11" t="s">
        <v>6557</v>
      </c>
      <c r="G1294">
        <v>20230701</v>
      </c>
      <c r="I1294" s="11" t="s">
        <v>63</v>
      </c>
      <c r="J1294" s="72">
        <v>40555192</v>
      </c>
      <c r="K1294" s="99">
        <f>_xlfn.XLOOKUP(_2__ROI_Daily_Update[[#This Row],[CSM id]],SHP!F:F,SHP!EE:EE,"-")</f>
        <v>0</v>
      </c>
      <c r="L1294" s="12"/>
      <c r="N1294" s="11"/>
      <c r="P1294"/>
      <c r="Q1294"/>
      <c r="W1294" s="28"/>
      <c r="AA1294"/>
    </row>
    <row r="1295" spans="1:27" x14ac:dyDescent="0.45">
      <c r="A1295" s="57">
        <v>782</v>
      </c>
      <c r="B1295" t="s">
        <v>581</v>
      </c>
      <c r="C1295" t="s">
        <v>582</v>
      </c>
      <c r="D1295" s="12">
        <v>46307</v>
      </c>
      <c r="E1295" s="11">
        <v>84</v>
      </c>
      <c r="F1295" s="11" t="s">
        <v>6730</v>
      </c>
      <c r="G1295">
        <v>20250101</v>
      </c>
      <c r="I1295" s="11" t="s">
        <v>18</v>
      </c>
      <c r="J1295" s="72">
        <v>20586788</v>
      </c>
      <c r="K1295" s="99">
        <f>_xlfn.XLOOKUP(_2__ROI_Daily_Update[[#This Row],[CSM id]],SHP!F:F,SHP!EE:EE,"-")</f>
        <v>0</v>
      </c>
      <c r="L1295" s="12"/>
      <c r="N1295" s="11"/>
      <c r="P1295"/>
      <c r="Q1295"/>
      <c r="W1295" s="28"/>
      <c r="AA1295"/>
    </row>
    <row r="1296" spans="1:27" x14ac:dyDescent="0.45">
      <c r="A1296" s="57">
        <v>782</v>
      </c>
      <c r="B1296" t="s">
        <v>581</v>
      </c>
      <c r="C1296" t="s">
        <v>582</v>
      </c>
      <c r="D1296" s="12">
        <v>46307</v>
      </c>
      <c r="E1296" s="11">
        <v>84</v>
      </c>
      <c r="F1296" s="11" t="s">
        <v>6554</v>
      </c>
      <c r="G1296">
        <v>20250101</v>
      </c>
      <c r="I1296" s="11" t="s">
        <v>18</v>
      </c>
      <c r="J1296" s="72">
        <v>20586788</v>
      </c>
      <c r="K1296" s="99">
        <f>_xlfn.XLOOKUP(_2__ROI_Daily_Update[[#This Row],[CSM id]],SHP!F:F,SHP!EE:EE,"-")</f>
        <v>0</v>
      </c>
      <c r="L1296" s="12"/>
      <c r="N1296" s="11"/>
      <c r="P1296"/>
      <c r="Q1296"/>
      <c r="W1296" s="28"/>
      <c r="AA1296"/>
    </row>
    <row r="1297" spans="1:27" x14ac:dyDescent="0.45">
      <c r="A1297" s="57">
        <v>782</v>
      </c>
      <c r="B1297" t="s">
        <v>577</v>
      </c>
      <c r="C1297" t="s">
        <v>578</v>
      </c>
      <c r="D1297" s="12">
        <v>46307</v>
      </c>
      <c r="E1297" s="11">
        <v>42</v>
      </c>
      <c r="F1297" s="11" t="s">
        <v>6730</v>
      </c>
      <c r="G1297">
        <v>20250101</v>
      </c>
      <c r="I1297" s="11" t="s">
        <v>18</v>
      </c>
      <c r="J1297" s="72">
        <v>10591667</v>
      </c>
      <c r="K1297" s="99">
        <f>_xlfn.XLOOKUP(_2__ROI_Daily_Update[[#This Row],[CSM id]],SHP!F:F,SHP!EE:EE,"-")</f>
        <v>0</v>
      </c>
      <c r="L1297" s="12"/>
      <c r="N1297" s="11"/>
      <c r="P1297"/>
      <c r="Q1297"/>
      <c r="W1297" s="28"/>
      <c r="AA1297"/>
    </row>
    <row r="1298" spans="1:27" x14ac:dyDescent="0.45">
      <c r="A1298" s="57">
        <v>782</v>
      </c>
      <c r="B1298" t="s">
        <v>579</v>
      </c>
      <c r="C1298" t="s">
        <v>580</v>
      </c>
      <c r="D1298" s="12">
        <v>46307</v>
      </c>
      <c r="E1298" s="11">
        <v>60</v>
      </c>
      <c r="F1298" s="11" t="s">
        <v>6554</v>
      </c>
      <c r="G1298">
        <v>20240701</v>
      </c>
      <c r="I1298" s="11" t="s">
        <v>18</v>
      </c>
      <c r="J1298" s="72">
        <v>20585802</v>
      </c>
      <c r="K1298" s="99">
        <f>_xlfn.XLOOKUP(_2__ROI_Daily_Update[[#This Row],[CSM id]],SHP!F:F,SHP!EE:EE,"-")</f>
        <v>0</v>
      </c>
      <c r="L1298" s="12"/>
      <c r="N1298" s="11"/>
      <c r="P1298"/>
      <c r="Q1298"/>
      <c r="W1298" s="28"/>
      <c r="AA1298"/>
    </row>
    <row r="1299" spans="1:27" x14ac:dyDescent="0.45">
      <c r="A1299" s="57">
        <v>1641</v>
      </c>
      <c r="B1299" t="s">
        <v>3153</v>
      </c>
      <c r="C1299" t="s">
        <v>3154</v>
      </c>
      <c r="D1299" s="12">
        <v>46308</v>
      </c>
      <c r="E1299" s="11">
        <v>20</v>
      </c>
      <c r="F1299" s="11" t="s">
        <v>5849</v>
      </c>
      <c r="G1299">
        <v>20240701</v>
      </c>
      <c r="I1299" s="11" t="s">
        <v>18</v>
      </c>
      <c r="J1299" s="72">
        <v>40566402</v>
      </c>
      <c r="K1299" s="99">
        <f>_xlfn.XLOOKUP(_2__ROI_Daily_Update[[#This Row],[CSM id]],SHP!F:F,SHP!EE:EE,"-")</f>
        <v>0</v>
      </c>
      <c r="L1299" s="12"/>
      <c r="N1299" s="11"/>
      <c r="P1299"/>
      <c r="Q1299"/>
      <c r="W1299" s="28"/>
      <c r="AA1299"/>
    </row>
    <row r="1300" spans="1:27" x14ac:dyDescent="0.45">
      <c r="A1300" s="57">
        <v>1831</v>
      </c>
      <c r="B1300" t="s">
        <v>3568</v>
      </c>
      <c r="C1300" t="s">
        <v>3569</v>
      </c>
      <c r="D1300" s="12">
        <v>46308</v>
      </c>
      <c r="E1300" s="11">
        <v>48</v>
      </c>
      <c r="F1300" s="11" t="s">
        <v>5855</v>
      </c>
      <c r="G1300">
        <v>20200801</v>
      </c>
      <c r="I1300" s="11" t="s">
        <v>18</v>
      </c>
      <c r="J1300" s="72">
        <v>472995</v>
      </c>
      <c r="K1300" s="99">
        <f>_xlfn.XLOOKUP(_2__ROI_Daily_Update[[#This Row],[CSM id]],SHP!F:F,SHP!EE:EE,"-")</f>
        <v>0</v>
      </c>
      <c r="L1300" s="12"/>
      <c r="N1300" s="11"/>
      <c r="P1300"/>
      <c r="Q1300"/>
      <c r="W1300" s="28"/>
      <c r="AA1300"/>
    </row>
    <row r="1301" spans="1:27" x14ac:dyDescent="0.45">
      <c r="A1301" s="57">
        <v>1714</v>
      </c>
      <c r="B1301" t="s">
        <v>3299</v>
      </c>
      <c r="C1301" t="s">
        <v>3300</v>
      </c>
      <c r="D1301" s="12">
        <v>46308</v>
      </c>
      <c r="E1301" s="11">
        <v>60</v>
      </c>
      <c r="F1301" s="11" t="s">
        <v>5849</v>
      </c>
      <c r="G1301">
        <v>20140801</v>
      </c>
      <c r="I1301" s="11" t="s">
        <v>18</v>
      </c>
      <c r="J1301" s="72">
        <v>80278579</v>
      </c>
      <c r="K1301" s="99">
        <f>_xlfn.XLOOKUP(_2__ROI_Daily_Update[[#This Row],[CSM id]],SHP!F:F,SHP!EE:EE,"-")</f>
        <v>0</v>
      </c>
      <c r="L1301" s="12"/>
      <c r="N1301" s="11"/>
      <c r="P1301"/>
      <c r="Q1301"/>
      <c r="W1301" s="28"/>
      <c r="AA1301"/>
    </row>
    <row r="1302" spans="1:27" x14ac:dyDescent="0.45">
      <c r="A1302" s="57">
        <v>1641</v>
      </c>
      <c r="B1302" t="s">
        <v>3151</v>
      </c>
      <c r="C1302" t="s">
        <v>3152</v>
      </c>
      <c r="D1302" s="12">
        <v>46308</v>
      </c>
      <c r="E1302" s="11">
        <v>80</v>
      </c>
      <c r="F1302" s="11" t="s">
        <v>5849</v>
      </c>
      <c r="G1302">
        <v>20240401</v>
      </c>
      <c r="I1302" s="11" t="s">
        <v>18</v>
      </c>
      <c r="J1302" s="72">
        <v>40550095</v>
      </c>
      <c r="K1302" s="99">
        <f>_xlfn.XLOOKUP(_2__ROI_Daily_Update[[#This Row],[CSM id]],SHP!F:F,SHP!EE:EE,"-")</f>
        <v>0</v>
      </c>
      <c r="L1302" s="12"/>
      <c r="N1302" s="11"/>
      <c r="P1302"/>
      <c r="Q1302"/>
      <c r="W1302" s="28"/>
      <c r="AA1302"/>
    </row>
    <row r="1303" spans="1:27" x14ac:dyDescent="0.45">
      <c r="A1303" s="57">
        <v>1132</v>
      </c>
      <c r="B1303" t="s">
        <v>1689</v>
      </c>
      <c r="C1303" t="s">
        <v>1690</v>
      </c>
      <c r="D1303" s="12">
        <v>46308</v>
      </c>
      <c r="E1303" s="11">
        <v>172</v>
      </c>
      <c r="F1303" s="11" t="s">
        <v>5849</v>
      </c>
      <c r="G1303">
        <v>20250701</v>
      </c>
      <c r="I1303" s="11" t="s">
        <v>18</v>
      </c>
      <c r="J1303" s="72">
        <v>80610262</v>
      </c>
      <c r="K1303" s="99">
        <f>_xlfn.XLOOKUP(_2__ROI_Daily_Update[[#This Row],[CSM id]],SHP!F:F,SHP!EE:EE,"-")</f>
        <v>0</v>
      </c>
      <c r="L1303" s="12"/>
      <c r="N1303" s="11"/>
      <c r="P1303"/>
      <c r="Q1303"/>
      <c r="W1303" s="28"/>
      <c r="AA1303"/>
    </row>
    <row r="1304" spans="1:27" x14ac:dyDescent="0.45">
      <c r="A1304" s="57">
        <v>1132</v>
      </c>
      <c r="B1304" t="s">
        <v>1685</v>
      </c>
      <c r="C1304" t="s">
        <v>1686</v>
      </c>
      <c r="D1304" s="12">
        <v>46308</v>
      </c>
      <c r="E1304" s="11">
        <v>344</v>
      </c>
      <c r="F1304" s="11" t="s">
        <v>5849</v>
      </c>
      <c r="G1304">
        <v>20250701</v>
      </c>
      <c r="I1304" s="11" t="s">
        <v>18</v>
      </c>
      <c r="J1304" s="72">
        <v>30610269</v>
      </c>
      <c r="K1304" s="99">
        <f>_xlfn.XLOOKUP(_2__ROI_Daily_Update[[#This Row],[CSM id]],SHP!F:F,SHP!EE:EE,"-")</f>
        <v>0</v>
      </c>
      <c r="L1304" s="12"/>
      <c r="N1304" s="11"/>
      <c r="P1304"/>
      <c r="Q1304"/>
      <c r="W1304" s="28"/>
      <c r="AA1304"/>
    </row>
    <row r="1305" spans="1:27" x14ac:dyDescent="0.45">
      <c r="A1305" s="57">
        <v>1641</v>
      </c>
      <c r="B1305" t="s">
        <v>3139</v>
      </c>
      <c r="C1305" t="s">
        <v>3140</v>
      </c>
      <c r="D1305" s="12">
        <v>46308</v>
      </c>
      <c r="E1305" s="11">
        <v>40</v>
      </c>
      <c r="F1305" s="11" t="s">
        <v>5849</v>
      </c>
      <c r="G1305">
        <v>20240701</v>
      </c>
      <c r="I1305" s="11" t="s">
        <v>18</v>
      </c>
      <c r="J1305" s="72">
        <v>20566399</v>
      </c>
      <c r="K1305" s="99">
        <f>_xlfn.XLOOKUP(_2__ROI_Daily_Update[[#This Row],[CSM id]],SHP!F:F,SHP!EE:EE,"-")</f>
        <v>0</v>
      </c>
      <c r="L1305" s="12"/>
      <c r="N1305" s="11"/>
      <c r="P1305"/>
      <c r="Q1305"/>
      <c r="W1305" s="28"/>
      <c r="AA1305"/>
    </row>
    <row r="1306" spans="1:27" x14ac:dyDescent="0.45">
      <c r="A1306" s="57">
        <v>1434</v>
      </c>
      <c r="B1306" t="s">
        <v>2482</v>
      </c>
      <c r="C1306" t="s">
        <v>2483</v>
      </c>
      <c r="D1306" s="12">
        <v>46308</v>
      </c>
      <c r="E1306" s="11">
        <v>320</v>
      </c>
      <c r="F1306" s="11" t="s">
        <v>5849</v>
      </c>
      <c r="G1306">
        <v>20151201</v>
      </c>
      <c r="I1306" s="11" t="s">
        <v>18</v>
      </c>
      <c r="J1306" s="72">
        <v>313322</v>
      </c>
      <c r="K1306" s="99">
        <f>_xlfn.XLOOKUP(_2__ROI_Daily_Update[[#This Row],[CSM id]],SHP!F:F,SHP!EE:EE,"-")</f>
        <v>0</v>
      </c>
      <c r="L1306" s="12"/>
      <c r="N1306" s="11"/>
      <c r="P1306"/>
      <c r="Q1306"/>
      <c r="W1306" s="28"/>
      <c r="AA1306"/>
    </row>
    <row r="1307" spans="1:27" x14ac:dyDescent="0.45">
      <c r="A1307" s="57">
        <v>1012</v>
      </c>
      <c r="B1307" t="s">
        <v>1064</v>
      </c>
      <c r="C1307" t="s">
        <v>1065</v>
      </c>
      <c r="D1307" s="12">
        <v>46308</v>
      </c>
      <c r="E1307" s="11">
        <v>18</v>
      </c>
      <c r="F1307" s="11" t="s">
        <v>5849</v>
      </c>
      <c r="G1307">
        <v>20140801</v>
      </c>
      <c r="I1307" s="11" t="s">
        <v>18</v>
      </c>
      <c r="J1307" s="72">
        <v>30283899</v>
      </c>
      <c r="K1307" s="99">
        <f>_xlfn.XLOOKUP(_2__ROI_Daily_Update[[#This Row],[CSM id]],SHP!F:F,SHP!EE:EE,"-")</f>
        <v>0</v>
      </c>
      <c r="L1307" s="12"/>
      <c r="N1307" s="11"/>
      <c r="P1307"/>
      <c r="Q1307"/>
      <c r="W1307" s="28"/>
      <c r="AA1307"/>
    </row>
    <row r="1308" spans="1:27" x14ac:dyDescent="0.45">
      <c r="A1308" s="57">
        <v>1314</v>
      </c>
      <c r="B1308" t="s">
        <v>2064</v>
      </c>
      <c r="C1308" t="s">
        <v>2065</v>
      </c>
      <c r="D1308" s="12">
        <v>46308</v>
      </c>
      <c r="E1308" s="11">
        <v>368</v>
      </c>
      <c r="F1308" s="11" t="s">
        <v>5849</v>
      </c>
      <c r="G1308">
        <v>20181001</v>
      </c>
      <c r="I1308" s="11" t="s">
        <v>18</v>
      </c>
      <c r="J1308" s="72">
        <v>60406337</v>
      </c>
      <c r="K1308" s="99">
        <f>_xlfn.XLOOKUP(_2__ROI_Daily_Update[[#This Row],[CSM id]],SHP!F:F,SHP!EE:EE,"-")</f>
        <v>0</v>
      </c>
      <c r="L1308" s="12"/>
      <c r="N1308" s="11"/>
      <c r="P1308"/>
      <c r="Q1308"/>
      <c r="W1308" s="28"/>
      <c r="AA1308"/>
    </row>
    <row r="1309" spans="1:27" x14ac:dyDescent="0.45">
      <c r="A1309" s="57">
        <v>1831</v>
      </c>
      <c r="B1309" t="s">
        <v>3594</v>
      </c>
      <c r="C1309" t="s">
        <v>3595</v>
      </c>
      <c r="D1309" s="12">
        <v>46308</v>
      </c>
      <c r="E1309" s="11">
        <v>1512</v>
      </c>
      <c r="F1309" s="11" t="s">
        <v>5855</v>
      </c>
      <c r="G1309">
        <v>20251001</v>
      </c>
      <c r="I1309" s="11" t="s">
        <v>18</v>
      </c>
      <c r="J1309" s="72">
        <v>30601104</v>
      </c>
      <c r="K1309" s="99">
        <f>_xlfn.XLOOKUP(_2__ROI_Daily_Update[[#This Row],[CSM id]],SHP!F:F,SHP!EE:EE,"-")</f>
        <v>0</v>
      </c>
      <c r="L1309" s="12"/>
      <c r="N1309" s="11"/>
      <c r="P1309"/>
      <c r="Q1309"/>
      <c r="W1309" s="28"/>
      <c r="AA1309"/>
    </row>
    <row r="1310" spans="1:27" x14ac:dyDescent="0.45">
      <c r="A1310" s="57">
        <v>1231</v>
      </c>
      <c r="B1310" t="s">
        <v>1909</v>
      </c>
      <c r="C1310" t="s">
        <v>1910</v>
      </c>
      <c r="D1310" s="12">
        <v>46308</v>
      </c>
      <c r="E1310" s="11">
        <v>204</v>
      </c>
      <c r="F1310" s="11" t="s">
        <v>5849</v>
      </c>
      <c r="G1310">
        <v>20180801</v>
      </c>
      <c r="I1310" s="11" t="s">
        <v>18</v>
      </c>
      <c r="J1310" s="72">
        <v>70372775</v>
      </c>
      <c r="K1310" s="99">
        <f>_xlfn.XLOOKUP(_2__ROI_Daily_Update[[#This Row],[CSM id]],SHP!F:F,SHP!EE:EE,"-")</f>
        <v>0</v>
      </c>
      <c r="L1310" s="12"/>
      <c r="N1310" s="11"/>
      <c r="P1310"/>
      <c r="Q1310"/>
      <c r="W1310" s="28"/>
      <c r="AA1310"/>
    </row>
    <row r="1311" spans="1:27" x14ac:dyDescent="0.45">
      <c r="A1311" s="57">
        <v>1831</v>
      </c>
      <c r="B1311" t="s">
        <v>3570</v>
      </c>
      <c r="C1311" t="s">
        <v>3571</v>
      </c>
      <c r="D1311" s="12">
        <v>46308</v>
      </c>
      <c r="E1311" s="11">
        <v>80</v>
      </c>
      <c r="F1311" s="11" t="s">
        <v>5855</v>
      </c>
      <c r="G1311">
        <v>20260101</v>
      </c>
      <c r="I1311" s="11" t="s">
        <v>18</v>
      </c>
      <c r="J1311" s="72">
        <v>591050</v>
      </c>
      <c r="K1311" s="99">
        <f>_xlfn.XLOOKUP(_2__ROI_Daily_Update[[#This Row],[CSM id]],SHP!F:F,SHP!EE:EE,"-")</f>
        <v>0</v>
      </c>
      <c r="L1311" s="12"/>
      <c r="N1311" s="11"/>
      <c r="P1311"/>
      <c r="Q1311"/>
      <c r="W1311" s="28"/>
      <c r="AA1311"/>
    </row>
    <row r="1312" spans="1:27" x14ac:dyDescent="0.45">
      <c r="A1312" s="57">
        <v>1813</v>
      </c>
      <c r="B1312" t="s">
        <v>3416</v>
      </c>
      <c r="C1312" t="s">
        <v>3417</v>
      </c>
      <c r="D1312" s="12">
        <v>46308</v>
      </c>
      <c r="E1312" s="11">
        <v>660</v>
      </c>
      <c r="F1312" s="11" t="s">
        <v>5849</v>
      </c>
      <c r="G1312">
        <v>20210201</v>
      </c>
      <c r="I1312" s="11" t="s">
        <v>18</v>
      </c>
      <c r="J1312" s="72">
        <v>70468080</v>
      </c>
      <c r="K1312" s="99">
        <f>_xlfn.XLOOKUP(_2__ROI_Daily_Update[[#This Row],[CSM id]],SHP!F:F,SHP!EE:EE,"-")</f>
        <v>0</v>
      </c>
      <c r="L1312" s="12"/>
      <c r="N1312" s="11"/>
      <c r="P1312"/>
      <c r="Q1312"/>
      <c r="W1312" s="28"/>
      <c r="AA1312"/>
    </row>
    <row r="1313" spans="1:27" x14ac:dyDescent="0.45">
      <c r="A1313" s="57">
        <v>1122</v>
      </c>
      <c r="B1313" t="s">
        <v>1605</v>
      </c>
      <c r="C1313" t="s">
        <v>1606</v>
      </c>
      <c r="D1313" s="12">
        <v>46308</v>
      </c>
      <c r="E1313" s="11">
        <v>10</v>
      </c>
      <c r="F1313" s="11" t="s">
        <v>5849</v>
      </c>
      <c r="G1313">
        <v>20231001</v>
      </c>
      <c r="H1313" s="12">
        <v>46478</v>
      </c>
      <c r="I1313" s="11" t="s">
        <v>18</v>
      </c>
      <c r="J1313" s="72">
        <v>20554283</v>
      </c>
      <c r="K1313" s="99">
        <f>_xlfn.XLOOKUP(_2__ROI_Daily_Update[[#This Row],[CSM id]],SHP!F:F,SHP!EE:EE,"-")</f>
        <v>0</v>
      </c>
      <c r="L1313" s="12"/>
      <c r="N1313" s="11"/>
      <c r="P1313"/>
      <c r="Q1313"/>
      <c r="W1313" s="28"/>
      <c r="AA1313"/>
    </row>
    <row r="1314" spans="1:27" x14ac:dyDescent="0.45">
      <c r="A1314" s="57">
        <v>1813</v>
      </c>
      <c r="B1314" t="s">
        <v>3418</v>
      </c>
      <c r="C1314" t="s">
        <v>3419</v>
      </c>
      <c r="D1314" s="12">
        <v>46308</v>
      </c>
      <c r="E1314" s="11">
        <v>360</v>
      </c>
      <c r="F1314" s="11" t="s">
        <v>5849</v>
      </c>
      <c r="G1314">
        <v>20220701</v>
      </c>
      <c r="I1314" s="11" t="s">
        <v>18</v>
      </c>
      <c r="J1314" s="72">
        <v>70531939</v>
      </c>
      <c r="K1314" s="99">
        <f>_xlfn.XLOOKUP(_2__ROI_Daily_Update[[#This Row],[CSM id]],SHP!F:F,SHP!EE:EE,"-")</f>
        <v>0</v>
      </c>
      <c r="L1314" s="12"/>
      <c r="N1314" s="11"/>
      <c r="P1314"/>
      <c r="Q1314"/>
      <c r="W1314" s="28"/>
      <c r="AA1314"/>
    </row>
    <row r="1315" spans="1:27" x14ac:dyDescent="0.45">
      <c r="A1315" s="57">
        <v>1122</v>
      </c>
      <c r="B1315" t="s">
        <v>1601</v>
      </c>
      <c r="C1315" t="s">
        <v>1602</v>
      </c>
      <c r="D1315" s="12">
        <v>46308</v>
      </c>
      <c r="E1315" s="11">
        <v>48</v>
      </c>
      <c r="F1315" s="11" t="s">
        <v>5849</v>
      </c>
      <c r="G1315">
        <v>20200401</v>
      </c>
      <c r="I1315" s="11" t="s">
        <v>18</v>
      </c>
      <c r="J1315" s="72">
        <v>10460591</v>
      </c>
      <c r="K1315" s="99">
        <f>_xlfn.XLOOKUP(_2__ROI_Daily_Update[[#This Row],[CSM id]],SHP!F:F,SHP!EE:EE,"-")</f>
        <v>0</v>
      </c>
      <c r="L1315" s="12"/>
      <c r="N1315" s="11"/>
      <c r="P1315"/>
      <c r="Q1315"/>
      <c r="W1315" s="28"/>
      <c r="AA1315"/>
    </row>
    <row r="1316" spans="1:27" x14ac:dyDescent="0.45">
      <c r="A1316" s="57">
        <v>1831</v>
      </c>
      <c r="B1316" t="s">
        <v>3592</v>
      </c>
      <c r="C1316" t="s">
        <v>3593</v>
      </c>
      <c r="D1316" s="12">
        <v>46308</v>
      </c>
      <c r="E1316" s="11">
        <v>80</v>
      </c>
      <c r="F1316" s="11" t="s">
        <v>5849</v>
      </c>
      <c r="G1316">
        <v>20260101</v>
      </c>
      <c r="I1316" s="11" t="s">
        <v>18</v>
      </c>
      <c r="J1316" s="72">
        <v>30591063</v>
      </c>
      <c r="K1316" s="99">
        <f>_xlfn.XLOOKUP(_2__ROI_Daily_Update[[#This Row],[CSM id]],SHP!F:F,SHP!EE:EE,"-")</f>
        <v>0</v>
      </c>
      <c r="L1316" s="12"/>
      <c r="N1316" s="11"/>
      <c r="P1316"/>
      <c r="Q1316"/>
      <c r="W1316" s="28"/>
      <c r="AA1316"/>
    </row>
    <row r="1317" spans="1:27" x14ac:dyDescent="0.45">
      <c r="A1317" s="57">
        <v>1233</v>
      </c>
      <c r="B1317" t="s">
        <v>1984</v>
      </c>
      <c r="C1317" t="s">
        <v>1985</v>
      </c>
      <c r="D1317" s="12">
        <v>46308</v>
      </c>
      <c r="E1317" s="11">
        <v>120</v>
      </c>
      <c r="F1317" s="11" t="s">
        <v>5849</v>
      </c>
      <c r="G1317">
        <v>20140801</v>
      </c>
      <c r="I1317" s="11" t="s">
        <v>18</v>
      </c>
      <c r="J1317" s="72">
        <v>10174995</v>
      </c>
      <c r="K1317" s="99">
        <f>_xlfn.XLOOKUP(_2__ROI_Daily_Update[[#This Row],[CSM id]],SHP!F:F,SHP!EE:EE,"-")</f>
        <v>0</v>
      </c>
      <c r="L1317" s="12"/>
      <c r="N1317" s="11"/>
      <c r="P1317"/>
      <c r="Q1317"/>
      <c r="W1317" s="28"/>
      <c r="AA1317"/>
    </row>
    <row r="1318" spans="1:27" x14ac:dyDescent="0.45">
      <c r="A1318" s="57">
        <v>1813</v>
      </c>
      <c r="B1318" t="s">
        <v>3432</v>
      </c>
      <c r="C1318" t="s">
        <v>3433</v>
      </c>
      <c r="D1318" s="12">
        <v>46308</v>
      </c>
      <c r="E1318" s="11">
        <v>96</v>
      </c>
      <c r="F1318" s="11" t="s">
        <v>5849</v>
      </c>
      <c r="G1318">
        <v>20190601</v>
      </c>
      <c r="I1318" s="11" t="s">
        <v>18</v>
      </c>
      <c r="J1318" s="72">
        <v>80439695</v>
      </c>
      <c r="K1318" s="99">
        <f>_xlfn.XLOOKUP(_2__ROI_Daily_Update[[#This Row],[CSM id]],SHP!F:F,SHP!EE:EE,"-")</f>
        <v>0</v>
      </c>
      <c r="L1318" s="12"/>
      <c r="N1318" s="11"/>
      <c r="P1318"/>
      <c r="Q1318"/>
      <c r="W1318" s="28"/>
      <c r="AA1318"/>
    </row>
    <row r="1319" spans="1:27" x14ac:dyDescent="0.45">
      <c r="A1319" s="57">
        <v>1122</v>
      </c>
      <c r="B1319" t="s">
        <v>1599</v>
      </c>
      <c r="C1319" t="s">
        <v>1600</v>
      </c>
      <c r="D1319" s="12">
        <v>46308</v>
      </c>
      <c r="E1319" s="11">
        <v>36</v>
      </c>
      <c r="F1319" s="11" t="s">
        <v>5849</v>
      </c>
      <c r="G1319">
        <v>20200401</v>
      </c>
      <c r="I1319" s="11" t="s">
        <v>18</v>
      </c>
      <c r="J1319" s="72">
        <v>10460572</v>
      </c>
      <c r="K1319" s="99">
        <f>_xlfn.XLOOKUP(_2__ROI_Daily_Update[[#This Row],[CSM id]],SHP!F:F,SHP!EE:EE,"-")</f>
        <v>0</v>
      </c>
      <c r="L1319" s="12"/>
      <c r="N1319" s="11"/>
      <c r="P1319"/>
      <c r="Q1319"/>
      <c r="W1319" s="28"/>
      <c r="AA1319"/>
    </row>
    <row r="1320" spans="1:27" x14ac:dyDescent="0.45">
      <c r="A1320" s="57">
        <v>1233</v>
      </c>
      <c r="B1320" t="s">
        <v>1998</v>
      </c>
      <c r="C1320" t="s">
        <v>1999</v>
      </c>
      <c r="D1320" s="12">
        <v>46308</v>
      </c>
      <c r="E1320" s="11">
        <v>96</v>
      </c>
      <c r="F1320" s="11" t="s">
        <v>5849</v>
      </c>
      <c r="G1320">
        <v>20261001</v>
      </c>
      <c r="I1320" s="11" t="s">
        <v>18</v>
      </c>
      <c r="J1320" s="72">
        <v>50636254</v>
      </c>
      <c r="K1320" s="99">
        <f>_xlfn.XLOOKUP(_2__ROI_Daily_Update[[#This Row],[CSM id]],SHP!F:F,SHP!EE:EE,"-")</f>
        <v>0</v>
      </c>
      <c r="L1320" s="12"/>
      <c r="N1320" s="11"/>
      <c r="P1320"/>
      <c r="Q1320"/>
      <c r="W1320" s="28"/>
      <c r="AA1320"/>
    </row>
    <row r="1321" spans="1:27" x14ac:dyDescent="0.45">
      <c r="A1321" s="57">
        <v>1233</v>
      </c>
      <c r="B1321" t="s">
        <v>2004</v>
      </c>
      <c r="C1321" t="s">
        <v>2005</v>
      </c>
      <c r="D1321" s="12">
        <v>46308</v>
      </c>
      <c r="E1321" s="11">
        <v>180</v>
      </c>
      <c r="F1321" s="11" t="s">
        <v>5849</v>
      </c>
      <c r="G1321">
        <v>20221001</v>
      </c>
      <c r="I1321" s="11" t="s">
        <v>18</v>
      </c>
      <c r="J1321" s="72">
        <v>70538219</v>
      </c>
      <c r="K1321" s="99">
        <f>_xlfn.XLOOKUP(_2__ROI_Daily_Update[[#This Row],[CSM id]],SHP!F:F,SHP!EE:EE,"-")</f>
        <v>0</v>
      </c>
      <c r="L1321" s="12"/>
      <c r="N1321" s="11"/>
      <c r="P1321"/>
      <c r="Q1321"/>
      <c r="W1321" s="28"/>
      <c r="AA1321"/>
    </row>
    <row r="1322" spans="1:27" x14ac:dyDescent="0.45">
      <c r="A1322" s="57">
        <v>1233</v>
      </c>
      <c r="B1322" t="s">
        <v>2012</v>
      </c>
      <c r="C1322" t="s">
        <v>2013</v>
      </c>
      <c r="D1322" s="12">
        <v>46308</v>
      </c>
      <c r="E1322" s="11">
        <v>120</v>
      </c>
      <c r="F1322" s="11" t="s">
        <v>5849</v>
      </c>
      <c r="G1322">
        <v>20240401</v>
      </c>
      <c r="I1322" s="11" t="s">
        <v>18</v>
      </c>
      <c r="J1322" s="72">
        <v>90563547</v>
      </c>
      <c r="K1322" s="99">
        <f>_xlfn.XLOOKUP(_2__ROI_Daily_Update[[#This Row],[CSM id]],SHP!F:F,SHP!EE:EE,"-")</f>
        <v>0</v>
      </c>
      <c r="L1322" s="12"/>
      <c r="N1322" s="11"/>
      <c r="P1322"/>
      <c r="Q1322"/>
      <c r="W1322" s="28"/>
      <c r="AA1322"/>
    </row>
    <row r="1323" spans="1:27" x14ac:dyDescent="0.45">
      <c r="A1323" s="57">
        <v>1122</v>
      </c>
      <c r="B1323" t="s">
        <v>1611</v>
      </c>
      <c r="C1323" t="s">
        <v>1612</v>
      </c>
      <c r="D1323" s="12">
        <v>46308</v>
      </c>
      <c r="E1323" s="11">
        <v>64</v>
      </c>
      <c r="F1323" s="11" t="s">
        <v>5849</v>
      </c>
      <c r="G1323">
        <v>20260401</v>
      </c>
      <c r="I1323" s="11" t="s">
        <v>18</v>
      </c>
      <c r="J1323" s="72">
        <v>30627199</v>
      </c>
      <c r="K1323" s="99">
        <f>_xlfn.XLOOKUP(_2__ROI_Daily_Update[[#This Row],[CSM id]],SHP!F:F,SHP!EE:EE,"-")</f>
        <v>0</v>
      </c>
      <c r="L1323" s="12"/>
      <c r="N1323" s="11"/>
      <c r="P1323"/>
      <c r="Q1323"/>
      <c r="W1323" s="28"/>
      <c r="AA1323"/>
    </row>
    <row r="1324" spans="1:27" x14ac:dyDescent="0.45">
      <c r="A1324" s="57">
        <v>1122</v>
      </c>
      <c r="B1324" t="s">
        <v>1625</v>
      </c>
      <c r="C1324" t="s">
        <v>1626</v>
      </c>
      <c r="D1324" s="12">
        <v>46308</v>
      </c>
      <c r="E1324" s="11">
        <v>60</v>
      </c>
      <c r="F1324" s="11" t="s">
        <v>5849</v>
      </c>
      <c r="G1324">
        <v>20190801</v>
      </c>
      <c r="H1324" s="12">
        <v>46478</v>
      </c>
      <c r="I1324" s="11" t="s">
        <v>18</v>
      </c>
      <c r="J1324" s="72">
        <v>80446097</v>
      </c>
      <c r="K1324" s="99">
        <f>_xlfn.XLOOKUP(_2__ROI_Daily_Update[[#This Row],[CSM id]],SHP!F:F,SHP!EE:EE,"-")</f>
        <v>0</v>
      </c>
      <c r="L1324" s="12"/>
      <c r="N1324" s="11"/>
      <c r="P1324"/>
      <c r="Q1324"/>
      <c r="W1324" s="28"/>
      <c r="AA1324"/>
    </row>
    <row r="1325" spans="1:27" x14ac:dyDescent="0.45">
      <c r="A1325" s="57">
        <v>1122</v>
      </c>
      <c r="B1325" t="s">
        <v>1613</v>
      </c>
      <c r="C1325" t="s">
        <v>1614</v>
      </c>
      <c r="D1325" s="12">
        <v>46308</v>
      </c>
      <c r="E1325" s="11">
        <v>22</v>
      </c>
      <c r="F1325" s="11" t="s">
        <v>5849</v>
      </c>
      <c r="G1325">
        <v>20200601</v>
      </c>
      <c r="H1325" s="12">
        <v>46478</v>
      </c>
      <c r="I1325" s="11" t="s">
        <v>18</v>
      </c>
      <c r="J1325" s="72">
        <v>40470107</v>
      </c>
      <c r="K1325" s="99">
        <f>_xlfn.XLOOKUP(_2__ROI_Daily_Update[[#This Row],[CSM id]],SHP!F:F,SHP!EE:EE,"-")</f>
        <v>0</v>
      </c>
      <c r="L1325" s="12"/>
      <c r="N1325" s="11"/>
      <c r="P1325"/>
      <c r="Q1325"/>
      <c r="W1325" s="28"/>
      <c r="AA1325"/>
    </row>
    <row r="1326" spans="1:27" x14ac:dyDescent="0.45">
      <c r="A1326" s="57">
        <v>972</v>
      </c>
      <c r="B1326" t="s">
        <v>881</v>
      </c>
      <c r="C1326" t="s">
        <v>882</v>
      </c>
      <c r="D1326" s="12">
        <v>46308</v>
      </c>
      <c r="E1326" s="11">
        <v>48</v>
      </c>
      <c r="F1326" s="11" t="s">
        <v>5849</v>
      </c>
      <c r="G1326">
        <v>20260101</v>
      </c>
      <c r="I1326" s="11" t="s">
        <v>18</v>
      </c>
      <c r="J1326" s="72">
        <v>40589352</v>
      </c>
      <c r="K1326" s="99">
        <f>_xlfn.XLOOKUP(_2__ROI_Daily_Update[[#This Row],[CSM id]],SHP!F:F,SHP!EE:EE,"-")</f>
        <v>0</v>
      </c>
      <c r="L1326" s="12"/>
      <c r="N1326" s="11"/>
      <c r="P1326"/>
      <c r="Q1326"/>
      <c r="W1326" s="28"/>
      <c r="AA1326"/>
    </row>
    <row r="1327" spans="1:27" x14ac:dyDescent="0.45">
      <c r="A1327" s="57">
        <v>1833</v>
      </c>
      <c r="B1327" t="s">
        <v>3632</v>
      </c>
      <c r="C1327" t="s">
        <v>3633</v>
      </c>
      <c r="D1327" s="12">
        <v>46308</v>
      </c>
      <c r="E1327" s="11">
        <v>72</v>
      </c>
      <c r="F1327" s="11" t="s">
        <v>5849</v>
      </c>
      <c r="G1327">
        <v>20240101</v>
      </c>
      <c r="I1327" s="11" t="s">
        <v>18</v>
      </c>
      <c r="J1327" s="72">
        <v>50567726</v>
      </c>
      <c r="K1327" s="99">
        <f>_xlfn.XLOOKUP(_2__ROI_Daily_Update[[#This Row],[CSM id]],SHP!F:F,SHP!EE:EE,"-")</f>
        <v>0</v>
      </c>
      <c r="L1327" s="12"/>
      <c r="N1327" s="11"/>
      <c r="P1327"/>
      <c r="Q1327"/>
      <c r="W1327" s="28"/>
      <c r="AA1327"/>
    </row>
    <row r="1328" spans="1:27" x14ac:dyDescent="0.45">
      <c r="A1328" s="57">
        <v>983</v>
      </c>
      <c r="B1328" t="s">
        <v>978</v>
      </c>
      <c r="C1328" t="s">
        <v>979</v>
      </c>
      <c r="D1328" s="12">
        <v>46308</v>
      </c>
      <c r="E1328" s="11">
        <v>12</v>
      </c>
      <c r="F1328" s="11" t="s">
        <v>5855</v>
      </c>
      <c r="G1328">
        <v>20140801</v>
      </c>
      <c r="I1328" s="11" t="s">
        <v>18</v>
      </c>
      <c r="J1328" s="72">
        <v>30165216</v>
      </c>
      <c r="K1328" s="99">
        <f>_xlfn.XLOOKUP(_2__ROI_Daily_Update[[#This Row],[CSM id]],SHP!F:F,SHP!EE:EE,"-")</f>
        <v>0</v>
      </c>
      <c r="L1328" s="12"/>
      <c r="N1328" s="11"/>
      <c r="P1328"/>
      <c r="Q1328"/>
      <c r="W1328" s="28"/>
      <c r="AA1328"/>
    </row>
    <row r="1329" spans="1:27" x14ac:dyDescent="0.45">
      <c r="A1329" s="57">
        <v>821</v>
      </c>
      <c r="B1329" t="s">
        <v>629</v>
      </c>
      <c r="C1329" t="s">
        <v>630</v>
      </c>
      <c r="D1329" s="12">
        <v>46308</v>
      </c>
      <c r="E1329" s="11">
        <v>6</v>
      </c>
      <c r="F1329" s="11" t="s">
        <v>5855</v>
      </c>
      <c r="G1329">
        <v>20240101</v>
      </c>
      <c r="I1329" s="11" t="s">
        <v>18</v>
      </c>
      <c r="J1329" s="72">
        <v>30544873</v>
      </c>
      <c r="K1329" s="99">
        <f>_xlfn.XLOOKUP(_2__ROI_Daily_Update[[#This Row],[CSM id]],SHP!F:F,SHP!EE:EE,"-")</f>
        <v>0</v>
      </c>
      <c r="L1329" s="12"/>
      <c r="N1329" s="11"/>
      <c r="P1329"/>
      <c r="Q1329"/>
      <c r="W1329" s="28"/>
      <c r="AA1329"/>
    </row>
    <row r="1330" spans="1:27" x14ac:dyDescent="0.45">
      <c r="A1330" s="57">
        <v>1836</v>
      </c>
      <c r="B1330" t="s">
        <v>3646</v>
      </c>
      <c r="C1330" t="s">
        <v>3647</v>
      </c>
      <c r="D1330" s="12">
        <v>46308</v>
      </c>
      <c r="E1330" s="11">
        <v>30</v>
      </c>
      <c r="F1330" s="11" t="s">
        <v>5855</v>
      </c>
      <c r="G1330">
        <v>20260701</v>
      </c>
      <c r="H1330" s="12">
        <v>46569</v>
      </c>
      <c r="I1330" s="11" t="s">
        <v>18</v>
      </c>
      <c r="J1330" s="72">
        <v>30640596</v>
      </c>
      <c r="K1330" s="99">
        <f>_xlfn.XLOOKUP(_2__ROI_Daily_Update[[#This Row],[CSM id]],SHP!F:F,SHP!EE:EE,"-")</f>
        <v>0</v>
      </c>
      <c r="L1330" s="12"/>
      <c r="N1330" s="11"/>
      <c r="P1330"/>
      <c r="Q1330"/>
      <c r="W1330" s="28"/>
      <c r="AA1330"/>
    </row>
    <row r="1331" spans="1:27" x14ac:dyDescent="0.45">
      <c r="A1331" s="57">
        <v>967</v>
      </c>
      <c r="B1331" t="s">
        <v>793</v>
      </c>
      <c r="C1331" t="s">
        <v>794</v>
      </c>
      <c r="D1331" s="12">
        <v>46308</v>
      </c>
      <c r="E1331" s="11">
        <v>70</v>
      </c>
      <c r="F1331" s="11" t="s">
        <v>5855</v>
      </c>
      <c r="G1331">
        <v>20251001</v>
      </c>
      <c r="I1331" s="11" t="s">
        <v>18</v>
      </c>
      <c r="J1331" s="72">
        <v>20591582</v>
      </c>
      <c r="K1331" s="99">
        <f>_xlfn.XLOOKUP(_2__ROI_Daily_Update[[#This Row],[CSM id]],SHP!F:F,SHP!EE:EE,"-")</f>
        <v>0</v>
      </c>
      <c r="L1331" s="12"/>
      <c r="N1331" s="11"/>
      <c r="P1331"/>
      <c r="Q1331"/>
      <c r="W1331" s="28"/>
      <c r="AA1331"/>
    </row>
    <row r="1332" spans="1:27" x14ac:dyDescent="0.45">
      <c r="A1332" s="57">
        <v>1833</v>
      </c>
      <c r="B1332" t="s">
        <v>3636</v>
      </c>
      <c r="C1332" t="s">
        <v>3637</v>
      </c>
      <c r="D1332" s="12">
        <v>46308</v>
      </c>
      <c r="E1332" s="11">
        <v>120</v>
      </c>
      <c r="F1332" s="11" t="s">
        <v>5855</v>
      </c>
      <c r="G1332">
        <v>20240701</v>
      </c>
      <c r="I1332" s="11" t="s">
        <v>18</v>
      </c>
      <c r="J1332" s="72">
        <v>70579158</v>
      </c>
      <c r="K1332" s="99">
        <f>_xlfn.XLOOKUP(_2__ROI_Daily_Update[[#This Row],[CSM id]],SHP!F:F,SHP!EE:EE,"-")</f>
        <v>0</v>
      </c>
      <c r="L1332" s="12"/>
      <c r="N1332" s="11"/>
      <c r="P1332"/>
      <c r="Q1332"/>
      <c r="W1332" s="28"/>
      <c r="AA1332"/>
    </row>
    <row r="1333" spans="1:27" x14ac:dyDescent="0.45">
      <c r="A1333" s="57">
        <v>215</v>
      </c>
      <c r="B1333" t="s">
        <v>277</v>
      </c>
      <c r="C1333" t="s">
        <v>278</v>
      </c>
      <c r="D1333" s="12">
        <v>46308</v>
      </c>
      <c r="E1333" s="11">
        <v>18</v>
      </c>
      <c r="F1333" s="11" t="s">
        <v>5849</v>
      </c>
      <c r="G1333">
        <v>20190801</v>
      </c>
      <c r="I1333" s="11" t="s">
        <v>18</v>
      </c>
      <c r="J1333" s="72">
        <v>50463941</v>
      </c>
      <c r="K1333" s="99">
        <f>_xlfn.XLOOKUP(_2__ROI_Daily_Update[[#This Row],[CSM id]],SHP!F:F,SHP!EE:EE,"-")</f>
        <v>0</v>
      </c>
      <c r="L1333" s="12"/>
      <c r="N1333" s="11"/>
      <c r="P1333"/>
      <c r="Q1333"/>
      <c r="W1333" s="28"/>
      <c r="AA1333"/>
    </row>
    <row r="1334" spans="1:27" x14ac:dyDescent="0.45">
      <c r="A1334" s="57">
        <v>821</v>
      </c>
      <c r="B1334" t="s">
        <v>627</v>
      </c>
      <c r="C1334" t="s">
        <v>628</v>
      </c>
      <c r="D1334" s="12">
        <v>46308</v>
      </c>
      <c r="E1334" s="11">
        <v>8</v>
      </c>
      <c r="F1334" s="11" t="s">
        <v>5855</v>
      </c>
      <c r="G1334">
        <v>20190801</v>
      </c>
      <c r="I1334" s="11" t="s">
        <v>18</v>
      </c>
      <c r="J1334" s="72">
        <v>30457314</v>
      </c>
      <c r="K1334" s="99">
        <f>_xlfn.XLOOKUP(_2__ROI_Daily_Update[[#This Row],[CSM id]],SHP!F:F,SHP!EE:EE,"-")</f>
        <v>0</v>
      </c>
      <c r="L1334" s="12"/>
      <c r="N1334" s="11"/>
      <c r="P1334"/>
      <c r="Q1334"/>
      <c r="W1334" s="28"/>
      <c r="AA1334"/>
    </row>
    <row r="1335" spans="1:27" x14ac:dyDescent="0.45">
      <c r="A1335" s="57">
        <v>966</v>
      </c>
      <c r="B1335" t="s">
        <v>791</v>
      </c>
      <c r="C1335" t="s">
        <v>792</v>
      </c>
      <c r="D1335" s="12">
        <v>46308</v>
      </c>
      <c r="E1335" s="11">
        <v>64</v>
      </c>
      <c r="F1335" s="11" t="s">
        <v>5849</v>
      </c>
      <c r="G1335">
        <v>20231001</v>
      </c>
      <c r="I1335" s="11" t="s">
        <v>18</v>
      </c>
      <c r="J1335" s="72">
        <v>90548217</v>
      </c>
      <c r="K1335" s="99">
        <f>_xlfn.XLOOKUP(_2__ROI_Daily_Update[[#This Row],[CSM id]],SHP!F:F,SHP!EE:EE,"-")</f>
        <v>0</v>
      </c>
      <c r="L1335" s="12"/>
      <c r="N1335" s="11"/>
      <c r="P1335"/>
      <c r="Q1335"/>
      <c r="W1335" s="28"/>
      <c r="AA1335"/>
    </row>
    <row r="1336" spans="1:27" x14ac:dyDescent="0.45">
      <c r="A1336" s="57">
        <v>241</v>
      </c>
      <c r="B1336" t="s">
        <v>15</v>
      </c>
      <c r="C1336" t="s">
        <v>16</v>
      </c>
      <c r="D1336" s="12">
        <v>46308</v>
      </c>
      <c r="E1336" s="11">
        <v>27</v>
      </c>
      <c r="F1336" s="11" t="s">
        <v>5849</v>
      </c>
      <c r="G1336">
        <v>20260101</v>
      </c>
      <c r="I1336" s="11" t="s">
        <v>18</v>
      </c>
      <c r="J1336" s="72">
        <v>20483083</v>
      </c>
      <c r="K1336" s="99">
        <f>_xlfn.XLOOKUP(_2__ROI_Daily_Update[[#This Row],[CSM id]],SHP!F:F,SHP!EE:EE,"-")</f>
        <v>0</v>
      </c>
      <c r="L1336" s="12"/>
      <c r="N1336" s="11"/>
      <c r="P1336"/>
      <c r="Q1336"/>
      <c r="W1336" s="28"/>
      <c r="AA1336"/>
    </row>
    <row r="1337" spans="1:27" x14ac:dyDescent="0.45">
      <c r="A1337" s="57">
        <v>821</v>
      </c>
      <c r="B1337" t="s">
        <v>632</v>
      </c>
      <c r="C1337" t="s">
        <v>633</v>
      </c>
      <c r="D1337" s="12">
        <v>46308</v>
      </c>
      <c r="E1337" s="11">
        <v>16</v>
      </c>
      <c r="F1337" s="11" t="s">
        <v>5855</v>
      </c>
      <c r="G1337">
        <v>20170801</v>
      </c>
      <c r="I1337" s="11" t="s">
        <v>18</v>
      </c>
      <c r="J1337" s="72">
        <v>40359997</v>
      </c>
      <c r="K1337" s="99">
        <f>_xlfn.XLOOKUP(_2__ROI_Daily_Update[[#This Row],[CSM id]],SHP!F:F,SHP!EE:EE,"-")</f>
        <v>0</v>
      </c>
      <c r="L1337" s="12"/>
      <c r="N1337" s="11"/>
      <c r="P1337"/>
      <c r="Q1337"/>
      <c r="W1337" s="28"/>
      <c r="AA1337"/>
    </row>
    <row r="1338" spans="1:27" x14ac:dyDescent="0.45">
      <c r="A1338" s="57">
        <v>371</v>
      </c>
      <c r="B1338" t="s">
        <v>370</v>
      </c>
      <c r="C1338" t="s">
        <v>371</v>
      </c>
      <c r="D1338" s="12">
        <v>46308</v>
      </c>
      <c r="E1338" s="11">
        <v>3</v>
      </c>
      <c r="F1338" s="11" t="s">
        <v>5849</v>
      </c>
      <c r="G1338">
        <v>20221001</v>
      </c>
      <c r="I1338" s="11" t="s">
        <v>18</v>
      </c>
      <c r="J1338" s="72">
        <v>522033</v>
      </c>
      <c r="K1338" s="99">
        <f>_xlfn.XLOOKUP(_2__ROI_Daily_Update[[#This Row],[CSM id]],SHP!F:F,SHP!EE:EE,"-")</f>
        <v>0</v>
      </c>
      <c r="L1338" s="12"/>
      <c r="N1338" s="11"/>
      <c r="P1338"/>
      <c r="Q1338"/>
      <c r="W1338" s="28"/>
      <c r="AA1338"/>
    </row>
    <row r="1339" spans="1:27" x14ac:dyDescent="0.45">
      <c r="A1339" s="57">
        <v>1011</v>
      </c>
      <c r="B1339" t="s">
        <v>1042</v>
      </c>
      <c r="C1339" t="s">
        <v>1043</v>
      </c>
      <c r="D1339" s="12">
        <v>46308</v>
      </c>
      <c r="E1339" s="11">
        <v>78</v>
      </c>
      <c r="F1339" s="11" t="s">
        <v>5849</v>
      </c>
      <c r="G1339">
        <v>20220401</v>
      </c>
      <c r="I1339" s="11" t="s">
        <v>18</v>
      </c>
      <c r="J1339" s="72">
        <v>90459715</v>
      </c>
      <c r="K1339" s="99">
        <f>_xlfn.XLOOKUP(_2__ROI_Daily_Update[[#This Row],[CSM id]],SHP!F:F,SHP!EE:EE,"-")</f>
        <v>0</v>
      </c>
      <c r="L1339" s="12"/>
      <c r="N1339" s="11"/>
      <c r="P1339"/>
      <c r="Q1339"/>
      <c r="W1339" s="28"/>
      <c r="AA1339"/>
    </row>
    <row r="1340" spans="1:27" x14ac:dyDescent="0.45">
      <c r="A1340" s="57">
        <v>423</v>
      </c>
      <c r="B1340" t="s">
        <v>435</v>
      </c>
      <c r="C1340" t="s">
        <v>436</v>
      </c>
      <c r="D1340" s="12">
        <v>46308</v>
      </c>
      <c r="E1340" s="11">
        <v>5</v>
      </c>
      <c r="F1340" s="11" t="s">
        <v>5849</v>
      </c>
      <c r="G1340">
        <v>20191001</v>
      </c>
      <c r="I1340" s="11" t="s">
        <v>32</v>
      </c>
      <c r="J1340" s="72">
        <v>80441759</v>
      </c>
      <c r="K1340" s="99">
        <f>_xlfn.XLOOKUP(_2__ROI_Daily_Update[[#This Row],[CSM id]],SHP!F:F,SHP!EE:EE,"-")</f>
        <v>0</v>
      </c>
      <c r="L1340" s="12"/>
      <c r="N1340" s="11"/>
      <c r="P1340"/>
      <c r="Q1340"/>
      <c r="W1340" s="28"/>
      <c r="AA1340"/>
    </row>
    <row r="1341" spans="1:27" x14ac:dyDescent="0.45">
      <c r="A1341" s="57">
        <v>782</v>
      </c>
      <c r="B1341" t="s">
        <v>583</v>
      </c>
      <c r="C1341" t="s">
        <v>584</v>
      </c>
      <c r="D1341" s="12">
        <v>46308</v>
      </c>
      <c r="E1341" s="11">
        <v>140</v>
      </c>
      <c r="F1341" s="11" t="s">
        <v>5849</v>
      </c>
      <c r="G1341">
        <v>20250101</v>
      </c>
      <c r="I1341" s="11" t="s">
        <v>18</v>
      </c>
      <c r="J1341" s="72">
        <v>20591775</v>
      </c>
      <c r="K1341" s="99">
        <f>_xlfn.XLOOKUP(_2__ROI_Daily_Update[[#This Row],[CSM id]],SHP!F:F,SHP!EE:EE,"-")</f>
        <v>0</v>
      </c>
      <c r="L1341" s="12"/>
      <c r="N1341" s="11"/>
      <c r="P1341"/>
      <c r="Q1341"/>
      <c r="W1341" s="28"/>
      <c r="AA1341"/>
    </row>
    <row r="1342" spans="1:27" x14ac:dyDescent="0.45">
      <c r="A1342" s="57">
        <v>1882</v>
      </c>
      <c r="B1342" t="s">
        <v>3743</v>
      </c>
      <c r="C1342" t="s">
        <v>3744</v>
      </c>
      <c r="D1342" s="12">
        <v>46308</v>
      </c>
      <c r="E1342" s="11">
        <v>504</v>
      </c>
      <c r="F1342" s="11" t="s">
        <v>5849</v>
      </c>
      <c r="G1342">
        <v>20140801</v>
      </c>
      <c r="I1342" s="11" t="s">
        <v>18</v>
      </c>
      <c r="J1342" s="72">
        <v>70147758</v>
      </c>
      <c r="K1342" s="99">
        <f>_xlfn.XLOOKUP(_2__ROI_Daily_Update[[#This Row],[CSM id]],SHP!F:F,SHP!EE:EE,"-")</f>
        <v>0</v>
      </c>
      <c r="L1342" s="12"/>
      <c r="N1342" s="11"/>
      <c r="P1342"/>
      <c r="Q1342"/>
      <c r="W1342" s="28"/>
      <c r="AA1342"/>
    </row>
    <row r="1343" spans="1:27" x14ac:dyDescent="0.45">
      <c r="A1343" s="57">
        <v>1833</v>
      </c>
      <c r="B1343" t="s">
        <v>3628</v>
      </c>
      <c r="C1343" t="s">
        <v>3629</v>
      </c>
      <c r="D1343" s="12">
        <v>46308</v>
      </c>
      <c r="E1343" s="11">
        <v>120</v>
      </c>
      <c r="F1343" s="11" t="s">
        <v>5849</v>
      </c>
      <c r="G1343">
        <v>20240101</v>
      </c>
      <c r="I1343" s="11" t="s">
        <v>18</v>
      </c>
      <c r="J1343" s="72">
        <v>567724</v>
      </c>
      <c r="K1343" s="99">
        <f>_xlfn.XLOOKUP(_2__ROI_Daily_Update[[#This Row],[CSM id]],SHP!F:F,SHP!EE:EE,"-")</f>
        <v>0</v>
      </c>
      <c r="L1343" s="12"/>
      <c r="N1343" s="11"/>
      <c r="P1343"/>
      <c r="Q1343"/>
      <c r="W1343" s="28"/>
      <c r="AA1343"/>
    </row>
    <row r="1344" spans="1:27" x14ac:dyDescent="0.45">
      <c r="A1344" s="57">
        <v>782</v>
      </c>
      <c r="B1344" t="s">
        <v>589</v>
      </c>
      <c r="C1344" t="s">
        <v>590</v>
      </c>
      <c r="D1344" s="12">
        <v>46308</v>
      </c>
      <c r="E1344" s="11">
        <v>56</v>
      </c>
      <c r="F1344" s="11" t="s">
        <v>5855</v>
      </c>
      <c r="G1344">
        <v>20250101</v>
      </c>
      <c r="I1344" s="11" t="s">
        <v>18</v>
      </c>
      <c r="J1344" s="72">
        <v>40586792</v>
      </c>
      <c r="K1344" s="99">
        <f>_xlfn.XLOOKUP(_2__ROI_Daily_Update[[#This Row],[CSM id]],SHP!F:F,SHP!EE:EE,"-")</f>
        <v>0</v>
      </c>
      <c r="L1344" s="12"/>
      <c r="N1344" s="11"/>
      <c r="P1344"/>
      <c r="Q1344"/>
      <c r="W1344" s="28"/>
      <c r="AA1344"/>
    </row>
    <row r="1345" spans="1:27" x14ac:dyDescent="0.45">
      <c r="A1345" s="57">
        <v>782</v>
      </c>
      <c r="B1345" t="s">
        <v>607</v>
      </c>
      <c r="C1345" t="s">
        <v>608</v>
      </c>
      <c r="D1345" s="12">
        <v>46308</v>
      </c>
      <c r="E1345" s="11">
        <v>12</v>
      </c>
      <c r="F1345" s="11" t="s">
        <v>5849</v>
      </c>
      <c r="G1345">
        <v>20181001</v>
      </c>
      <c r="I1345" s="11" t="s">
        <v>18</v>
      </c>
      <c r="J1345" s="72">
        <v>90334933</v>
      </c>
      <c r="K1345" s="99">
        <f>_xlfn.XLOOKUP(_2__ROI_Daily_Update[[#This Row],[CSM id]],SHP!F:F,SHP!EE:EE,"-")</f>
        <v>0</v>
      </c>
      <c r="L1345" s="12"/>
      <c r="N1345" s="11"/>
      <c r="P1345"/>
      <c r="Q1345"/>
      <c r="W1345" s="28"/>
      <c r="AA1345"/>
    </row>
    <row r="1346" spans="1:27" x14ac:dyDescent="0.45">
      <c r="A1346" s="57">
        <v>125</v>
      </c>
      <c r="B1346" t="s">
        <v>130</v>
      </c>
      <c r="C1346" t="s">
        <v>131</v>
      </c>
      <c r="D1346" s="12">
        <v>46308</v>
      </c>
      <c r="E1346" s="11">
        <v>20</v>
      </c>
      <c r="F1346" s="11" t="s">
        <v>5849</v>
      </c>
      <c r="G1346">
        <v>20180401</v>
      </c>
      <c r="H1346" s="12">
        <v>46569</v>
      </c>
      <c r="I1346" s="11" t="s">
        <v>18</v>
      </c>
      <c r="J1346" s="72">
        <v>90395144</v>
      </c>
      <c r="K1346" s="99">
        <f>_xlfn.XLOOKUP(_2__ROI_Daily_Update[[#This Row],[CSM id]],SHP!F:F,SHP!EE:EE,"-")</f>
        <v>0</v>
      </c>
      <c r="L1346" s="12"/>
      <c r="N1346" s="11"/>
      <c r="P1346"/>
      <c r="Q1346"/>
      <c r="W1346" s="28"/>
      <c r="AA1346"/>
    </row>
    <row r="1347" spans="1:27" x14ac:dyDescent="0.45">
      <c r="A1347" s="57">
        <v>811</v>
      </c>
      <c r="B1347" t="s">
        <v>615</v>
      </c>
      <c r="C1347" t="s">
        <v>616</v>
      </c>
      <c r="D1347" s="12">
        <v>46308</v>
      </c>
      <c r="E1347" s="11">
        <v>12</v>
      </c>
      <c r="F1347" s="11" t="s">
        <v>5849</v>
      </c>
      <c r="G1347">
        <v>20250401</v>
      </c>
      <c r="I1347" s="11" t="s">
        <v>18</v>
      </c>
      <c r="J1347" s="72">
        <v>10592737</v>
      </c>
      <c r="K1347" s="99">
        <f>_xlfn.XLOOKUP(_2__ROI_Daily_Update[[#This Row],[CSM id]],SHP!F:F,SHP!EE:EE,"-")</f>
        <v>0</v>
      </c>
      <c r="L1347" s="12"/>
      <c r="N1347" s="11"/>
      <c r="P1347"/>
      <c r="Q1347"/>
      <c r="W1347" s="28"/>
      <c r="AA1347"/>
    </row>
    <row r="1348" spans="1:27" x14ac:dyDescent="0.45">
      <c r="A1348" s="57">
        <v>424</v>
      </c>
      <c r="B1348" t="s">
        <v>439</v>
      </c>
      <c r="C1348" t="s">
        <v>440</v>
      </c>
      <c r="D1348" s="12">
        <v>46308</v>
      </c>
      <c r="E1348" s="11">
        <v>26</v>
      </c>
      <c r="F1348" s="11" t="s">
        <v>5849</v>
      </c>
      <c r="G1348">
        <v>20190801</v>
      </c>
      <c r="I1348" s="11" t="s">
        <v>18</v>
      </c>
      <c r="J1348" s="72">
        <v>20431305</v>
      </c>
      <c r="K1348" s="99">
        <f>_xlfn.XLOOKUP(_2__ROI_Daily_Update[[#This Row],[CSM id]],SHP!F:F,SHP!EE:EE,"-")</f>
        <v>0</v>
      </c>
      <c r="L1348" s="12"/>
      <c r="N1348" s="11"/>
      <c r="P1348"/>
      <c r="Q1348"/>
      <c r="W1348" s="28"/>
      <c r="AA1348"/>
    </row>
    <row r="1349" spans="1:27" x14ac:dyDescent="0.45">
      <c r="A1349" s="57">
        <v>1836</v>
      </c>
      <c r="B1349" t="s">
        <v>3640</v>
      </c>
      <c r="C1349" t="s">
        <v>3641</v>
      </c>
      <c r="D1349" s="12">
        <v>46308</v>
      </c>
      <c r="E1349" s="11">
        <v>1200</v>
      </c>
      <c r="F1349" s="11" t="s">
        <v>5855</v>
      </c>
      <c r="G1349">
        <v>20261001</v>
      </c>
      <c r="I1349" s="11" t="s">
        <v>18</v>
      </c>
      <c r="J1349" s="72">
        <v>611114</v>
      </c>
      <c r="K1349" s="99">
        <f>_xlfn.XLOOKUP(_2__ROI_Daily_Update[[#This Row],[CSM id]],SHP!F:F,SHP!EE:EE,"-")</f>
        <v>0</v>
      </c>
      <c r="L1349" s="12"/>
      <c r="N1349" s="11"/>
      <c r="P1349"/>
      <c r="Q1349"/>
      <c r="W1349" s="28"/>
      <c r="AA1349"/>
    </row>
    <row r="1350" spans="1:27" x14ac:dyDescent="0.45">
      <c r="A1350" s="57">
        <v>761</v>
      </c>
      <c r="B1350" t="s">
        <v>556</v>
      </c>
      <c r="C1350" t="s">
        <v>557</v>
      </c>
      <c r="D1350" s="12">
        <v>46308</v>
      </c>
      <c r="E1350" s="11">
        <v>1056</v>
      </c>
      <c r="F1350" s="11" t="s">
        <v>5849</v>
      </c>
      <c r="G1350">
        <v>20250701</v>
      </c>
      <c r="I1350" s="11" t="s">
        <v>18</v>
      </c>
      <c r="J1350" s="72">
        <v>30601463</v>
      </c>
      <c r="K1350" s="99">
        <f>_xlfn.XLOOKUP(_2__ROI_Daily_Update[[#This Row],[CSM id]],SHP!F:F,SHP!EE:EE,"-")</f>
        <v>0</v>
      </c>
      <c r="L1350" s="12"/>
      <c r="N1350" s="11"/>
      <c r="P1350"/>
      <c r="Q1350"/>
      <c r="W1350" s="28"/>
      <c r="AA1350"/>
    </row>
    <row r="1351" spans="1:27" x14ac:dyDescent="0.45">
      <c r="A1351" s="57">
        <v>241</v>
      </c>
      <c r="B1351" t="s">
        <v>347</v>
      </c>
      <c r="C1351" t="s">
        <v>348</v>
      </c>
      <c r="D1351" s="12">
        <v>46308</v>
      </c>
      <c r="E1351" s="11">
        <v>14</v>
      </c>
      <c r="F1351" s="11" t="s">
        <v>5849</v>
      </c>
      <c r="G1351">
        <v>20221001</v>
      </c>
      <c r="I1351" s="11" t="s">
        <v>18</v>
      </c>
      <c r="J1351" s="72">
        <v>80530977</v>
      </c>
      <c r="K1351" s="99">
        <f>_xlfn.XLOOKUP(_2__ROI_Daily_Update[[#This Row],[CSM id]],SHP!F:F,SHP!EE:EE,"-")</f>
        <v>0</v>
      </c>
      <c r="L1351" s="12"/>
      <c r="N1351" s="11"/>
      <c r="P1351"/>
      <c r="Q1351"/>
      <c r="W1351" s="28"/>
      <c r="AA1351"/>
    </row>
    <row r="1352" spans="1:27" x14ac:dyDescent="0.45">
      <c r="A1352" s="57">
        <v>922</v>
      </c>
      <c r="B1352" t="s">
        <v>716</v>
      </c>
      <c r="C1352" t="s">
        <v>717</v>
      </c>
      <c r="D1352" s="12">
        <v>46308</v>
      </c>
      <c r="E1352" s="11">
        <v>192</v>
      </c>
      <c r="F1352" s="11" t="s">
        <v>5855</v>
      </c>
      <c r="G1352">
        <v>20190201</v>
      </c>
      <c r="I1352" s="11" t="s">
        <v>18</v>
      </c>
      <c r="J1352" s="72">
        <v>30421339</v>
      </c>
      <c r="K1352" s="99">
        <f>_xlfn.XLOOKUP(_2__ROI_Daily_Update[[#This Row],[CSM id]],SHP!F:F,SHP!EE:EE,"-")</f>
        <v>0</v>
      </c>
      <c r="L1352" s="12"/>
      <c r="N1352" s="11"/>
      <c r="P1352"/>
      <c r="Q1352"/>
      <c r="W1352" s="28"/>
      <c r="AA1352"/>
    </row>
    <row r="1353" spans="1:27" x14ac:dyDescent="0.45">
      <c r="A1353" s="57">
        <v>612</v>
      </c>
      <c r="B1353" t="s">
        <v>293</v>
      </c>
      <c r="C1353" t="s">
        <v>294</v>
      </c>
      <c r="D1353" s="12">
        <v>46308</v>
      </c>
      <c r="E1353" s="11">
        <v>56</v>
      </c>
      <c r="F1353" s="11" t="s">
        <v>5849</v>
      </c>
      <c r="G1353">
        <v>20250701</v>
      </c>
      <c r="I1353" s="11" t="s">
        <v>18</v>
      </c>
      <c r="J1353" s="72">
        <v>10613909</v>
      </c>
      <c r="K1353" s="99">
        <f>_xlfn.XLOOKUP(_2__ROI_Daily_Update[[#This Row],[CSM id]],SHP!F:F,SHP!EE:EE,"-")</f>
        <v>0</v>
      </c>
      <c r="L1353" s="12"/>
      <c r="N1353" s="11"/>
      <c r="P1353"/>
      <c r="Q1353"/>
      <c r="W1353" s="28"/>
      <c r="AA1353"/>
    </row>
    <row r="1354" spans="1:27" x14ac:dyDescent="0.45">
      <c r="A1354" s="57">
        <v>1882</v>
      </c>
      <c r="B1354" t="s">
        <v>3733</v>
      </c>
      <c r="C1354" t="s">
        <v>3734</v>
      </c>
      <c r="D1354" s="12">
        <v>46308</v>
      </c>
      <c r="E1354" s="11">
        <v>168</v>
      </c>
      <c r="F1354" s="11" t="s">
        <v>5849</v>
      </c>
      <c r="G1354">
        <v>20221001</v>
      </c>
      <c r="I1354" s="11" t="s">
        <v>18</v>
      </c>
      <c r="J1354" s="72">
        <v>20527096</v>
      </c>
      <c r="K1354" s="99">
        <f>_xlfn.XLOOKUP(_2__ROI_Daily_Update[[#This Row],[CSM id]],SHP!F:F,SHP!EE:EE,"-")</f>
        <v>0</v>
      </c>
      <c r="L1354" s="12"/>
      <c r="N1354" s="11"/>
      <c r="P1354"/>
      <c r="Q1354"/>
      <c r="W1354" s="28"/>
      <c r="AA1354"/>
    </row>
    <row r="1355" spans="1:27" x14ac:dyDescent="0.45">
      <c r="A1355" s="57">
        <v>341</v>
      </c>
      <c r="B1355" t="s">
        <v>372</v>
      </c>
      <c r="C1355" t="s">
        <v>373</v>
      </c>
      <c r="D1355" s="12">
        <v>46308</v>
      </c>
      <c r="E1355" s="11">
        <v>72</v>
      </c>
      <c r="F1355" s="11" t="s">
        <v>5849</v>
      </c>
      <c r="G1355">
        <v>20140801</v>
      </c>
      <c r="I1355" s="11" t="s">
        <v>18</v>
      </c>
      <c r="J1355" s="72">
        <v>70264304</v>
      </c>
      <c r="K1355" s="99">
        <f>_xlfn.XLOOKUP(_2__ROI_Daily_Update[[#This Row],[CSM id]],SHP!F:F,SHP!EE:EE,"-")</f>
        <v>0</v>
      </c>
      <c r="L1355" s="12"/>
      <c r="N1355" s="11"/>
      <c r="P1355"/>
      <c r="Q1355"/>
      <c r="W1355" s="28"/>
      <c r="AA1355"/>
    </row>
    <row r="1356" spans="1:27" x14ac:dyDescent="0.45">
      <c r="A1356" s="57">
        <v>612</v>
      </c>
      <c r="B1356" t="s">
        <v>498</v>
      </c>
      <c r="C1356" t="s">
        <v>499</v>
      </c>
      <c r="D1356" s="12">
        <v>46308</v>
      </c>
      <c r="E1356" s="11">
        <v>56</v>
      </c>
      <c r="F1356" s="11" t="s">
        <v>5849</v>
      </c>
      <c r="G1356">
        <v>20250701</v>
      </c>
      <c r="I1356" s="11" t="s">
        <v>18</v>
      </c>
      <c r="J1356" s="72">
        <v>30613908</v>
      </c>
      <c r="K1356" s="99">
        <f>_xlfn.XLOOKUP(_2__ROI_Daily_Update[[#This Row],[CSM id]],SHP!F:F,SHP!EE:EE,"-")</f>
        <v>0</v>
      </c>
      <c r="L1356" s="12"/>
      <c r="N1356" s="11"/>
      <c r="P1356"/>
      <c r="Q1356"/>
      <c r="W1356" s="28"/>
      <c r="AA1356"/>
    </row>
    <row r="1357" spans="1:27" x14ac:dyDescent="0.45">
      <c r="A1357" s="57">
        <v>215</v>
      </c>
      <c r="B1357" t="s">
        <v>42</v>
      </c>
      <c r="C1357" t="s">
        <v>43</v>
      </c>
      <c r="D1357" s="12">
        <v>46308</v>
      </c>
      <c r="E1357" s="11">
        <v>20</v>
      </c>
      <c r="F1357" s="11" t="s">
        <v>5849</v>
      </c>
      <c r="G1357">
        <v>20251001</v>
      </c>
      <c r="I1357" s="11" t="s">
        <v>18</v>
      </c>
      <c r="J1357" s="72">
        <v>628930</v>
      </c>
      <c r="K1357" s="99">
        <f>_xlfn.XLOOKUP(_2__ROI_Daily_Update[[#This Row],[CSM id]],SHP!F:F,SHP!EE:EE,"-")</f>
        <v>0</v>
      </c>
      <c r="L1357" s="12"/>
      <c r="N1357" s="11"/>
      <c r="P1357"/>
      <c r="Q1357"/>
      <c r="W1357" s="28"/>
      <c r="AA1357"/>
    </row>
    <row r="1358" spans="1:27" x14ac:dyDescent="0.45">
      <c r="A1358" s="57">
        <v>612</v>
      </c>
      <c r="B1358" t="s">
        <v>483</v>
      </c>
      <c r="C1358" t="s">
        <v>484</v>
      </c>
      <c r="D1358" s="12">
        <v>46308</v>
      </c>
      <c r="E1358" s="11">
        <v>33</v>
      </c>
      <c r="F1358" s="11" t="s">
        <v>5849</v>
      </c>
      <c r="G1358">
        <v>20150101</v>
      </c>
      <c r="I1358" s="11" t="s">
        <v>18</v>
      </c>
      <c r="J1358" s="72">
        <v>50243968</v>
      </c>
      <c r="K1358" s="99">
        <f>_xlfn.XLOOKUP(_2__ROI_Daily_Update[[#This Row],[CSM id]],SHP!F:F,SHP!EE:EE,"-")</f>
        <v>0</v>
      </c>
      <c r="L1358" s="12"/>
      <c r="N1358" s="11"/>
      <c r="P1358"/>
      <c r="Q1358"/>
      <c r="W1358" s="28"/>
      <c r="AA1358"/>
    </row>
    <row r="1359" spans="1:27" x14ac:dyDescent="0.45">
      <c r="A1359" s="57">
        <v>612</v>
      </c>
      <c r="B1359" t="s">
        <v>496</v>
      </c>
      <c r="C1359" t="s">
        <v>497</v>
      </c>
      <c r="D1359" s="12">
        <v>46308</v>
      </c>
      <c r="E1359" s="11">
        <v>120</v>
      </c>
      <c r="F1359" s="11" t="s">
        <v>5849</v>
      </c>
      <c r="G1359">
        <v>20250401</v>
      </c>
      <c r="I1359" s="11" t="s">
        <v>18</v>
      </c>
      <c r="J1359" s="72">
        <v>10594944</v>
      </c>
      <c r="K1359" s="99">
        <f>_xlfn.XLOOKUP(_2__ROI_Daily_Update[[#This Row],[CSM id]],SHP!F:F,SHP!EE:EE,"-")</f>
        <v>0</v>
      </c>
      <c r="L1359" s="12"/>
      <c r="N1359" s="11"/>
      <c r="P1359"/>
      <c r="Q1359"/>
      <c r="W1359" s="28"/>
      <c r="AA1359"/>
    </row>
    <row r="1360" spans="1:27" x14ac:dyDescent="0.45">
      <c r="A1360" s="57">
        <v>341</v>
      </c>
      <c r="B1360" t="s">
        <v>52</v>
      </c>
      <c r="C1360" t="s">
        <v>53</v>
      </c>
      <c r="D1360" s="12">
        <v>46308</v>
      </c>
      <c r="E1360" s="11">
        <v>6</v>
      </c>
      <c r="F1360" s="11" t="s">
        <v>5849</v>
      </c>
      <c r="G1360">
        <v>20170401</v>
      </c>
      <c r="H1360" s="12">
        <v>46478</v>
      </c>
      <c r="I1360" s="11" t="s">
        <v>18</v>
      </c>
      <c r="J1360" s="72">
        <v>20354284</v>
      </c>
      <c r="K1360" s="99">
        <f>_xlfn.XLOOKUP(_2__ROI_Daily_Update[[#This Row],[CSM id]],SHP!F:F,SHP!EE:EE,"-")</f>
        <v>0</v>
      </c>
      <c r="L1360" s="12"/>
      <c r="N1360" s="11"/>
      <c r="P1360"/>
      <c r="Q1360"/>
      <c r="W1360" s="28"/>
      <c r="AA1360"/>
    </row>
    <row r="1361" spans="1:27" x14ac:dyDescent="0.45">
      <c r="A1361" s="57">
        <v>612</v>
      </c>
      <c r="B1361" t="s">
        <v>500</v>
      </c>
      <c r="C1361" t="s">
        <v>501</v>
      </c>
      <c r="D1361" s="12">
        <v>46308</v>
      </c>
      <c r="E1361" s="11">
        <v>120</v>
      </c>
      <c r="F1361" s="11" t="s">
        <v>5849</v>
      </c>
      <c r="G1361">
        <v>20250401</v>
      </c>
      <c r="I1361" s="11" t="s">
        <v>18</v>
      </c>
      <c r="J1361" s="72">
        <v>50574430</v>
      </c>
      <c r="K1361" s="99">
        <f>_xlfn.XLOOKUP(_2__ROI_Daily_Update[[#This Row],[CSM id]],SHP!F:F,SHP!EE:EE,"-")</f>
        <v>0</v>
      </c>
      <c r="L1361" s="12"/>
      <c r="N1361" s="11"/>
      <c r="P1361"/>
      <c r="Q1361"/>
      <c r="W1361" s="28"/>
      <c r="AA1361"/>
    </row>
    <row r="1362" spans="1:27" x14ac:dyDescent="0.45">
      <c r="A1362" s="57">
        <v>821</v>
      </c>
      <c r="B1362" t="s">
        <v>639</v>
      </c>
      <c r="C1362" t="s">
        <v>640</v>
      </c>
      <c r="D1362" s="12">
        <v>46308</v>
      </c>
      <c r="E1362" s="11">
        <v>32</v>
      </c>
      <c r="F1362" s="11" t="s">
        <v>5849</v>
      </c>
      <c r="G1362">
        <v>20220701</v>
      </c>
      <c r="I1362" s="11" t="s">
        <v>18</v>
      </c>
      <c r="J1362" s="72">
        <v>70530628</v>
      </c>
      <c r="K1362" s="99">
        <f>_xlfn.XLOOKUP(_2__ROI_Daily_Update[[#This Row],[CSM id]],SHP!F:F,SHP!EE:EE,"-")</f>
        <v>0</v>
      </c>
      <c r="L1362" s="12"/>
      <c r="N1362" s="11"/>
      <c r="P1362"/>
      <c r="Q1362"/>
      <c r="W1362" s="28"/>
      <c r="AA1362"/>
    </row>
    <row r="1363" spans="1:27" x14ac:dyDescent="0.45">
      <c r="A1363" s="57">
        <v>352</v>
      </c>
      <c r="B1363" t="s">
        <v>54</v>
      </c>
      <c r="C1363" t="s">
        <v>55</v>
      </c>
      <c r="D1363" s="12">
        <v>46308</v>
      </c>
      <c r="E1363" s="11">
        <v>4</v>
      </c>
      <c r="F1363" s="11" t="s">
        <v>5849</v>
      </c>
      <c r="G1363">
        <v>20181001</v>
      </c>
      <c r="I1363" s="11" t="s">
        <v>18</v>
      </c>
      <c r="J1363" s="72">
        <v>60320225</v>
      </c>
      <c r="K1363" s="99">
        <f>_xlfn.XLOOKUP(_2__ROI_Daily_Update[[#This Row],[CSM id]],SHP!F:F,SHP!EE:EE,"-")</f>
        <v>0</v>
      </c>
      <c r="L1363" s="12"/>
      <c r="N1363" s="11"/>
      <c r="P1363"/>
      <c r="Q1363"/>
      <c r="W1363" s="28"/>
      <c r="AA1363"/>
    </row>
    <row r="1364" spans="1:27" x14ac:dyDescent="0.45">
      <c r="A1364" s="57">
        <v>1852</v>
      </c>
      <c r="B1364" t="s">
        <v>3682</v>
      </c>
      <c r="C1364" t="s">
        <v>3683</v>
      </c>
      <c r="D1364" s="12">
        <v>46308</v>
      </c>
      <c r="E1364" s="11">
        <v>124</v>
      </c>
      <c r="F1364" s="11" t="s">
        <v>5855</v>
      </c>
      <c r="G1364">
        <v>20210701</v>
      </c>
      <c r="I1364" s="11" t="s">
        <v>18</v>
      </c>
      <c r="J1364" s="72">
        <v>30503863</v>
      </c>
      <c r="K1364" s="99">
        <f>_xlfn.XLOOKUP(_2__ROI_Daily_Update[[#This Row],[CSM id]],SHP!F:F,SHP!EE:EE,"-")</f>
        <v>0</v>
      </c>
      <c r="L1364" s="12"/>
      <c r="N1364" s="11"/>
      <c r="P1364"/>
      <c r="Q1364"/>
      <c r="W1364" s="28"/>
      <c r="AA1364"/>
    </row>
    <row r="1365" spans="1:27" x14ac:dyDescent="0.45">
      <c r="A1365" s="57">
        <v>782</v>
      </c>
      <c r="B1365" t="s">
        <v>609</v>
      </c>
      <c r="C1365" t="s">
        <v>610</v>
      </c>
      <c r="D1365" s="12">
        <v>46308</v>
      </c>
      <c r="E1365" s="11">
        <v>60</v>
      </c>
      <c r="F1365" s="11" t="s">
        <v>5849</v>
      </c>
      <c r="G1365">
        <v>20200801</v>
      </c>
      <c r="I1365" s="11" t="s">
        <v>32</v>
      </c>
      <c r="J1365" s="72">
        <v>90465735</v>
      </c>
      <c r="K1365" s="99">
        <f>_xlfn.XLOOKUP(_2__ROI_Daily_Update[[#This Row],[CSM id]],SHP!F:F,SHP!EE:EE,"-")</f>
        <v>0</v>
      </c>
      <c r="L1365" s="12"/>
      <c r="N1365" s="11"/>
      <c r="P1365"/>
      <c r="Q1365"/>
      <c r="W1365" s="28"/>
      <c r="AA1365"/>
    </row>
    <row r="1366" spans="1:27" x14ac:dyDescent="0.45">
      <c r="A1366" s="57">
        <v>352</v>
      </c>
      <c r="B1366" t="s">
        <v>398</v>
      </c>
      <c r="C1366" t="s">
        <v>399</v>
      </c>
      <c r="D1366" s="12">
        <v>46308</v>
      </c>
      <c r="E1366" s="11">
        <v>11</v>
      </c>
      <c r="F1366" s="11" t="s">
        <v>5849</v>
      </c>
      <c r="G1366">
        <v>20220401</v>
      </c>
      <c r="I1366" s="11" t="s">
        <v>18</v>
      </c>
      <c r="J1366" s="72">
        <v>90521859</v>
      </c>
      <c r="K1366" s="99">
        <f>_xlfn.XLOOKUP(_2__ROI_Daily_Update[[#This Row],[CSM id]],SHP!F:F,SHP!EE:EE,"-")</f>
        <v>0</v>
      </c>
      <c r="L1366" s="12"/>
      <c r="N1366" s="11"/>
      <c r="P1366"/>
      <c r="Q1366"/>
      <c r="W1366" s="28"/>
      <c r="AA1366"/>
    </row>
    <row r="1367" spans="1:27" x14ac:dyDescent="0.45">
      <c r="A1367" s="57">
        <v>761</v>
      </c>
      <c r="B1367" t="s">
        <v>542</v>
      </c>
      <c r="C1367" t="s">
        <v>543</v>
      </c>
      <c r="D1367" s="12">
        <v>46308</v>
      </c>
      <c r="E1367" s="11">
        <v>28</v>
      </c>
      <c r="F1367" s="11" t="s">
        <v>5849</v>
      </c>
      <c r="G1367">
        <v>20150601</v>
      </c>
      <c r="I1367" s="11" t="s">
        <v>18</v>
      </c>
      <c r="J1367" s="72">
        <v>295813</v>
      </c>
      <c r="K1367" s="99">
        <f>_xlfn.XLOOKUP(_2__ROI_Daily_Update[[#This Row],[CSM id]],SHP!F:F,SHP!EE:EE,"-")</f>
        <v>0</v>
      </c>
      <c r="L1367" s="12"/>
      <c r="N1367" s="11"/>
      <c r="P1367"/>
      <c r="Q1367"/>
      <c r="W1367" s="28"/>
      <c r="AA1367"/>
    </row>
    <row r="1368" spans="1:27" x14ac:dyDescent="0.45">
      <c r="A1368" s="57">
        <v>972</v>
      </c>
      <c r="B1368" t="s">
        <v>893</v>
      </c>
      <c r="C1368" t="s">
        <v>894</v>
      </c>
      <c r="D1368" s="12">
        <v>46308</v>
      </c>
      <c r="E1368" s="11">
        <v>18</v>
      </c>
      <c r="F1368" s="11" t="s">
        <v>5855</v>
      </c>
      <c r="G1368">
        <v>20261001</v>
      </c>
      <c r="I1368" s="11" t="s">
        <v>18</v>
      </c>
      <c r="J1368" s="72">
        <v>70620884</v>
      </c>
      <c r="K1368" s="99">
        <f>_xlfn.XLOOKUP(_2__ROI_Daily_Update[[#This Row],[CSM id]],SHP!F:F,SHP!EE:EE,"-")</f>
        <v>0</v>
      </c>
      <c r="L1368" s="12"/>
      <c r="N1368" s="11"/>
      <c r="P1368"/>
      <c r="Q1368"/>
      <c r="W1368" s="28"/>
      <c r="AA1368"/>
    </row>
    <row r="1369" spans="1:27" x14ac:dyDescent="0.45">
      <c r="A1369" s="57">
        <v>435</v>
      </c>
      <c r="B1369" t="s">
        <v>38</v>
      </c>
      <c r="C1369" t="s">
        <v>39</v>
      </c>
      <c r="D1369" s="12">
        <v>46308</v>
      </c>
      <c r="E1369" s="11">
        <v>42</v>
      </c>
      <c r="F1369" s="11" t="s">
        <v>5849</v>
      </c>
      <c r="G1369">
        <v>20221001</v>
      </c>
      <c r="I1369" s="11" t="s">
        <v>18</v>
      </c>
      <c r="J1369" s="72">
        <v>70530987</v>
      </c>
      <c r="K1369" s="99">
        <f>_xlfn.XLOOKUP(_2__ROI_Daily_Update[[#This Row],[CSM id]],SHP!F:F,SHP!EE:EE,"-")</f>
        <v>0</v>
      </c>
      <c r="L1369" s="12"/>
      <c r="N1369" s="11"/>
      <c r="P1369"/>
      <c r="Q1369"/>
      <c r="W1369" s="28"/>
      <c r="AA1369"/>
    </row>
    <row r="1370" spans="1:27" x14ac:dyDescent="0.45">
      <c r="A1370" s="57">
        <v>131</v>
      </c>
      <c r="B1370" t="s">
        <v>203</v>
      </c>
      <c r="C1370" t="s">
        <v>204</v>
      </c>
      <c r="D1370" s="12">
        <v>46308</v>
      </c>
      <c r="E1370" s="11">
        <v>13</v>
      </c>
      <c r="F1370" s="11" t="s">
        <v>5855</v>
      </c>
      <c r="G1370">
        <v>20170801</v>
      </c>
      <c r="I1370" s="11" t="s">
        <v>18</v>
      </c>
      <c r="J1370" s="72">
        <v>90353078</v>
      </c>
      <c r="K1370" s="99">
        <f>_xlfn.XLOOKUP(_2__ROI_Daily_Update[[#This Row],[CSM id]],SHP!F:F,SHP!EE:EE,"-")</f>
        <v>0</v>
      </c>
      <c r="L1370" s="12"/>
      <c r="N1370" s="11"/>
      <c r="P1370"/>
      <c r="Q1370"/>
      <c r="W1370" s="28"/>
      <c r="AA1370"/>
    </row>
    <row r="1371" spans="1:27" x14ac:dyDescent="0.45">
      <c r="A1371" s="57">
        <v>341</v>
      </c>
      <c r="B1371" t="s">
        <v>34</v>
      </c>
      <c r="C1371" t="s">
        <v>35</v>
      </c>
      <c r="D1371" s="12">
        <v>46308</v>
      </c>
      <c r="E1371" s="11">
        <v>140</v>
      </c>
      <c r="F1371" s="11" t="s">
        <v>5849</v>
      </c>
      <c r="G1371">
        <v>20140801</v>
      </c>
      <c r="I1371" s="11" t="s">
        <v>18</v>
      </c>
      <c r="J1371" s="72">
        <v>80217977</v>
      </c>
      <c r="K1371" s="99">
        <f>_xlfn.XLOOKUP(_2__ROI_Daily_Update[[#This Row],[CSM id]],SHP!F:F,SHP!EE:EE,"-")</f>
        <v>0</v>
      </c>
      <c r="L1371" s="12"/>
      <c r="N1371" s="11"/>
      <c r="P1371"/>
      <c r="Q1371"/>
      <c r="W1371" s="28"/>
      <c r="AA1371"/>
    </row>
    <row r="1372" spans="1:27" x14ac:dyDescent="0.45">
      <c r="A1372" s="57">
        <v>1852</v>
      </c>
      <c r="B1372" t="s">
        <v>3676</v>
      </c>
      <c r="C1372" t="s">
        <v>3677</v>
      </c>
      <c r="D1372" s="12">
        <v>46308</v>
      </c>
      <c r="E1372" s="11">
        <v>35</v>
      </c>
      <c r="F1372" s="11" t="s">
        <v>5849</v>
      </c>
      <c r="G1372">
        <v>20240101</v>
      </c>
      <c r="I1372" s="11" t="s">
        <v>18</v>
      </c>
      <c r="J1372" s="72">
        <v>20559978</v>
      </c>
      <c r="K1372" s="99">
        <f>_xlfn.XLOOKUP(_2__ROI_Daily_Update[[#This Row],[CSM id]],SHP!F:F,SHP!EE:EE,"-")</f>
        <v>0</v>
      </c>
      <c r="L1372" s="12"/>
      <c r="N1372" s="11"/>
      <c r="P1372"/>
      <c r="Q1372"/>
      <c r="W1372" s="28"/>
      <c r="AA1372"/>
    </row>
    <row r="1373" spans="1:27" x14ac:dyDescent="0.45">
      <c r="A1373" s="57">
        <v>973</v>
      </c>
      <c r="B1373" t="s">
        <v>917</v>
      </c>
      <c r="C1373" t="s">
        <v>918</v>
      </c>
      <c r="D1373" s="12">
        <v>46308</v>
      </c>
      <c r="E1373" s="11">
        <v>154</v>
      </c>
      <c r="F1373" s="11" t="s">
        <v>5849</v>
      </c>
      <c r="G1373">
        <v>20190801</v>
      </c>
      <c r="I1373" s="11" t="s">
        <v>18</v>
      </c>
      <c r="J1373" s="72">
        <v>80461083</v>
      </c>
      <c r="K1373" s="99">
        <f>_xlfn.XLOOKUP(_2__ROI_Daily_Update[[#This Row],[CSM id]],SHP!F:F,SHP!EE:EE,"-")</f>
        <v>0</v>
      </c>
      <c r="L1373" s="12"/>
      <c r="N1373" s="11"/>
      <c r="P1373"/>
      <c r="Q1373"/>
      <c r="W1373" s="28"/>
      <c r="AA1373"/>
    </row>
    <row r="1374" spans="1:27" x14ac:dyDescent="0.45">
      <c r="A1374" s="57">
        <v>214</v>
      </c>
      <c r="B1374" t="s">
        <v>240</v>
      </c>
      <c r="C1374" t="s">
        <v>241</v>
      </c>
      <c r="D1374" s="12">
        <v>46310</v>
      </c>
      <c r="E1374" s="11">
        <v>42</v>
      </c>
      <c r="F1374" s="11" t="s">
        <v>5684</v>
      </c>
      <c r="G1374">
        <v>20240401</v>
      </c>
      <c r="I1374" s="11" t="s">
        <v>32</v>
      </c>
      <c r="J1374" s="72">
        <v>522047</v>
      </c>
      <c r="K1374" s="99">
        <f>_xlfn.XLOOKUP(_2__ROI_Daily_Update[[#This Row],[CSM id]],SHP!F:F,SHP!EE:EE,"-")</f>
        <v>0</v>
      </c>
      <c r="L1374" s="12"/>
      <c r="N1374" s="11"/>
      <c r="P1374"/>
      <c r="Q1374"/>
      <c r="W1374" s="28"/>
      <c r="AA1374"/>
    </row>
    <row r="1375" spans="1:27" x14ac:dyDescent="0.45">
      <c r="A1375" s="57">
        <v>921</v>
      </c>
      <c r="B1375" t="s">
        <v>696</v>
      </c>
      <c r="C1375" t="s">
        <v>697</v>
      </c>
      <c r="D1375" s="12">
        <v>46310</v>
      </c>
      <c r="E1375" s="11">
        <v>26</v>
      </c>
      <c r="F1375" s="11" t="s">
        <v>5684</v>
      </c>
      <c r="G1375">
        <v>20170401</v>
      </c>
      <c r="I1375" s="11" t="s">
        <v>32</v>
      </c>
      <c r="J1375" s="72">
        <v>60351434</v>
      </c>
      <c r="K1375" s="99">
        <f>_xlfn.XLOOKUP(_2__ROI_Daily_Update[[#This Row],[CSM id]],SHP!F:F,SHP!EE:EE,"-")</f>
        <v>0</v>
      </c>
      <c r="L1375" s="12"/>
      <c r="N1375" s="11"/>
      <c r="P1375"/>
      <c r="Q1375"/>
      <c r="W1375" s="28"/>
      <c r="AA1375"/>
    </row>
    <row r="1376" spans="1:27" x14ac:dyDescent="0.45">
      <c r="A1376" s="57">
        <v>824</v>
      </c>
      <c r="B1376" t="s">
        <v>672</v>
      </c>
      <c r="C1376" t="s">
        <v>673</v>
      </c>
      <c r="D1376" s="12">
        <v>46310</v>
      </c>
      <c r="E1376" s="11">
        <v>24</v>
      </c>
      <c r="F1376" s="11" t="s">
        <v>667</v>
      </c>
      <c r="G1376">
        <v>20231001</v>
      </c>
      <c r="I1376" s="11" t="s">
        <v>32</v>
      </c>
      <c r="J1376" s="72">
        <v>80566749</v>
      </c>
      <c r="K1376" s="99">
        <f>_xlfn.XLOOKUP(_2__ROI_Daily_Update[[#This Row],[CSM id]],SHP!F:F,SHP!EE:EE,"-")</f>
        <v>0</v>
      </c>
      <c r="L1376" s="12"/>
      <c r="N1376" s="11"/>
      <c r="P1376"/>
      <c r="Q1376"/>
      <c r="W1376" s="28"/>
      <c r="AA1376"/>
    </row>
    <row r="1377" spans="1:27" x14ac:dyDescent="0.45">
      <c r="A1377" s="57">
        <v>824</v>
      </c>
      <c r="B1377" t="s">
        <v>665</v>
      </c>
      <c r="C1377" t="s">
        <v>666</v>
      </c>
      <c r="D1377" s="12">
        <v>46310</v>
      </c>
      <c r="E1377" s="11">
        <v>6</v>
      </c>
      <c r="F1377" s="11" t="s">
        <v>667</v>
      </c>
      <c r="G1377">
        <v>20261001</v>
      </c>
      <c r="I1377" s="11" t="s">
        <v>32</v>
      </c>
      <c r="J1377" s="72">
        <v>30628207</v>
      </c>
      <c r="K1377" s="99">
        <f>_xlfn.XLOOKUP(_2__ROI_Daily_Update[[#This Row],[CSM id]],SHP!F:F,SHP!EE:EE,"-")</f>
        <v>0</v>
      </c>
      <c r="L1377" s="12"/>
      <c r="N1377" s="11"/>
      <c r="P1377"/>
      <c r="Q1377"/>
      <c r="W1377" s="28"/>
      <c r="AA1377"/>
    </row>
    <row r="1378" spans="1:27" x14ac:dyDescent="0.45">
      <c r="A1378" s="57">
        <v>217</v>
      </c>
      <c r="B1378" t="s">
        <v>303</v>
      </c>
      <c r="C1378" t="s">
        <v>304</v>
      </c>
      <c r="D1378" s="12">
        <v>46311</v>
      </c>
      <c r="E1378" s="11">
        <v>20</v>
      </c>
      <c r="F1378" s="11" t="s">
        <v>5476</v>
      </c>
      <c r="G1378">
        <v>20220701</v>
      </c>
      <c r="I1378" s="11" t="s">
        <v>32</v>
      </c>
      <c r="J1378" s="72">
        <v>483263</v>
      </c>
      <c r="K1378" s="99">
        <f>_xlfn.XLOOKUP(_2__ROI_Daily_Update[[#This Row],[CSM id]],SHP!F:F,SHP!EE:EE,"-")</f>
        <v>0</v>
      </c>
      <c r="L1378" s="12"/>
      <c r="N1378" s="11"/>
      <c r="P1378"/>
      <c r="Q1378"/>
      <c r="W1378" s="28"/>
      <c r="AA1378"/>
    </row>
    <row r="1379" spans="1:27" x14ac:dyDescent="0.45">
      <c r="A1379" s="57">
        <v>972</v>
      </c>
      <c r="B1379" t="s">
        <v>869</v>
      </c>
      <c r="C1379" t="s">
        <v>870</v>
      </c>
      <c r="D1379" s="12">
        <v>46311</v>
      </c>
      <c r="E1379" s="11">
        <v>272</v>
      </c>
      <c r="F1379" s="11" t="s">
        <v>5322</v>
      </c>
      <c r="G1379">
        <v>20140801</v>
      </c>
      <c r="I1379" s="11" t="s">
        <v>32</v>
      </c>
      <c r="J1379" s="72">
        <v>20262005</v>
      </c>
      <c r="K1379" s="99">
        <f>_xlfn.XLOOKUP(_2__ROI_Daily_Update[[#This Row],[CSM id]],SHP!F:F,SHP!EE:EE,"-")</f>
        <v>0</v>
      </c>
      <c r="L1379" s="12"/>
      <c r="N1379" s="11"/>
      <c r="P1379"/>
      <c r="Q1379"/>
      <c r="W1379" s="28"/>
      <c r="AA1379"/>
    </row>
    <row r="1380" spans="1:27" x14ac:dyDescent="0.45">
      <c r="A1380" s="57">
        <v>971</v>
      </c>
      <c r="B1380" t="s">
        <v>821</v>
      </c>
      <c r="C1380" t="s">
        <v>822</v>
      </c>
      <c r="D1380" s="12">
        <v>46311</v>
      </c>
      <c r="E1380" s="11">
        <v>32</v>
      </c>
      <c r="F1380" s="11" t="s">
        <v>5322</v>
      </c>
      <c r="G1380">
        <v>20171001</v>
      </c>
      <c r="I1380" s="11" t="s">
        <v>32</v>
      </c>
      <c r="J1380" s="72">
        <v>10373589</v>
      </c>
      <c r="K1380" s="99">
        <f>_xlfn.XLOOKUP(_2__ROI_Daily_Update[[#This Row],[CSM id]],SHP!F:F,SHP!EE:EE,"-")</f>
        <v>0</v>
      </c>
      <c r="L1380" s="12"/>
      <c r="N1380" s="11"/>
      <c r="P1380"/>
      <c r="Q1380"/>
      <c r="W1380" s="28"/>
      <c r="AA1380"/>
    </row>
    <row r="1381" spans="1:27" x14ac:dyDescent="0.45">
      <c r="A1381" s="57">
        <v>971</v>
      </c>
      <c r="B1381" t="s">
        <v>816</v>
      </c>
      <c r="C1381" t="s">
        <v>817</v>
      </c>
      <c r="D1381" s="12">
        <v>46311</v>
      </c>
      <c r="E1381" s="11">
        <v>320</v>
      </c>
      <c r="F1381" s="11" t="s">
        <v>5322</v>
      </c>
      <c r="G1381">
        <v>20261001</v>
      </c>
      <c r="I1381" s="11" t="s">
        <v>32</v>
      </c>
      <c r="J1381" s="72">
        <v>620608</v>
      </c>
      <c r="K1381" s="99">
        <f>_xlfn.XLOOKUP(_2__ROI_Daily_Update[[#This Row],[CSM id]],SHP!F:F,SHP!EE:EE,"-")</f>
        <v>0</v>
      </c>
      <c r="L1381" s="12"/>
      <c r="N1381" s="11"/>
      <c r="P1381"/>
      <c r="Q1381"/>
      <c r="W1381" s="28"/>
      <c r="AA1381"/>
    </row>
    <row r="1382" spans="1:27" x14ac:dyDescent="0.45">
      <c r="A1382" s="57">
        <v>971</v>
      </c>
      <c r="B1382" t="s">
        <v>825</v>
      </c>
      <c r="C1382" t="s">
        <v>826</v>
      </c>
      <c r="D1382" s="12">
        <v>46311</v>
      </c>
      <c r="E1382" s="11">
        <v>192</v>
      </c>
      <c r="F1382" s="11" t="s">
        <v>5322</v>
      </c>
      <c r="G1382">
        <v>20261001</v>
      </c>
      <c r="I1382" s="11" t="s">
        <v>32</v>
      </c>
      <c r="J1382" s="72">
        <v>10620622</v>
      </c>
      <c r="K1382" s="99">
        <f>_xlfn.XLOOKUP(_2__ROI_Daily_Update[[#This Row],[CSM id]],SHP!F:F,SHP!EE:EE,"-")</f>
        <v>0</v>
      </c>
      <c r="L1382" s="12"/>
      <c r="N1382" s="11"/>
      <c r="P1382"/>
      <c r="Q1382"/>
      <c r="W1382" s="28"/>
      <c r="AA1382"/>
    </row>
    <row r="1383" spans="1:27" x14ac:dyDescent="0.45">
      <c r="A1383" s="57">
        <v>214</v>
      </c>
      <c r="B1383" t="s">
        <v>251</v>
      </c>
      <c r="C1383" t="s">
        <v>252</v>
      </c>
      <c r="D1383" s="12">
        <v>46311</v>
      </c>
      <c r="E1383" s="11">
        <v>70</v>
      </c>
      <c r="F1383" s="11" t="s">
        <v>5476</v>
      </c>
      <c r="G1383">
        <v>20140801</v>
      </c>
      <c r="I1383" s="11" t="s">
        <v>32</v>
      </c>
      <c r="J1383" s="72">
        <v>60275685</v>
      </c>
      <c r="K1383" s="99">
        <f>_xlfn.XLOOKUP(_2__ROI_Daily_Update[[#This Row],[CSM id]],SHP!F:F,SHP!EE:EE,"-")</f>
        <v>0</v>
      </c>
      <c r="L1383" s="12"/>
      <c r="N1383" s="11"/>
      <c r="P1383"/>
      <c r="Q1383"/>
      <c r="W1383" s="28"/>
      <c r="AA1383"/>
    </row>
    <row r="1384" spans="1:27" x14ac:dyDescent="0.45">
      <c r="A1384" s="57">
        <v>971</v>
      </c>
      <c r="B1384" t="s">
        <v>827</v>
      </c>
      <c r="C1384" t="s">
        <v>828</v>
      </c>
      <c r="D1384" s="12">
        <v>46311</v>
      </c>
      <c r="E1384" s="11">
        <v>20</v>
      </c>
      <c r="F1384" s="11" t="s">
        <v>5322</v>
      </c>
      <c r="G1384">
        <v>20180801</v>
      </c>
      <c r="I1384" s="11" t="s">
        <v>32</v>
      </c>
      <c r="J1384" s="72">
        <v>20402831</v>
      </c>
      <c r="K1384" s="99">
        <f>_xlfn.XLOOKUP(_2__ROI_Daily_Update[[#This Row],[CSM id]],SHP!F:F,SHP!EE:EE,"-")</f>
        <v>0</v>
      </c>
      <c r="L1384" s="12"/>
      <c r="N1384" s="11"/>
      <c r="P1384"/>
      <c r="Q1384"/>
      <c r="W1384" s="28"/>
      <c r="AA1384"/>
    </row>
    <row r="1385" spans="1:27" x14ac:dyDescent="0.45">
      <c r="A1385" s="57">
        <v>971</v>
      </c>
      <c r="B1385" t="s">
        <v>845</v>
      </c>
      <c r="C1385" t="s">
        <v>846</v>
      </c>
      <c r="D1385" s="12">
        <v>46311</v>
      </c>
      <c r="E1385" s="11">
        <v>72</v>
      </c>
      <c r="F1385" s="11" t="s">
        <v>5322</v>
      </c>
      <c r="G1385">
        <v>20171001</v>
      </c>
      <c r="I1385" s="11" t="s">
        <v>32</v>
      </c>
      <c r="J1385" s="72">
        <v>50373592</v>
      </c>
      <c r="K1385" s="99">
        <f>_xlfn.XLOOKUP(_2__ROI_Daily_Update[[#This Row],[CSM id]],SHP!F:F,SHP!EE:EE,"-")</f>
        <v>0</v>
      </c>
      <c r="L1385" s="12"/>
      <c r="N1385" s="11"/>
      <c r="P1385"/>
      <c r="Q1385"/>
      <c r="W1385" s="28"/>
      <c r="AA1385"/>
    </row>
    <row r="1386" spans="1:27" x14ac:dyDescent="0.45">
      <c r="A1386" s="57">
        <v>971</v>
      </c>
      <c r="B1386" t="s">
        <v>837</v>
      </c>
      <c r="C1386" t="s">
        <v>838</v>
      </c>
      <c r="D1386" s="12">
        <v>46311</v>
      </c>
      <c r="E1386" s="11">
        <v>320</v>
      </c>
      <c r="F1386" s="11" t="s">
        <v>5322</v>
      </c>
      <c r="G1386">
        <v>20231201</v>
      </c>
      <c r="I1386" s="11" t="s">
        <v>32</v>
      </c>
      <c r="J1386" s="72">
        <v>30578537</v>
      </c>
      <c r="K1386" s="99">
        <f>_xlfn.XLOOKUP(_2__ROI_Daily_Update[[#This Row],[CSM id]],SHP!F:F,SHP!EE:EE,"-")</f>
        <v>0</v>
      </c>
      <c r="L1386" s="12"/>
      <c r="N1386" s="11"/>
      <c r="P1386"/>
      <c r="Q1386"/>
      <c r="W1386" s="28"/>
      <c r="AA1386"/>
    </row>
    <row r="1387" spans="1:27" x14ac:dyDescent="0.45">
      <c r="A1387" s="57">
        <v>971</v>
      </c>
      <c r="B1387" t="s">
        <v>849</v>
      </c>
      <c r="C1387" t="s">
        <v>850</v>
      </c>
      <c r="D1387" s="12">
        <v>46311</v>
      </c>
      <c r="E1387" s="11">
        <v>128</v>
      </c>
      <c r="F1387" s="11" t="s">
        <v>5322</v>
      </c>
      <c r="G1387">
        <v>20261001</v>
      </c>
      <c r="I1387" s="11" t="s">
        <v>32</v>
      </c>
      <c r="J1387" s="72">
        <v>60620634</v>
      </c>
      <c r="K1387" s="99">
        <f>_xlfn.XLOOKUP(_2__ROI_Daily_Update[[#This Row],[CSM id]],SHP!F:F,SHP!EE:EE,"-")</f>
        <v>0</v>
      </c>
      <c r="L1387" s="12"/>
      <c r="N1387" s="11"/>
      <c r="P1387"/>
      <c r="Q1387"/>
      <c r="W1387" s="28"/>
      <c r="AA1387"/>
    </row>
    <row r="1388" spans="1:27" x14ac:dyDescent="0.45">
      <c r="A1388" s="57">
        <v>431</v>
      </c>
      <c r="B1388" t="s">
        <v>330</v>
      </c>
      <c r="C1388" t="s">
        <v>331</v>
      </c>
      <c r="D1388" s="12">
        <v>46311</v>
      </c>
      <c r="E1388" s="11">
        <v>6</v>
      </c>
      <c r="F1388" s="11" t="s">
        <v>5476</v>
      </c>
      <c r="G1388">
        <v>20230401</v>
      </c>
      <c r="I1388" s="11" t="s">
        <v>32</v>
      </c>
      <c r="J1388" s="72">
        <v>80483240</v>
      </c>
      <c r="K1388" s="99">
        <f>_xlfn.XLOOKUP(_2__ROI_Daily_Update[[#This Row],[CSM id]],SHP!F:F,SHP!EE:EE,"-")</f>
        <v>0</v>
      </c>
      <c r="L1388" s="12"/>
      <c r="N1388" s="11"/>
      <c r="P1388"/>
      <c r="Q1388"/>
      <c r="W1388" s="28"/>
      <c r="AA1388"/>
    </row>
    <row r="1389" spans="1:27" x14ac:dyDescent="0.45">
      <c r="A1389" s="57">
        <v>971</v>
      </c>
      <c r="B1389" t="s">
        <v>835</v>
      </c>
      <c r="C1389" t="s">
        <v>836</v>
      </c>
      <c r="D1389" s="12">
        <v>46311</v>
      </c>
      <c r="E1389" s="11">
        <v>288</v>
      </c>
      <c r="F1389" s="11" t="s">
        <v>5322</v>
      </c>
      <c r="G1389">
        <v>20180401</v>
      </c>
      <c r="I1389" s="11" t="s">
        <v>32</v>
      </c>
      <c r="J1389" s="72">
        <v>30402840</v>
      </c>
      <c r="K1389" s="99">
        <f>_xlfn.XLOOKUP(_2__ROI_Daily_Update[[#This Row],[CSM id]],SHP!F:F,SHP!EE:EE,"-")</f>
        <v>0</v>
      </c>
      <c r="L1389" s="12"/>
      <c r="N1389" s="11"/>
      <c r="P1389"/>
      <c r="Q1389"/>
      <c r="W1389" s="28"/>
      <c r="AA1389"/>
    </row>
    <row r="1390" spans="1:27" x14ac:dyDescent="0.45">
      <c r="A1390" s="57">
        <v>1821</v>
      </c>
      <c r="B1390" t="s">
        <v>3556</v>
      </c>
      <c r="C1390" t="s">
        <v>3557</v>
      </c>
      <c r="D1390" s="12">
        <v>46311</v>
      </c>
      <c r="E1390" s="11">
        <v>30</v>
      </c>
      <c r="F1390" s="11" t="s">
        <v>5476</v>
      </c>
      <c r="G1390">
        <v>20180201</v>
      </c>
      <c r="I1390" s="11" t="s">
        <v>32</v>
      </c>
      <c r="J1390" s="72">
        <v>90321619</v>
      </c>
      <c r="K1390" s="99">
        <f>_xlfn.XLOOKUP(_2__ROI_Daily_Update[[#This Row],[CSM id]],SHP!F:F,SHP!EE:EE,"-")</f>
        <v>0</v>
      </c>
      <c r="L1390" s="12"/>
      <c r="N1390" s="11"/>
      <c r="P1390"/>
      <c r="Q1390"/>
      <c r="W1390" s="28"/>
      <c r="AA1390"/>
    </row>
    <row r="1391" spans="1:27" x14ac:dyDescent="0.45">
      <c r="A1391" s="57">
        <v>431</v>
      </c>
      <c r="B1391" t="s">
        <v>459</v>
      </c>
      <c r="C1391" t="s">
        <v>460</v>
      </c>
      <c r="D1391" s="12">
        <v>46311</v>
      </c>
      <c r="E1391" s="11">
        <v>8</v>
      </c>
      <c r="F1391" s="11" t="s">
        <v>5476</v>
      </c>
      <c r="G1391">
        <v>20261001</v>
      </c>
      <c r="I1391" s="11" t="s">
        <v>32</v>
      </c>
      <c r="J1391" s="72">
        <v>90561119</v>
      </c>
      <c r="K1391" s="99">
        <f>_xlfn.XLOOKUP(_2__ROI_Daily_Update[[#This Row],[CSM id]],SHP!F:F,SHP!EE:EE,"-")</f>
        <v>0</v>
      </c>
      <c r="L1391" s="12"/>
      <c r="N1391" s="11"/>
      <c r="P1391"/>
      <c r="Q1391"/>
      <c r="W1391" s="28"/>
      <c r="AA1391"/>
    </row>
    <row r="1392" spans="1:27" x14ac:dyDescent="0.45">
      <c r="A1392" s="57">
        <v>971</v>
      </c>
      <c r="B1392" t="s">
        <v>847</v>
      </c>
      <c r="C1392" t="s">
        <v>848</v>
      </c>
      <c r="D1392" s="12">
        <v>46311</v>
      </c>
      <c r="E1392" s="11">
        <v>32</v>
      </c>
      <c r="F1392" s="11" t="s">
        <v>5322</v>
      </c>
      <c r="G1392">
        <v>20260201</v>
      </c>
      <c r="I1392" s="11" t="s">
        <v>32</v>
      </c>
      <c r="J1392" s="72">
        <v>60602084</v>
      </c>
      <c r="K1392" s="99">
        <f>_xlfn.XLOOKUP(_2__ROI_Daily_Update[[#This Row],[CSM id]],SHP!F:F,SHP!EE:EE,"-")</f>
        <v>0</v>
      </c>
      <c r="L1392" s="12"/>
      <c r="N1392" s="11"/>
      <c r="P1392"/>
      <c r="Q1392"/>
      <c r="W1392" s="28"/>
      <c r="AA1392"/>
    </row>
    <row r="1393" spans="1:27" x14ac:dyDescent="0.45">
      <c r="A1393" s="57">
        <v>971</v>
      </c>
      <c r="B1393" t="s">
        <v>841</v>
      </c>
      <c r="C1393" t="s">
        <v>842</v>
      </c>
      <c r="D1393" s="12">
        <v>46311</v>
      </c>
      <c r="E1393" s="11">
        <v>864</v>
      </c>
      <c r="F1393" s="11" t="s">
        <v>5322</v>
      </c>
      <c r="G1393">
        <v>20140801</v>
      </c>
      <c r="I1393" s="11" t="s">
        <v>32</v>
      </c>
      <c r="J1393" s="72">
        <v>50169341</v>
      </c>
      <c r="K1393" s="99">
        <f>_xlfn.XLOOKUP(_2__ROI_Daily_Update[[#This Row],[CSM id]],SHP!F:F,SHP!EE:EE,"-")</f>
        <v>0</v>
      </c>
      <c r="L1393" s="12"/>
      <c r="N1393" s="11"/>
      <c r="P1393"/>
      <c r="Q1393"/>
      <c r="W1393" s="28"/>
      <c r="AA1393"/>
    </row>
    <row r="1394" spans="1:27" x14ac:dyDescent="0.45">
      <c r="A1394" s="57">
        <v>971</v>
      </c>
      <c r="B1394" t="s">
        <v>853</v>
      </c>
      <c r="C1394" t="s">
        <v>854</v>
      </c>
      <c r="D1394" s="12">
        <v>46311</v>
      </c>
      <c r="E1394" s="11">
        <v>80</v>
      </c>
      <c r="F1394" s="11" t="s">
        <v>5322</v>
      </c>
      <c r="G1394">
        <v>20140801</v>
      </c>
      <c r="I1394" s="11" t="s">
        <v>32</v>
      </c>
      <c r="J1394" s="72">
        <v>90136155</v>
      </c>
      <c r="K1394" s="99">
        <f>_xlfn.XLOOKUP(_2__ROI_Daily_Update[[#This Row],[CSM id]],SHP!F:F,SHP!EE:EE,"-")</f>
        <v>0</v>
      </c>
      <c r="L1394" s="12"/>
      <c r="N1394" s="11"/>
      <c r="P1394"/>
      <c r="Q1394"/>
      <c r="W1394" s="28"/>
      <c r="AA1394"/>
    </row>
    <row r="1395" spans="1:27" x14ac:dyDescent="0.45">
      <c r="A1395" s="57">
        <v>971</v>
      </c>
      <c r="B1395" t="s">
        <v>831</v>
      </c>
      <c r="C1395" t="s">
        <v>832</v>
      </c>
      <c r="D1395" s="12">
        <v>46311</v>
      </c>
      <c r="E1395" s="11">
        <v>392</v>
      </c>
      <c r="F1395" s="11" t="s">
        <v>5322</v>
      </c>
      <c r="G1395">
        <v>20140801</v>
      </c>
      <c r="I1395" s="11" t="s">
        <v>32</v>
      </c>
      <c r="J1395" s="72">
        <v>30169342</v>
      </c>
      <c r="K1395" s="99">
        <f>_xlfn.XLOOKUP(_2__ROI_Daily_Update[[#This Row],[CSM id]],SHP!F:F,SHP!EE:EE,"-")</f>
        <v>0</v>
      </c>
      <c r="L1395" s="12"/>
      <c r="N1395" s="11"/>
      <c r="P1395"/>
      <c r="Q1395"/>
      <c r="W1395" s="28"/>
      <c r="AA1395"/>
    </row>
    <row r="1396" spans="1:27" x14ac:dyDescent="0.45">
      <c r="A1396" s="57">
        <v>1821</v>
      </c>
      <c r="B1396" t="s">
        <v>3514</v>
      </c>
      <c r="C1396" t="s">
        <v>3515</v>
      </c>
      <c r="D1396" s="12">
        <v>46311</v>
      </c>
      <c r="E1396" s="11">
        <v>30</v>
      </c>
      <c r="F1396" s="11" t="s">
        <v>5777</v>
      </c>
      <c r="G1396">
        <v>20180201</v>
      </c>
      <c r="I1396" s="11" t="s">
        <v>32</v>
      </c>
      <c r="J1396" s="72">
        <v>30320806</v>
      </c>
      <c r="K1396" s="99">
        <f>_xlfn.XLOOKUP(_2__ROI_Daily_Update[[#This Row],[CSM id]],SHP!F:F,SHP!EE:EE,"-")</f>
        <v>0</v>
      </c>
      <c r="L1396" s="12"/>
      <c r="N1396" s="11"/>
      <c r="P1396"/>
      <c r="Q1396"/>
      <c r="W1396" s="28"/>
      <c r="AA1396"/>
    </row>
    <row r="1397" spans="1:27" x14ac:dyDescent="0.45">
      <c r="A1397" s="57">
        <v>971</v>
      </c>
      <c r="B1397" t="s">
        <v>843</v>
      </c>
      <c r="C1397" t="s">
        <v>844</v>
      </c>
      <c r="D1397" s="12">
        <v>46311</v>
      </c>
      <c r="E1397" s="11">
        <v>56</v>
      </c>
      <c r="F1397" s="11" t="s">
        <v>5322</v>
      </c>
      <c r="G1397">
        <v>20151201</v>
      </c>
      <c r="I1397" s="11" t="s">
        <v>32</v>
      </c>
      <c r="J1397" s="72">
        <v>50298102</v>
      </c>
      <c r="K1397" s="99">
        <f>_xlfn.XLOOKUP(_2__ROI_Daily_Update[[#This Row],[CSM id]],SHP!F:F,SHP!EE:EE,"-")</f>
        <v>0</v>
      </c>
      <c r="L1397" s="12"/>
      <c r="N1397" s="11"/>
      <c r="P1397"/>
      <c r="Q1397"/>
      <c r="W1397" s="28"/>
      <c r="AA1397"/>
    </row>
    <row r="1398" spans="1:27" x14ac:dyDescent="0.45">
      <c r="A1398" s="57">
        <v>1813</v>
      </c>
      <c r="B1398" t="s">
        <v>3440</v>
      </c>
      <c r="C1398" t="s">
        <v>3441</v>
      </c>
      <c r="D1398" s="12">
        <v>46313</v>
      </c>
      <c r="E1398" s="11">
        <v>72</v>
      </c>
      <c r="F1398" s="11" t="s">
        <v>7463</v>
      </c>
      <c r="G1398">
        <v>20240401</v>
      </c>
      <c r="I1398" s="11" t="s">
        <v>63</v>
      </c>
      <c r="J1398" s="72">
        <v>80542089</v>
      </c>
      <c r="K1398" s="99">
        <f>_xlfn.XLOOKUP(_2__ROI_Daily_Update[[#This Row],[CSM id]],SHP!F:F,SHP!EE:EE,"-")</f>
        <v>0</v>
      </c>
      <c r="L1398" s="12"/>
      <c r="N1398" s="11"/>
      <c r="P1398"/>
      <c r="Q1398"/>
      <c r="W1398" s="28"/>
      <c r="AA1398"/>
    </row>
    <row r="1399" spans="1:27" x14ac:dyDescent="0.45">
      <c r="A1399" s="57">
        <v>821</v>
      </c>
      <c r="B1399" t="s">
        <v>643</v>
      </c>
      <c r="C1399" t="s">
        <v>644</v>
      </c>
      <c r="D1399" s="12">
        <v>46313</v>
      </c>
      <c r="E1399" s="11">
        <v>52</v>
      </c>
      <c r="F1399" s="11" t="s">
        <v>7485</v>
      </c>
      <c r="G1399">
        <v>20261001</v>
      </c>
      <c r="I1399" s="11" t="s">
        <v>18</v>
      </c>
      <c r="J1399" s="72">
        <v>70651743</v>
      </c>
      <c r="K1399" s="99">
        <f>_xlfn.XLOOKUP(_2__ROI_Daily_Update[[#This Row],[CSM id]],SHP!F:F,SHP!EE:EE,"-")</f>
        <v>0</v>
      </c>
      <c r="L1399" s="12"/>
      <c r="N1399" s="11"/>
      <c r="P1399"/>
      <c r="Q1399"/>
      <c r="W1399" s="28"/>
      <c r="AA1399"/>
    </row>
    <row r="1400" spans="1:27" x14ac:dyDescent="0.45">
      <c r="A1400" s="57">
        <v>761</v>
      </c>
      <c r="B1400" t="s">
        <v>542</v>
      </c>
      <c r="C1400" t="s">
        <v>543</v>
      </c>
      <c r="D1400" s="12">
        <v>46313</v>
      </c>
      <c r="E1400" s="11">
        <v>28</v>
      </c>
      <c r="F1400" s="11" t="s">
        <v>7485</v>
      </c>
      <c r="G1400">
        <v>20150601</v>
      </c>
      <c r="I1400" s="11" t="s">
        <v>18</v>
      </c>
      <c r="J1400" s="72">
        <v>295813</v>
      </c>
      <c r="K1400" s="99">
        <f>_xlfn.XLOOKUP(_2__ROI_Daily_Update[[#This Row],[CSM id]],SHP!F:F,SHP!EE:EE,"-")</f>
        <v>0</v>
      </c>
      <c r="L1400" s="12"/>
      <c r="N1400" s="11"/>
      <c r="P1400"/>
      <c r="Q1400"/>
      <c r="W1400" s="28"/>
      <c r="AA1400"/>
    </row>
    <row r="1401" spans="1:27" x14ac:dyDescent="0.45">
      <c r="A1401" s="57">
        <v>761</v>
      </c>
      <c r="B1401" t="s">
        <v>552</v>
      </c>
      <c r="C1401" t="s">
        <v>553</v>
      </c>
      <c r="D1401" s="12">
        <v>46313</v>
      </c>
      <c r="E1401" s="11">
        <v>28</v>
      </c>
      <c r="F1401" s="11" t="s">
        <v>7463</v>
      </c>
      <c r="G1401">
        <v>20211001</v>
      </c>
      <c r="I1401" s="11" t="s">
        <v>63</v>
      </c>
      <c r="J1401" s="72">
        <v>20486411</v>
      </c>
      <c r="K1401" s="99">
        <f>_xlfn.XLOOKUP(_2__ROI_Daily_Update[[#This Row],[CSM id]],SHP!F:F,SHP!EE:EE,"-")</f>
        <v>0</v>
      </c>
      <c r="L1401" s="12"/>
      <c r="N1401" s="11"/>
      <c r="P1401"/>
      <c r="Q1401"/>
      <c r="W1401" s="28"/>
      <c r="AA1401"/>
    </row>
    <row r="1402" spans="1:27" x14ac:dyDescent="0.45">
      <c r="A1402" s="57">
        <v>1815</v>
      </c>
      <c r="B1402" t="s">
        <v>3496</v>
      </c>
      <c r="C1402" t="s">
        <v>3497</v>
      </c>
      <c r="D1402" s="12">
        <v>46313</v>
      </c>
      <c r="E1402" s="11">
        <v>180</v>
      </c>
      <c r="F1402" s="11" t="s">
        <v>7485</v>
      </c>
      <c r="G1402">
        <v>20260701</v>
      </c>
      <c r="I1402" s="11" t="s">
        <v>18</v>
      </c>
      <c r="J1402" s="72">
        <v>90644285</v>
      </c>
      <c r="K1402" s="99">
        <f>_xlfn.XLOOKUP(_2__ROI_Daily_Update[[#This Row],[CSM id]],SHP!F:F,SHP!EE:EE,"-")</f>
        <v>0</v>
      </c>
      <c r="L1402" s="12"/>
      <c r="N1402" s="11"/>
      <c r="P1402"/>
      <c r="Q1402"/>
      <c r="W1402" s="28"/>
      <c r="AA1402"/>
    </row>
    <row r="1403" spans="1:27" x14ac:dyDescent="0.45">
      <c r="A1403" s="57">
        <v>1813</v>
      </c>
      <c r="B1403" t="s">
        <v>3432</v>
      </c>
      <c r="C1403" t="s">
        <v>3433</v>
      </c>
      <c r="D1403" s="12">
        <v>46313</v>
      </c>
      <c r="E1403" s="11">
        <v>96</v>
      </c>
      <c r="F1403" s="11" t="s">
        <v>7468</v>
      </c>
      <c r="G1403">
        <v>20190601</v>
      </c>
      <c r="I1403" s="11" t="s">
        <v>18</v>
      </c>
      <c r="J1403" s="72">
        <v>80439695</v>
      </c>
      <c r="K1403" s="99">
        <f>_xlfn.XLOOKUP(_2__ROI_Daily_Update[[#This Row],[CSM id]],SHP!F:F,SHP!EE:EE,"-")</f>
        <v>0</v>
      </c>
      <c r="L1403" s="12"/>
      <c r="N1403" s="11"/>
      <c r="P1403"/>
      <c r="Q1403"/>
      <c r="W1403" s="28"/>
      <c r="AA1403"/>
    </row>
    <row r="1404" spans="1:27" x14ac:dyDescent="0.45">
      <c r="A1404" s="57">
        <v>761</v>
      </c>
      <c r="B1404" t="s">
        <v>5544</v>
      </c>
      <c r="C1404" t="s">
        <v>5545</v>
      </c>
      <c r="D1404" s="12">
        <v>46313</v>
      </c>
      <c r="E1404" s="11">
        <v>12</v>
      </c>
      <c r="F1404" s="11" t="s">
        <v>7410</v>
      </c>
      <c r="G1404">
        <v>20211001</v>
      </c>
      <c r="H1404" s="12">
        <v>46478</v>
      </c>
      <c r="I1404" s="11" t="s">
        <v>63</v>
      </c>
      <c r="J1404" s="72">
        <v>486426</v>
      </c>
      <c r="K1404" s="99">
        <f>_xlfn.XLOOKUP(_2__ROI_Daily_Update[[#This Row],[CSM id]],SHP!F:F,SHP!EE:EE,"-")</f>
        <v>0</v>
      </c>
      <c r="L1404" s="12"/>
      <c r="N1404" s="11"/>
      <c r="P1404"/>
      <c r="Q1404"/>
      <c r="W1404" s="28"/>
      <c r="AA1404"/>
    </row>
    <row r="1405" spans="1:27" x14ac:dyDescent="0.45">
      <c r="A1405" s="57">
        <v>1813</v>
      </c>
      <c r="B1405" t="s">
        <v>3442</v>
      </c>
      <c r="C1405" t="s">
        <v>3443</v>
      </c>
      <c r="D1405" s="12">
        <v>46313</v>
      </c>
      <c r="E1405" s="11">
        <v>60</v>
      </c>
      <c r="F1405" s="11" t="s">
        <v>7448</v>
      </c>
      <c r="G1405">
        <v>20220401</v>
      </c>
      <c r="I1405" s="11" t="s">
        <v>63</v>
      </c>
      <c r="J1405" s="72">
        <v>90520893</v>
      </c>
      <c r="K1405" s="99">
        <f>_xlfn.XLOOKUP(_2__ROI_Daily_Update[[#This Row],[CSM id]],SHP!F:F,SHP!EE:EE,"-")</f>
        <v>0</v>
      </c>
      <c r="L1405" s="12"/>
      <c r="N1405" s="11"/>
      <c r="P1405"/>
      <c r="Q1405"/>
      <c r="W1405" s="28"/>
      <c r="AA1405"/>
    </row>
    <row r="1406" spans="1:27" x14ac:dyDescent="0.45">
      <c r="A1406" s="57">
        <v>761</v>
      </c>
      <c r="B1406" t="s">
        <v>6973</v>
      </c>
      <c r="C1406" t="s">
        <v>6974</v>
      </c>
      <c r="D1406" s="12">
        <v>46313</v>
      </c>
      <c r="E1406" s="11">
        <v>66</v>
      </c>
      <c r="F1406" s="11" t="s">
        <v>7475</v>
      </c>
      <c r="G1406">
        <v>20230101</v>
      </c>
      <c r="I1406" s="11" t="s">
        <v>63</v>
      </c>
      <c r="J1406" s="72">
        <v>10551044</v>
      </c>
      <c r="K1406" s="99">
        <f>_xlfn.XLOOKUP(_2__ROI_Daily_Update[[#This Row],[CSM id]],SHP!F:F,SHP!EE:EE,"-")</f>
        <v>0</v>
      </c>
      <c r="L1406" s="12"/>
      <c r="N1406" s="11"/>
      <c r="P1406"/>
      <c r="Q1406"/>
      <c r="W1406" s="28"/>
      <c r="AA1406"/>
    </row>
    <row r="1407" spans="1:27" x14ac:dyDescent="0.45">
      <c r="A1407" s="57">
        <v>1813</v>
      </c>
      <c r="B1407" t="s">
        <v>3442</v>
      </c>
      <c r="C1407" t="s">
        <v>3443</v>
      </c>
      <c r="D1407" s="12">
        <v>46313</v>
      </c>
      <c r="E1407" s="11">
        <v>60</v>
      </c>
      <c r="F1407" s="11" t="s">
        <v>7415</v>
      </c>
      <c r="G1407">
        <v>20220401</v>
      </c>
      <c r="I1407" s="11" t="s">
        <v>63</v>
      </c>
      <c r="J1407" s="72">
        <v>90520893</v>
      </c>
      <c r="K1407" s="99">
        <f>_xlfn.XLOOKUP(_2__ROI_Daily_Update[[#This Row],[CSM id]],SHP!F:F,SHP!EE:EE,"-")</f>
        <v>0</v>
      </c>
      <c r="L1407" s="12"/>
      <c r="N1407" s="11"/>
      <c r="P1407"/>
      <c r="Q1407"/>
      <c r="W1407" s="28"/>
      <c r="AA1407"/>
    </row>
    <row r="1408" spans="1:27" x14ac:dyDescent="0.45">
      <c r="A1408" s="57">
        <v>761</v>
      </c>
      <c r="B1408" t="s">
        <v>550</v>
      </c>
      <c r="C1408" t="s">
        <v>551</v>
      </c>
      <c r="D1408" s="12">
        <v>46313</v>
      </c>
      <c r="E1408" s="11">
        <v>14</v>
      </c>
      <c r="F1408" s="11" t="s">
        <v>6946</v>
      </c>
      <c r="G1408">
        <v>20211001</v>
      </c>
      <c r="I1408" s="11" t="s">
        <v>63</v>
      </c>
      <c r="J1408" s="72">
        <v>10486421</v>
      </c>
      <c r="K1408" s="99">
        <f>_xlfn.XLOOKUP(_2__ROI_Daily_Update[[#This Row],[CSM id]],SHP!F:F,SHP!EE:EE,"-")</f>
        <v>0</v>
      </c>
      <c r="L1408" s="12"/>
      <c r="N1408" s="11"/>
      <c r="P1408"/>
      <c r="Q1408"/>
      <c r="W1408" s="28"/>
      <c r="AA1408"/>
    </row>
    <row r="1409" spans="1:27" x14ac:dyDescent="0.45">
      <c r="A1409" s="57">
        <v>761</v>
      </c>
      <c r="B1409" t="s">
        <v>550</v>
      </c>
      <c r="C1409" t="s">
        <v>551</v>
      </c>
      <c r="D1409" s="12">
        <v>46313</v>
      </c>
      <c r="E1409" s="11">
        <v>14</v>
      </c>
      <c r="F1409" s="11" t="s">
        <v>7453</v>
      </c>
      <c r="G1409">
        <v>20211001</v>
      </c>
      <c r="I1409" s="11" t="s">
        <v>63</v>
      </c>
      <c r="J1409" s="72">
        <v>10486421</v>
      </c>
      <c r="K1409" s="99">
        <f>_xlfn.XLOOKUP(_2__ROI_Daily_Update[[#This Row],[CSM id]],SHP!F:F,SHP!EE:EE,"-")</f>
        <v>0</v>
      </c>
      <c r="L1409" s="12"/>
      <c r="N1409" s="11"/>
      <c r="P1409"/>
      <c r="Q1409"/>
      <c r="W1409" s="28"/>
      <c r="AA1409"/>
    </row>
    <row r="1410" spans="1:27" x14ac:dyDescent="0.45">
      <c r="A1410" s="57">
        <v>1813</v>
      </c>
      <c r="B1410" t="s">
        <v>3430</v>
      </c>
      <c r="C1410" t="s">
        <v>3431</v>
      </c>
      <c r="D1410" s="12">
        <v>46313</v>
      </c>
      <c r="E1410" s="11">
        <v>42</v>
      </c>
      <c r="F1410" s="11" t="s">
        <v>7468</v>
      </c>
      <c r="G1410">
        <v>20190601</v>
      </c>
      <c r="I1410" s="11" t="s">
        <v>18</v>
      </c>
      <c r="J1410" s="72">
        <v>80428828</v>
      </c>
      <c r="K1410" s="99">
        <f>_xlfn.XLOOKUP(_2__ROI_Daily_Update[[#This Row],[CSM id]],SHP!F:F,SHP!EE:EE,"-")</f>
        <v>0</v>
      </c>
      <c r="L1410" s="12"/>
      <c r="N1410" s="11"/>
      <c r="P1410"/>
      <c r="Q1410"/>
      <c r="W1410" s="28"/>
      <c r="AA1410"/>
    </row>
    <row r="1411" spans="1:27" x14ac:dyDescent="0.45">
      <c r="A1411" s="57">
        <v>1423</v>
      </c>
      <c r="B1411" t="s">
        <v>2278</v>
      </c>
      <c r="C1411" t="s">
        <v>2279</v>
      </c>
      <c r="D1411" s="12">
        <v>46313</v>
      </c>
      <c r="E1411" s="11">
        <v>54</v>
      </c>
      <c r="F1411" s="11" t="s">
        <v>7420</v>
      </c>
      <c r="G1411">
        <v>20150401</v>
      </c>
      <c r="I1411" s="11" t="s">
        <v>63</v>
      </c>
      <c r="J1411" s="72">
        <v>30289170</v>
      </c>
      <c r="K1411" s="99">
        <f>_xlfn.XLOOKUP(_2__ROI_Daily_Update[[#This Row],[CSM id]],SHP!F:F,SHP!EE:EE,"-")</f>
        <v>0</v>
      </c>
      <c r="L1411" s="12"/>
      <c r="N1411" s="11"/>
      <c r="P1411"/>
      <c r="Q1411"/>
      <c r="W1411" s="28"/>
      <c r="AA1411"/>
    </row>
    <row r="1412" spans="1:27" x14ac:dyDescent="0.45">
      <c r="A1412" s="57">
        <v>1813</v>
      </c>
      <c r="B1412" t="s">
        <v>3434</v>
      </c>
      <c r="C1412" t="s">
        <v>3435</v>
      </c>
      <c r="D1412" s="12">
        <v>46313</v>
      </c>
      <c r="E1412" s="11">
        <v>360</v>
      </c>
      <c r="F1412" s="11" t="s">
        <v>7400</v>
      </c>
      <c r="G1412">
        <v>20210201</v>
      </c>
      <c r="I1412" s="11" t="s">
        <v>32</v>
      </c>
      <c r="J1412" s="72">
        <v>80468107</v>
      </c>
      <c r="K1412" s="99">
        <f>_xlfn.XLOOKUP(_2__ROI_Daily_Update[[#This Row],[CSM id]],SHP!F:F,SHP!EE:EE,"-")</f>
        <v>0</v>
      </c>
      <c r="L1412" s="12"/>
      <c r="N1412" s="11"/>
      <c r="P1412"/>
      <c r="Q1412"/>
      <c r="W1412" s="28"/>
      <c r="AA1412"/>
    </row>
    <row r="1413" spans="1:27" x14ac:dyDescent="0.45">
      <c r="A1413" s="57">
        <v>761</v>
      </c>
      <c r="B1413" t="s">
        <v>550</v>
      </c>
      <c r="C1413" t="s">
        <v>551</v>
      </c>
      <c r="D1413" s="12">
        <v>46313</v>
      </c>
      <c r="E1413" s="11">
        <v>14</v>
      </c>
      <c r="F1413" s="11" t="s">
        <v>7480</v>
      </c>
      <c r="G1413">
        <v>20211001</v>
      </c>
      <c r="I1413" s="11" t="s">
        <v>63</v>
      </c>
      <c r="J1413" s="72">
        <v>10486421</v>
      </c>
      <c r="K1413" s="99">
        <f>_xlfn.XLOOKUP(_2__ROI_Daily_Update[[#This Row],[CSM id]],SHP!F:F,SHP!EE:EE,"-")</f>
        <v>0</v>
      </c>
      <c r="L1413" s="12"/>
      <c r="N1413" s="11"/>
      <c r="P1413"/>
      <c r="Q1413"/>
      <c r="W1413" s="28"/>
      <c r="AA1413"/>
    </row>
    <row r="1414" spans="1:27" x14ac:dyDescent="0.45">
      <c r="A1414" s="57">
        <v>1813</v>
      </c>
      <c r="B1414" t="s">
        <v>3436</v>
      </c>
      <c r="C1414" t="s">
        <v>3437</v>
      </c>
      <c r="D1414" s="12">
        <v>46313</v>
      </c>
      <c r="E1414" s="11">
        <v>256</v>
      </c>
      <c r="F1414" s="11" t="s">
        <v>7410</v>
      </c>
      <c r="G1414">
        <v>20210701</v>
      </c>
      <c r="I1414" s="11" t="s">
        <v>63</v>
      </c>
      <c r="J1414" s="72">
        <v>80494880</v>
      </c>
      <c r="K1414" s="99">
        <f>_xlfn.XLOOKUP(_2__ROI_Daily_Update[[#This Row],[CSM id]],SHP!F:F,SHP!EE:EE,"-")</f>
        <v>0</v>
      </c>
      <c r="L1414" s="12"/>
      <c r="N1414" s="11"/>
      <c r="P1414"/>
      <c r="Q1414"/>
      <c r="W1414" s="28"/>
      <c r="AA1414"/>
    </row>
    <row r="1415" spans="1:27" x14ac:dyDescent="0.45">
      <c r="A1415" s="57">
        <v>821</v>
      </c>
      <c r="B1415" t="s">
        <v>6867</v>
      </c>
      <c r="C1415" t="s">
        <v>6868</v>
      </c>
      <c r="D1415" s="12">
        <v>46313</v>
      </c>
      <c r="E1415" s="11">
        <v>16</v>
      </c>
      <c r="F1415" s="11" t="s">
        <v>7458</v>
      </c>
      <c r="G1415">
        <v>20240101</v>
      </c>
      <c r="I1415" s="11" t="s">
        <v>63</v>
      </c>
      <c r="J1415" s="72">
        <v>70544871</v>
      </c>
      <c r="K1415" s="99">
        <f>_xlfn.XLOOKUP(_2__ROI_Daily_Update[[#This Row],[CSM id]],SHP!F:F,SHP!EE:EE,"-")</f>
        <v>0</v>
      </c>
      <c r="L1415" s="12"/>
      <c r="N1415" s="11"/>
      <c r="P1415"/>
      <c r="Q1415"/>
      <c r="W1415" s="28"/>
      <c r="AA1415"/>
    </row>
    <row r="1416" spans="1:27" x14ac:dyDescent="0.45">
      <c r="A1416" s="57">
        <v>1813</v>
      </c>
      <c r="B1416" t="s">
        <v>3428</v>
      </c>
      <c r="C1416" t="s">
        <v>3429</v>
      </c>
      <c r="D1416" s="12">
        <v>46313</v>
      </c>
      <c r="E1416" s="11">
        <v>15</v>
      </c>
      <c r="F1416" s="11" t="s">
        <v>7410</v>
      </c>
      <c r="G1416">
        <v>20170801</v>
      </c>
      <c r="I1416" s="11" t="s">
        <v>63</v>
      </c>
      <c r="J1416" s="72">
        <v>80348025</v>
      </c>
      <c r="K1416" s="99">
        <f>_xlfn.XLOOKUP(_2__ROI_Daily_Update[[#This Row],[CSM id]],SHP!F:F,SHP!EE:EE,"-")</f>
        <v>0</v>
      </c>
      <c r="L1416" s="12"/>
      <c r="N1416" s="11"/>
      <c r="P1416"/>
      <c r="Q1416"/>
      <c r="W1416" s="28"/>
      <c r="AA1416"/>
    </row>
    <row r="1417" spans="1:27" x14ac:dyDescent="0.45">
      <c r="A1417" s="57">
        <v>622</v>
      </c>
      <c r="B1417" t="s">
        <v>6993</v>
      </c>
      <c r="C1417" t="s">
        <v>6994</v>
      </c>
      <c r="D1417" s="12">
        <v>46313</v>
      </c>
      <c r="E1417" s="11">
        <v>42</v>
      </c>
      <c r="F1417" s="11" t="s">
        <v>7480</v>
      </c>
      <c r="G1417">
        <v>20251001</v>
      </c>
      <c r="I1417" s="11" t="s">
        <v>63</v>
      </c>
      <c r="J1417" s="72">
        <v>90604864</v>
      </c>
      <c r="K1417" s="99">
        <f>_xlfn.XLOOKUP(_2__ROI_Daily_Update[[#This Row],[CSM id]],SHP!F:F,SHP!EE:EE,"-")</f>
        <v>0</v>
      </c>
      <c r="L1417" s="12"/>
      <c r="N1417" s="11"/>
      <c r="P1417"/>
      <c r="Q1417"/>
      <c r="W1417" s="28"/>
      <c r="AA1417"/>
    </row>
    <row r="1418" spans="1:27" x14ac:dyDescent="0.45">
      <c r="A1418" s="57">
        <v>623</v>
      </c>
      <c r="B1418" t="s">
        <v>6977</v>
      </c>
      <c r="C1418" t="s">
        <v>6978</v>
      </c>
      <c r="D1418" s="12">
        <v>46313</v>
      </c>
      <c r="E1418" s="11">
        <v>132</v>
      </c>
      <c r="F1418" s="11" t="s">
        <v>7499</v>
      </c>
      <c r="G1418">
        <v>20251001</v>
      </c>
      <c r="H1418" s="12">
        <v>46569</v>
      </c>
      <c r="I1418" s="11" t="s">
        <v>18</v>
      </c>
      <c r="J1418" s="72">
        <v>10594623</v>
      </c>
      <c r="K1418" s="99">
        <f>_xlfn.XLOOKUP(_2__ROI_Daily_Update[[#This Row],[CSM id]],SHP!F:F,SHP!EE:EE,"-")</f>
        <v>0</v>
      </c>
      <c r="L1418" s="12"/>
      <c r="N1418" s="11"/>
      <c r="P1418"/>
      <c r="Q1418"/>
      <c r="W1418" s="28"/>
      <c r="AA1418"/>
    </row>
    <row r="1419" spans="1:27" x14ac:dyDescent="0.45">
      <c r="A1419" s="57">
        <v>431</v>
      </c>
      <c r="B1419" t="s">
        <v>6594</v>
      </c>
      <c r="C1419" t="s">
        <v>6595</v>
      </c>
      <c r="D1419" s="12">
        <v>46313</v>
      </c>
      <c r="E1419" s="11">
        <v>8</v>
      </c>
      <c r="F1419" s="11" t="s">
        <v>7499</v>
      </c>
      <c r="G1419">
        <v>20180201</v>
      </c>
      <c r="H1419" s="12">
        <v>46388</v>
      </c>
      <c r="I1419" s="11" t="s">
        <v>18</v>
      </c>
      <c r="J1419" s="72">
        <v>10383480</v>
      </c>
      <c r="K1419" s="99">
        <f>_xlfn.XLOOKUP(_2__ROI_Daily_Update[[#This Row],[CSM id]],SHP!F:F,SHP!EE:EE,"-")</f>
        <v>0</v>
      </c>
      <c r="L1419" s="12"/>
      <c r="N1419" s="11"/>
      <c r="P1419"/>
      <c r="Q1419"/>
      <c r="W1419" s="28"/>
      <c r="AA1419"/>
    </row>
    <row r="1420" spans="1:27" x14ac:dyDescent="0.45">
      <c r="A1420" s="57">
        <v>1415</v>
      </c>
      <c r="B1420" t="s">
        <v>2192</v>
      </c>
      <c r="C1420" t="s">
        <v>2193</v>
      </c>
      <c r="D1420" s="12">
        <v>46313</v>
      </c>
      <c r="E1420" s="11">
        <v>840</v>
      </c>
      <c r="F1420" s="11" t="s">
        <v>7458</v>
      </c>
      <c r="G1420">
        <v>20201001</v>
      </c>
      <c r="I1420" s="11" t="s">
        <v>63</v>
      </c>
      <c r="J1420" s="72">
        <v>80476348</v>
      </c>
      <c r="K1420" s="99">
        <f>_xlfn.XLOOKUP(_2__ROI_Daily_Update[[#This Row],[CSM id]],SHP!F:F,SHP!EE:EE,"-")</f>
        <v>0</v>
      </c>
      <c r="L1420" s="12"/>
      <c r="N1420" s="11"/>
      <c r="P1420"/>
      <c r="Q1420"/>
      <c r="W1420" s="28"/>
      <c r="AA1420"/>
    </row>
    <row r="1421" spans="1:27" x14ac:dyDescent="0.45">
      <c r="A1421" s="57">
        <v>1431</v>
      </c>
      <c r="B1421" t="s">
        <v>2320</v>
      </c>
      <c r="C1421" t="s">
        <v>2321</v>
      </c>
      <c r="D1421" s="12">
        <v>46313</v>
      </c>
      <c r="E1421" s="11">
        <v>280</v>
      </c>
      <c r="F1421" s="11" t="s">
        <v>7492</v>
      </c>
      <c r="G1421">
        <v>20141201</v>
      </c>
      <c r="I1421" s="11" t="s">
        <v>18</v>
      </c>
      <c r="J1421" s="72">
        <v>213544</v>
      </c>
      <c r="K1421" s="99">
        <f>_xlfn.XLOOKUP(_2__ROI_Daily_Update[[#This Row],[CSM id]],SHP!F:F,SHP!EE:EE,"-")</f>
        <v>0</v>
      </c>
      <c r="L1421" s="12"/>
      <c r="N1421" s="11"/>
      <c r="P1421"/>
      <c r="Q1421"/>
      <c r="W1421" s="28"/>
      <c r="AA1421"/>
    </row>
    <row r="1422" spans="1:27" x14ac:dyDescent="0.45">
      <c r="A1422" s="57">
        <v>1836</v>
      </c>
      <c r="B1422" t="s">
        <v>3664</v>
      </c>
      <c r="C1422" t="s">
        <v>3665</v>
      </c>
      <c r="D1422" s="12">
        <v>46313</v>
      </c>
      <c r="E1422" s="11">
        <v>50</v>
      </c>
      <c r="F1422" s="11" t="s">
        <v>7405</v>
      </c>
      <c r="G1422">
        <v>20260701</v>
      </c>
      <c r="H1422" s="12">
        <v>46569</v>
      </c>
      <c r="I1422" s="11" t="s">
        <v>63</v>
      </c>
      <c r="J1422" s="72">
        <v>80632787</v>
      </c>
      <c r="K1422" s="99">
        <f>_xlfn.XLOOKUP(_2__ROI_Daily_Update[[#This Row],[CSM id]],SHP!F:F,SHP!EE:EE,"-")</f>
        <v>0</v>
      </c>
      <c r="L1422" s="12"/>
      <c r="N1422" s="11"/>
      <c r="P1422"/>
      <c r="Q1422"/>
      <c r="W1422" s="28"/>
      <c r="AA1422"/>
    </row>
    <row r="1423" spans="1:27" x14ac:dyDescent="0.45">
      <c r="A1423" s="57">
        <v>435</v>
      </c>
      <c r="B1423" t="s">
        <v>6995</v>
      </c>
      <c r="C1423" t="s">
        <v>6996</v>
      </c>
      <c r="D1423" s="12">
        <v>46313</v>
      </c>
      <c r="E1423" s="11">
        <v>24</v>
      </c>
      <c r="F1423" s="11" t="s">
        <v>7499</v>
      </c>
      <c r="G1423">
        <v>20230101</v>
      </c>
      <c r="I1423" s="11" t="s">
        <v>18</v>
      </c>
      <c r="J1423" s="72">
        <v>40530267</v>
      </c>
      <c r="K1423" s="99">
        <f>_xlfn.XLOOKUP(_2__ROI_Daily_Update[[#This Row],[CSM id]],SHP!F:F,SHP!EE:EE,"-")</f>
        <v>0</v>
      </c>
      <c r="L1423" s="12"/>
      <c r="N1423" s="11"/>
      <c r="P1423"/>
      <c r="Q1423"/>
      <c r="W1423" s="28"/>
      <c r="AA1423"/>
    </row>
    <row r="1424" spans="1:27" x14ac:dyDescent="0.45">
      <c r="A1424" s="57">
        <v>435</v>
      </c>
      <c r="B1424" t="s">
        <v>6999</v>
      </c>
      <c r="C1424" t="s">
        <v>7000</v>
      </c>
      <c r="D1424" s="12">
        <v>46313</v>
      </c>
      <c r="E1424" s="11">
        <v>112</v>
      </c>
      <c r="F1424" s="11" t="s">
        <v>7499</v>
      </c>
      <c r="G1424">
        <v>20181001</v>
      </c>
      <c r="I1424" s="11" t="s">
        <v>18</v>
      </c>
      <c r="J1424" s="72">
        <v>80415595</v>
      </c>
      <c r="K1424" s="99">
        <f>_xlfn.XLOOKUP(_2__ROI_Daily_Update[[#This Row],[CSM id]],SHP!F:F,SHP!EE:EE,"-")</f>
        <v>0</v>
      </c>
      <c r="L1424" s="12"/>
      <c r="N1424" s="11"/>
      <c r="P1424"/>
      <c r="Q1424"/>
      <c r="W1424" s="28"/>
      <c r="AA1424"/>
    </row>
    <row r="1425" spans="1:27" x14ac:dyDescent="0.45">
      <c r="A1425" s="57">
        <v>1836</v>
      </c>
      <c r="B1425" t="s">
        <v>5342</v>
      </c>
      <c r="C1425" t="s">
        <v>5343</v>
      </c>
      <c r="D1425" s="12">
        <v>46313</v>
      </c>
      <c r="E1425" s="11">
        <v>34</v>
      </c>
      <c r="F1425" s="11" t="s">
        <v>7420</v>
      </c>
      <c r="G1425">
        <v>20260401</v>
      </c>
      <c r="H1425" s="12">
        <v>46478</v>
      </c>
      <c r="I1425" s="11" t="s">
        <v>63</v>
      </c>
      <c r="J1425" s="72">
        <v>70636903</v>
      </c>
      <c r="K1425" s="99">
        <f>_xlfn.XLOOKUP(_2__ROI_Daily_Update[[#This Row],[CSM id]],SHP!F:F,SHP!EE:EE,"-")</f>
        <v>0</v>
      </c>
      <c r="L1425" s="12"/>
      <c r="N1425" s="11"/>
      <c r="P1425"/>
      <c r="Q1425"/>
      <c r="W1425" s="28"/>
      <c r="AA1425"/>
    </row>
    <row r="1426" spans="1:27" x14ac:dyDescent="0.45">
      <c r="A1426" s="57">
        <v>1813</v>
      </c>
      <c r="B1426" t="s">
        <v>3418</v>
      </c>
      <c r="C1426" t="s">
        <v>3419</v>
      </c>
      <c r="D1426" s="12">
        <v>46313</v>
      </c>
      <c r="E1426" s="11">
        <v>360</v>
      </c>
      <c r="F1426" s="11" t="s">
        <v>7468</v>
      </c>
      <c r="G1426">
        <v>20220701</v>
      </c>
      <c r="I1426" s="11" t="s">
        <v>18</v>
      </c>
      <c r="J1426" s="72">
        <v>70531939</v>
      </c>
      <c r="K1426" s="99">
        <f>_xlfn.XLOOKUP(_2__ROI_Daily_Update[[#This Row],[CSM id]],SHP!F:F,SHP!EE:EE,"-")</f>
        <v>0</v>
      </c>
      <c r="L1426" s="12"/>
      <c r="N1426" s="11"/>
      <c r="P1426"/>
      <c r="Q1426"/>
      <c r="W1426" s="28"/>
      <c r="AA1426"/>
    </row>
    <row r="1427" spans="1:27" x14ac:dyDescent="0.45">
      <c r="A1427" s="57">
        <v>1813</v>
      </c>
      <c r="B1427" t="s">
        <v>3418</v>
      </c>
      <c r="C1427" t="s">
        <v>3419</v>
      </c>
      <c r="D1427" s="12">
        <v>46313</v>
      </c>
      <c r="E1427" s="11">
        <v>360</v>
      </c>
      <c r="F1427" s="11" t="s">
        <v>7499</v>
      </c>
      <c r="G1427">
        <v>20220701</v>
      </c>
      <c r="I1427" s="11" t="s">
        <v>18</v>
      </c>
      <c r="J1427" s="72">
        <v>70531939</v>
      </c>
      <c r="K1427" s="99">
        <f>_xlfn.XLOOKUP(_2__ROI_Daily_Update[[#This Row],[CSM id]],SHP!F:F,SHP!EE:EE,"-")</f>
        <v>0</v>
      </c>
      <c r="L1427" s="12"/>
      <c r="N1427" s="11"/>
      <c r="P1427"/>
      <c r="Q1427"/>
      <c r="W1427" s="28"/>
      <c r="AA1427"/>
    </row>
    <row r="1428" spans="1:27" x14ac:dyDescent="0.45">
      <c r="A1428" s="57">
        <v>1813</v>
      </c>
      <c r="B1428" t="s">
        <v>6283</v>
      </c>
      <c r="C1428" t="s">
        <v>6284</v>
      </c>
      <c r="D1428" s="12">
        <v>46313</v>
      </c>
      <c r="E1428" s="11">
        <v>224</v>
      </c>
      <c r="F1428" s="11" t="s">
        <v>7440</v>
      </c>
      <c r="G1428">
        <v>20250401</v>
      </c>
      <c r="I1428" s="11" t="s">
        <v>63</v>
      </c>
      <c r="J1428" s="72">
        <v>70590764</v>
      </c>
      <c r="K1428" s="99">
        <f>_xlfn.XLOOKUP(_2__ROI_Daily_Update[[#This Row],[CSM id]],SHP!F:F,SHP!EE:EE,"-")</f>
        <v>0</v>
      </c>
      <c r="L1428" s="12"/>
      <c r="N1428" s="11"/>
      <c r="P1428"/>
      <c r="Q1428"/>
      <c r="W1428" s="28"/>
      <c r="AA1428"/>
    </row>
    <row r="1429" spans="1:27" x14ac:dyDescent="0.45">
      <c r="A1429" s="57">
        <v>1424</v>
      </c>
      <c r="B1429" t="s">
        <v>2304</v>
      </c>
      <c r="C1429" t="s">
        <v>2305</v>
      </c>
      <c r="D1429" s="12">
        <v>46313</v>
      </c>
      <c r="E1429" s="11">
        <v>76</v>
      </c>
      <c r="F1429" s="11" t="s">
        <v>7492</v>
      </c>
      <c r="G1429">
        <v>20150401</v>
      </c>
      <c r="I1429" s="11" t="s">
        <v>18</v>
      </c>
      <c r="J1429" s="72">
        <v>20309828</v>
      </c>
      <c r="K1429" s="99">
        <f>_xlfn.XLOOKUP(_2__ROI_Daily_Update[[#This Row],[CSM id]],SHP!F:F,SHP!EE:EE,"-")</f>
        <v>0</v>
      </c>
      <c r="L1429" s="12"/>
      <c r="N1429" s="11"/>
      <c r="P1429"/>
      <c r="Q1429"/>
      <c r="W1429" s="28"/>
      <c r="AA1429"/>
    </row>
    <row r="1430" spans="1:27" x14ac:dyDescent="0.45">
      <c r="A1430" s="57">
        <v>1415</v>
      </c>
      <c r="B1430" t="s">
        <v>6277</v>
      </c>
      <c r="C1430" t="s">
        <v>6278</v>
      </c>
      <c r="D1430" s="12">
        <v>46313</v>
      </c>
      <c r="E1430" s="11">
        <v>112</v>
      </c>
      <c r="F1430" s="11" t="s">
        <v>7440</v>
      </c>
      <c r="G1430">
        <v>20210201</v>
      </c>
      <c r="I1430" s="11" t="s">
        <v>63</v>
      </c>
      <c r="J1430" s="72">
        <v>80484051</v>
      </c>
      <c r="K1430" s="99">
        <f>_xlfn.XLOOKUP(_2__ROI_Daily_Update[[#This Row],[CSM id]],SHP!F:F,SHP!EE:EE,"-")</f>
        <v>0</v>
      </c>
      <c r="L1430" s="12"/>
      <c r="N1430" s="11"/>
      <c r="P1430"/>
      <c r="Q1430"/>
      <c r="W1430" s="28"/>
      <c r="AA1430"/>
    </row>
    <row r="1431" spans="1:27" x14ac:dyDescent="0.45">
      <c r="A1431" s="57">
        <v>1836</v>
      </c>
      <c r="B1431" t="s">
        <v>3662</v>
      </c>
      <c r="C1431" t="s">
        <v>3663</v>
      </c>
      <c r="D1431" s="12">
        <v>46313</v>
      </c>
      <c r="E1431" s="11">
        <v>204</v>
      </c>
      <c r="F1431" s="11" t="s">
        <v>7395</v>
      </c>
      <c r="G1431">
        <v>20200401</v>
      </c>
      <c r="I1431" s="11" t="s">
        <v>63</v>
      </c>
      <c r="J1431" s="72">
        <v>70432500</v>
      </c>
      <c r="K1431" s="99">
        <f>_xlfn.XLOOKUP(_2__ROI_Daily_Update[[#This Row],[CSM id]],SHP!F:F,SHP!EE:EE,"-")</f>
        <v>0</v>
      </c>
      <c r="L1431" s="12"/>
      <c r="N1431" s="11"/>
      <c r="P1431"/>
      <c r="Q1431"/>
      <c r="W1431" s="28"/>
      <c r="AA1431"/>
    </row>
    <row r="1432" spans="1:27" x14ac:dyDescent="0.45">
      <c r="A1432" s="57">
        <v>1424</v>
      </c>
      <c r="B1432" t="s">
        <v>2302</v>
      </c>
      <c r="C1432" t="s">
        <v>2303</v>
      </c>
      <c r="D1432" s="12">
        <v>46313</v>
      </c>
      <c r="E1432" s="11">
        <v>174</v>
      </c>
      <c r="F1432" s="11" t="s">
        <v>7492</v>
      </c>
      <c r="G1432">
        <v>20140801</v>
      </c>
      <c r="I1432" s="11" t="s">
        <v>18</v>
      </c>
      <c r="J1432" s="72">
        <v>20233428</v>
      </c>
      <c r="K1432" s="99">
        <f>_xlfn.XLOOKUP(_2__ROI_Daily_Update[[#This Row],[CSM id]],SHP!F:F,SHP!EE:EE,"-")</f>
        <v>0</v>
      </c>
      <c r="L1432" s="12"/>
      <c r="N1432" s="11"/>
      <c r="P1432"/>
      <c r="Q1432"/>
      <c r="W1432" s="28"/>
      <c r="AA1432"/>
    </row>
    <row r="1433" spans="1:27" x14ac:dyDescent="0.45">
      <c r="A1433" s="57">
        <v>1836</v>
      </c>
      <c r="B1433" t="s">
        <v>3660</v>
      </c>
      <c r="C1433" t="s">
        <v>3661</v>
      </c>
      <c r="D1433" s="12">
        <v>46313</v>
      </c>
      <c r="E1433" s="11">
        <v>54</v>
      </c>
      <c r="F1433" s="11" t="s">
        <v>7440</v>
      </c>
      <c r="G1433">
        <v>20181001</v>
      </c>
      <c r="H1433" s="12">
        <v>46661</v>
      </c>
      <c r="I1433" s="11" t="s">
        <v>63</v>
      </c>
      <c r="J1433" s="72">
        <v>70372836</v>
      </c>
      <c r="K1433" s="99">
        <f>_xlfn.XLOOKUP(_2__ROI_Daily_Update[[#This Row],[CSM id]],SHP!F:F,SHP!EE:EE,"-")</f>
        <v>0</v>
      </c>
      <c r="L1433" s="12"/>
      <c r="N1433" s="11"/>
      <c r="P1433"/>
      <c r="Q1433"/>
      <c r="W1433" s="28"/>
      <c r="AA1433"/>
    </row>
    <row r="1434" spans="1:27" x14ac:dyDescent="0.45">
      <c r="A1434" s="57">
        <v>621</v>
      </c>
      <c r="B1434" t="s">
        <v>6957</v>
      </c>
      <c r="C1434" t="s">
        <v>6958</v>
      </c>
      <c r="D1434" s="12">
        <v>46313</v>
      </c>
      <c r="E1434" s="11">
        <v>12</v>
      </c>
      <c r="F1434" s="11" t="s">
        <v>7463</v>
      </c>
      <c r="G1434">
        <v>20251001</v>
      </c>
      <c r="I1434" s="11" t="s">
        <v>63</v>
      </c>
      <c r="J1434" s="72">
        <v>90605142</v>
      </c>
      <c r="K1434" s="99">
        <f>_xlfn.XLOOKUP(_2__ROI_Daily_Update[[#This Row],[CSM id]],SHP!F:F,SHP!EE:EE,"-")</f>
        <v>0</v>
      </c>
      <c r="L1434" s="12"/>
      <c r="N1434" s="11"/>
      <c r="P1434"/>
      <c r="Q1434"/>
      <c r="W1434" s="28"/>
      <c r="AA1434"/>
    </row>
    <row r="1435" spans="1:27" x14ac:dyDescent="0.45">
      <c r="A1435" s="57">
        <v>1813</v>
      </c>
      <c r="B1435" t="s">
        <v>3422</v>
      </c>
      <c r="C1435" t="s">
        <v>3423</v>
      </c>
      <c r="D1435" s="12">
        <v>46313</v>
      </c>
      <c r="E1435" s="11">
        <v>4</v>
      </c>
      <c r="F1435" s="11" t="s">
        <v>6946</v>
      </c>
      <c r="G1435">
        <v>20250701</v>
      </c>
      <c r="I1435" s="11" t="s">
        <v>63</v>
      </c>
      <c r="J1435" s="72">
        <v>70596916</v>
      </c>
      <c r="K1435" s="99">
        <f>_xlfn.XLOOKUP(_2__ROI_Daily_Update[[#This Row],[CSM id]],SHP!F:F,SHP!EE:EE,"-")</f>
        <v>0</v>
      </c>
      <c r="L1435" s="12"/>
      <c r="N1435" s="11"/>
      <c r="P1435"/>
      <c r="Q1435"/>
      <c r="W1435" s="28"/>
      <c r="AA1435"/>
    </row>
    <row r="1436" spans="1:27" x14ac:dyDescent="0.45">
      <c r="A1436" s="57">
        <v>1813</v>
      </c>
      <c r="B1436" t="s">
        <v>3422</v>
      </c>
      <c r="C1436" t="s">
        <v>3423</v>
      </c>
      <c r="D1436" s="12">
        <v>46313</v>
      </c>
      <c r="E1436" s="11">
        <v>8</v>
      </c>
      <c r="F1436" s="11" t="s">
        <v>7480</v>
      </c>
      <c r="G1436">
        <v>20250701</v>
      </c>
      <c r="I1436" s="11" t="s">
        <v>63</v>
      </c>
      <c r="J1436" s="72">
        <v>70596916</v>
      </c>
      <c r="K1436" s="99">
        <f>_xlfn.XLOOKUP(_2__ROI_Daily_Update[[#This Row],[CSM id]],SHP!F:F,SHP!EE:EE,"-")</f>
        <v>0</v>
      </c>
      <c r="L1436" s="12"/>
      <c r="N1436" s="11"/>
      <c r="P1436"/>
      <c r="Q1436"/>
      <c r="W1436" s="28"/>
      <c r="AA1436"/>
    </row>
    <row r="1437" spans="1:27" x14ac:dyDescent="0.45">
      <c r="A1437" s="57">
        <v>1813</v>
      </c>
      <c r="B1437" t="s">
        <v>3424</v>
      </c>
      <c r="C1437" t="s">
        <v>3425</v>
      </c>
      <c r="D1437" s="12">
        <v>46313</v>
      </c>
      <c r="E1437" s="11">
        <v>24</v>
      </c>
      <c r="F1437" s="11" t="s">
        <v>7468</v>
      </c>
      <c r="G1437">
        <v>20150801</v>
      </c>
      <c r="I1437" s="11" t="s">
        <v>18</v>
      </c>
      <c r="J1437" s="72">
        <v>80280209</v>
      </c>
      <c r="K1437" s="99">
        <f>_xlfn.XLOOKUP(_2__ROI_Daily_Update[[#This Row],[CSM id]],SHP!F:F,SHP!EE:EE,"-")</f>
        <v>0</v>
      </c>
      <c r="L1437" s="12"/>
      <c r="N1437" s="11"/>
      <c r="P1437"/>
      <c r="Q1437"/>
      <c r="W1437" s="28"/>
      <c r="AA1437"/>
    </row>
    <row r="1438" spans="1:27" x14ac:dyDescent="0.45">
      <c r="A1438" s="57">
        <v>1813</v>
      </c>
      <c r="B1438" t="s">
        <v>3426</v>
      </c>
      <c r="C1438" t="s">
        <v>3427</v>
      </c>
      <c r="D1438" s="12">
        <v>46313</v>
      </c>
      <c r="E1438" s="11">
        <v>31</v>
      </c>
      <c r="F1438" s="11" t="s">
        <v>7448</v>
      </c>
      <c r="G1438">
        <v>20190201</v>
      </c>
      <c r="I1438" s="11" t="s">
        <v>63</v>
      </c>
      <c r="J1438" s="72">
        <v>80297101</v>
      </c>
      <c r="K1438" s="99">
        <f>_xlfn.XLOOKUP(_2__ROI_Daily_Update[[#This Row],[CSM id]],SHP!F:F,SHP!EE:EE,"-")</f>
        <v>0</v>
      </c>
      <c r="L1438" s="12"/>
      <c r="N1438" s="11"/>
      <c r="P1438"/>
      <c r="Q1438"/>
      <c r="W1438" s="28"/>
      <c r="AA1438"/>
    </row>
    <row r="1439" spans="1:27" x14ac:dyDescent="0.45">
      <c r="A1439" s="57">
        <v>1415</v>
      </c>
      <c r="B1439" t="s">
        <v>5184</v>
      </c>
      <c r="C1439" t="s">
        <v>5185</v>
      </c>
      <c r="D1439" s="12">
        <v>46313</v>
      </c>
      <c r="E1439" s="11">
        <v>240</v>
      </c>
      <c r="F1439" s="11" t="s">
        <v>7415</v>
      </c>
      <c r="G1439">
        <v>20260101</v>
      </c>
      <c r="I1439" s="11" t="s">
        <v>63</v>
      </c>
      <c r="J1439" s="72">
        <v>80618569</v>
      </c>
      <c r="K1439" s="99">
        <f>_xlfn.XLOOKUP(_2__ROI_Daily_Update[[#This Row],[CSM id]],SHP!F:F,SHP!EE:EE,"-")</f>
        <v>0</v>
      </c>
      <c r="L1439" s="12"/>
      <c r="N1439" s="11"/>
      <c r="P1439"/>
      <c r="Q1439"/>
      <c r="W1439" s="28"/>
      <c r="AA1439"/>
    </row>
    <row r="1440" spans="1:27" x14ac:dyDescent="0.45">
      <c r="A1440" s="57">
        <v>1415</v>
      </c>
      <c r="B1440" t="s">
        <v>2194</v>
      </c>
      <c r="C1440" t="s">
        <v>2195</v>
      </c>
      <c r="D1440" s="12">
        <v>46313</v>
      </c>
      <c r="E1440" s="11">
        <v>672</v>
      </c>
      <c r="F1440" s="11" t="s">
        <v>6940</v>
      </c>
      <c r="G1440">
        <v>20251001</v>
      </c>
      <c r="I1440" s="11" t="s">
        <v>63</v>
      </c>
      <c r="J1440" s="72">
        <v>90618007</v>
      </c>
      <c r="K1440" s="99">
        <f>_xlfn.XLOOKUP(_2__ROI_Daily_Update[[#This Row],[CSM id]],SHP!F:F,SHP!EE:EE,"-")</f>
        <v>0</v>
      </c>
      <c r="L1440" s="12"/>
      <c r="N1440" s="11"/>
      <c r="P1440"/>
      <c r="Q1440"/>
      <c r="W1440" s="28"/>
      <c r="AA1440"/>
    </row>
    <row r="1441" spans="1:27" x14ac:dyDescent="0.45">
      <c r="A1441" s="57">
        <v>1813</v>
      </c>
      <c r="B1441" t="s">
        <v>3444</v>
      </c>
      <c r="C1441" t="s">
        <v>3445</v>
      </c>
      <c r="D1441" s="12">
        <v>46313</v>
      </c>
      <c r="E1441" s="11">
        <v>116</v>
      </c>
      <c r="F1441" s="11" t="s">
        <v>6946</v>
      </c>
      <c r="G1441">
        <v>20221001</v>
      </c>
      <c r="I1441" s="11" t="s">
        <v>63</v>
      </c>
      <c r="J1441" s="72">
        <v>90534423</v>
      </c>
      <c r="K1441" s="99">
        <f>_xlfn.XLOOKUP(_2__ROI_Daily_Update[[#This Row],[CSM id]],SHP!F:F,SHP!EE:EE,"-")</f>
        <v>0</v>
      </c>
      <c r="L1441" s="12"/>
      <c r="N1441" s="11"/>
      <c r="P1441"/>
      <c r="Q1441"/>
      <c r="W1441" s="28"/>
      <c r="AA1441"/>
    </row>
    <row r="1442" spans="1:27" x14ac:dyDescent="0.45">
      <c r="A1442" s="57">
        <v>1813</v>
      </c>
      <c r="B1442" t="s">
        <v>3446</v>
      </c>
      <c r="C1442" t="s">
        <v>3447</v>
      </c>
      <c r="D1442" s="12">
        <v>46313</v>
      </c>
      <c r="E1442" s="11">
        <v>120</v>
      </c>
      <c r="F1442" s="11" t="s">
        <v>7410</v>
      </c>
      <c r="G1442">
        <v>20240101</v>
      </c>
      <c r="I1442" s="11" t="s">
        <v>63</v>
      </c>
      <c r="J1442" s="72">
        <v>90559526</v>
      </c>
      <c r="K1442" s="99">
        <f>_xlfn.XLOOKUP(_2__ROI_Daily_Update[[#This Row],[CSM id]],SHP!F:F,SHP!EE:EE,"-")</f>
        <v>0</v>
      </c>
      <c r="L1442" s="12"/>
      <c r="N1442" s="11"/>
      <c r="P1442"/>
      <c r="Q1442"/>
      <c r="W1442" s="28"/>
      <c r="AA1442"/>
    </row>
    <row r="1443" spans="1:27" x14ac:dyDescent="0.45">
      <c r="A1443" s="57">
        <v>761</v>
      </c>
      <c r="B1443" t="s">
        <v>554</v>
      </c>
      <c r="C1443" t="s">
        <v>555</v>
      </c>
      <c r="D1443" s="12">
        <v>46313</v>
      </c>
      <c r="E1443" s="11">
        <v>27</v>
      </c>
      <c r="F1443" s="11" t="s">
        <v>7480</v>
      </c>
      <c r="G1443">
        <v>20211001</v>
      </c>
      <c r="I1443" s="11" t="s">
        <v>63</v>
      </c>
      <c r="J1443" s="72">
        <v>30486420</v>
      </c>
      <c r="K1443" s="99">
        <f>_xlfn.XLOOKUP(_2__ROI_Daily_Update[[#This Row],[CSM id]],SHP!F:F,SHP!EE:EE,"-")</f>
        <v>0</v>
      </c>
      <c r="L1443" s="12"/>
      <c r="N1443" s="11"/>
      <c r="P1443"/>
      <c r="Q1443"/>
      <c r="W1443" s="28"/>
      <c r="AA1443"/>
    </row>
    <row r="1444" spans="1:27" x14ac:dyDescent="0.45">
      <c r="A1444" s="57">
        <v>782</v>
      </c>
      <c r="B1444" t="s">
        <v>581</v>
      </c>
      <c r="C1444" t="s">
        <v>582</v>
      </c>
      <c r="D1444" s="12">
        <v>46313</v>
      </c>
      <c r="E1444" s="11">
        <v>152</v>
      </c>
      <c r="F1444" s="11" t="s">
        <v>7485</v>
      </c>
      <c r="G1444">
        <v>20250101</v>
      </c>
      <c r="I1444" s="11" t="s">
        <v>18</v>
      </c>
      <c r="J1444" s="72">
        <v>20586788</v>
      </c>
      <c r="K1444" s="99">
        <f>_xlfn.XLOOKUP(_2__ROI_Daily_Update[[#This Row],[CSM id]],SHP!F:F,SHP!EE:EE,"-")</f>
        <v>0</v>
      </c>
      <c r="L1444" s="12"/>
      <c r="N1444" s="11"/>
      <c r="P1444"/>
      <c r="Q1444"/>
      <c r="W1444" s="28"/>
      <c r="AA1444"/>
    </row>
    <row r="1445" spans="1:27" x14ac:dyDescent="0.45">
      <c r="A1445" s="57">
        <v>1422</v>
      </c>
      <c r="B1445" t="s">
        <v>2252</v>
      </c>
      <c r="C1445" t="s">
        <v>2253</v>
      </c>
      <c r="D1445" s="12">
        <v>46313</v>
      </c>
      <c r="E1445" s="11">
        <v>90</v>
      </c>
      <c r="F1445" s="11" t="s">
        <v>7410</v>
      </c>
      <c r="G1445">
        <v>20140801</v>
      </c>
      <c r="I1445" s="11" t="s">
        <v>63</v>
      </c>
      <c r="J1445" s="72">
        <v>80174459</v>
      </c>
      <c r="K1445" s="99">
        <f>_xlfn.XLOOKUP(_2__ROI_Daily_Update[[#This Row],[CSM id]],SHP!F:F,SHP!EE:EE,"-")</f>
        <v>0</v>
      </c>
      <c r="L1445" s="12"/>
      <c r="N1445" s="11"/>
      <c r="P1445"/>
      <c r="Q1445"/>
      <c r="W1445" s="28"/>
      <c r="AA1445"/>
    </row>
    <row r="1446" spans="1:27" x14ac:dyDescent="0.45">
      <c r="A1446" s="57">
        <v>1813</v>
      </c>
      <c r="B1446" t="s">
        <v>5872</v>
      </c>
      <c r="C1446" t="s">
        <v>5873</v>
      </c>
      <c r="D1446" s="12">
        <v>46313</v>
      </c>
      <c r="E1446" s="11">
        <v>8</v>
      </c>
      <c r="F1446" s="11" t="s">
        <v>7463</v>
      </c>
      <c r="G1446">
        <v>20240401</v>
      </c>
      <c r="H1446" s="12">
        <v>46388</v>
      </c>
      <c r="I1446" s="11" t="s">
        <v>63</v>
      </c>
      <c r="J1446" s="72">
        <v>70530398</v>
      </c>
      <c r="K1446" s="99">
        <f>_xlfn.XLOOKUP(_2__ROI_Daily_Update[[#This Row],[CSM id]],SHP!F:F,SHP!EE:EE,"-")</f>
        <v>0</v>
      </c>
      <c r="L1446" s="12"/>
      <c r="N1446" s="11"/>
      <c r="P1446"/>
      <c r="Q1446"/>
      <c r="W1446" s="28"/>
      <c r="AA1446"/>
    </row>
    <row r="1447" spans="1:27" x14ac:dyDescent="0.45">
      <c r="A1447" s="57">
        <v>811</v>
      </c>
      <c r="B1447" t="s">
        <v>619</v>
      </c>
      <c r="C1447" t="s">
        <v>620</v>
      </c>
      <c r="D1447" s="12">
        <v>46313</v>
      </c>
      <c r="E1447" s="11">
        <v>15</v>
      </c>
      <c r="F1447" s="11" t="s">
        <v>7453</v>
      </c>
      <c r="G1447">
        <v>20240701</v>
      </c>
      <c r="I1447" s="11" t="s">
        <v>32</v>
      </c>
      <c r="J1447" s="72">
        <v>70546894</v>
      </c>
      <c r="K1447" s="99">
        <f>_xlfn.XLOOKUP(_2__ROI_Daily_Update[[#This Row],[CSM id]],SHP!F:F,SHP!EE:EE,"-")</f>
        <v>0</v>
      </c>
      <c r="L1447" s="12"/>
      <c r="N1447" s="11"/>
      <c r="P1447"/>
      <c r="Q1447"/>
      <c r="W1447" s="28"/>
      <c r="AA1447"/>
    </row>
    <row r="1448" spans="1:27" x14ac:dyDescent="0.45">
      <c r="A1448" s="57">
        <v>1422</v>
      </c>
      <c r="B1448" t="s">
        <v>2247</v>
      </c>
      <c r="C1448" t="s">
        <v>2248</v>
      </c>
      <c r="D1448" s="12">
        <v>46313</v>
      </c>
      <c r="E1448" s="11">
        <v>84</v>
      </c>
      <c r="F1448" s="11" t="s">
        <v>7492</v>
      </c>
      <c r="G1448">
        <v>20160201</v>
      </c>
      <c r="I1448" s="11" t="s">
        <v>18</v>
      </c>
      <c r="J1448" s="72">
        <v>70331474</v>
      </c>
      <c r="K1448" s="99">
        <f>_xlfn.XLOOKUP(_2__ROI_Daily_Update[[#This Row],[CSM id]],SHP!F:F,SHP!EE:EE,"-")</f>
        <v>0</v>
      </c>
      <c r="L1448" s="12"/>
      <c r="N1448" s="11"/>
      <c r="P1448"/>
      <c r="Q1448"/>
      <c r="W1448" s="28"/>
      <c r="AA1448"/>
    </row>
    <row r="1449" spans="1:27" x14ac:dyDescent="0.45">
      <c r="A1449" s="57">
        <v>1836</v>
      </c>
      <c r="B1449" t="s">
        <v>3654</v>
      </c>
      <c r="C1449" t="s">
        <v>3655</v>
      </c>
      <c r="D1449" s="12">
        <v>46313</v>
      </c>
      <c r="E1449" s="11">
        <v>3000</v>
      </c>
      <c r="F1449" s="11" t="s">
        <v>7425</v>
      </c>
      <c r="G1449">
        <v>20261001</v>
      </c>
      <c r="I1449" s="11" t="s">
        <v>63</v>
      </c>
      <c r="J1449" s="72">
        <v>40611112</v>
      </c>
      <c r="K1449" s="99">
        <f>_xlfn.XLOOKUP(_2__ROI_Daily_Update[[#This Row],[CSM id]],SHP!F:F,SHP!EE:EE,"-")</f>
        <v>0</v>
      </c>
      <c r="L1449" s="12"/>
      <c r="N1449" s="11"/>
      <c r="P1449"/>
      <c r="Q1449"/>
      <c r="W1449" s="28"/>
      <c r="AA1449"/>
    </row>
    <row r="1450" spans="1:27" x14ac:dyDescent="0.45">
      <c r="A1450" s="57">
        <v>782</v>
      </c>
      <c r="B1450" t="s">
        <v>583</v>
      </c>
      <c r="C1450" t="s">
        <v>584</v>
      </c>
      <c r="D1450" s="12">
        <v>46313</v>
      </c>
      <c r="E1450" s="11">
        <v>140</v>
      </c>
      <c r="F1450" s="11" t="s">
        <v>7485</v>
      </c>
      <c r="G1450">
        <v>20250101</v>
      </c>
      <c r="I1450" s="11" t="s">
        <v>18</v>
      </c>
      <c r="J1450" s="72">
        <v>20591775</v>
      </c>
      <c r="K1450" s="99">
        <f>_xlfn.XLOOKUP(_2__ROI_Daily_Update[[#This Row],[CSM id]],SHP!F:F,SHP!EE:EE,"-")</f>
        <v>0</v>
      </c>
      <c r="L1450" s="12"/>
      <c r="N1450" s="11"/>
      <c r="P1450"/>
      <c r="Q1450"/>
      <c r="W1450" s="28"/>
      <c r="AA1450"/>
    </row>
    <row r="1451" spans="1:27" x14ac:dyDescent="0.45">
      <c r="A1451" s="57">
        <v>1815</v>
      </c>
      <c r="B1451" t="s">
        <v>3466</v>
      </c>
      <c r="C1451" t="s">
        <v>3467</v>
      </c>
      <c r="D1451" s="12">
        <v>46313</v>
      </c>
      <c r="E1451" s="11">
        <v>24</v>
      </c>
      <c r="F1451" s="11" t="s">
        <v>7410</v>
      </c>
      <c r="G1451">
        <v>20140801</v>
      </c>
      <c r="I1451" s="11" t="s">
        <v>63</v>
      </c>
      <c r="J1451" s="72">
        <v>40188774</v>
      </c>
      <c r="K1451" s="99">
        <f>_xlfn.XLOOKUP(_2__ROI_Daily_Update[[#This Row],[CSM id]],SHP!F:F,SHP!EE:EE,"-")</f>
        <v>0</v>
      </c>
      <c r="L1451" s="12"/>
      <c r="N1451" s="11"/>
      <c r="P1451"/>
      <c r="Q1451"/>
      <c r="W1451" s="28"/>
      <c r="AA1451"/>
    </row>
    <row r="1452" spans="1:27" x14ac:dyDescent="0.45">
      <c r="A1452" s="57">
        <v>1815</v>
      </c>
      <c r="B1452" t="s">
        <v>5554</v>
      </c>
      <c r="C1452" t="s">
        <v>5555</v>
      </c>
      <c r="D1452" s="12">
        <v>46313</v>
      </c>
      <c r="E1452" s="11">
        <v>130</v>
      </c>
      <c r="F1452" s="11" t="s">
        <v>7410</v>
      </c>
      <c r="G1452">
        <v>20260401</v>
      </c>
      <c r="I1452" s="11" t="s">
        <v>63</v>
      </c>
      <c r="J1452" s="72">
        <v>60590793</v>
      </c>
      <c r="K1452" s="99">
        <f>_xlfn.XLOOKUP(_2__ROI_Daily_Update[[#This Row],[CSM id]],SHP!F:F,SHP!EE:EE,"-")</f>
        <v>0</v>
      </c>
      <c r="L1452" s="12"/>
      <c r="N1452" s="11"/>
      <c r="P1452"/>
      <c r="Q1452"/>
      <c r="W1452" s="28"/>
      <c r="AA1452"/>
    </row>
    <row r="1453" spans="1:27" x14ac:dyDescent="0.45">
      <c r="A1453" s="57">
        <v>1815</v>
      </c>
      <c r="B1453" t="s">
        <v>3466</v>
      </c>
      <c r="C1453" t="s">
        <v>3467</v>
      </c>
      <c r="D1453" s="12">
        <v>46313</v>
      </c>
      <c r="E1453" s="11">
        <v>24</v>
      </c>
      <c r="F1453" s="11" t="s">
        <v>7480</v>
      </c>
      <c r="G1453">
        <v>20140801</v>
      </c>
      <c r="I1453" s="11" t="s">
        <v>63</v>
      </c>
      <c r="J1453" s="72">
        <v>40188774</v>
      </c>
      <c r="K1453" s="99">
        <f>_xlfn.XLOOKUP(_2__ROI_Daily_Update[[#This Row],[CSM id]],SHP!F:F,SHP!EE:EE,"-")</f>
        <v>0</v>
      </c>
      <c r="L1453" s="12"/>
      <c r="N1453" s="11"/>
      <c r="P1453"/>
      <c r="Q1453"/>
      <c r="W1453" s="28"/>
      <c r="AA1453"/>
    </row>
    <row r="1454" spans="1:27" x14ac:dyDescent="0.45">
      <c r="A1454" s="57">
        <v>782</v>
      </c>
      <c r="B1454" t="s">
        <v>596</v>
      </c>
      <c r="C1454" t="s">
        <v>597</v>
      </c>
      <c r="D1454" s="12">
        <v>46313</v>
      </c>
      <c r="E1454" s="11">
        <v>56</v>
      </c>
      <c r="F1454" s="11" t="s">
        <v>7499</v>
      </c>
      <c r="G1454">
        <v>20250101</v>
      </c>
      <c r="I1454" s="11" t="s">
        <v>18</v>
      </c>
      <c r="J1454" s="72">
        <v>60586791</v>
      </c>
      <c r="K1454" s="99">
        <f>_xlfn.XLOOKUP(_2__ROI_Daily_Update[[#This Row],[CSM id]],SHP!F:F,SHP!EE:EE,"-")</f>
        <v>0</v>
      </c>
      <c r="L1454" s="12"/>
      <c r="N1454" s="11"/>
      <c r="P1454"/>
      <c r="Q1454"/>
      <c r="W1454" s="28"/>
      <c r="AA1454"/>
    </row>
    <row r="1455" spans="1:27" x14ac:dyDescent="0.45">
      <c r="A1455" s="57">
        <v>782</v>
      </c>
      <c r="B1455" t="s">
        <v>598</v>
      </c>
      <c r="C1455" t="s">
        <v>599</v>
      </c>
      <c r="D1455" s="12">
        <v>46313</v>
      </c>
      <c r="E1455" s="11">
        <v>56</v>
      </c>
      <c r="F1455" s="11" t="s">
        <v>7468</v>
      </c>
      <c r="G1455">
        <v>20260401</v>
      </c>
      <c r="I1455" s="11" t="s">
        <v>18</v>
      </c>
      <c r="J1455" s="72">
        <v>60629719</v>
      </c>
      <c r="K1455" s="99">
        <f>_xlfn.XLOOKUP(_2__ROI_Daily_Update[[#This Row],[CSM id]],SHP!F:F,SHP!EE:EE,"-")</f>
        <v>0</v>
      </c>
      <c r="L1455" s="12"/>
      <c r="N1455" s="11"/>
      <c r="P1455"/>
      <c r="Q1455"/>
      <c r="W1455" s="28"/>
      <c r="AA1455"/>
    </row>
    <row r="1456" spans="1:27" x14ac:dyDescent="0.45">
      <c r="A1456" s="57">
        <v>1815</v>
      </c>
      <c r="B1456" t="s">
        <v>5168</v>
      </c>
      <c r="C1456" t="s">
        <v>5169</v>
      </c>
      <c r="D1456" s="12">
        <v>46313</v>
      </c>
      <c r="E1456" s="11">
        <v>85</v>
      </c>
      <c r="F1456" s="11" t="s">
        <v>7420</v>
      </c>
      <c r="G1456">
        <v>20260401</v>
      </c>
      <c r="I1456" s="11" t="s">
        <v>63</v>
      </c>
      <c r="J1456" s="72">
        <v>40590794</v>
      </c>
      <c r="K1456" s="99">
        <f>_xlfn.XLOOKUP(_2__ROI_Daily_Update[[#This Row],[CSM id]],SHP!F:F,SHP!EE:EE,"-")</f>
        <v>0</v>
      </c>
      <c r="L1456" s="12"/>
      <c r="N1456" s="11"/>
      <c r="P1456"/>
      <c r="Q1456"/>
      <c r="W1456" s="28"/>
      <c r="AA1456"/>
    </row>
    <row r="1457" spans="1:27" x14ac:dyDescent="0.45">
      <c r="A1457" s="57">
        <v>1815</v>
      </c>
      <c r="B1457" t="s">
        <v>5606</v>
      </c>
      <c r="C1457" t="s">
        <v>5607</v>
      </c>
      <c r="D1457" s="12">
        <v>46313</v>
      </c>
      <c r="E1457" s="11">
        <v>200</v>
      </c>
      <c r="F1457" s="11" t="s">
        <v>7410</v>
      </c>
      <c r="G1457">
        <v>20260701</v>
      </c>
      <c r="I1457" s="11" t="s">
        <v>63</v>
      </c>
      <c r="J1457" s="72">
        <v>40644283</v>
      </c>
      <c r="K1457" s="99">
        <f>_xlfn.XLOOKUP(_2__ROI_Daily_Update[[#This Row],[CSM id]],SHP!F:F,SHP!EE:EE,"-")</f>
        <v>0</v>
      </c>
      <c r="L1457" s="12"/>
      <c r="N1457" s="11"/>
      <c r="P1457"/>
      <c r="Q1457"/>
      <c r="W1457" s="28"/>
      <c r="AA1457"/>
    </row>
    <row r="1458" spans="1:27" x14ac:dyDescent="0.45">
      <c r="A1458" s="57">
        <v>1422</v>
      </c>
      <c r="B1458" t="s">
        <v>5329</v>
      </c>
      <c r="C1458" t="s">
        <v>5330</v>
      </c>
      <c r="D1458" s="12">
        <v>46313</v>
      </c>
      <c r="E1458" s="11">
        <v>1008</v>
      </c>
      <c r="F1458" s="11" t="s">
        <v>7492</v>
      </c>
      <c r="G1458">
        <v>20141201</v>
      </c>
      <c r="I1458" s="11" t="s">
        <v>18</v>
      </c>
      <c r="J1458" s="72">
        <v>50186091</v>
      </c>
      <c r="K1458" s="99">
        <f>_xlfn.XLOOKUP(_2__ROI_Daily_Update[[#This Row],[CSM id]],SHP!F:F,SHP!EE:EE,"-")</f>
        <v>0</v>
      </c>
      <c r="L1458" s="12"/>
      <c r="N1458" s="11"/>
      <c r="P1458"/>
      <c r="Q1458"/>
      <c r="W1458" s="28"/>
      <c r="AA1458"/>
    </row>
    <row r="1459" spans="1:27" x14ac:dyDescent="0.45">
      <c r="A1459" s="57">
        <v>782</v>
      </c>
      <c r="B1459" t="s">
        <v>6295</v>
      </c>
      <c r="C1459" t="s">
        <v>6296</v>
      </c>
      <c r="D1459" s="12">
        <v>46313</v>
      </c>
      <c r="E1459" s="11">
        <v>120</v>
      </c>
      <c r="F1459" s="11" t="s">
        <v>7453</v>
      </c>
      <c r="G1459">
        <v>20260401</v>
      </c>
      <c r="I1459" s="11" t="s">
        <v>63</v>
      </c>
      <c r="J1459" s="72">
        <v>70602984</v>
      </c>
      <c r="K1459" s="99">
        <f>_xlfn.XLOOKUP(_2__ROI_Daily_Update[[#This Row],[CSM id]],SHP!F:F,SHP!EE:EE,"-")</f>
        <v>0</v>
      </c>
      <c r="L1459" s="12"/>
      <c r="N1459" s="11"/>
      <c r="P1459"/>
      <c r="Q1459"/>
      <c r="W1459" s="28"/>
      <c r="AA1459"/>
    </row>
    <row r="1460" spans="1:27" x14ac:dyDescent="0.45">
      <c r="A1460" s="57">
        <v>1815</v>
      </c>
      <c r="B1460" t="s">
        <v>5606</v>
      </c>
      <c r="C1460" t="s">
        <v>5607</v>
      </c>
      <c r="D1460" s="12">
        <v>46313</v>
      </c>
      <c r="E1460" s="11">
        <v>150</v>
      </c>
      <c r="F1460" s="11" t="s">
        <v>7463</v>
      </c>
      <c r="G1460">
        <v>20260701</v>
      </c>
      <c r="I1460" s="11" t="s">
        <v>63</v>
      </c>
      <c r="J1460" s="72">
        <v>40644283</v>
      </c>
      <c r="K1460" s="99">
        <f>_xlfn.XLOOKUP(_2__ROI_Daily_Update[[#This Row],[CSM id]],SHP!F:F,SHP!EE:EE,"-")</f>
        <v>0</v>
      </c>
      <c r="L1460" s="12"/>
      <c r="N1460" s="11"/>
      <c r="P1460"/>
      <c r="Q1460"/>
      <c r="W1460" s="28"/>
      <c r="AA1460"/>
    </row>
    <row r="1461" spans="1:27" x14ac:dyDescent="0.45">
      <c r="A1461" s="57">
        <v>1815</v>
      </c>
      <c r="B1461" t="s">
        <v>3476</v>
      </c>
      <c r="C1461" t="s">
        <v>3477</v>
      </c>
      <c r="D1461" s="12">
        <v>46313</v>
      </c>
      <c r="E1461" s="11">
        <v>304</v>
      </c>
      <c r="F1461" s="11" t="s">
        <v>7440</v>
      </c>
      <c r="G1461">
        <v>20201001</v>
      </c>
      <c r="I1461" s="11" t="s">
        <v>63</v>
      </c>
      <c r="J1461" s="72">
        <v>60440765</v>
      </c>
      <c r="K1461" s="99">
        <f>_xlfn.XLOOKUP(_2__ROI_Daily_Update[[#This Row],[CSM id]],SHP!F:F,SHP!EE:EE,"-")</f>
        <v>0</v>
      </c>
      <c r="L1461" s="12"/>
      <c r="N1461" s="11"/>
      <c r="P1461"/>
      <c r="Q1461"/>
      <c r="W1461" s="28"/>
      <c r="AA1461"/>
    </row>
    <row r="1462" spans="1:27" x14ac:dyDescent="0.45">
      <c r="A1462" s="57">
        <v>811</v>
      </c>
      <c r="B1462" t="s">
        <v>615</v>
      </c>
      <c r="C1462" t="s">
        <v>616</v>
      </c>
      <c r="D1462" s="12">
        <v>46313</v>
      </c>
      <c r="E1462" s="11">
        <v>12</v>
      </c>
      <c r="F1462" s="11" t="s">
        <v>7499</v>
      </c>
      <c r="G1462">
        <v>20250401</v>
      </c>
      <c r="I1462" s="11" t="s">
        <v>18</v>
      </c>
      <c r="J1462" s="72">
        <v>10592737</v>
      </c>
      <c r="K1462" s="99">
        <f>_xlfn.XLOOKUP(_2__ROI_Daily_Update[[#This Row],[CSM id]],SHP!F:F,SHP!EE:EE,"-")</f>
        <v>0</v>
      </c>
      <c r="L1462" s="12"/>
      <c r="N1462" s="11"/>
      <c r="P1462"/>
      <c r="Q1462"/>
      <c r="W1462" s="28"/>
      <c r="AA1462"/>
    </row>
    <row r="1463" spans="1:27" x14ac:dyDescent="0.45">
      <c r="A1463" s="57">
        <v>1422</v>
      </c>
      <c r="B1463" t="s">
        <v>2229</v>
      </c>
      <c r="C1463" t="s">
        <v>2230</v>
      </c>
      <c r="D1463" s="12">
        <v>46313</v>
      </c>
      <c r="E1463" s="11">
        <v>336</v>
      </c>
      <c r="F1463" s="11" t="s">
        <v>7400</v>
      </c>
      <c r="G1463">
        <v>20221001</v>
      </c>
      <c r="H1463" s="12">
        <v>46388</v>
      </c>
      <c r="I1463" s="11" t="s">
        <v>63</v>
      </c>
      <c r="J1463" s="72">
        <v>40529400</v>
      </c>
      <c r="K1463" s="99">
        <f>_xlfn.XLOOKUP(_2__ROI_Daily_Update[[#This Row],[CSM id]],SHP!F:F,SHP!EE:EE,"-")</f>
        <v>0</v>
      </c>
      <c r="L1463" s="12"/>
      <c r="N1463" s="11"/>
      <c r="P1463"/>
      <c r="Q1463"/>
      <c r="W1463" s="28"/>
      <c r="AA1463"/>
    </row>
    <row r="1464" spans="1:27" x14ac:dyDescent="0.45">
      <c r="A1464" s="57">
        <v>811</v>
      </c>
      <c r="B1464" t="s">
        <v>611</v>
      </c>
      <c r="C1464" t="s">
        <v>612</v>
      </c>
      <c r="D1464" s="12">
        <v>46313</v>
      </c>
      <c r="E1464" s="11">
        <v>40</v>
      </c>
      <c r="F1464" s="11" t="s">
        <v>7440</v>
      </c>
      <c r="G1464">
        <v>20211001</v>
      </c>
      <c r="I1464" s="11" t="s">
        <v>32</v>
      </c>
      <c r="J1464" s="72">
        <v>412987</v>
      </c>
      <c r="K1464" s="99">
        <f>_xlfn.XLOOKUP(_2__ROI_Daily_Update[[#This Row],[CSM id]],SHP!F:F,SHP!EE:EE,"-")</f>
        <v>0</v>
      </c>
      <c r="L1464" s="12"/>
      <c r="N1464" s="11"/>
      <c r="P1464"/>
      <c r="Q1464"/>
      <c r="W1464" s="28"/>
      <c r="AA1464"/>
    </row>
    <row r="1465" spans="1:27" x14ac:dyDescent="0.45">
      <c r="A1465" s="57">
        <v>1815</v>
      </c>
      <c r="B1465" t="s">
        <v>3464</v>
      </c>
      <c r="C1465" t="s">
        <v>3465</v>
      </c>
      <c r="D1465" s="12">
        <v>46313</v>
      </c>
      <c r="E1465" s="11">
        <v>304</v>
      </c>
      <c r="F1465" s="11" t="s">
        <v>7463</v>
      </c>
      <c r="G1465">
        <v>20260701</v>
      </c>
      <c r="I1465" s="11" t="s">
        <v>63</v>
      </c>
      <c r="J1465" s="72">
        <v>20644284</v>
      </c>
      <c r="K1465" s="99">
        <f>_xlfn.XLOOKUP(_2__ROI_Daily_Update[[#This Row],[CSM id]],SHP!F:F,SHP!EE:EE,"-")</f>
        <v>0</v>
      </c>
      <c r="L1465" s="12"/>
      <c r="N1465" s="11"/>
      <c r="P1465"/>
      <c r="Q1465"/>
      <c r="W1465" s="28"/>
      <c r="AA1465"/>
    </row>
    <row r="1466" spans="1:27" x14ac:dyDescent="0.45">
      <c r="A1466" s="57">
        <v>761</v>
      </c>
      <c r="B1466" t="s">
        <v>554</v>
      </c>
      <c r="C1466" t="s">
        <v>555</v>
      </c>
      <c r="D1466" s="12">
        <v>46313</v>
      </c>
      <c r="E1466" s="11">
        <v>27</v>
      </c>
      <c r="F1466" s="11" t="s">
        <v>7410</v>
      </c>
      <c r="G1466">
        <v>20211001</v>
      </c>
      <c r="I1466" s="11" t="s">
        <v>63</v>
      </c>
      <c r="J1466" s="72">
        <v>30486420</v>
      </c>
      <c r="K1466" s="99">
        <f>_xlfn.XLOOKUP(_2__ROI_Daily_Update[[#This Row],[CSM id]],SHP!F:F,SHP!EE:EE,"-")</f>
        <v>0</v>
      </c>
      <c r="L1466" s="12"/>
      <c r="N1466" s="11"/>
      <c r="P1466"/>
      <c r="Q1466"/>
      <c r="W1466" s="28"/>
      <c r="AA1466"/>
    </row>
    <row r="1467" spans="1:27" x14ac:dyDescent="0.45">
      <c r="A1467" s="57">
        <v>782</v>
      </c>
      <c r="B1467" t="s">
        <v>577</v>
      </c>
      <c r="C1467" t="s">
        <v>578</v>
      </c>
      <c r="D1467" s="12">
        <v>46313</v>
      </c>
      <c r="E1467" s="11">
        <v>42</v>
      </c>
      <c r="F1467" s="11" t="s">
        <v>7468</v>
      </c>
      <c r="G1467">
        <v>20250101</v>
      </c>
      <c r="I1467" s="11" t="s">
        <v>18</v>
      </c>
      <c r="J1467" s="72">
        <v>10591667</v>
      </c>
      <c r="K1467" s="99">
        <f>_xlfn.XLOOKUP(_2__ROI_Daily_Update[[#This Row],[CSM id]],SHP!F:F,SHP!EE:EE,"-")</f>
        <v>0</v>
      </c>
      <c r="L1467" s="12"/>
      <c r="N1467" s="11"/>
      <c r="P1467"/>
      <c r="Q1467"/>
      <c r="W1467" s="28"/>
      <c r="AA1467"/>
    </row>
    <row r="1468" spans="1:27" x14ac:dyDescent="0.45">
      <c r="A1468" s="57">
        <v>1815</v>
      </c>
      <c r="B1468" t="s">
        <v>3480</v>
      </c>
      <c r="C1468" t="s">
        <v>3481</v>
      </c>
      <c r="D1468" s="12">
        <v>46313</v>
      </c>
      <c r="E1468" s="11">
        <v>100</v>
      </c>
      <c r="F1468" s="11" t="s">
        <v>7463</v>
      </c>
      <c r="G1468">
        <v>20260101</v>
      </c>
      <c r="I1468" s="11" t="s">
        <v>63</v>
      </c>
      <c r="J1468" s="72">
        <v>60598204</v>
      </c>
      <c r="K1468" s="99">
        <f>_xlfn.XLOOKUP(_2__ROI_Daily_Update[[#This Row],[CSM id]],SHP!F:F,SHP!EE:EE,"-")</f>
        <v>0</v>
      </c>
      <c r="L1468" s="12"/>
      <c r="N1468" s="11"/>
      <c r="P1468"/>
      <c r="Q1468"/>
      <c r="W1468" s="28"/>
      <c r="AA1468"/>
    </row>
    <row r="1469" spans="1:27" x14ac:dyDescent="0.45">
      <c r="A1469" s="57">
        <v>1815</v>
      </c>
      <c r="B1469" t="s">
        <v>7033</v>
      </c>
      <c r="C1469" t="s">
        <v>7034</v>
      </c>
      <c r="D1469" s="12">
        <v>46313</v>
      </c>
      <c r="E1469" s="11">
        <v>42</v>
      </c>
      <c r="F1469" s="11" t="s">
        <v>7475</v>
      </c>
      <c r="G1469">
        <v>20150401</v>
      </c>
      <c r="I1469" s="11" t="s">
        <v>63</v>
      </c>
      <c r="J1469" s="72">
        <v>90292358</v>
      </c>
      <c r="K1469" s="99">
        <f>_xlfn.XLOOKUP(_2__ROI_Daily_Update[[#This Row],[CSM id]],SHP!F:F,SHP!EE:EE,"-")</f>
        <v>0</v>
      </c>
      <c r="L1469" s="12"/>
      <c r="N1469" s="11"/>
      <c r="P1469"/>
      <c r="Q1469"/>
      <c r="W1469" s="28"/>
      <c r="AA1469"/>
    </row>
    <row r="1470" spans="1:27" x14ac:dyDescent="0.45">
      <c r="A1470" s="57">
        <v>1813</v>
      </c>
      <c r="B1470" t="s">
        <v>3448</v>
      </c>
      <c r="C1470" t="s">
        <v>3449</v>
      </c>
      <c r="D1470" s="12">
        <v>46313</v>
      </c>
      <c r="E1470" s="11">
        <v>352</v>
      </c>
      <c r="F1470" s="11" t="s">
        <v>7410</v>
      </c>
      <c r="G1470">
        <v>20250701</v>
      </c>
      <c r="I1470" s="11" t="s">
        <v>63</v>
      </c>
      <c r="J1470" s="72">
        <v>90596915</v>
      </c>
      <c r="K1470" s="99">
        <f>_xlfn.XLOOKUP(_2__ROI_Daily_Update[[#This Row],[CSM id]],SHP!F:F,SHP!EE:EE,"-")</f>
        <v>0</v>
      </c>
      <c r="L1470" s="12"/>
      <c r="N1470" s="11"/>
      <c r="P1470"/>
      <c r="Q1470"/>
      <c r="W1470" s="28"/>
      <c r="AA1470"/>
    </row>
    <row r="1471" spans="1:27" x14ac:dyDescent="0.45">
      <c r="A1471" s="57">
        <v>821</v>
      </c>
      <c r="B1471" t="s">
        <v>637</v>
      </c>
      <c r="C1471" t="s">
        <v>638</v>
      </c>
      <c r="D1471" s="12">
        <v>46313</v>
      </c>
      <c r="E1471" s="11">
        <v>64</v>
      </c>
      <c r="F1471" s="11" t="s">
        <v>7485</v>
      </c>
      <c r="G1471">
        <v>20170401</v>
      </c>
      <c r="I1471" s="11" t="s">
        <v>18</v>
      </c>
      <c r="J1471" s="72">
        <v>70350938</v>
      </c>
      <c r="K1471" s="99">
        <f>_xlfn.XLOOKUP(_2__ROI_Daily_Update[[#This Row],[CSM id]],SHP!F:F,SHP!EE:EE,"-")</f>
        <v>0</v>
      </c>
      <c r="L1471" s="12"/>
      <c r="N1471" s="11"/>
      <c r="P1471"/>
      <c r="Q1471"/>
      <c r="W1471" s="28"/>
      <c r="AA1471"/>
    </row>
    <row r="1472" spans="1:27" x14ac:dyDescent="0.45">
      <c r="A1472" s="57">
        <v>761</v>
      </c>
      <c r="B1472" t="s">
        <v>558</v>
      </c>
      <c r="C1472" t="s">
        <v>559</v>
      </c>
      <c r="D1472" s="12">
        <v>46313</v>
      </c>
      <c r="E1472" s="11">
        <v>144</v>
      </c>
      <c r="F1472" s="11" t="s">
        <v>7430</v>
      </c>
      <c r="G1472">
        <v>20260401</v>
      </c>
      <c r="I1472" s="11" t="s">
        <v>63</v>
      </c>
      <c r="J1472" s="72">
        <v>30613814</v>
      </c>
      <c r="K1472" s="99">
        <f>_xlfn.XLOOKUP(_2__ROI_Daily_Update[[#This Row],[CSM id]],SHP!F:F,SHP!EE:EE,"-")</f>
        <v>0</v>
      </c>
      <c r="L1472" s="12"/>
      <c r="N1472" s="11"/>
      <c r="P1472"/>
      <c r="Q1472"/>
      <c r="W1472" s="28"/>
      <c r="AA1472"/>
    </row>
    <row r="1473" spans="1:27" x14ac:dyDescent="0.45">
      <c r="A1473" s="57">
        <v>761</v>
      </c>
      <c r="B1473" t="s">
        <v>558</v>
      </c>
      <c r="C1473" t="s">
        <v>559</v>
      </c>
      <c r="D1473" s="12">
        <v>46313</v>
      </c>
      <c r="E1473" s="11">
        <v>144</v>
      </c>
      <c r="F1473" s="11" t="s">
        <v>7480</v>
      </c>
      <c r="G1473">
        <v>20260401</v>
      </c>
      <c r="I1473" s="11" t="s">
        <v>63</v>
      </c>
      <c r="J1473" s="72">
        <v>30613814</v>
      </c>
      <c r="K1473" s="99">
        <f>_xlfn.XLOOKUP(_2__ROI_Daily_Update[[#This Row],[CSM id]],SHP!F:F,SHP!EE:EE,"-")</f>
        <v>0</v>
      </c>
      <c r="L1473" s="12"/>
      <c r="N1473" s="11"/>
      <c r="P1473"/>
      <c r="Q1473"/>
      <c r="W1473" s="28"/>
      <c r="AA1473"/>
    </row>
    <row r="1474" spans="1:27" x14ac:dyDescent="0.45">
      <c r="A1474" s="57">
        <v>761</v>
      </c>
      <c r="B1474" t="s">
        <v>560</v>
      </c>
      <c r="C1474" t="s">
        <v>561</v>
      </c>
      <c r="D1474" s="12">
        <v>46313</v>
      </c>
      <c r="E1474" s="11">
        <v>728</v>
      </c>
      <c r="F1474" s="11" t="s">
        <v>7458</v>
      </c>
      <c r="G1474">
        <v>20140801</v>
      </c>
      <c r="I1474" s="11" t="s">
        <v>63</v>
      </c>
      <c r="J1474" s="72">
        <v>40177742</v>
      </c>
      <c r="K1474" s="99">
        <f>_xlfn.XLOOKUP(_2__ROI_Daily_Update[[#This Row],[CSM id]],SHP!F:F,SHP!EE:EE,"-")</f>
        <v>0</v>
      </c>
      <c r="L1474" s="12"/>
      <c r="N1474" s="11"/>
      <c r="P1474"/>
      <c r="Q1474"/>
      <c r="W1474" s="28"/>
      <c r="AA1474"/>
    </row>
    <row r="1475" spans="1:27" x14ac:dyDescent="0.45">
      <c r="A1475" s="57">
        <v>1815</v>
      </c>
      <c r="B1475" t="s">
        <v>3460</v>
      </c>
      <c r="C1475" t="s">
        <v>3461</v>
      </c>
      <c r="D1475" s="12">
        <v>46313</v>
      </c>
      <c r="E1475" s="11">
        <v>100</v>
      </c>
      <c r="F1475" s="11" t="s">
        <v>7463</v>
      </c>
      <c r="G1475">
        <v>20260401</v>
      </c>
      <c r="I1475" s="11" t="s">
        <v>63</v>
      </c>
      <c r="J1475" s="72">
        <v>20440767</v>
      </c>
      <c r="K1475" s="99">
        <f>_xlfn.XLOOKUP(_2__ROI_Daily_Update[[#This Row],[CSM id]],SHP!F:F,SHP!EE:EE,"-")</f>
        <v>0</v>
      </c>
      <c r="L1475" s="12"/>
      <c r="N1475" s="11"/>
      <c r="P1475"/>
      <c r="Q1475"/>
      <c r="W1475" s="28"/>
      <c r="AA1475"/>
    </row>
    <row r="1476" spans="1:27" x14ac:dyDescent="0.45">
      <c r="A1476" s="57">
        <v>761</v>
      </c>
      <c r="B1476" t="s">
        <v>565</v>
      </c>
      <c r="C1476" t="s">
        <v>566</v>
      </c>
      <c r="D1476" s="12">
        <v>46313</v>
      </c>
      <c r="E1476" s="11">
        <v>137</v>
      </c>
      <c r="F1476" s="11" t="s">
        <v>7425</v>
      </c>
      <c r="G1476">
        <v>20200201</v>
      </c>
      <c r="I1476" s="11" t="s">
        <v>63</v>
      </c>
      <c r="J1476" s="72">
        <v>60432195</v>
      </c>
      <c r="K1476" s="99">
        <f>_xlfn.XLOOKUP(_2__ROI_Daily_Update[[#This Row],[CSM id]],SHP!F:F,SHP!EE:EE,"-")</f>
        <v>0</v>
      </c>
      <c r="L1476" s="12"/>
      <c r="N1476" s="11"/>
      <c r="P1476"/>
      <c r="Q1476"/>
      <c r="W1476" s="28"/>
      <c r="AA1476"/>
    </row>
    <row r="1477" spans="1:27" x14ac:dyDescent="0.45">
      <c r="A1477" s="57">
        <v>821</v>
      </c>
      <c r="B1477" t="s">
        <v>629</v>
      </c>
      <c r="C1477" t="s">
        <v>630</v>
      </c>
      <c r="D1477" s="12">
        <v>46313</v>
      </c>
      <c r="E1477" s="11">
        <v>16</v>
      </c>
      <c r="F1477" s="11" t="s">
        <v>7458</v>
      </c>
      <c r="G1477">
        <v>20240101</v>
      </c>
      <c r="I1477" s="11" t="s">
        <v>63</v>
      </c>
      <c r="J1477" s="72">
        <v>30544873</v>
      </c>
      <c r="K1477" s="99">
        <f>_xlfn.XLOOKUP(_2__ROI_Daily_Update[[#This Row],[CSM id]],SHP!F:F,SHP!EE:EE,"-")</f>
        <v>0</v>
      </c>
      <c r="L1477" s="12"/>
      <c r="N1477" s="11"/>
      <c r="P1477"/>
      <c r="Q1477"/>
      <c r="W1477" s="28"/>
      <c r="AA1477"/>
    </row>
    <row r="1478" spans="1:27" x14ac:dyDescent="0.45">
      <c r="A1478" s="57">
        <v>1815</v>
      </c>
      <c r="B1478" t="s">
        <v>6023</v>
      </c>
      <c r="C1478" t="s">
        <v>6024</v>
      </c>
      <c r="D1478" s="12">
        <v>46313</v>
      </c>
      <c r="E1478" s="11">
        <v>28</v>
      </c>
      <c r="F1478" s="11" t="s">
        <v>6940</v>
      </c>
      <c r="G1478">
        <v>20230401</v>
      </c>
      <c r="H1478" s="12">
        <v>46569</v>
      </c>
      <c r="I1478" s="11" t="s">
        <v>63</v>
      </c>
      <c r="J1478" s="72">
        <v>20522089</v>
      </c>
      <c r="K1478" s="99">
        <f>_xlfn.XLOOKUP(_2__ROI_Daily_Update[[#This Row],[CSM id]],SHP!F:F,SHP!EE:EE,"-")</f>
        <v>0</v>
      </c>
      <c r="L1478" s="12"/>
      <c r="N1478" s="11"/>
      <c r="P1478"/>
      <c r="Q1478"/>
      <c r="W1478" s="28"/>
      <c r="AA1478"/>
    </row>
    <row r="1479" spans="1:27" x14ac:dyDescent="0.45">
      <c r="A1479" s="57">
        <v>1815</v>
      </c>
      <c r="B1479" t="s">
        <v>3482</v>
      </c>
      <c r="C1479" t="s">
        <v>3483</v>
      </c>
      <c r="D1479" s="12">
        <v>46313</v>
      </c>
      <c r="E1479" s="11">
        <v>500</v>
      </c>
      <c r="F1479" s="11" t="s">
        <v>7420</v>
      </c>
      <c r="G1479">
        <v>20260701</v>
      </c>
      <c r="I1479" s="11" t="s">
        <v>63</v>
      </c>
      <c r="J1479" s="72">
        <v>60644282</v>
      </c>
      <c r="K1479" s="99">
        <f>_xlfn.XLOOKUP(_2__ROI_Daily_Update[[#This Row],[CSM id]],SHP!F:F,SHP!EE:EE,"-")</f>
        <v>0</v>
      </c>
      <c r="L1479" s="12"/>
      <c r="N1479" s="11"/>
      <c r="P1479"/>
      <c r="Q1479"/>
      <c r="W1479" s="28"/>
      <c r="AA1479"/>
    </row>
    <row r="1480" spans="1:27" x14ac:dyDescent="0.45">
      <c r="A1480" s="57">
        <v>761</v>
      </c>
      <c r="B1480" t="s">
        <v>7007</v>
      </c>
      <c r="C1480" t="s">
        <v>7008</v>
      </c>
      <c r="D1480" s="12">
        <v>46313</v>
      </c>
      <c r="E1480" s="11">
        <v>18</v>
      </c>
      <c r="F1480" s="11" t="s">
        <v>7480</v>
      </c>
      <c r="G1480">
        <v>20260401</v>
      </c>
      <c r="I1480" s="11" t="s">
        <v>63</v>
      </c>
      <c r="J1480" s="72">
        <v>80618098</v>
      </c>
      <c r="K1480" s="99">
        <f>_xlfn.XLOOKUP(_2__ROI_Daily_Update[[#This Row],[CSM id]],SHP!F:F,SHP!EE:EE,"-")</f>
        <v>0</v>
      </c>
      <c r="L1480" s="12"/>
      <c r="N1480" s="11"/>
      <c r="P1480"/>
      <c r="Q1480"/>
      <c r="W1480" s="28"/>
      <c r="AA1480"/>
    </row>
    <row r="1481" spans="1:27" x14ac:dyDescent="0.45">
      <c r="A1481" s="57">
        <v>1815</v>
      </c>
      <c r="B1481" t="s">
        <v>3464</v>
      </c>
      <c r="C1481" t="s">
        <v>3465</v>
      </c>
      <c r="D1481" s="12">
        <v>46313</v>
      </c>
      <c r="E1481" s="11">
        <v>304</v>
      </c>
      <c r="F1481" s="11" t="s">
        <v>7410</v>
      </c>
      <c r="G1481">
        <v>20260701</v>
      </c>
      <c r="I1481" s="11" t="s">
        <v>63</v>
      </c>
      <c r="J1481" s="72">
        <v>20644284</v>
      </c>
      <c r="K1481" s="99">
        <f>_xlfn.XLOOKUP(_2__ROI_Daily_Update[[#This Row],[CSM id]],SHP!F:F,SHP!EE:EE,"-")</f>
        <v>0</v>
      </c>
      <c r="L1481" s="12"/>
      <c r="N1481" s="11"/>
      <c r="P1481"/>
      <c r="Q1481"/>
      <c r="W1481" s="28"/>
      <c r="AA1481"/>
    </row>
    <row r="1482" spans="1:27" x14ac:dyDescent="0.45">
      <c r="A1482" s="57">
        <v>1422</v>
      </c>
      <c r="B1482" t="s">
        <v>2262</v>
      </c>
      <c r="C1482" t="s">
        <v>2263</v>
      </c>
      <c r="D1482" s="12">
        <v>46313</v>
      </c>
      <c r="E1482" s="11">
        <v>1352</v>
      </c>
      <c r="F1482" s="11" t="s">
        <v>7492</v>
      </c>
      <c r="G1482">
        <v>20141201</v>
      </c>
      <c r="I1482" s="11" t="s">
        <v>18</v>
      </c>
      <c r="J1482" s="72">
        <v>90191934</v>
      </c>
      <c r="K1482" s="99">
        <f>_xlfn.XLOOKUP(_2__ROI_Daily_Update[[#This Row],[CSM id]],SHP!F:F,SHP!EE:EE,"-")</f>
        <v>0</v>
      </c>
      <c r="L1482" s="12"/>
      <c r="N1482" s="11"/>
      <c r="P1482"/>
      <c r="Q1482"/>
      <c r="W1482" s="28"/>
      <c r="AA1482"/>
    </row>
    <row r="1483" spans="1:27" x14ac:dyDescent="0.45">
      <c r="A1483" s="57">
        <v>821</v>
      </c>
      <c r="B1483" t="s">
        <v>627</v>
      </c>
      <c r="C1483" t="s">
        <v>628</v>
      </c>
      <c r="D1483" s="12">
        <v>46313</v>
      </c>
      <c r="E1483" s="11">
        <v>8</v>
      </c>
      <c r="F1483" s="11" t="s">
        <v>7458</v>
      </c>
      <c r="G1483">
        <v>20190801</v>
      </c>
      <c r="I1483" s="11" t="s">
        <v>63</v>
      </c>
      <c r="J1483" s="72">
        <v>30457314</v>
      </c>
      <c r="K1483" s="99">
        <f>_xlfn.XLOOKUP(_2__ROI_Daily_Update[[#This Row],[CSM id]],SHP!F:F,SHP!EE:EE,"-")</f>
        <v>0</v>
      </c>
      <c r="L1483" s="12"/>
      <c r="N1483" s="11"/>
      <c r="P1483"/>
      <c r="Q1483"/>
      <c r="W1483" s="28"/>
      <c r="AA1483"/>
    </row>
    <row r="1484" spans="1:27" x14ac:dyDescent="0.45">
      <c r="A1484" s="57">
        <v>761</v>
      </c>
      <c r="B1484" t="s">
        <v>575</v>
      </c>
      <c r="C1484" t="s">
        <v>576</v>
      </c>
      <c r="D1484" s="12">
        <v>46313</v>
      </c>
      <c r="E1484" s="11">
        <v>10</v>
      </c>
      <c r="F1484" s="11" t="s">
        <v>7410</v>
      </c>
      <c r="G1484">
        <v>20220101</v>
      </c>
      <c r="I1484" s="11" t="s">
        <v>63</v>
      </c>
      <c r="J1484" s="72">
        <v>90486422</v>
      </c>
      <c r="K1484" s="99">
        <f>_xlfn.XLOOKUP(_2__ROI_Daily_Update[[#This Row],[CSM id]],SHP!F:F,SHP!EE:EE,"-")</f>
        <v>0</v>
      </c>
      <c r="L1484" s="12"/>
      <c r="N1484" s="11"/>
      <c r="P1484"/>
      <c r="Q1484"/>
      <c r="W1484" s="28"/>
      <c r="AA1484"/>
    </row>
    <row r="1485" spans="1:27" x14ac:dyDescent="0.45">
      <c r="A1485" s="57">
        <v>773</v>
      </c>
      <c r="B1485" t="s">
        <v>5630</v>
      </c>
      <c r="C1485" t="s">
        <v>5631</v>
      </c>
      <c r="D1485" s="12">
        <v>46313</v>
      </c>
      <c r="E1485" s="11">
        <v>28</v>
      </c>
      <c r="F1485" s="11" t="s">
        <v>7410</v>
      </c>
      <c r="G1485">
        <v>20210701</v>
      </c>
      <c r="H1485" s="12">
        <v>46569</v>
      </c>
      <c r="I1485" s="11" t="s">
        <v>63</v>
      </c>
      <c r="J1485" s="72">
        <v>70493517</v>
      </c>
      <c r="K1485" s="99">
        <f>_xlfn.XLOOKUP(_2__ROI_Daily_Update[[#This Row],[CSM id]],SHP!F:F,SHP!EE:EE,"-")</f>
        <v>0</v>
      </c>
      <c r="L1485" s="12"/>
      <c r="N1485" s="11"/>
      <c r="P1485"/>
      <c r="Q1485"/>
      <c r="W1485" s="28"/>
      <c r="AA1485"/>
    </row>
    <row r="1486" spans="1:27" x14ac:dyDescent="0.45">
      <c r="A1486" s="57">
        <v>1815</v>
      </c>
      <c r="B1486" t="s">
        <v>7125</v>
      </c>
      <c r="C1486" t="s">
        <v>7126</v>
      </c>
      <c r="D1486" s="12">
        <v>46313</v>
      </c>
      <c r="E1486" s="11">
        <v>200</v>
      </c>
      <c r="F1486" s="11" t="s">
        <v>7499</v>
      </c>
      <c r="G1486">
        <v>20261001</v>
      </c>
      <c r="I1486" s="11" t="s">
        <v>18</v>
      </c>
      <c r="J1486" s="72">
        <v>60630609</v>
      </c>
      <c r="K1486" s="99">
        <f>_xlfn.XLOOKUP(_2__ROI_Daily_Update[[#This Row],[CSM id]],SHP!F:F,SHP!EE:EE,"-")</f>
        <v>0</v>
      </c>
      <c r="L1486" s="12"/>
      <c r="N1486" s="11"/>
      <c r="P1486"/>
      <c r="Q1486"/>
      <c r="W1486" s="28"/>
      <c r="AA1486"/>
    </row>
    <row r="1487" spans="1:27" x14ac:dyDescent="0.45">
      <c r="A1487" s="57">
        <v>1836</v>
      </c>
      <c r="B1487" t="s">
        <v>3650</v>
      </c>
      <c r="C1487" t="s">
        <v>3651</v>
      </c>
      <c r="D1487" s="12">
        <v>46313</v>
      </c>
      <c r="E1487" s="11">
        <v>900</v>
      </c>
      <c r="F1487" s="11" t="s">
        <v>7415</v>
      </c>
      <c r="G1487">
        <v>20181201</v>
      </c>
      <c r="I1487" s="11" t="s">
        <v>63</v>
      </c>
      <c r="J1487" s="72">
        <v>40428774</v>
      </c>
      <c r="K1487" s="99">
        <f>_xlfn.XLOOKUP(_2__ROI_Daily_Update[[#This Row],[CSM id]],SHP!F:F,SHP!EE:EE,"-")</f>
        <v>0</v>
      </c>
      <c r="L1487" s="12"/>
      <c r="N1487" s="11"/>
      <c r="P1487"/>
      <c r="Q1487"/>
      <c r="W1487" s="28"/>
      <c r="AA1487"/>
    </row>
    <row r="1488" spans="1:27" x14ac:dyDescent="0.45">
      <c r="A1488" s="57">
        <v>782</v>
      </c>
      <c r="B1488" t="s">
        <v>6149</v>
      </c>
      <c r="C1488" t="s">
        <v>6150</v>
      </c>
      <c r="D1488" s="12">
        <v>46313</v>
      </c>
      <c r="E1488" s="11">
        <v>140</v>
      </c>
      <c r="F1488" s="11" t="s">
        <v>7440</v>
      </c>
      <c r="G1488">
        <v>20250101</v>
      </c>
      <c r="I1488" s="11" t="s">
        <v>63</v>
      </c>
      <c r="J1488" s="72">
        <v>591776</v>
      </c>
      <c r="K1488" s="99">
        <f>_xlfn.XLOOKUP(_2__ROI_Daily_Update[[#This Row],[CSM id]],SHP!F:F,SHP!EE:EE,"-")</f>
        <v>0</v>
      </c>
      <c r="L1488" s="12"/>
      <c r="N1488" s="11"/>
      <c r="P1488"/>
      <c r="Q1488"/>
      <c r="W1488" s="28"/>
      <c r="AA1488"/>
    </row>
    <row r="1489" spans="1:27" x14ac:dyDescent="0.45">
      <c r="A1489" s="57">
        <v>1815</v>
      </c>
      <c r="B1489" t="s">
        <v>3464</v>
      </c>
      <c r="C1489" t="s">
        <v>3465</v>
      </c>
      <c r="D1489" s="12">
        <v>46313</v>
      </c>
      <c r="E1489" s="11">
        <v>304</v>
      </c>
      <c r="F1489" s="11" t="s">
        <v>7440</v>
      </c>
      <c r="G1489">
        <v>20260701</v>
      </c>
      <c r="I1489" s="11" t="s">
        <v>63</v>
      </c>
      <c r="J1489" s="72">
        <v>20644284</v>
      </c>
      <c r="K1489" s="99">
        <f>_xlfn.XLOOKUP(_2__ROI_Daily_Update[[#This Row],[CSM id]],SHP!F:F,SHP!EE:EE,"-")</f>
        <v>0</v>
      </c>
      <c r="L1489" s="12"/>
      <c r="N1489" s="11"/>
      <c r="P1489"/>
      <c r="Q1489"/>
      <c r="W1489" s="28"/>
      <c r="AA1489"/>
    </row>
    <row r="1490" spans="1:27" x14ac:dyDescent="0.45">
      <c r="A1490" s="57">
        <v>811</v>
      </c>
      <c r="B1490" t="s">
        <v>619</v>
      </c>
      <c r="C1490" t="s">
        <v>620</v>
      </c>
      <c r="D1490" s="12">
        <v>46313</v>
      </c>
      <c r="E1490" s="11">
        <v>15</v>
      </c>
      <c r="F1490" s="11" t="s">
        <v>7480</v>
      </c>
      <c r="G1490">
        <v>20240701</v>
      </c>
      <c r="I1490" s="11" t="s">
        <v>32</v>
      </c>
      <c r="J1490" s="72">
        <v>70546894</v>
      </c>
      <c r="K1490" s="99">
        <f>_xlfn.XLOOKUP(_2__ROI_Daily_Update[[#This Row],[CSM id]],SHP!F:F,SHP!EE:EE,"-")</f>
        <v>0</v>
      </c>
      <c r="L1490" s="12"/>
      <c r="N1490" s="11"/>
      <c r="P1490"/>
      <c r="Q1490"/>
      <c r="W1490" s="28"/>
      <c r="AA1490"/>
    </row>
    <row r="1491" spans="1:27" x14ac:dyDescent="0.45">
      <c r="A1491" s="57">
        <v>782</v>
      </c>
      <c r="B1491" t="s">
        <v>607</v>
      </c>
      <c r="C1491" t="s">
        <v>608</v>
      </c>
      <c r="D1491" s="12">
        <v>46313</v>
      </c>
      <c r="E1491" s="11">
        <v>12</v>
      </c>
      <c r="F1491" s="11" t="s">
        <v>7468</v>
      </c>
      <c r="G1491">
        <v>20181001</v>
      </c>
      <c r="I1491" s="11" t="s">
        <v>18</v>
      </c>
      <c r="J1491" s="72">
        <v>90334933</v>
      </c>
      <c r="K1491" s="99">
        <f>_xlfn.XLOOKUP(_2__ROI_Daily_Update[[#This Row],[CSM id]],SHP!F:F,SHP!EE:EE,"-")</f>
        <v>0</v>
      </c>
      <c r="L1491" s="12"/>
      <c r="N1491" s="11"/>
      <c r="P1491"/>
      <c r="Q1491"/>
      <c r="W1491" s="28"/>
      <c r="AA1491"/>
    </row>
    <row r="1492" spans="1:27" x14ac:dyDescent="0.45">
      <c r="A1492" s="57">
        <v>1813</v>
      </c>
      <c r="B1492" t="s">
        <v>3412</v>
      </c>
      <c r="C1492" t="s">
        <v>3413</v>
      </c>
      <c r="D1492" s="12">
        <v>46313</v>
      </c>
      <c r="E1492" s="11">
        <v>8</v>
      </c>
      <c r="F1492" s="11" t="s">
        <v>7453</v>
      </c>
      <c r="G1492">
        <v>20250701</v>
      </c>
      <c r="I1492" s="11" t="s">
        <v>63</v>
      </c>
      <c r="J1492" s="72">
        <v>50596917</v>
      </c>
      <c r="K1492" s="99">
        <f>_xlfn.XLOOKUP(_2__ROI_Daily_Update[[#This Row],[CSM id]],SHP!F:F,SHP!EE:EE,"-")</f>
        <v>0</v>
      </c>
      <c r="L1492" s="12"/>
      <c r="N1492" s="11"/>
      <c r="P1492"/>
      <c r="Q1492"/>
      <c r="W1492" s="28"/>
      <c r="AA1492"/>
    </row>
    <row r="1493" spans="1:27" x14ac:dyDescent="0.45">
      <c r="A1493" s="57">
        <v>1431</v>
      </c>
      <c r="B1493" t="s">
        <v>5652</v>
      </c>
      <c r="C1493" t="s">
        <v>5653</v>
      </c>
      <c r="D1493" s="12">
        <v>46313</v>
      </c>
      <c r="E1493" s="11">
        <v>420</v>
      </c>
      <c r="F1493" s="11" t="s">
        <v>7492</v>
      </c>
      <c r="G1493">
        <v>20180401</v>
      </c>
      <c r="H1493" s="12">
        <v>46388</v>
      </c>
      <c r="I1493" s="11" t="s">
        <v>18</v>
      </c>
      <c r="J1493" s="72">
        <v>10359201</v>
      </c>
      <c r="K1493" s="99">
        <f>_xlfn.XLOOKUP(_2__ROI_Daily_Update[[#This Row],[CSM id]],SHP!F:F,SHP!EE:EE,"-")</f>
        <v>0</v>
      </c>
      <c r="L1493" s="12"/>
      <c r="N1493" s="11"/>
      <c r="P1493"/>
      <c r="Q1493"/>
      <c r="W1493" s="28"/>
      <c r="AA1493"/>
    </row>
    <row r="1494" spans="1:27" x14ac:dyDescent="0.45">
      <c r="A1494" s="57">
        <v>621</v>
      </c>
      <c r="B1494" t="s">
        <v>5564</v>
      </c>
      <c r="C1494" t="s">
        <v>5565</v>
      </c>
      <c r="D1494" s="12">
        <v>46313</v>
      </c>
      <c r="E1494" s="11">
        <v>24</v>
      </c>
      <c r="F1494" s="11" t="s">
        <v>7410</v>
      </c>
      <c r="G1494">
        <v>20261001</v>
      </c>
      <c r="I1494" s="11" t="s">
        <v>63</v>
      </c>
      <c r="J1494" s="72">
        <v>50632091</v>
      </c>
      <c r="K1494" s="99">
        <f>_xlfn.XLOOKUP(_2__ROI_Daily_Update[[#This Row],[CSM id]],SHP!F:F,SHP!EE:EE,"-")</f>
        <v>0</v>
      </c>
      <c r="L1494" s="12"/>
      <c r="N1494" s="11"/>
      <c r="P1494"/>
      <c r="Q1494"/>
      <c r="W1494" s="28"/>
      <c r="AA1494"/>
    </row>
    <row r="1495" spans="1:27" x14ac:dyDescent="0.45">
      <c r="A1495" s="57">
        <v>1433</v>
      </c>
      <c r="B1495" t="s">
        <v>7055</v>
      </c>
      <c r="C1495" t="s">
        <v>7056</v>
      </c>
      <c r="D1495" s="12">
        <v>46313</v>
      </c>
      <c r="E1495" s="11">
        <v>2048</v>
      </c>
      <c r="F1495" s="11" t="s">
        <v>7499</v>
      </c>
      <c r="G1495">
        <v>20170401</v>
      </c>
      <c r="I1495" s="11" t="s">
        <v>18</v>
      </c>
      <c r="J1495" s="72">
        <v>80318943</v>
      </c>
      <c r="K1495" s="99">
        <f>_xlfn.XLOOKUP(_2__ROI_Daily_Update[[#This Row],[CSM id]],SHP!F:F,SHP!EE:EE,"-")</f>
        <v>0</v>
      </c>
      <c r="L1495" s="12"/>
      <c r="N1495" s="11"/>
      <c r="P1495"/>
      <c r="Q1495"/>
      <c r="W1495" s="28"/>
      <c r="AA1495"/>
    </row>
    <row r="1496" spans="1:27" x14ac:dyDescent="0.45">
      <c r="A1496" s="57">
        <v>1433</v>
      </c>
      <c r="B1496" t="s">
        <v>2470</v>
      </c>
      <c r="C1496" t="s">
        <v>2471</v>
      </c>
      <c r="D1496" s="12">
        <v>46313</v>
      </c>
      <c r="E1496" s="11">
        <v>150</v>
      </c>
      <c r="F1496" s="11" t="s">
        <v>7468</v>
      </c>
      <c r="G1496">
        <v>20140801</v>
      </c>
      <c r="I1496" s="11" t="s">
        <v>18</v>
      </c>
      <c r="J1496" s="72">
        <v>80179579</v>
      </c>
      <c r="K1496" s="99">
        <f>_xlfn.XLOOKUP(_2__ROI_Daily_Update[[#This Row],[CSM id]],SHP!F:F,SHP!EE:EE,"-")</f>
        <v>0</v>
      </c>
      <c r="L1496" s="12"/>
      <c r="N1496" s="11"/>
      <c r="P1496"/>
      <c r="Q1496"/>
      <c r="W1496" s="28"/>
      <c r="AA1496"/>
    </row>
    <row r="1497" spans="1:27" x14ac:dyDescent="0.45">
      <c r="A1497" s="57">
        <v>1813</v>
      </c>
      <c r="B1497" t="s">
        <v>3368</v>
      </c>
      <c r="C1497" t="s">
        <v>3369</v>
      </c>
      <c r="D1497" s="12">
        <v>46313</v>
      </c>
      <c r="E1497" s="11">
        <v>792</v>
      </c>
      <c r="F1497" s="11" t="s">
        <v>7430</v>
      </c>
      <c r="G1497">
        <v>20210201</v>
      </c>
      <c r="I1497" s="11" t="s">
        <v>63</v>
      </c>
      <c r="J1497" s="72">
        <v>477040</v>
      </c>
      <c r="K1497" s="99">
        <f>_xlfn.XLOOKUP(_2__ROI_Daily_Update[[#This Row],[CSM id]],SHP!F:F,SHP!EE:EE,"-")</f>
        <v>0</v>
      </c>
      <c r="L1497" s="12"/>
      <c r="N1497" s="11"/>
      <c r="P1497"/>
      <c r="Q1497"/>
      <c r="W1497" s="28"/>
      <c r="AA1497"/>
    </row>
    <row r="1498" spans="1:27" x14ac:dyDescent="0.45">
      <c r="A1498" s="57">
        <v>1433</v>
      </c>
      <c r="B1498" t="s">
        <v>2464</v>
      </c>
      <c r="C1498" t="s">
        <v>2465</v>
      </c>
      <c r="D1498" s="12">
        <v>46313</v>
      </c>
      <c r="E1498" s="11">
        <v>40</v>
      </c>
      <c r="F1498" s="11" t="s">
        <v>7475</v>
      </c>
      <c r="G1498">
        <v>20221001</v>
      </c>
      <c r="I1498" s="11" t="s">
        <v>63</v>
      </c>
      <c r="J1498" s="72">
        <v>60503475</v>
      </c>
      <c r="K1498" s="99">
        <f>_xlfn.XLOOKUP(_2__ROI_Daily_Update[[#This Row],[CSM id]],SHP!F:F,SHP!EE:EE,"-")</f>
        <v>0</v>
      </c>
      <c r="L1498" s="12"/>
      <c r="N1498" s="11"/>
      <c r="P1498"/>
      <c r="Q1498"/>
      <c r="W1498" s="28"/>
      <c r="AA1498"/>
    </row>
    <row r="1499" spans="1:27" x14ac:dyDescent="0.45">
      <c r="A1499" s="57">
        <v>1433</v>
      </c>
      <c r="B1499" t="s">
        <v>6011</v>
      </c>
      <c r="C1499" t="s">
        <v>6012</v>
      </c>
      <c r="D1499" s="12">
        <v>46313</v>
      </c>
      <c r="E1499" s="11">
        <v>660</v>
      </c>
      <c r="F1499" s="11" t="s">
        <v>6940</v>
      </c>
      <c r="G1499">
        <v>20150501</v>
      </c>
      <c r="I1499" s="11" t="s">
        <v>63</v>
      </c>
      <c r="J1499" s="72">
        <v>60279037</v>
      </c>
      <c r="K1499" s="99">
        <f>_xlfn.XLOOKUP(_2__ROI_Daily_Update[[#This Row],[CSM id]],SHP!F:F,SHP!EE:EE,"-")</f>
        <v>0</v>
      </c>
      <c r="L1499" s="12"/>
      <c r="N1499" s="11"/>
      <c r="P1499"/>
      <c r="Q1499"/>
      <c r="W1499" s="28"/>
      <c r="AA1499"/>
    </row>
    <row r="1500" spans="1:27" x14ac:dyDescent="0.45">
      <c r="A1500" s="57">
        <v>1852</v>
      </c>
      <c r="B1500" t="s">
        <v>3678</v>
      </c>
      <c r="C1500" t="s">
        <v>3679</v>
      </c>
      <c r="D1500" s="12">
        <v>46313</v>
      </c>
      <c r="E1500" s="11">
        <v>12</v>
      </c>
      <c r="F1500" s="11" t="s">
        <v>7430</v>
      </c>
      <c r="G1500">
        <v>20260101</v>
      </c>
      <c r="I1500" s="11" t="s">
        <v>63</v>
      </c>
      <c r="J1500" s="72">
        <v>20595392</v>
      </c>
      <c r="K1500" s="99">
        <f>_xlfn.XLOOKUP(_2__ROI_Daily_Update[[#This Row],[CSM id]],SHP!F:F,SHP!EE:EE,"-")</f>
        <v>0</v>
      </c>
      <c r="L1500" s="12"/>
      <c r="N1500" s="11"/>
      <c r="P1500"/>
      <c r="Q1500"/>
      <c r="W1500" s="28"/>
      <c r="AA1500"/>
    </row>
    <row r="1501" spans="1:27" x14ac:dyDescent="0.45">
      <c r="A1501" s="57">
        <v>1433</v>
      </c>
      <c r="B1501" t="s">
        <v>7053</v>
      </c>
      <c r="C1501" t="s">
        <v>7054</v>
      </c>
      <c r="D1501" s="12">
        <v>46313</v>
      </c>
      <c r="E1501" s="11">
        <v>192</v>
      </c>
      <c r="F1501" s="11" t="s">
        <v>7499</v>
      </c>
      <c r="G1501">
        <v>20250701</v>
      </c>
      <c r="I1501" s="11" t="s">
        <v>18</v>
      </c>
      <c r="J1501" s="72">
        <v>40601349</v>
      </c>
      <c r="K1501" s="99">
        <f>_xlfn.XLOOKUP(_2__ROI_Daily_Update[[#This Row],[CSM id]],SHP!F:F,SHP!EE:EE,"-")</f>
        <v>0</v>
      </c>
      <c r="L1501" s="12"/>
      <c r="N1501" s="11"/>
      <c r="P1501"/>
      <c r="Q1501"/>
      <c r="W1501" s="28"/>
      <c r="AA1501"/>
    </row>
    <row r="1502" spans="1:27" x14ac:dyDescent="0.45">
      <c r="A1502" s="57">
        <v>1433</v>
      </c>
      <c r="B1502" t="s">
        <v>7051</v>
      </c>
      <c r="C1502" t="s">
        <v>7052</v>
      </c>
      <c r="D1502" s="12">
        <v>46313</v>
      </c>
      <c r="E1502" s="11">
        <v>2880</v>
      </c>
      <c r="F1502" s="11" t="s">
        <v>7499</v>
      </c>
      <c r="G1502">
        <v>20230101</v>
      </c>
      <c r="I1502" s="11" t="s">
        <v>18</v>
      </c>
      <c r="J1502" s="72">
        <v>40534227</v>
      </c>
      <c r="K1502" s="99">
        <f>_xlfn.XLOOKUP(_2__ROI_Daily_Update[[#This Row],[CSM id]],SHP!F:F,SHP!EE:EE,"-")</f>
        <v>0</v>
      </c>
      <c r="L1502" s="12"/>
      <c r="N1502" s="11"/>
      <c r="P1502"/>
      <c r="Q1502"/>
      <c r="W1502" s="28"/>
      <c r="AA1502"/>
    </row>
    <row r="1503" spans="1:27" x14ac:dyDescent="0.45">
      <c r="A1503" s="57">
        <v>1433</v>
      </c>
      <c r="B1503" t="s">
        <v>2460</v>
      </c>
      <c r="C1503" t="s">
        <v>2461</v>
      </c>
      <c r="D1503" s="12">
        <v>46313</v>
      </c>
      <c r="E1503" s="11">
        <v>72</v>
      </c>
      <c r="F1503" s="11" t="s">
        <v>7440</v>
      </c>
      <c r="G1503">
        <v>20210201</v>
      </c>
      <c r="I1503" s="11" t="s">
        <v>63</v>
      </c>
      <c r="J1503" s="72">
        <v>40473714</v>
      </c>
      <c r="K1503" s="99">
        <f>_xlfn.XLOOKUP(_2__ROI_Daily_Update[[#This Row],[CSM id]],SHP!F:F,SHP!EE:EE,"-")</f>
        <v>0</v>
      </c>
      <c r="L1503" s="12"/>
      <c r="N1503" s="11"/>
      <c r="P1503"/>
      <c r="Q1503"/>
      <c r="W1503" s="28"/>
      <c r="AA1503"/>
    </row>
    <row r="1504" spans="1:27" x14ac:dyDescent="0.45">
      <c r="A1504" s="57">
        <v>1433</v>
      </c>
      <c r="B1504" t="s">
        <v>2458</v>
      </c>
      <c r="C1504" t="s">
        <v>2459</v>
      </c>
      <c r="D1504" s="12">
        <v>46313</v>
      </c>
      <c r="E1504" s="11">
        <v>60</v>
      </c>
      <c r="F1504" s="11" t="s">
        <v>7415</v>
      </c>
      <c r="G1504">
        <v>20180801</v>
      </c>
      <c r="I1504" s="11" t="s">
        <v>63</v>
      </c>
      <c r="J1504" s="72">
        <v>40387269</v>
      </c>
      <c r="K1504" s="99">
        <f>_xlfn.XLOOKUP(_2__ROI_Daily_Update[[#This Row],[CSM id]],SHP!F:F,SHP!EE:EE,"-")</f>
        <v>0</v>
      </c>
      <c r="L1504" s="12"/>
      <c r="N1504" s="11"/>
      <c r="P1504"/>
      <c r="Q1504"/>
      <c r="W1504" s="28"/>
      <c r="AA1504"/>
    </row>
    <row r="1505" spans="1:27" x14ac:dyDescent="0.45">
      <c r="A1505" s="57">
        <v>621</v>
      </c>
      <c r="B1505" t="s">
        <v>5598</v>
      </c>
      <c r="C1505" t="s">
        <v>5599</v>
      </c>
      <c r="D1505" s="12">
        <v>46313</v>
      </c>
      <c r="E1505" s="11">
        <v>32</v>
      </c>
      <c r="F1505" s="11" t="s">
        <v>7410</v>
      </c>
      <c r="G1505">
        <v>20261001</v>
      </c>
      <c r="I1505" s="11" t="s">
        <v>63</v>
      </c>
      <c r="J1505" s="72">
        <v>60632095</v>
      </c>
      <c r="K1505" s="99">
        <f>_xlfn.XLOOKUP(_2__ROI_Daily_Update[[#This Row],[CSM id]],SHP!F:F,SHP!EE:EE,"-")</f>
        <v>0</v>
      </c>
      <c r="L1505" s="12"/>
      <c r="N1505" s="11"/>
      <c r="P1505"/>
      <c r="Q1505"/>
      <c r="W1505" s="28"/>
      <c r="AA1505"/>
    </row>
    <row r="1506" spans="1:27" x14ac:dyDescent="0.45">
      <c r="A1506" s="57">
        <v>1433</v>
      </c>
      <c r="B1506" t="s">
        <v>2456</v>
      </c>
      <c r="C1506" t="s">
        <v>2457</v>
      </c>
      <c r="D1506" s="12">
        <v>46313</v>
      </c>
      <c r="E1506" s="11">
        <v>300</v>
      </c>
      <c r="F1506" s="11" t="s">
        <v>7458</v>
      </c>
      <c r="G1506">
        <v>20250701</v>
      </c>
      <c r="I1506" s="11" t="s">
        <v>63</v>
      </c>
      <c r="J1506" s="72">
        <v>10601355</v>
      </c>
      <c r="K1506" s="99">
        <f>_xlfn.XLOOKUP(_2__ROI_Daily_Update[[#This Row],[CSM id]],SHP!F:F,SHP!EE:EE,"-")</f>
        <v>0</v>
      </c>
      <c r="L1506" s="12"/>
      <c r="N1506" s="11"/>
      <c r="P1506"/>
      <c r="Q1506"/>
      <c r="W1506" s="28"/>
      <c r="AA1506"/>
    </row>
    <row r="1507" spans="1:27" x14ac:dyDescent="0.45">
      <c r="A1507" s="57">
        <v>1433</v>
      </c>
      <c r="B1507" t="s">
        <v>2456</v>
      </c>
      <c r="C1507" t="s">
        <v>2457</v>
      </c>
      <c r="D1507" s="12">
        <v>46313</v>
      </c>
      <c r="E1507" s="11">
        <v>60</v>
      </c>
      <c r="F1507" s="11" t="s">
        <v>7448</v>
      </c>
      <c r="G1507">
        <v>20250701</v>
      </c>
      <c r="I1507" s="11" t="s">
        <v>63</v>
      </c>
      <c r="J1507" s="72">
        <v>10601355</v>
      </c>
      <c r="K1507" s="99">
        <f>_xlfn.XLOOKUP(_2__ROI_Daily_Update[[#This Row],[CSM id]],SHP!F:F,SHP!EE:EE,"-")</f>
        <v>0</v>
      </c>
      <c r="L1507" s="12"/>
      <c r="N1507" s="11"/>
      <c r="P1507"/>
      <c r="Q1507"/>
      <c r="W1507" s="28"/>
      <c r="AA1507"/>
    </row>
    <row r="1508" spans="1:27" x14ac:dyDescent="0.45">
      <c r="A1508" s="57">
        <v>1433</v>
      </c>
      <c r="B1508" t="s">
        <v>2456</v>
      </c>
      <c r="C1508" t="s">
        <v>2457</v>
      </c>
      <c r="D1508" s="12">
        <v>46313</v>
      </c>
      <c r="E1508" s="11">
        <v>60</v>
      </c>
      <c r="F1508" s="11" t="s">
        <v>7405</v>
      </c>
      <c r="G1508">
        <v>20250701</v>
      </c>
      <c r="I1508" s="11" t="s">
        <v>63</v>
      </c>
      <c r="J1508" s="72">
        <v>10601355</v>
      </c>
      <c r="K1508" s="99">
        <f>_xlfn.XLOOKUP(_2__ROI_Daily_Update[[#This Row],[CSM id]],SHP!F:F,SHP!EE:EE,"-")</f>
        <v>0</v>
      </c>
      <c r="L1508" s="12"/>
      <c r="N1508" s="11"/>
      <c r="P1508"/>
      <c r="Q1508"/>
      <c r="W1508" s="28"/>
      <c r="AA1508"/>
    </row>
    <row r="1509" spans="1:27" x14ac:dyDescent="0.45">
      <c r="A1509" s="57">
        <v>1433</v>
      </c>
      <c r="B1509" t="s">
        <v>2454</v>
      </c>
      <c r="C1509" t="s">
        <v>2455</v>
      </c>
      <c r="D1509" s="12">
        <v>46313</v>
      </c>
      <c r="E1509" s="11">
        <v>54</v>
      </c>
      <c r="F1509" s="11" t="s">
        <v>7453</v>
      </c>
      <c r="G1509">
        <v>20211001</v>
      </c>
      <c r="I1509" s="11" t="s">
        <v>63</v>
      </c>
      <c r="J1509" s="72">
        <v>10430165</v>
      </c>
      <c r="K1509" s="99">
        <f>_xlfn.XLOOKUP(_2__ROI_Daily_Update[[#This Row],[CSM id]],SHP!F:F,SHP!EE:EE,"-")</f>
        <v>0</v>
      </c>
      <c r="L1509" s="12"/>
      <c r="N1509" s="11"/>
      <c r="P1509"/>
      <c r="Q1509"/>
      <c r="W1509" s="28"/>
      <c r="AA1509"/>
    </row>
    <row r="1510" spans="1:27" x14ac:dyDescent="0.45">
      <c r="A1510" s="57">
        <v>621</v>
      </c>
      <c r="B1510" t="s">
        <v>5598</v>
      </c>
      <c r="C1510" t="s">
        <v>5599</v>
      </c>
      <c r="D1510" s="12">
        <v>46313</v>
      </c>
      <c r="E1510" s="11">
        <v>32</v>
      </c>
      <c r="F1510" s="11" t="s">
        <v>7480</v>
      </c>
      <c r="G1510">
        <v>20261001</v>
      </c>
      <c r="I1510" s="11" t="s">
        <v>63</v>
      </c>
      <c r="J1510" s="72">
        <v>60632095</v>
      </c>
      <c r="K1510" s="99">
        <f>_xlfn.XLOOKUP(_2__ROI_Daily_Update[[#This Row],[CSM id]],SHP!F:F,SHP!EE:EE,"-")</f>
        <v>0</v>
      </c>
      <c r="L1510" s="12"/>
      <c r="N1510" s="11"/>
      <c r="P1510"/>
      <c r="Q1510"/>
      <c r="W1510" s="28"/>
      <c r="AA1510"/>
    </row>
    <row r="1511" spans="1:27" x14ac:dyDescent="0.45">
      <c r="A1511" s="57">
        <v>622</v>
      </c>
      <c r="B1511" t="s">
        <v>522</v>
      </c>
      <c r="C1511" t="s">
        <v>523</v>
      </c>
      <c r="D1511" s="12">
        <v>46313</v>
      </c>
      <c r="E1511" s="11">
        <v>46</v>
      </c>
      <c r="F1511" s="11" t="s">
        <v>7480</v>
      </c>
      <c r="G1511">
        <v>20140801</v>
      </c>
      <c r="I1511" s="11" t="s">
        <v>63</v>
      </c>
      <c r="J1511" s="72">
        <v>90197672</v>
      </c>
      <c r="K1511" s="99">
        <f>_xlfn.XLOOKUP(_2__ROI_Daily_Update[[#This Row],[CSM id]],SHP!F:F,SHP!EE:EE,"-")</f>
        <v>0</v>
      </c>
      <c r="L1511" s="12"/>
      <c r="N1511" s="11"/>
      <c r="P1511"/>
      <c r="Q1511"/>
      <c r="W1511" s="28"/>
      <c r="AA1511"/>
    </row>
    <row r="1512" spans="1:27" x14ac:dyDescent="0.45">
      <c r="A1512" s="57">
        <v>1431</v>
      </c>
      <c r="B1512" t="s">
        <v>2436</v>
      </c>
      <c r="C1512" t="s">
        <v>2437</v>
      </c>
      <c r="D1512" s="12">
        <v>46313</v>
      </c>
      <c r="E1512" s="11">
        <v>1764</v>
      </c>
      <c r="F1512" s="11" t="s">
        <v>7492</v>
      </c>
      <c r="G1512">
        <v>20260701</v>
      </c>
      <c r="I1512" s="11" t="s">
        <v>18</v>
      </c>
      <c r="J1512" s="72">
        <v>80628342</v>
      </c>
      <c r="K1512" s="99">
        <f>_xlfn.XLOOKUP(_2__ROI_Daily_Update[[#This Row],[CSM id]],SHP!F:F,SHP!EE:EE,"-")</f>
        <v>0</v>
      </c>
      <c r="L1512" s="12"/>
      <c r="N1512" s="11"/>
      <c r="P1512"/>
      <c r="Q1512"/>
      <c r="W1512" s="28"/>
      <c r="AA1512"/>
    </row>
    <row r="1513" spans="1:27" x14ac:dyDescent="0.45">
      <c r="A1513" s="57">
        <v>622</v>
      </c>
      <c r="B1513" t="s">
        <v>199</v>
      </c>
      <c r="C1513" t="s">
        <v>200</v>
      </c>
      <c r="D1513" s="12">
        <v>46313</v>
      </c>
      <c r="E1513" s="11">
        <v>504</v>
      </c>
      <c r="F1513" s="11" t="s">
        <v>7400</v>
      </c>
      <c r="G1513">
        <v>20260101</v>
      </c>
      <c r="I1513" s="11" t="s">
        <v>63</v>
      </c>
      <c r="J1513" s="72">
        <v>30600963</v>
      </c>
      <c r="K1513" s="99">
        <f>_xlfn.XLOOKUP(_2__ROI_Daily_Update[[#This Row],[CSM id]],SHP!F:F,SHP!EE:EE,"-")</f>
        <v>0</v>
      </c>
      <c r="L1513" s="12"/>
      <c r="N1513" s="11"/>
      <c r="P1513"/>
      <c r="Q1513"/>
      <c r="W1513" s="28"/>
      <c r="AA1513"/>
    </row>
    <row r="1514" spans="1:27" x14ac:dyDescent="0.45">
      <c r="A1514" s="57">
        <v>1813</v>
      </c>
      <c r="B1514" t="s">
        <v>3370</v>
      </c>
      <c r="C1514" t="s">
        <v>3371</v>
      </c>
      <c r="D1514" s="12">
        <v>46313</v>
      </c>
      <c r="E1514" s="11">
        <v>12</v>
      </c>
      <c r="F1514" s="11" t="s">
        <v>7485</v>
      </c>
      <c r="G1514">
        <v>20240701</v>
      </c>
      <c r="I1514" s="11" t="s">
        <v>18</v>
      </c>
      <c r="J1514" s="72">
        <v>578586</v>
      </c>
      <c r="K1514" s="99">
        <f>_xlfn.XLOOKUP(_2__ROI_Daily_Update[[#This Row],[CSM id]],SHP!F:F,SHP!EE:EE,"-")</f>
        <v>0</v>
      </c>
      <c r="L1514" s="12"/>
      <c r="N1514" s="11"/>
      <c r="P1514"/>
      <c r="Q1514"/>
      <c r="W1514" s="28"/>
      <c r="AA1514"/>
    </row>
    <row r="1515" spans="1:27" x14ac:dyDescent="0.45">
      <c r="A1515" s="57">
        <v>622</v>
      </c>
      <c r="B1515" t="s">
        <v>199</v>
      </c>
      <c r="C1515" t="s">
        <v>200</v>
      </c>
      <c r="D1515" s="12">
        <v>46313</v>
      </c>
      <c r="E1515" s="11">
        <v>504</v>
      </c>
      <c r="F1515" s="11" t="s">
        <v>7420</v>
      </c>
      <c r="G1515">
        <v>20260101</v>
      </c>
      <c r="I1515" s="11" t="s">
        <v>63</v>
      </c>
      <c r="J1515" s="72">
        <v>30600963</v>
      </c>
      <c r="K1515" s="99">
        <f>_xlfn.XLOOKUP(_2__ROI_Daily_Update[[#This Row],[CSM id]],SHP!F:F,SHP!EE:EE,"-")</f>
        <v>0</v>
      </c>
      <c r="L1515" s="12"/>
      <c r="N1515" s="11"/>
      <c r="P1515"/>
      <c r="Q1515"/>
      <c r="W1515" s="28"/>
      <c r="AA1515"/>
    </row>
    <row r="1516" spans="1:27" x14ac:dyDescent="0.45">
      <c r="A1516" s="57">
        <v>622</v>
      </c>
      <c r="B1516" t="s">
        <v>520</v>
      </c>
      <c r="C1516" t="s">
        <v>521</v>
      </c>
      <c r="D1516" s="12">
        <v>46313</v>
      </c>
      <c r="E1516" s="11">
        <v>10</v>
      </c>
      <c r="F1516" s="11" t="s">
        <v>7440</v>
      </c>
      <c r="G1516">
        <v>20260701</v>
      </c>
      <c r="I1516" s="11" t="s">
        <v>63</v>
      </c>
      <c r="J1516" s="72">
        <v>80629964</v>
      </c>
      <c r="K1516" s="99">
        <f>_xlfn.XLOOKUP(_2__ROI_Daily_Update[[#This Row],[CSM id]],SHP!F:F,SHP!EE:EE,"-")</f>
        <v>0</v>
      </c>
      <c r="L1516" s="12"/>
      <c r="N1516" s="11"/>
      <c r="P1516"/>
      <c r="Q1516"/>
      <c r="W1516" s="28"/>
      <c r="AA1516"/>
    </row>
    <row r="1517" spans="1:27" x14ac:dyDescent="0.45">
      <c r="A1517" s="57">
        <v>1433</v>
      </c>
      <c r="B1517" t="s">
        <v>2474</v>
      </c>
      <c r="C1517" t="s">
        <v>2475</v>
      </c>
      <c r="D1517" s="12">
        <v>46313</v>
      </c>
      <c r="E1517" s="11">
        <v>128</v>
      </c>
      <c r="F1517" s="11" t="s">
        <v>7468</v>
      </c>
      <c r="G1517">
        <v>20191001</v>
      </c>
      <c r="I1517" s="11" t="s">
        <v>32</v>
      </c>
      <c r="J1517" s="72">
        <v>90377687</v>
      </c>
      <c r="K1517" s="99">
        <f>_xlfn.XLOOKUP(_2__ROI_Daily_Update[[#This Row],[CSM id]],SHP!F:F,SHP!EE:EE,"-")</f>
        <v>0</v>
      </c>
      <c r="L1517" s="12"/>
      <c r="N1517" s="11"/>
      <c r="P1517"/>
      <c r="Q1517"/>
      <c r="W1517" s="28"/>
      <c r="AA1517"/>
    </row>
    <row r="1518" spans="1:27" x14ac:dyDescent="0.45">
      <c r="A1518" s="57">
        <v>622</v>
      </c>
      <c r="B1518" t="s">
        <v>520</v>
      </c>
      <c r="C1518" t="s">
        <v>521</v>
      </c>
      <c r="D1518" s="12">
        <v>46313</v>
      </c>
      <c r="E1518" s="11">
        <v>10</v>
      </c>
      <c r="F1518" s="11" t="s">
        <v>7453</v>
      </c>
      <c r="G1518">
        <v>20260701</v>
      </c>
      <c r="I1518" s="11" t="s">
        <v>63</v>
      </c>
      <c r="J1518" s="72">
        <v>80629964</v>
      </c>
      <c r="K1518" s="99">
        <f>_xlfn.XLOOKUP(_2__ROI_Daily_Update[[#This Row],[CSM id]],SHP!F:F,SHP!EE:EE,"-")</f>
        <v>0</v>
      </c>
      <c r="L1518" s="12"/>
      <c r="N1518" s="11"/>
      <c r="P1518"/>
      <c r="Q1518"/>
      <c r="W1518" s="28"/>
      <c r="AA1518"/>
    </row>
    <row r="1519" spans="1:27" x14ac:dyDescent="0.45">
      <c r="A1519" s="57">
        <v>622</v>
      </c>
      <c r="B1519" t="s">
        <v>5705</v>
      </c>
      <c r="C1519" t="s">
        <v>5706</v>
      </c>
      <c r="D1519" s="12">
        <v>46313</v>
      </c>
      <c r="E1519" s="11">
        <v>90</v>
      </c>
      <c r="F1519" s="11" t="s">
        <v>7440</v>
      </c>
      <c r="G1519">
        <v>20260701</v>
      </c>
      <c r="I1519" s="11" t="s">
        <v>63</v>
      </c>
      <c r="J1519" s="72">
        <v>30629971</v>
      </c>
      <c r="K1519" s="99">
        <f>_xlfn.XLOOKUP(_2__ROI_Daily_Update[[#This Row],[CSM id]],SHP!F:F,SHP!EE:EE,"-")</f>
        <v>0</v>
      </c>
      <c r="L1519" s="12"/>
      <c r="N1519" s="11"/>
      <c r="P1519"/>
      <c r="Q1519"/>
      <c r="W1519" s="28"/>
      <c r="AA1519"/>
    </row>
    <row r="1520" spans="1:27" x14ac:dyDescent="0.45">
      <c r="A1520" s="57">
        <v>622</v>
      </c>
      <c r="B1520" t="s">
        <v>5705</v>
      </c>
      <c r="C1520" t="s">
        <v>5706</v>
      </c>
      <c r="D1520" s="12">
        <v>46313</v>
      </c>
      <c r="E1520" s="11">
        <v>58</v>
      </c>
      <c r="F1520" s="11" t="s">
        <v>7400</v>
      </c>
      <c r="G1520">
        <v>20260701</v>
      </c>
      <c r="I1520" s="11" t="s">
        <v>63</v>
      </c>
      <c r="J1520" s="72">
        <v>30629971</v>
      </c>
      <c r="K1520" s="99">
        <f>_xlfn.XLOOKUP(_2__ROI_Daily_Update[[#This Row],[CSM id]],SHP!F:F,SHP!EE:EE,"-")</f>
        <v>0</v>
      </c>
      <c r="L1520" s="12"/>
      <c r="N1520" s="11"/>
      <c r="P1520"/>
      <c r="Q1520"/>
      <c r="W1520" s="28"/>
      <c r="AA1520"/>
    </row>
    <row r="1521" spans="1:27" x14ac:dyDescent="0.45">
      <c r="A1521" s="57">
        <v>622</v>
      </c>
      <c r="B1521" t="s">
        <v>6299</v>
      </c>
      <c r="C1521" t="s">
        <v>6300</v>
      </c>
      <c r="D1521" s="12">
        <v>46313</v>
      </c>
      <c r="E1521" s="11">
        <v>60</v>
      </c>
      <c r="F1521" s="11" t="s">
        <v>7453</v>
      </c>
      <c r="G1521">
        <v>20260701</v>
      </c>
      <c r="I1521" s="11" t="s">
        <v>63</v>
      </c>
      <c r="J1521" s="72">
        <v>20629962</v>
      </c>
      <c r="K1521" s="99">
        <f>_xlfn.XLOOKUP(_2__ROI_Daily_Update[[#This Row],[CSM id]],SHP!F:F,SHP!EE:EE,"-")</f>
        <v>0</v>
      </c>
      <c r="L1521" s="12"/>
      <c r="N1521" s="11"/>
      <c r="P1521"/>
      <c r="Q1521"/>
      <c r="W1521" s="28"/>
      <c r="AA1521"/>
    </row>
    <row r="1522" spans="1:27" x14ac:dyDescent="0.45">
      <c r="A1522" s="57">
        <v>621</v>
      </c>
      <c r="B1522" t="s">
        <v>5632</v>
      </c>
      <c r="C1522" t="s">
        <v>5633</v>
      </c>
      <c r="D1522" s="12">
        <v>46313</v>
      </c>
      <c r="E1522" s="11">
        <v>10</v>
      </c>
      <c r="F1522" s="11" t="s">
        <v>7410</v>
      </c>
      <c r="G1522">
        <v>20260701</v>
      </c>
      <c r="I1522" s="11" t="s">
        <v>63</v>
      </c>
      <c r="J1522" s="72">
        <v>70637610</v>
      </c>
      <c r="K1522" s="99">
        <f>_xlfn.XLOOKUP(_2__ROI_Daily_Update[[#This Row],[CSM id]],SHP!F:F,SHP!EE:EE,"-")</f>
        <v>0</v>
      </c>
      <c r="L1522" s="12"/>
      <c r="N1522" s="11"/>
      <c r="P1522"/>
      <c r="Q1522"/>
      <c r="W1522" s="28"/>
      <c r="AA1522"/>
    </row>
    <row r="1523" spans="1:27" x14ac:dyDescent="0.45">
      <c r="A1523" s="57">
        <v>621</v>
      </c>
      <c r="B1523" t="s">
        <v>70</v>
      </c>
      <c r="C1523" t="s">
        <v>71</v>
      </c>
      <c r="D1523" s="12">
        <v>46313</v>
      </c>
      <c r="E1523" s="11">
        <v>396</v>
      </c>
      <c r="F1523" s="11" t="s">
        <v>7400</v>
      </c>
      <c r="G1523">
        <v>20190201</v>
      </c>
      <c r="I1523" s="11" t="s">
        <v>63</v>
      </c>
      <c r="J1523" s="72">
        <v>60381285</v>
      </c>
      <c r="K1523" s="99">
        <f>_xlfn.XLOOKUP(_2__ROI_Daily_Update[[#This Row],[CSM id]],SHP!F:F,SHP!EE:EE,"-")</f>
        <v>0</v>
      </c>
      <c r="L1523" s="12"/>
      <c r="N1523" s="11"/>
      <c r="P1523"/>
      <c r="Q1523"/>
      <c r="W1523" s="28"/>
      <c r="AA1523"/>
    </row>
    <row r="1524" spans="1:27" x14ac:dyDescent="0.45">
      <c r="A1524" s="57">
        <v>1433</v>
      </c>
      <c r="B1524" t="s">
        <v>2450</v>
      </c>
      <c r="C1524" t="s">
        <v>2451</v>
      </c>
      <c r="D1524" s="12">
        <v>46313</v>
      </c>
      <c r="E1524" s="11">
        <v>60</v>
      </c>
      <c r="F1524" s="11" t="s">
        <v>7430</v>
      </c>
      <c r="G1524">
        <v>20140801</v>
      </c>
      <c r="I1524" s="11" t="s">
        <v>63</v>
      </c>
      <c r="J1524" s="72">
        <v>179535</v>
      </c>
      <c r="K1524" s="99">
        <f>_xlfn.XLOOKUP(_2__ROI_Daily_Update[[#This Row],[CSM id]],SHP!F:F,SHP!EE:EE,"-")</f>
        <v>0</v>
      </c>
      <c r="L1524" s="12"/>
      <c r="N1524" s="11"/>
      <c r="P1524"/>
      <c r="Q1524"/>
      <c r="W1524" s="28"/>
      <c r="AA1524"/>
    </row>
    <row r="1525" spans="1:27" x14ac:dyDescent="0.45">
      <c r="A1525" s="57">
        <v>1431</v>
      </c>
      <c r="B1525" t="s">
        <v>5781</v>
      </c>
      <c r="C1525" t="s">
        <v>5782</v>
      </c>
      <c r="D1525" s="12">
        <v>46313</v>
      </c>
      <c r="E1525" s="11">
        <v>120</v>
      </c>
      <c r="F1525" s="11" t="s">
        <v>7492</v>
      </c>
      <c r="G1525">
        <v>20231001</v>
      </c>
      <c r="I1525" s="11" t="s">
        <v>18</v>
      </c>
      <c r="J1525" s="72">
        <v>90553218</v>
      </c>
      <c r="K1525" s="99">
        <f>_xlfn.XLOOKUP(_2__ROI_Daily_Update[[#This Row],[CSM id]],SHP!F:F,SHP!EE:EE,"-")</f>
        <v>0</v>
      </c>
      <c r="L1525" s="12"/>
      <c r="N1525" s="11"/>
      <c r="P1525"/>
      <c r="Q1525"/>
      <c r="W1525" s="28"/>
      <c r="AA1525"/>
    </row>
    <row r="1526" spans="1:27" x14ac:dyDescent="0.45">
      <c r="A1526" s="57">
        <v>1433</v>
      </c>
      <c r="B1526" t="s">
        <v>2474</v>
      </c>
      <c r="C1526" t="s">
        <v>2475</v>
      </c>
      <c r="D1526" s="12">
        <v>46313</v>
      </c>
      <c r="E1526" s="11">
        <v>128</v>
      </c>
      <c r="F1526" s="11" t="s">
        <v>7499</v>
      </c>
      <c r="G1526">
        <v>20191001</v>
      </c>
      <c r="I1526" s="11" t="s">
        <v>32</v>
      </c>
      <c r="J1526" s="72">
        <v>90377687</v>
      </c>
      <c r="K1526" s="99">
        <f>_xlfn.XLOOKUP(_2__ROI_Daily_Update[[#This Row],[CSM id]],SHP!F:F,SHP!EE:EE,"-")</f>
        <v>0</v>
      </c>
      <c r="L1526" s="12"/>
      <c r="N1526" s="11"/>
      <c r="P1526"/>
      <c r="Q1526"/>
      <c r="W1526" s="28"/>
      <c r="AA1526"/>
    </row>
    <row r="1527" spans="1:27" x14ac:dyDescent="0.45">
      <c r="A1527" s="57">
        <v>621</v>
      </c>
      <c r="B1527" t="s">
        <v>6249</v>
      </c>
      <c r="C1527" t="s">
        <v>6250</v>
      </c>
      <c r="D1527" s="12">
        <v>46313</v>
      </c>
      <c r="E1527" s="11">
        <v>36</v>
      </c>
      <c r="F1527" s="11" t="s">
        <v>7440</v>
      </c>
      <c r="G1527">
        <v>20261001</v>
      </c>
      <c r="I1527" s="11" t="s">
        <v>63</v>
      </c>
      <c r="J1527" s="72">
        <v>70632090</v>
      </c>
      <c r="K1527" s="99">
        <f>_xlfn.XLOOKUP(_2__ROI_Daily_Update[[#This Row],[CSM id]],SHP!F:F,SHP!EE:EE,"-")</f>
        <v>0</v>
      </c>
      <c r="L1527" s="12"/>
      <c r="N1527" s="11"/>
      <c r="P1527"/>
      <c r="Q1527"/>
      <c r="W1527" s="28"/>
      <c r="AA1527"/>
    </row>
    <row r="1528" spans="1:27" x14ac:dyDescent="0.45">
      <c r="A1528" s="57">
        <v>1433</v>
      </c>
      <c r="B1528" t="s">
        <v>2476</v>
      </c>
      <c r="C1528" t="s">
        <v>2477</v>
      </c>
      <c r="D1528" s="12">
        <v>46313</v>
      </c>
      <c r="E1528" s="11">
        <v>224</v>
      </c>
      <c r="F1528" s="11" t="s">
        <v>7400</v>
      </c>
      <c r="G1528">
        <v>20211001</v>
      </c>
      <c r="I1528" s="11" t="s">
        <v>63</v>
      </c>
      <c r="J1528" s="72">
        <v>90490527</v>
      </c>
      <c r="K1528" s="99">
        <f>_xlfn.XLOOKUP(_2__ROI_Daily_Update[[#This Row],[CSM id]],SHP!F:F,SHP!EE:EE,"-")</f>
        <v>0</v>
      </c>
      <c r="L1528" s="12"/>
      <c r="N1528" s="11"/>
      <c r="P1528"/>
      <c r="Q1528"/>
      <c r="W1528" s="28"/>
      <c r="AA1528"/>
    </row>
    <row r="1529" spans="1:27" x14ac:dyDescent="0.45">
      <c r="A1529" s="57">
        <v>621</v>
      </c>
      <c r="B1529" t="s">
        <v>489</v>
      </c>
      <c r="C1529" t="s">
        <v>490</v>
      </c>
      <c r="D1529" s="12">
        <v>46313</v>
      </c>
      <c r="E1529" s="11">
        <v>216</v>
      </c>
      <c r="F1529" s="11" t="s">
        <v>7430</v>
      </c>
      <c r="G1529">
        <v>20260101</v>
      </c>
      <c r="I1529" s="11" t="s">
        <v>63</v>
      </c>
      <c r="J1529" s="72">
        <v>628973</v>
      </c>
      <c r="K1529" s="99">
        <f>_xlfn.XLOOKUP(_2__ROI_Daily_Update[[#This Row],[CSM id]],SHP!F:F,SHP!EE:EE,"-")</f>
        <v>0</v>
      </c>
      <c r="L1529" s="12"/>
      <c r="N1529" s="11"/>
      <c r="P1529"/>
      <c r="Q1529"/>
      <c r="W1529" s="28"/>
      <c r="AA1529"/>
    </row>
    <row r="1530" spans="1:27" x14ac:dyDescent="0.45">
      <c r="A1530" s="57">
        <v>1434</v>
      </c>
      <c r="B1530" t="s">
        <v>2496</v>
      </c>
      <c r="C1530" t="s">
        <v>2497</v>
      </c>
      <c r="D1530" s="12">
        <v>46313</v>
      </c>
      <c r="E1530" s="11">
        <v>36</v>
      </c>
      <c r="F1530" s="11" t="s">
        <v>7400</v>
      </c>
      <c r="G1530">
        <v>20261001</v>
      </c>
      <c r="I1530" s="11" t="s">
        <v>63</v>
      </c>
      <c r="J1530" s="72">
        <v>70497718</v>
      </c>
      <c r="K1530" s="99">
        <f>_xlfn.XLOOKUP(_2__ROI_Daily_Update[[#This Row],[CSM id]],SHP!F:F,SHP!EE:EE,"-")</f>
        <v>0</v>
      </c>
      <c r="L1530" s="12"/>
      <c r="N1530" s="11"/>
      <c r="P1530"/>
      <c r="Q1530"/>
      <c r="W1530" s="28"/>
      <c r="AA1530"/>
    </row>
    <row r="1531" spans="1:27" x14ac:dyDescent="0.45">
      <c r="A1531" s="57">
        <v>1434</v>
      </c>
      <c r="B1531" t="s">
        <v>2496</v>
      </c>
      <c r="C1531" t="s">
        <v>2497</v>
      </c>
      <c r="D1531" s="12">
        <v>46313</v>
      </c>
      <c r="E1531" s="11">
        <v>720</v>
      </c>
      <c r="F1531" s="11" t="s">
        <v>7463</v>
      </c>
      <c r="G1531">
        <v>20261001</v>
      </c>
      <c r="I1531" s="11" t="s">
        <v>63</v>
      </c>
      <c r="J1531" s="72">
        <v>70497718</v>
      </c>
      <c r="K1531" s="99">
        <f>_xlfn.XLOOKUP(_2__ROI_Daily_Update[[#This Row],[CSM id]],SHP!F:F,SHP!EE:EE,"-")</f>
        <v>0</v>
      </c>
      <c r="L1531" s="12"/>
      <c r="N1531" s="11"/>
      <c r="P1531"/>
      <c r="Q1531"/>
      <c r="W1531" s="28"/>
      <c r="AA1531"/>
    </row>
    <row r="1532" spans="1:27" x14ac:dyDescent="0.45">
      <c r="A1532" s="57">
        <v>621</v>
      </c>
      <c r="B1532" t="s">
        <v>506</v>
      </c>
      <c r="C1532" t="s">
        <v>507</v>
      </c>
      <c r="D1532" s="12">
        <v>46313</v>
      </c>
      <c r="E1532" s="11">
        <v>10</v>
      </c>
      <c r="F1532" s="11" t="s">
        <v>6946</v>
      </c>
      <c r="G1532">
        <v>20250701</v>
      </c>
      <c r="H1532" s="12">
        <v>46388</v>
      </c>
      <c r="I1532" s="11" t="s">
        <v>63</v>
      </c>
      <c r="J1532" s="72">
        <v>50605460</v>
      </c>
      <c r="K1532" s="99">
        <f>_xlfn.XLOOKUP(_2__ROI_Daily_Update[[#This Row],[CSM id]],SHP!F:F,SHP!EE:EE,"-")</f>
        <v>0</v>
      </c>
      <c r="L1532" s="12"/>
      <c r="N1532" s="11"/>
      <c r="P1532"/>
      <c r="Q1532"/>
      <c r="W1532" s="28"/>
      <c r="AA1532"/>
    </row>
    <row r="1533" spans="1:27" x14ac:dyDescent="0.45">
      <c r="A1533" s="57">
        <v>1434</v>
      </c>
      <c r="B1533" t="s">
        <v>2500</v>
      </c>
      <c r="C1533" t="s">
        <v>2501</v>
      </c>
      <c r="D1533" s="12">
        <v>46313</v>
      </c>
      <c r="E1533" s="11">
        <v>108</v>
      </c>
      <c r="F1533" s="11" t="s">
        <v>6946</v>
      </c>
      <c r="G1533">
        <v>20240101</v>
      </c>
      <c r="I1533" s="11" t="s">
        <v>63</v>
      </c>
      <c r="J1533" s="72">
        <v>90564617</v>
      </c>
      <c r="K1533" s="99">
        <f>_xlfn.XLOOKUP(_2__ROI_Daily_Update[[#This Row],[CSM id]],SHP!F:F,SHP!EE:EE,"-")</f>
        <v>0</v>
      </c>
      <c r="L1533" s="12"/>
      <c r="N1533" s="11"/>
      <c r="P1533"/>
      <c r="Q1533"/>
      <c r="W1533" s="28"/>
      <c r="AA1533"/>
    </row>
    <row r="1534" spans="1:27" x14ac:dyDescent="0.45">
      <c r="A1534" s="57">
        <v>1434</v>
      </c>
      <c r="B1534" t="s">
        <v>2502</v>
      </c>
      <c r="C1534" t="s">
        <v>2503</v>
      </c>
      <c r="D1534" s="12">
        <v>46313</v>
      </c>
      <c r="E1534" s="11">
        <v>240</v>
      </c>
      <c r="F1534" s="11" t="s">
        <v>7492</v>
      </c>
      <c r="G1534">
        <v>20240101</v>
      </c>
      <c r="I1534" s="11" t="s">
        <v>18</v>
      </c>
      <c r="J1534" s="72">
        <v>90572815</v>
      </c>
      <c r="K1534" s="99">
        <f>_xlfn.XLOOKUP(_2__ROI_Daily_Update[[#This Row],[CSM id]],SHP!F:F,SHP!EE:EE,"-")</f>
        <v>0</v>
      </c>
      <c r="L1534" s="12"/>
      <c r="N1534" s="11"/>
      <c r="P1534"/>
      <c r="Q1534"/>
      <c r="W1534" s="28"/>
      <c r="AA1534"/>
    </row>
    <row r="1535" spans="1:27" x14ac:dyDescent="0.45">
      <c r="A1535" s="57">
        <v>1811</v>
      </c>
      <c r="B1535" t="s">
        <v>3362</v>
      </c>
      <c r="C1535" t="s">
        <v>3363</v>
      </c>
      <c r="D1535" s="12">
        <v>46313</v>
      </c>
      <c r="E1535" s="11">
        <v>168</v>
      </c>
      <c r="F1535" s="11" t="s">
        <v>7463</v>
      </c>
      <c r="G1535">
        <v>20260701</v>
      </c>
      <c r="I1535" s="11" t="s">
        <v>63</v>
      </c>
      <c r="J1535" s="72">
        <v>90618173</v>
      </c>
      <c r="K1535" s="99">
        <f>_xlfn.XLOOKUP(_2__ROI_Daily_Update[[#This Row],[CSM id]],SHP!F:F,SHP!EE:EE,"-")</f>
        <v>0</v>
      </c>
      <c r="L1535" s="12"/>
      <c r="N1535" s="11"/>
      <c r="P1535"/>
      <c r="Q1535"/>
      <c r="W1535" s="28"/>
      <c r="AA1535"/>
    </row>
    <row r="1536" spans="1:27" x14ac:dyDescent="0.45">
      <c r="A1536" s="57">
        <v>621</v>
      </c>
      <c r="B1536" t="s">
        <v>6007</v>
      </c>
      <c r="C1536" t="s">
        <v>6008</v>
      </c>
      <c r="D1536" s="12">
        <v>46313</v>
      </c>
      <c r="E1536" s="11">
        <v>10</v>
      </c>
      <c r="F1536" s="11" t="s">
        <v>7440</v>
      </c>
      <c r="G1536">
        <v>20250701</v>
      </c>
      <c r="H1536" s="12">
        <v>46388</v>
      </c>
      <c r="I1536" s="11" t="s">
        <v>63</v>
      </c>
      <c r="J1536" s="72">
        <v>70587040</v>
      </c>
      <c r="K1536" s="99">
        <f>_xlfn.XLOOKUP(_2__ROI_Daily_Update[[#This Row],[CSM id]],SHP!F:F,SHP!EE:EE,"-")</f>
        <v>0</v>
      </c>
      <c r="L1536" s="12"/>
      <c r="N1536" s="11"/>
      <c r="P1536"/>
      <c r="Q1536"/>
      <c r="W1536" s="28"/>
      <c r="AA1536"/>
    </row>
    <row r="1537" spans="1:27" x14ac:dyDescent="0.45">
      <c r="A1537" s="57">
        <v>1811</v>
      </c>
      <c r="B1537" t="s">
        <v>3362</v>
      </c>
      <c r="C1537" t="s">
        <v>3363</v>
      </c>
      <c r="D1537" s="12">
        <v>46313</v>
      </c>
      <c r="E1537" s="11">
        <v>168</v>
      </c>
      <c r="F1537" s="11" t="s">
        <v>7440</v>
      </c>
      <c r="G1537">
        <v>20260701</v>
      </c>
      <c r="I1537" s="11" t="s">
        <v>63</v>
      </c>
      <c r="J1537" s="72">
        <v>90618173</v>
      </c>
      <c r="K1537" s="99">
        <f>_xlfn.XLOOKUP(_2__ROI_Daily_Update[[#This Row],[CSM id]],SHP!F:F,SHP!EE:EE,"-")</f>
        <v>0</v>
      </c>
      <c r="L1537" s="12"/>
      <c r="N1537" s="11"/>
      <c r="P1537"/>
      <c r="Q1537"/>
      <c r="W1537" s="28"/>
      <c r="AA1537"/>
    </row>
    <row r="1538" spans="1:27" x14ac:dyDescent="0.45">
      <c r="A1538" s="57">
        <v>621</v>
      </c>
      <c r="B1538" t="s">
        <v>215</v>
      </c>
      <c r="C1538" t="s">
        <v>216</v>
      </c>
      <c r="D1538" s="12">
        <v>46313</v>
      </c>
      <c r="E1538" s="11">
        <v>36</v>
      </c>
      <c r="F1538" s="11" t="s">
        <v>7430</v>
      </c>
      <c r="G1538">
        <v>20260401</v>
      </c>
      <c r="H1538" s="12">
        <v>46569</v>
      </c>
      <c r="I1538" s="11" t="s">
        <v>63</v>
      </c>
      <c r="J1538" s="72">
        <v>40618241</v>
      </c>
      <c r="K1538" s="99">
        <f>_xlfn.XLOOKUP(_2__ROI_Daily_Update[[#This Row],[CSM id]],SHP!F:F,SHP!EE:EE,"-")</f>
        <v>0</v>
      </c>
      <c r="L1538" s="12"/>
      <c r="N1538" s="11"/>
      <c r="P1538"/>
      <c r="Q1538"/>
      <c r="W1538" s="28"/>
      <c r="AA1538"/>
    </row>
    <row r="1539" spans="1:27" x14ac:dyDescent="0.45">
      <c r="A1539" s="57">
        <v>1811</v>
      </c>
      <c r="B1539" t="s">
        <v>3362</v>
      </c>
      <c r="C1539" t="s">
        <v>3363</v>
      </c>
      <c r="D1539" s="12">
        <v>46313</v>
      </c>
      <c r="E1539" s="11">
        <v>168</v>
      </c>
      <c r="F1539" s="11" t="s">
        <v>7420</v>
      </c>
      <c r="G1539">
        <v>20260701</v>
      </c>
      <c r="I1539" s="11" t="s">
        <v>63</v>
      </c>
      <c r="J1539" s="72">
        <v>90618173</v>
      </c>
      <c r="K1539" s="99">
        <f>_xlfn.XLOOKUP(_2__ROI_Daily_Update[[#This Row],[CSM id]],SHP!F:F,SHP!EE:EE,"-")</f>
        <v>0</v>
      </c>
      <c r="L1539" s="12"/>
      <c r="N1539" s="11"/>
      <c r="P1539"/>
      <c r="Q1539"/>
      <c r="W1539" s="28"/>
      <c r="AA1539"/>
    </row>
    <row r="1540" spans="1:27" x14ac:dyDescent="0.45">
      <c r="A1540" s="57">
        <v>621</v>
      </c>
      <c r="B1540" t="s">
        <v>392</v>
      </c>
      <c r="C1540" t="s">
        <v>393</v>
      </c>
      <c r="D1540" s="12">
        <v>46313</v>
      </c>
      <c r="E1540" s="11">
        <v>36</v>
      </c>
      <c r="F1540" s="11" t="s">
        <v>7420</v>
      </c>
      <c r="G1540">
        <v>20210201</v>
      </c>
      <c r="I1540" s="11" t="s">
        <v>63</v>
      </c>
      <c r="J1540" s="72">
        <v>30493005</v>
      </c>
      <c r="K1540" s="99">
        <f>_xlfn.XLOOKUP(_2__ROI_Daily_Update[[#This Row],[CSM id]],SHP!F:F,SHP!EE:EE,"-")</f>
        <v>0</v>
      </c>
      <c r="L1540" s="12"/>
      <c r="N1540" s="11"/>
      <c r="P1540"/>
      <c r="Q1540"/>
      <c r="W1540" s="28"/>
      <c r="AA1540"/>
    </row>
    <row r="1541" spans="1:27" x14ac:dyDescent="0.45">
      <c r="A1541" s="57">
        <v>1511</v>
      </c>
      <c r="B1541" t="s">
        <v>2512</v>
      </c>
      <c r="C1541" t="s">
        <v>2513</v>
      </c>
      <c r="D1541" s="12">
        <v>46313</v>
      </c>
      <c r="E1541" s="11">
        <v>1800</v>
      </c>
      <c r="F1541" s="11" t="s">
        <v>7492</v>
      </c>
      <c r="G1541">
        <v>20141201</v>
      </c>
      <c r="I1541" s="11" t="s">
        <v>18</v>
      </c>
      <c r="J1541" s="72">
        <v>10258914</v>
      </c>
      <c r="K1541" s="99">
        <f>_xlfn.XLOOKUP(_2__ROI_Daily_Update[[#This Row],[CSM id]],SHP!F:F,SHP!EE:EE,"-")</f>
        <v>0</v>
      </c>
      <c r="L1541" s="12"/>
      <c r="N1541" s="11"/>
      <c r="P1541"/>
      <c r="Q1541"/>
      <c r="W1541" s="28"/>
      <c r="AA1541"/>
    </row>
    <row r="1542" spans="1:27" x14ac:dyDescent="0.45">
      <c r="A1542" s="57">
        <v>1811</v>
      </c>
      <c r="B1542" t="s">
        <v>7015</v>
      </c>
      <c r="C1542" t="s">
        <v>7016</v>
      </c>
      <c r="D1542" s="12">
        <v>46313</v>
      </c>
      <c r="E1542" s="11">
        <v>100</v>
      </c>
      <c r="F1542" s="11" t="s">
        <v>7475</v>
      </c>
      <c r="G1542">
        <v>20250101</v>
      </c>
      <c r="I1542" s="11" t="s">
        <v>63</v>
      </c>
      <c r="J1542" s="72">
        <v>90601083</v>
      </c>
      <c r="K1542" s="99">
        <f>_xlfn.XLOOKUP(_2__ROI_Daily_Update[[#This Row],[CSM id]],SHP!F:F,SHP!EE:EE,"-")</f>
        <v>0</v>
      </c>
      <c r="L1542" s="12"/>
      <c r="N1542" s="11"/>
      <c r="P1542"/>
      <c r="Q1542"/>
      <c r="W1542" s="28"/>
      <c r="AA1542"/>
    </row>
    <row r="1543" spans="1:27" x14ac:dyDescent="0.45">
      <c r="A1543" s="57">
        <v>621</v>
      </c>
      <c r="B1543" t="s">
        <v>487</v>
      </c>
      <c r="C1543" t="s">
        <v>488</v>
      </c>
      <c r="D1543" s="12">
        <v>46313</v>
      </c>
      <c r="E1543" s="11">
        <v>36</v>
      </c>
      <c r="F1543" s="11" t="s">
        <v>7440</v>
      </c>
      <c r="G1543">
        <v>20210201</v>
      </c>
      <c r="I1543" s="11" t="s">
        <v>63</v>
      </c>
      <c r="J1543" s="72">
        <v>10493011</v>
      </c>
      <c r="K1543" s="99">
        <f>_xlfn.XLOOKUP(_2__ROI_Daily_Update[[#This Row],[CSM id]],SHP!F:F,SHP!EE:EE,"-")</f>
        <v>0</v>
      </c>
      <c r="L1543" s="12"/>
      <c r="N1543" s="11"/>
      <c r="P1543"/>
      <c r="Q1543"/>
      <c r="W1543" s="28"/>
      <c r="AA1543"/>
    </row>
    <row r="1544" spans="1:27" x14ac:dyDescent="0.45">
      <c r="A1544" s="57">
        <v>622</v>
      </c>
      <c r="B1544" t="s">
        <v>516</v>
      </c>
      <c r="C1544" t="s">
        <v>517</v>
      </c>
      <c r="D1544" s="12">
        <v>46313</v>
      </c>
      <c r="E1544" s="11">
        <v>66</v>
      </c>
      <c r="F1544" s="11" t="s">
        <v>7400</v>
      </c>
      <c r="G1544">
        <v>20240701</v>
      </c>
      <c r="I1544" s="11" t="s">
        <v>63</v>
      </c>
      <c r="J1544" s="72">
        <v>30567831</v>
      </c>
      <c r="K1544" s="99">
        <f>_xlfn.XLOOKUP(_2__ROI_Daily_Update[[#This Row],[CSM id]],SHP!F:F,SHP!EE:EE,"-")</f>
        <v>0</v>
      </c>
      <c r="L1544" s="12"/>
      <c r="N1544" s="11"/>
      <c r="P1544"/>
      <c r="Q1544"/>
      <c r="W1544" s="28"/>
      <c r="AA1544"/>
    </row>
    <row r="1545" spans="1:27" x14ac:dyDescent="0.45">
      <c r="A1545" s="57">
        <v>1434</v>
      </c>
      <c r="B1545" t="s">
        <v>2492</v>
      </c>
      <c r="C1545" t="s">
        <v>2493</v>
      </c>
      <c r="D1545" s="12">
        <v>46313</v>
      </c>
      <c r="E1545" s="11">
        <v>136</v>
      </c>
      <c r="F1545" s="11" t="s">
        <v>7492</v>
      </c>
      <c r="G1545">
        <v>20240101</v>
      </c>
      <c r="I1545" s="11" t="s">
        <v>18</v>
      </c>
      <c r="J1545" s="72">
        <v>50572817</v>
      </c>
      <c r="K1545" s="99">
        <f>_xlfn.XLOOKUP(_2__ROI_Daily_Update[[#This Row],[CSM id]],SHP!F:F,SHP!EE:EE,"-")</f>
        <v>0</v>
      </c>
      <c r="L1545" s="12"/>
      <c r="N1545" s="11"/>
      <c r="P1545"/>
      <c r="Q1545"/>
      <c r="W1545" s="28"/>
      <c r="AA1545"/>
    </row>
    <row r="1546" spans="1:27" x14ac:dyDescent="0.45">
      <c r="A1546" s="57">
        <v>1434</v>
      </c>
      <c r="B1546" t="s">
        <v>2490</v>
      </c>
      <c r="C1546" t="s">
        <v>2491</v>
      </c>
      <c r="D1546" s="12">
        <v>46313</v>
      </c>
      <c r="E1546" s="11">
        <v>168</v>
      </c>
      <c r="F1546" s="11" t="s">
        <v>7499</v>
      </c>
      <c r="G1546">
        <v>20240101</v>
      </c>
      <c r="I1546" s="11" t="s">
        <v>18</v>
      </c>
      <c r="J1546" s="72">
        <v>40572808</v>
      </c>
      <c r="K1546" s="99">
        <f>_xlfn.XLOOKUP(_2__ROI_Daily_Update[[#This Row],[CSM id]],SHP!F:F,SHP!EE:EE,"-")</f>
        <v>0</v>
      </c>
      <c r="L1546" s="12"/>
      <c r="N1546" s="11"/>
      <c r="P1546"/>
      <c r="Q1546"/>
      <c r="W1546" s="28"/>
      <c r="AA1546"/>
    </row>
    <row r="1547" spans="1:27" x14ac:dyDescent="0.45">
      <c r="A1547" s="57">
        <v>1433</v>
      </c>
      <c r="B1547" t="s">
        <v>2478</v>
      </c>
      <c r="C1547" t="s">
        <v>2479</v>
      </c>
      <c r="D1547" s="12">
        <v>46313</v>
      </c>
      <c r="E1547" s="11">
        <v>176</v>
      </c>
      <c r="F1547" s="11" t="s">
        <v>7410</v>
      </c>
      <c r="G1547">
        <v>20230701</v>
      </c>
      <c r="H1547" s="12">
        <v>46478</v>
      </c>
      <c r="I1547" s="11" t="s">
        <v>63</v>
      </c>
      <c r="J1547" s="72">
        <v>90561015</v>
      </c>
      <c r="K1547" s="99">
        <f>_xlfn.XLOOKUP(_2__ROI_Daily_Update[[#This Row],[CSM id]],SHP!F:F,SHP!EE:EE,"-")</f>
        <v>0</v>
      </c>
      <c r="L1547" s="12"/>
      <c r="N1547" s="11"/>
      <c r="P1547"/>
      <c r="Q1547"/>
      <c r="W1547" s="28"/>
      <c r="AA1547"/>
    </row>
    <row r="1548" spans="1:27" x14ac:dyDescent="0.45">
      <c r="A1548" s="57">
        <v>1433</v>
      </c>
      <c r="B1548" t="s">
        <v>6829</v>
      </c>
      <c r="C1548" t="s">
        <v>6830</v>
      </c>
      <c r="D1548" s="12">
        <v>46313</v>
      </c>
      <c r="E1548" s="11">
        <v>912</v>
      </c>
      <c r="F1548" s="11" t="s">
        <v>7499</v>
      </c>
      <c r="G1548">
        <v>20250701</v>
      </c>
      <c r="I1548" s="11" t="s">
        <v>18</v>
      </c>
      <c r="J1548" s="72">
        <v>90565853</v>
      </c>
      <c r="K1548" s="99">
        <f>_xlfn.XLOOKUP(_2__ROI_Daily_Update[[#This Row],[CSM id]],SHP!F:F,SHP!EE:EE,"-")</f>
        <v>0</v>
      </c>
      <c r="L1548" s="12"/>
      <c r="N1548" s="11"/>
      <c r="P1548"/>
      <c r="Q1548"/>
      <c r="W1548" s="28"/>
      <c r="AA1548"/>
    </row>
    <row r="1549" spans="1:27" x14ac:dyDescent="0.45">
      <c r="A1549" s="57">
        <v>1433</v>
      </c>
      <c r="B1549" t="s">
        <v>7059</v>
      </c>
      <c r="C1549" t="s">
        <v>7060</v>
      </c>
      <c r="D1549" s="12">
        <v>46313</v>
      </c>
      <c r="E1549" s="11">
        <v>150</v>
      </c>
      <c r="F1549" s="11" t="s">
        <v>7480</v>
      </c>
      <c r="G1549">
        <v>20250101</v>
      </c>
      <c r="I1549" s="11" t="s">
        <v>63</v>
      </c>
      <c r="J1549" s="72">
        <v>90595435</v>
      </c>
      <c r="K1549" s="99">
        <f>_xlfn.XLOOKUP(_2__ROI_Daily_Update[[#This Row],[CSM id]],SHP!F:F,SHP!EE:EE,"-")</f>
        <v>0</v>
      </c>
      <c r="L1549" s="12"/>
      <c r="N1549" s="11"/>
      <c r="P1549"/>
      <c r="Q1549"/>
      <c r="W1549" s="28"/>
      <c r="AA1549"/>
    </row>
    <row r="1550" spans="1:27" x14ac:dyDescent="0.45">
      <c r="A1550" s="57">
        <v>621</v>
      </c>
      <c r="B1550" t="s">
        <v>207</v>
      </c>
      <c r="C1550" t="s">
        <v>208</v>
      </c>
      <c r="D1550" s="12">
        <v>46313</v>
      </c>
      <c r="E1550" s="11">
        <v>24</v>
      </c>
      <c r="F1550" s="11" t="s">
        <v>7410</v>
      </c>
      <c r="G1550">
        <v>20261001</v>
      </c>
      <c r="I1550" s="11" t="s">
        <v>63</v>
      </c>
      <c r="J1550" s="72">
        <v>90632089</v>
      </c>
      <c r="K1550" s="99">
        <f>_xlfn.XLOOKUP(_2__ROI_Daily_Update[[#This Row],[CSM id]],SHP!F:F,SHP!EE:EE,"-")</f>
        <v>0</v>
      </c>
      <c r="L1550" s="12"/>
      <c r="N1550" s="11"/>
      <c r="P1550"/>
      <c r="Q1550"/>
      <c r="W1550" s="28"/>
      <c r="AA1550"/>
    </row>
    <row r="1551" spans="1:27" x14ac:dyDescent="0.45">
      <c r="A1551" s="57">
        <v>621</v>
      </c>
      <c r="B1551" t="s">
        <v>209</v>
      </c>
      <c r="C1551" t="s">
        <v>210</v>
      </c>
      <c r="D1551" s="12">
        <v>46313</v>
      </c>
      <c r="E1551" s="11">
        <v>24</v>
      </c>
      <c r="F1551" s="11" t="s">
        <v>7453</v>
      </c>
      <c r="G1551">
        <v>20261001</v>
      </c>
      <c r="I1551" s="11" t="s">
        <v>63</v>
      </c>
      <c r="J1551" s="72">
        <v>30632092</v>
      </c>
      <c r="K1551" s="99">
        <f>_xlfn.XLOOKUP(_2__ROI_Daily_Update[[#This Row],[CSM id]],SHP!F:F,SHP!EE:EE,"-")</f>
        <v>0</v>
      </c>
      <c r="L1551" s="12"/>
      <c r="N1551" s="11"/>
      <c r="P1551"/>
      <c r="Q1551"/>
      <c r="W1551" s="28"/>
      <c r="AA1551"/>
    </row>
    <row r="1552" spans="1:27" x14ac:dyDescent="0.45">
      <c r="A1552" s="57">
        <v>1434</v>
      </c>
      <c r="B1552" t="s">
        <v>7061</v>
      </c>
      <c r="C1552" t="s">
        <v>7062</v>
      </c>
      <c r="D1552" s="12">
        <v>46313</v>
      </c>
      <c r="E1552" s="11">
        <v>72</v>
      </c>
      <c r="F1552" s="11" t="s">
        <v>7480</v>
      </c>
      <c r="G1552">
        <v>20261001</v>
      </c>
      <c r="I1552" s="11" t="s">
        <v>63</v>
      </c>
      <c r="J1552" s="72">
        <v>10497721</v>
      </c>
      <c r="K1552" s="99">
        <f>_xlfn.XLOOKUP(_2__ROI_Daily_Update[[#This Row],[CSM id]],SHP!F:F,SHP!EE:EE,"-")</f>
        <v>0</v>
      </c>
      <c r="L1552" s="12"/>
      <c r="N1552" s="11"/>
      <c r="P1552"/>
      <c r="Q1552"/>
      <c r="W1552" s="28"/>
      <c r="AA1552"/>
    </row>
    <row r="1553" spans="1:27" x14ac:dyDescent="0.45">
      <c r="A1553" s="57">
        <v>621</v>
      </c>
      <c r="B1553" t="s">
        <v>489</v>
      </c>
      <c r="C1553" t="s">
        <v>490</v>
      </c>
      <c r="D1553" s="12">
        <v>46313</v>
      </c>
      <c r="E1553" s="11">
        <v>216</v>
      </c>
      <c r="F1553" s="11" t="s">
        <v>7400</v>
      </c>
      <c r="G1553">
        <v>20260101</v>
      </c>
      <c r="I1553" s="11" t="s">
        <v>63</v>
      </c>
      <c r="J1553" s="72">
        <v>628973</v>
      </c>
      <c r="K1553" s="99">
        <f>_xlfn.XLOOKUP(_2__ROI_Daily_Update[[#This Row],[CSM id]],SHP!F:F,SHP!EE:EE,"-")</f>
        <v>0</v>
      </c>
      <c r="L1553" s="12"/>
      <c r="N1553" s="11"/>
      <c r="P1553"/>
      <c r="Q1553"/>
      <c r="W1553" s="28"/>
      <c r="AA1553"/>
    </row>
    <row r="1554" spans="1:27" x14ac:dyDescent="0.45">
      <c r="A1554" s="57">
        <v>1811</v>
      </c>
      <c r="B1554" t="s">
        <v>3364</v>
      </c>
      <c r="C1554" t="s">
        <v>3365</v>
      </c>
      <c r="D1554" s="12">
        <v>46313</v>
      </c>
      <c r="E1554" s="11">
        <v>108</v>
      </c>
      <c r="F1554" s="11" t="s">
        <v>7440</v>
      </c>
      <c r="G1554">
        <v>20261001</v>
      </c>
      <c r="I1554" s="11" t="s">
        <v>63</v>
      </c>
      <c r="J1554" s="72">
        <v>90625809</v>
      </c>
      <c r="K1554" s="99">
        <f>_xlfn.XLOOKUP(_2__ROI_Daily_Update[[#This Row],[CSM id]],SHP!F:F,SHP!EE:EE,"-")</f>
        <v>0</v>
      </c>
      <c r="L1554" s="12"/>
      <c r="N1554" s="11"/>
      <c r="P1554"/>
      <c r="Q1554"/>
      <c r="W1554" s="28"/>
      <c r="AA1554"/>
    </row>
    <row r="1555" spans="1:27" x14ac:dyDescent="0.45">
      <c r="A1555" s="57">
        <v>1434</v>
      </c>
      <c r="B1555" t="s">
        <v>5697</v>
      </c>
      <c r="C1555" t="s">
        <v>5698</v>
      </c>
      <c r="D1555" s="12">
        <v>46313</v>
      </c>
      <c r="E1555" s="11">
        <v>144</v>
      </c>
      <c r="F1555" s="11" t="s">
        <v>7499</v>
      </c>
      <c r="G1555">
        <v>20260401</v>
      </c>
      <c r="I1555" s="11" t="s">
        <v>18</v>
      </c>
      <c r="J1555" s="72">
        <v>20618572</v>
      </c>
      <c r="K1555" s="99">
        <f>_xlfn.XLOOKUP(_2__ROI_Daily_Update[[#This Row],[CSM id]],SHP!F:F,SHP!EE:EE,"-")</f>
        <v>0</v>
      </c>
      <c r="L1555" s="12"/>
      <c r="N1555" s="11"/>
      <c r="P1555"/>
      <c r="Q1555"/>
      <c r="W1555" s="28"/>
      <c r="AA1555"/>
    </row>
    <row r="1556" spans="1:27" x14ac:dyDescent="0.45">
      <c r="A1556" s="57">
        <v>621</v>
      </c>
      <c r="B1556" t="s">
        <v>388</v>
      </c>
      <c r="C1556" t="s">
        <v>389</v>
      </c>
      <c r="D1556" s="12">
        <v>46313</v>
      </c>
      <c r="E1556" s="11">
        <v>32</v>
      </c>
      <c r="F1556" s="11" t="s">
        <v>6946</v>
      </c>
      <c r="G1556">
        <v>20210701</v>
      </c>
      <c r="I1556" s="11" t="s">
        <v>63</v>
      </c>
      <c r="J1556" s="72">
        <v>90463963</v>
      </c>
      <c r="K1556" s="99">
        <f>_xlfn.XLOOKUP(_2__ROI_Daily_Update[[#This Row],[CSM id]],SHP!F:F,SHP!EE:EE,"-")</f>
        <v>0</v>
      </c>
      <c r="L1556" s="12"/>
      <c r="N1556" s="11"/>
      <c r="P1556"/>
      <c r="Q1556"/>
      <c r="W1556" s="28"/>
      <c r="AA1556"/>
    </row>
    <row r="1557" spans="1:27" x14ac:dyDescent="0.45">
      <c r="A1557" s="57">
        <v>621</v>
      </c>
      <c r="B1557" t="s">
        <v>81</v>
      </c>
      <c r="C1557" t="s">
        <v>82</v>
      </c>
      <c r="D1557" s="12">
        <v>46313</v>
      </c>
      <c r="E1557" s="11">
        <v>630</v>
      </c>
      <c r="F1557" s="11" t="s">
        <v>7410</v>
      </c>
      <c r="G1557">
        <v>20260101</v>
      </c>
      <c r="I1557" s="11" t="s">
        <v>63</v>
      </c>
      <c r="J1557" s="72">
        <v>80628974</v>
      </c>
      <c r="K1557" s="99">
        <f>_xlfn.XLOOKUP(_2__ROI_Daily_Update[[#This Row],[CSM id]],SHP!F:F,SHP!EE:EE,"-")</f>
        <v>0</v>
      </c>
      <c r="L1557" s="12"/>
      <c r="N1557" s="11"/>
      <c r="P1557"/>
      <c r="Q1557"/>
      <c r="W1557" s="28"/>
      <c r="AA1557"/>
    </row>
    <row r="1558" spans="1:27" x14ac:dyDescent="0.45">
      <c r="A1558" s="57">
        <v>621</v>
      </c>
      <c r="B1558" t="s">
        <v>489</v>
      </c>
      <c r="C1558" t="s">
        <v>490</v>
      </c>
      <c r="D1558" s="12">
        <v>46313</v>
      </c>
      <c r="E1558" s="11">
        <v>216</v>
      </c>
      <c r="F1558" s="11" t="s">
        <v>7480</v>
      </c>
      <c r="G1558">
        <v>20260101</v>
      </c>
      <c r="I1558" s="11" t="s">
        <v>63</v>
      </c>
      <c r="J1558" s="72">
        <v>628973</v>
      </c>
      <c r="K1558" s="99">
        <f>_xlfn.XLOOKUP(_2__ROI_Daily_Update[[#This Row],[CSM id]],SHP!F:F,SHP!EE:EE,"-")</f>
        <v>0</v>
      </c>
      <c r="L1558" s="12"/>
      <c r="N1558" s="11"/>
      <c r="P1558"/>
      <c r="Q1558"/>
      <c r="W1558" s="28"/>
      <c r="AA1558"/>
    </row>
    <row r="1559" spans="1:27" x14ac:dyDescent="0.45">
      <c r="A1559" s="57">
        <v>1434</v>
      </c>
      <c r="B1559" t="s">
        <v>2488</v>
      </c>
      <c r="C1559" t="s">
        <v>2489</v>
      </c>
      <c r="D1559" s="12">
        <v>46313</v>
      </c>
      <c r="E1559" s="11">
        <v>24</v>
      </c>
      <c r="F1559" s="11" t="s">
        <v>7463</v>
      </c>
      <c r="G1559">
        <v>20260401</v>
      </c>
      <c r="I1559" s="11" t="s">
        <v>63</v>
      </c>
      <c r="J1559" s="72">
        <v>30618576</v>
      </c>
      <c r="K1559" s="99">
        <f>_xlfn.XLOOKUP(_2__ROI_Daily_Update[[#This Row],[CSM id]],SHP!F:F,SHP!EE:EE,"-")</f>
        <v>0</v>
      </c>
      <c r="L1559" s="12"/>
      <c r="N1559" s="11"/>
      <c r="P1559"/>
      <c r="Q1559"/>
      <c r="W1559" s="28"/>
      <c r="AA1559"/>
    </row>
    <row r="1560" spans="1:27" x14ac:dyDescent="0.45">
      <c r="A1560" s="57">
        <v>1434</v>
      </c>
      <c r="B1560" t="s">
        <v>5727</v>
      </c>
      <c r="C1560" t="s">
        <v>5728</v>
      </c>
      <c r="D1560" s="12">
        <v>46313</v>
      </c>
      <c r="E1560" s="11">
        <v>108</v>
      </c>
      <c r="F1560" s="11" t="s">
        <v>7400</v>
      </c>
      <c r="G1560">
        <v>20240101</v>
      </c>
      <c r="I1560" s="11" t="s">
        <v>63</v>
      </c>
      <c r="J1560" s="72">
        <v>40562499</v>
      </c>
      <c r="K1560" s="99">
        <f>_xlfn.XLOOKUP(_2__ROI_Daily_Update[[#This Row],[CSM id]],SHP!F:F,SHP!EE:EE,"-")</f>
        <v>0</v>
      </c>
      <c r="L1560" s="12"/>
      <c r="N1560" s="11"/>
      <c r="P1560"/>
      <c r="Q1560"/>
      <c r="W1560" s="28"/>
      <c r="AA1560"/>
    </row>
    <row r="1561" spans="1:27" x14ac:dyDescent="0.45">
      <c r="A1561" s="57">
        <v>1434</v>
      </c>
      <c r="B1561" t="s">
        <v>5697</v>
      </c>
      <c r="C1561" t="s">
        <v>5698</v>
      </c>
      <c r="D1561" s="12">
        <v>46313</v>
      </c>
      <c r="E1561" s="11">
        <v>48</v>
      </c>
      <c r="F1561" s="11" t="s">
        <v>7468</v>
      </c>
      <c r="G1561">
        <v>20260401</v>
      </c>
      <c r="I1561" s="11" t="s">
        <v>18</v>
      </c>
      <c r="J1561" s="72">
        <v>20618572</v>
      </c>
      <c r="K1561" s="99">
        <f>_xlfn.XLOOKUP(_2__ROI_Daily_Update[[#This Row],[CSM id]],SHP!F:F,SHP!EE:EE,"-")</f>
        <v>0</v>
      </c>
      <c r="L1561" s="12"/>
      <c r="N1561" s="11"/>
      <c r="P1561"/>
      <c r="Q1561"/>
      <c r="W1561" s="28"/>
      <c r="AA1561"/>
    </row>
    <row r="1562" spans="1:27" x14ac:dyDescent="0.45">
      <c r="A1562" s="57">
        <v>1813</v>
      </c>
      <c r="B1562" t="s">
        <v>5872</v>
      </c>
      <c r="C1562" t="s">
        <v>5873</v>
      </c>
      <c r="D1562" s="12">
        <v>46313</v>
      </c>
      <c r="E1562" s="11">
        <v>8</v>
      </c>
      <c r="F1562" s="11" t="s">
        <v>6946</v>
      </c>
      <c r="G1562">
        <v>20240401</v>
      </c>
      <c r="H1562" s="12">
        <v>46388</v>
      </c>
      <c r="I1562" s="11" t="s">
        <v>63</v>
      </c>
      <c r="J1562" s="72">
        <v>70530398</v>
      </c>
      <c r="K1562" s="99">
        <f>_xlfn.XLOOKUP(_2__ROI_Daily_Update[[#This Row],[CSM id]],SHP!F:F,SHP!EE:EE,"-")</f>
        <v>0</v>
      </c>
      <c r="L1562" s="12"/>
      <c r="N1562" s="11"/>
      <c r="P1562"/>
      <c r="Q1562"/>
      <c r="W1562" s="28"/>
      <c r="AA1562"/>
    </row>
    <row r="1563" spans="1:27" x14ac:dyDescent="0.45">
      <c r="A1563" s="57">
        <v>622</v>
      </c>
      <c r="B1563" t="s">
        <v>6031</v>
      </c>
      <c r="C1563" t="s">
        <v>6032</v>
      </c>
      <c r="D1563" s="12">
        <v>46313</v>
      </c>
      <c r="E1563" s="11">
        <v>48</v>
      </c>
      <c r="F1563" s="11" t="s">
        <v>6946</v>
      </c>
      <c r="G1563">
        <v>20260101</v>
      </c>
      <c r="I1563" s="11" t="s">
        <v>63</v>
      </c>
      <c r="J1563" s="72">
        <v>90619950</v>
      </c>
      <c r="K1563" s="99">
        <f>_xlfn.XLOOKUP(_2__ROI_Daily_Update[[#This Row],[CSM id]],SHP!F:F,SHP!EE:EE,"-")</f>
        <v>0</v>
      </c>
      <c r="L1563" s="12"/>
      <c r="N1563" s="11"/>
      <c r="P1563"/>
      <c r="Q1563"/>
      <c r="W1563" s="28"/>
      <c r="AA1563"/>
    </row>
    <row r="1564" spans="1:27" x14ac:dyDescent="0.45">
      <c r="A1564" s="57">
        <v>1813</v>
      </c>
      <c r="B1564" t="s">
        <v>3374</v>
      </c>
      <c r="C1564" t="s">
        <v>3375</v>
      </c>
      <c r="D1564" s="12">
        <v>46313</v>
      </c>
      <c r="E1564" s="11">
        <v>336</v>
      </c>
      <c r="F1564" s="11" t="s">
        <v>7400</v>
      </c>
      <c r="G1564">
        <v>20260701</v>
      </c>
      <c r="I1564" s="11" t="s">
        <v>63</v>
      </c>
      <c r="J1564" s="72">
        <v>10512670</v>
      </c>
      <c r="K1564" s="99">
        <f>_xlfn.XLOOKUP(_2__ROI_Daily_Update[[#This Row],[CSM id]],SHP!F:F,SHP!EE:EE,"-")</f>
        <v>0</v>
      </c>
      <c r="L1564" s="12"/>
      <c r="N1564" s="11"/>
      <c r="P1564"/>
      <c r="Q1564"/>
      <c r="W1564" s="28"/>
      <c r="AA1564"/>
    </row>
    <row r="1565" spans="1:27" x14ac:dyDescent="0.45">
      <c r="A1565" s="57">
        <v>632</v>
      </c>
      <c r="B1565" t="s">
        <v>540</v>
      </c>
      <c r="C1565" t="s">
        <v>541</v>
      </c>
      <c r="D1565" s="12">
        <v>46313</v>
      </c>
      <c r="E1565" s="11">
        <v>60</v>
      </c>
      <c r="F1565" s="11" t="s">
        <v>7425</v>
      </c>
      <c r="G1565">
        <v>20190201</v>
      </c>
      <c r="I1565" s="11" t="s">
        <v>63</v>
      </c>
      <c r="J1565" s="72">
        <v>50390563</v>
      </c>
      <c r="K1565" s="99">
        <f>_xlfn.XLOOKUP(_2__ROI_Daily_Update[[#This Row],[CSM id]],SHP!F:F,SHP!EE:EE,"-")</f>
        <v>0</v>
      </c>
      <c r="L1565" s="12"/>
      <c r="N1565" s="11"/>
      <c r="P1565"/>
      <c r="Q1565"/>
      <c r="W1565" s="28"/>
      <c r="AA1565"/>
    </row>
    <row r="1566" spans="1:27" x14ac:dyDescent="0.45">
      <c r="A1566" s="57">
        <v>1431</v>
      </c>
      <c r="B1566" t="s">
        <v>2390</v>
      </c>
      <c r="C1566" t="s">
        <v>2391</v>
      </c>
      <c r="D1566" s="12">
        <v>46313</v>
      </c>
      <c r="E1566" s="11">
        <v>360</v>
      </c>
      <c r="F1566" s="11" t="s">
        <v>7492</v>
      </c>
      <c r="G1566">
        <v>20250701</v>
      </c>
      <c r="I1566" s="11" t="s">
        <v>18</v>
      </c>
      <c r="J1566" s="72">
        <v>40596710</v>
      </c>
      <c r="K1566" s="99">
        <f>_xlfn.XLOOKUP(_2__ROI_Daily_Update[[#This Row],[CSM id]],SHP!F:F,SHP!EE:EE,"-")</f>
        <v>0</v>
      </c>
      <c r="L1566" s="12"/>
      <c r="N1566" s="11"/>
      <c r="P1566"/>
      <c r="Q1566"/>
      <c r="W1566" s="28"/>
      <c r="AA1566"/>
    </row>
    <row r="1567" spans="1:27" x14ac:dyDescent="0.45">
      <c r="A1567" s="57">
        <v>632</v>
      </c>
      <c r="B1567" t="s">
        <v>5280</v>
      </c>
      <c r="C1567" t="s">
        <v>5281</v>
      </c>
      <c r="D1567" s="12">
        <v>46313</v>
      </c>
      <c r="E1567" s="11">
        <v>52</v>
      </c>
      <c r="F1567" s="11" t="s">
        <v>7420</v>
      </c>
      <c r="G1567">
        <v>20190201</v>
      </c>
      <c r="I1567" s="11" t="s">
        <v>63</v>
      </c>
      <c r="J1567" s="72">
        <v>10342630</v>
      </c>
      <c r="K1567" s="99">
        <f>_xlfn.XLOOKUP(_2__ROI_Daily_Update[[#This Row],[CSM id]],SHP!F:F,SHP!EE:EE,"-")</f>
        <v>0</v>
      </c>
      <c r="L1567" s="12"/>
      <c r="N1567" s="11"/>
      <c r="P1567"/>
      <c r="Q1567"/>
      <c r="W1567" s="28"/>
      <c r="AA1567"/>
    </row>
    <row r="1568" spans="1:27" x14ac:dyDescent="0.45">
      <c r="A1568" s="57">
        <v>1431</v>
      </c>
      <c r="B1568" t="s">
        <v>2388</v>
      </c>
      <c r="C1568" t="s">
        <v>2389</v>
      </c>
      <c r="D1568" s="12">
        <v>46313</v>
      </c>
      <c r="E1568" s="11">
        <v>528</v>
      </c>
      <c r="F1568" s="11" t="s">
        <v>7492</v>
      </c>
      <c r="G1568">
        <v>20250101</v>
      </c>
      <c r="I1568" s="11" t="s">
        <v>18</v>
      </c>
      <c r="J1568" s="72">
        <v>40506917</v>
      </c>
      <c r="K1568" s="99">
        <f>_xlfn.XLOOKUP(_2__ROI_Daily_Update[[#This Row],[CSM id]],SHP!F:F,SHP!EE:EE,"-")</f>
        <v>0</v>
      </c>
      <c r="L1568" s="12"/>
      <c r="N1568" s="11"/>
      <c r="P1568"/>
      <c r="Q1568"/>
      <c r="W1568" s="28"/>
      <c r="AA1568"/>
    </row>
    <row r="1569" spans="1:27" x14ac:dyDescent="0.45">
      <c r="A1569" s="57">
        <v>1431</v>
      </c>
      <c r="B1569" t="s">
        <v>2386</v>
      </c>
      <c r="C1569" t="s">
        <v>2387</v>
      </c>
      <c r="D1569" s="12">
        <v>46313</v>
      </c>
      <c r="E1569" s="11">
        <v>336</v>
      </c>
      <c r="F1569" s="11" t="s">
        <v>7492</v>
      </c>
      <c r="G1569">
        <v>20200801</v>
      </c>
      <c r="I1569" s="11" t="s">
        <v>18</v>
      </c>
      <c r="J1569" s="72">
        <v>40444948</v>
      </c>
      <c r="K1569" s="99">
        <f>_xlfn.XLOOKUP(_2__ROI_Daily_Update[[#This Row],[CSM id]],SHP!F:F,SHP!EE:EE,"-")</f>
        <v>0</v>
      </c>
      <c r="L1569" s="12"/>
      <c r="N1569" s="11"/>
      <c r="P1569"/>
      <c r="Q1569"/>
      <c r="W1569" s="28"/>
      <c r="AA1569"/>
    </row>
    <row r="1570" spans="1:27" x14ac:dyDescent="0.45">
      <c r="A1570" s="57">
        <v>632</v>
      </c>
      <c r="B1570" t="s">
        <v>479</v>
      </c>
      <c r="C1570" t="s">
        <v>480</v>
      </c>
      <c r="D1570" s="12">
        <v>46313</v>
      </c>
      <c r="E1570" s="11">
        <v>36</v>
      </c>
      <c r="F1570" s="11" t="s">
        <v>7440</v>
      </c>
      <c r="G1570">
        <v>20180201</v>
      </c>
      <c r="I1570" s="11" t="s">
        <v>63</v>
      </c>
      <c r="J1570" s="72">
        <v>349651</v>
      </c>
      <c r="K1570" s="99">
        <f>_xlfn.XLOOKUP(_2__ROI_Daily_Update[[#This Row],[CSM id]],SHP!F:F,SHP!EE:EE,"-")</f>
        <v>0</v>
      </c>
      <c r="L1570" s="12"/>
      <c r="N1570" s="11"/>
      <c r="P1570"/>
      <c r="Q1570"/>
      <c r="W1570" s="28"/>
      <c r="AA1570"/>
    </row>
    <row r="1571" spans="1:27" x14ac:dyDescent="0.45">
      <c r="A1571" s="57">
        <v>1813</v>
      </c>
      <c r="B1571" t="s">
        <v>3398</v>
      </c>
      <c r="C1571" t="s">
        <v>3399</v>
      </c>
      <c r="D1571" s="12">
        <v>46313</v>
      </c>
      <c r="E1571" s="11">
        <v>224</v>
      </c>
      <c r="F1571" s="11" t="s">
        <v>6946</v>
      </c>
      <c r="G1571">
        <v>20250401</v>
      </c>
      <c r="I1571" s="11" t="s">
        <v>63</v>
      </c>
      <c r="J1571" s="72">
        <v>40590765</v>
      </c>
      <c r="K1571" s="99">
        <f>_xlfn.XLOOKUP(_2__ROI_Daily_Update[[#This Row],[CSM id]],SHP!F:F,SHP!EE:EE,"-")</f>
        <v>0</v>
      </c>
      <c r="L1571" s="12"/>
      <c r="N1571" s="11"/>
      <c r="P1571"/>
      <c r="Q1571"/>
      <c r="W1571" s="28"/>
      <c r="AA1571"/>
    </row>
    <row r="1572" spans="1:27" x14ac:dyDescent="0.45">
      <c r="A1572" s="57">
        <v>632</v>
      </c>
      <c r="B1572" t="s">
        <v>538</v>
      </c>
      <c r="C1572" t="s">
        <v>539</v>
      </c>
      <c r="D1572" s="12">
        <v>46313</v>
      </c>
      <c r="E1572" s="11">
        <v>24</v>
      </c>
      <c r="F1572" s="11" t="s">
        <v>7400</v>
      </c>
      <c r="G1572">
        <v>20180201</v>
      </c>
      <c r="I1572" s="11" t="s">
        <v>63</v>
      </c>
      <c r="J1572" s="72">
        <v>342579</v>
      </c>
      <c r="K1572" s="99">
        <f>_xlfn.XLOOKUP(_2__ROI_Daily_Update[[#This Row],[CSM id]],SHP!F:F,SHP!EE:EE,"-")</f>
        <v>0</v>
      </c>
      <c r="L1572" s="12"/>
      <c r="N1572" s="11"/>
      <c r="P1572"/>
      <c r="Q1572"/>
      <c r="W1572" s="28"/>
      <c r="AA1572"/>
    </row>
    <row r="1573" spans="1:27" x14ac:dyDescent="0.45">
      <c r="A1573" s="57">
        <v>125</v>
      </c>
      <c r="B1573" t="s">
        <v>6751</v>
      </c>
      <c r="C1573" t="s">
        <v>6752</v>
      </c>
      <c r="D1573" s="12">
        <v>46313</v>
      </c>
      <c r="E1573" s="11">
        <v>8</v>
      </c>
      <c r="F1573" s="11" t="s">
        <v>7499</v>
      </c>
      <c r="G1573">
        <v>20260101</v>
      </c>
      <c r="I1573" s="11" t="s">
        <v>18</v>
      </c>
      <c r="J1573" s="72">
        <v>598216</v>
      </c>
      <c r="K1573" s="99">
        <f>_xlfn.XLOOKUP(_2__ROI_Daily_Update[[#This Row],[CSM id]],SHP!F:F,SHP!EE:EE,"-")</f>
        <v>0</v>
      </c>
      <c r="L1573" s="12"/>
      <c r="N1573" s="11"/>
      <c r="P1573"/>
      <c r="Q1573"/>
      <c r="W1573" s="28"/>
      <c r="AA1573"/>
    </row>
    <row r="1574" spans="1:27" x14ac:dyDescent="0.45">
      <c r="A1574" s="57">
        <v>1852</v>
      </c>
      <c r="B1574" t="s">
        <v>3674</v>
      </c>
      <c r="C1574" t="s">
        <v>3675</v>
      </c>
      <c r="D1574" s="12">
        <v>46313</v>
      </c>
      <c r="E1574" s="11">
        <v>40</v>
      </c>
      <c r="F1574" s="11" t="s">
        <v>7453</v>
      </c>
      <c r="G1574">
        <v>20250401</v>
      </c>
      <c r="I1574" s="11" t="s">
        <v>63</v>
      </c>
      <c r="J1574" s="72">
        <v>10601435</v>
      </c>
      <c r="K1574" s="99">
        <f>_xlfn.XLOOKUP(_2__ROI_Daily_Update[[#This Row],[CSM id]],SHP!F:F,SHP!EE:EE,"-")</f>
        <v>0</v>
      </c>
      <c r="L1574" s="12"/>
      <c r="N1574" s="11"/>
      <c r="P1574"/>
      <c r="Q1574"/>
      <c r="W1574" s="28"/>
      <c r="AA1574"/>
    </row>
    <row r="1575" spans="1:27" x14ac:dyDescent="0.45">
      <c r="A1575" s="57">
        <v>126</v>
      </c>
      <c r="B1575" t="s">
        <v>6481</v>
      </c>
      <c r="C1575" t="s">
        <v>6482</v>
      </c>
      <c r="D1575" s="12">
        <v>46313</v>
      </c>
      <c r="E1575" s="11">
        <v>8</v>
      </c>
      <c r="F1575" s="11" t="s">
        <v>7485</v>
      </c>
      <c r="G1575">
        <v>20261001</v>
      </c>
      <c r="I1575" s="11" t="s">
        <v>18</v>
      </c>
      <c r="J1575" s="72">
        <v>628949</v>
      </c>
      <c r="K1575" s="99">
        <f>_xlfn.XLOOKUP(_2__ROI_Daily_Update[[#This Row],[CSM id]],SHP!F:F,SHP!EE:EE,"-")</f>
        <v>0</v>
      </c>
      <c r="L1575" s="12"/>
      <c r="N1575" s="11"/>
      <c r="P1575"/>
      <c r="Q1575"/>
      <c r="W1575" s="28"/>
      <c r="AA1575"/>
    </row>
    <row r="1576" spans="1:27" x14ac:dyDescent="0.45">
      <c r="A1576" s="57">
        <v>131</v>
      </c>
      <c r="B1576" t="s">
        <v>7049</v>
      </c>
      <c r="C1576" t="s">
        <v>7050</v>
      </c>
      <c r="D1576" s="12">
        <v>46313</v>
      </c>
      <c r="E1576" s="11">
        <v>16</v>
      </c>
      <c r="F1576" s="11" t="s">
        <v>7480</v>
      </c>
      <c r="G1576">
        <v>20210701</v>
      </c>
      <c r="I1576" s="11" t="s">
        <v>63</v>
      </c>
      <c r="J1576" s="72">
        <v>80502941</v>
      </c>
      <c r="K1576" s="99">
        <f>_xlfn.XLOOKUP(_2__ROI_Daily_Update[[#This Row],[CSM id]],SHP!F:F,SHP!EE:EE,"-")</f>
        <v>0</v>
      </c>
      <c r="L1576" s="12"/>
      <c r="N1576" s="11"/>
      <c r="P1576"/>
      <c r="Q1576"/>
      <c r="W1576" s="28"/>
      <c r="AA1576"/>
    </row>
    <row r="1577" spans="1:27" x14ac:dyDescent="0.45">
      <c r="A1577" s="57">
        <v>211</v>
      </c>
      <c r="B1577" t="s">
        <v>6566</v>
      </c>
      <c r="C1577" t="s">
        <v>6567</v>
      </c>
      <c r="D1577" s="12">
        <v>46313</v>
      </c>
      <c r="E1577" s="11">
        <v>560</v>
      </c>
      <c r="F1577" s="11" t="s">
        <v>7458</v>
      </c>
      <c r="G1577">
        <v>20170201</v>
      </c>
      <c r="I1577" s="11" t="s">
        <v>63</v>
      </c>
      <c r="J1577" s="72">
        <v>60340049</v>
      </c>
      <c r="K1577" s="99">
        <f>_xlfn.XLOOKUP(_2__ROI_Daily_Update[[#This Row],[CSM id]],SHP!F:F,SHP!EE:EE,"-")</f>
        <v>0</v>
      </c>
      <c r="L1577" s="12"/>
      <c r="N1577" s="11"/>
      <c r="P1577"/>
      <c r="Q1577"/>
      <c r="W1577" s="28"/>
      <c r="AA1577"/>
    </row>
    <row r="1578" spans="1:27" x14ac:dyDescent="0.45">
      <c r="A1578" s="57">
        <v>1813</v>
      </c>
      <c r="B1578" t="s">
        <v>3400</v>
      </c>
      <c r="C1578" t="s">
        <v>3401</v>
      </c>
      <c r="D1578" s="12">
        <v>46313</v>
      </c>
      <c r="E1578" s="11">
        <v>22</v>
      </c>
      <c r="F1578" s="11" t="s">
        <v>7453</v>
      </c>
      <c r="G1578">
        <v>20251001</v>
      </c>
      <c r="I1578" s="11" t="s">
        <v>63</v>
      </c>
      <c r="J1578" s="72">
        <v>40596951</v>
      </c>
      <c r="K1578" s="99">
        <f>_xlfn.XLOOKUP(_2__ROI_Daily_Update[[#This Row],[CSM id]],SHP!F:F,SHP!EE:EE,"-")</f>
        <v>0</v>
      </c>
      <c r="L1578" s="12"/>
      <c r="N1578" s="11"/>
      <c r="P1578"/>
      <c r="Q1578"/>
      <c r="W1578" s="28"/>
      <c r="AA1578"/>
    </row>
    <row r="1579" spans="1:27" x14ac:dyDescent="0.45">
      <c r="A1579" s="57">
        <v>1852</v>
      </c>
      <c r="B1579" t="s">
        <v>3672</v>
      </c>
      <c r="C1579" t="s">
        <v>3673</v>
      </c>
      <c r="D1579" s="12">
        <v>46313</v>
      </c>
      <c r="E1579" s="11">
        <v>12</v>
      </c>
      <c r="F1579" s="11" t="s">
        <v>7440</v>
      </c>
      <c r="G1579">
        <v>20260101</v>
      </c>
      <c r="I1579" s="11" t="s">
        <v>63</v>
      </c>
      <c r="J1579" s="72">
        <v>595393</v>
      </c>
      <c r="K1579" s="99">
        <f>_xlfn.XLOOKUP(_2__ROI_Daily_Update[[#This Row],[CSM id]],SHP!F:F,SHP!EE:EE,"-")</f>
        <v>0</v>
      </c>
      <c r="L1579" s="12"/>
      <c r="N1579" s="11"/>
      <c r="P1579"/>
      <c r="Q1579"/>
      <c r="W1579" s="28"/>
      <c r="AA1579"/>
    </row>
    <row r="1580" spans="1:27" x14ac:dyDescent="0.45">
      <c r="A1580" s="57">
        <v>1852</v>
      </c>
      <c r="B1580" t="s">
        <v>3672</v>
      </c>
      <c r="C1580" t="s">
        <v>3673</v>
      </c>
      <c r="D1580" s="12">
        <v>46313</v>
      </c>
      <c r="E1580" s="11">
        <v>12</v>
      </c>
      <c r="F1580" s="11" t="s">
        <v>7400</v>
      </c>
      <c r="G1580">
        <v>20260101</v>
      </c>
      <c r="I1580" s="11" t="s">
        <v>63</v>
      </c>
      <c r="J1580" s="72">
        <v>595393</v>
      </c>
      <c r="K1580" s="99">
        <f>_xlfn.XLOOKUP(_2__ROI_Daily_Update[[#This Row],[CSM id]],SHP!F:F,SHP!EE:EE,"-")</f>
        <v>0</v>
      </c>
      <c r="L1580" s="12"/>
      <c r="N1580" s="11"/>
      <c r="P1580"/>
      <c r="Q1580"/>
      <c r="W1580" s="28"/>
      <c r="AA1580"/>
    </row>
    <row r="1581" spans="1:27" x14ac:dyDescent="0.45">
      <c r="A1581" s="57">
        <v>1813</v>
      </c>
      <c r="B1581" t="s">
        <v>3408</v>
      </c>
      <c r="C1581" t="s">
        <v>3409</v>
      </c>
      <c r="D1581" s="12">
        <v>46313</v>
      </c>
      <c r="E1581" s="11">
        <v>81</v>
      </c>
      <c r="F1581" s="11" t="s">
        <v>7480</v>
      </c>
      <c r="G1581">
        <v>20221001</v>
      </c>
      <c r="I1581" s="11" t="s">
        <v>63</v>
      </c>
      <c r="J1581" s="72">
        <v>50534420</v>
      </c>
      <c r="K1581" s="99">
        <f>_xlfn.XLOOKUP(_2__ROI_Daily_Update[[#This Row],[CSM id]],SHP!F:F,SHP!EE:EE,"-")</f>
        <v>0</v>
      </c>
      <c r="L1581" s="12"/>
      <c r="N1581" s="11"/>
      <c r="P1581"/>
      <c r="Q1581"/>
      <c r="W1581" s="28"/>
      <c r="AA1581"/>
    </row>
    <row r="1582" spans="1:27" x14ac:dyDescent="0.45">
      <c r="A1582" s="57">
        <v>361</v>
      </c>
      <c r="B1582" t="s">
        <v>7013</v>
      </c>
      <c r="C1582" t="s">
        <v>7014</v>
      </c>
      <c r="D1582" s="12">
        <v>46313</v>
      </c>
      <c r="E1582" s="11">
        <v>20</v>
      </c>
      <c r="F1582" s="11" t="s">
        <v>7480</v>
      </c>
      <c r="G1582">
        <v>20181001</v>
      </c>
      <c r="I1582" s="11" t="s">
        <v>63</v>
      </c>
      <c r="J1582" s="72">
        <v>90388394</v>
      </c>
      <c r="K1582" s="99">
        <f>_xlfn.XLOOKUP(_2__ROI_Daily_Update[[#This Row],[CSM id]],SHP!F:F,SHP!EE:EE,"-")</f>
        <v>0</v>
      </c>
      <c r="L1582" s="12"/>
      <c r="N1582" s="11"/>
      <c r="P1582"/>
      <c r="Q1582"/>
      <c r="W1582" s="28"/>
      <c r="AA1582"/>
    </row>
    <row r="1583" spans="1:27" x14ac:dyDescent="0.45">
      <c r="A1583" s="57">
        <v>361</v>
      </c>
      <c r="B1583" t="s">
        <v>6969</v>
      </c>
      <c r="C1583" t="s">
        <v>6970</v>
      </c>
      <c r="D1583" s="12">
        <v>46313</v>
      </c>
      <c r="E1583" s="11">
        <v>72</v>
      </c>
      <c r="F1583" s="11" t="s">
        <v>7499</v>
      </c>
      <c r="G1583">
        <v>20210201</v>
      </c>
      <c r="I1583" s="11" t="s">
        <v>18</v>
      </c>
      <c r="J1583" s="72">
        <v>80474783</v>
      </c>
      <c r="K1583" s="99">
        <f>_xlfn.XLOOKUP(_2__ROI_Daily_Update[[#This Row],[CSM id]],SHP!F:F,SHP!EE:EE,"-")</f>
        <v>0</v>
      </c>
      <c r="L1583" s="12"/>
      <c r="N1583" s="11"/>
      <c r="P1583"/>
      <c r="Q1583"/>
      <c r="W1583" s="28"/>
      <c r="AA1583"/>
    </row>
    <row r="1584" spans="1:27" x14ac:dyDescent="0.45">
      <c r="A1584" s="57">
        <v>361</v>
      </c>
      <c r="B1584" t="s">
        <v>6887</v>
      </c>
      <c r="C1584" t="s">
        <v>6888</v>
      </c>
      <c r="D1584" s="12">
        <v>46313</v>
      </c>
      <c r="E1584" s="11">
        <v>240</v>
      </c>
      <c r="F1584" s="11" t="s">
        <v>7463</v>
      </c>
      <c r="G1584">
        <v>20260401</v>
      </c>
      <c r="I1584" s="11" t="s">
        <v>63</v>
      </c>
      <c r="J1584" s="72">
        <v>20597485</v>
      </c>
      <c r="K1584" s="99">
        <f>_xlfn.XLOOKUP(_2__ROI_Daily_Update[[#This Row],[CSM id]],SHP!F:F,SHP!EE:EE,"-")</f>
        <v>0</v>
      </c>
      <c r="L1584" s="12"/>
      <c r="N1584" s="11"/>
      <c r="P1584"/>
      <c r="Q1584"/>
      <c r="W1584" s="28"/>
      <c r="AA1584"/>
    </row>
    <row r="1585" spans="1:27" x14ac:dyDescent="0.45">
      <c r="A1585" s="57">
        <v>1813</v>
      </c>
      <c r="B1585" t="s">
        <v>5560</v>
      </c>
      <c r="C1585" t="s">
        <v>5561</v>
      </c>
      <c r="D1585" s="12">
        <v>46313</v>
      </c>
      <c r="E1585" s="11">
        <v>924</v>
      </c>
      <c r="F1585" s="11" t="s">
        <v>7440</v>
      </c>
      <c r="G1585">
        <v>20220101</v>
      </c>
      <c r="I1585" s="11" t="s">
        <v>63</v>
      </c>
      <c r="J1585" s="72">
        <v>60503885</v>
      </c>
      <c r="K1585" s="99">
        <f>_xlfn.XLOOKUP(_2__ROI_Daily_Update[[#This Row],[CSM id]],SHP!F:F,SHP!EE:EE,"-")</f>
        <v>0</v>
      </c>
      <c r="L1585" s="12"/>
      <c r="N1585" s="11"/>
      <c r="P1585"/>
      <c r="Q1585"/>
      <c r="W1585" s="28"/>
      <c r="AA1585"/>
    </row>
    <row r="1586" spans="1:27" x14ac:dyDescent="0.45">
      <c r="A1586" s="57">
        <v>1836</v>
      </c>
      <c r="B1586" t="s">
        <v>3666</v>
      </c>
      <c r="C1586" t="s">
        <v>3667</v>
      </c>
      <c r="D1586" s="12">
        <v>46313</v>
      </c>
      <c r="E1586" s="11">
        <v>65</v>
      </c>
      <c r="F1586" s="11" t="s">
        <v>7458</v>
      </c>
      <c r="G1586">
        <v>20211001</v>
      </c>
      <c r="H1586" s="12">
        <v>46388</v>
      </c>
      <c r="I1586" s="11" t="s">
        <v>63</v>
      </c>
      <c r="J1586" s="72">
        <v>90504195</v>
      </c>
      <c r="K1586" s="99">
        <f>_xlfn.XLOOKUP(_2__ROI_Daily_Update[[#This Row],[CSM id]],SHP!F:F,SHP!EE:EE,"-")</f>
        <v>0</v>
      </c>
      <c r="L1586" s="12"/>
      <c r="N1586" s="11"/>
      <c r="P1586"/>
      <c r="Q1586"/>
      <c r="W1586" s="28"/>
      <c r="AA1586"/>
    </row>
    <row r="1587" spans="1:27" x14ac:dyDescent="0.45">
      <c r="A1587" s="57">
        <v>1836</v>
      </c>
      <c r="B1587" t="s">
        <v>6373</v>
      </c>
      <c r="C1587" t="s">
        <v>6374</v>
      </c>
      <c r="D1587" s="12">
        <v>46313</v>
      </c>
      <c r="E1587" s="11">
        <v>180</v>
      </c>
      <c r="F1587" s="11" t="s">
        <v>7453</v>
      </c>
      <c r="G1587">
        <v>20260701</v>
      </c>
      <c r="H1587" s="12">
        <v>46569</v>
      </c>
      <c r="I1587" s="11" t="s">
        <v>63</v>
      </c>
      <c r="J1587" s="72">
        <v>90641159</v>
      </c>
      <c r="K1587" s="99">
        <f>_xlfn.XLOOKUP(_2__ROI_Daily_Update[[#This Row],[CSM id]],SHP!F:F,SHP!EE:EE,"-")</f>
        <v>0</v>
      </c>
      <c r="L1587" s="12"/>
      <c r="N1587" s="11"/>
      <c r="P1587"/>
      <c r="Q1587"/>
      <c r="W1587" s="28"/>
      <c r="AA1587"/>
    </row>
    <row r="1588" spans="1:27" x14ac:dyDescent="0.45">
      <c r="A1588" s="57">
        <v>632</v>
      </c>
      <c r="B1588" t="s">
        <v>475</v>
      </c>
      <c r="C1588" t="s">
        <v>476</v>
      </c>
      <c r="D1588" s="12">
        <v>46313</v>
      </c>
      <c r="E1588" s="11">
        <v>76</v>
      </c>
      <c r="F1588" s="11" t="s">
        <v>7430</v>
      </c>
      <c r="G1588">
        <v>20180201</v>
      </c>
      <c r="I1588" s="11" t="s">
        <v>63</v>
      </c>
      <c r="J1588" s="72">
        <v>20342597</v>
      </c>
      <c r="K1588" s="99">
        <f>_xlfn.XLOOKUP(_2__ROI_Daily_Update[[#This Row],[CSM id]],SHP!F:F,SHP!EE:EE,"-")</f>
        <v>0</v>
      </c>
      <c r="L1588" s="12"/>
      <c r="N1588" s="11"/>
      <c r="P1588"/>
      <c r="Q1588"/>
      <c r="W1588" s="28"/>
      <c r="AA1588"/>
    </row>
    <row r="1589" spans="1:27" x14ac:dyDescent="0.45">
      <c r="A1589" s="57">
        <v>351</v>
      </c>
      <c r="B1589" t="s">
        <v>7017</v>
      </c>
      <c r="C1589" t="s">
        <v>7018</v>
      </c>
      <c r="D1589" s="12">
        <v>46313</v>
      </c>
      <c r="E1589" s="11">
        <v>35</v>
      </c>
      <c r="F1589" s="11" t="s">
        <v>7480</v>
      </c>
      <c r="G1589">
        <v>20260701</v>
      </c>
      <c r="I1589" s="11" t="s">
        <v>63</v>
      </c>
      <c r="J1589" s="72">
        <v>20613447</v>
      </c>
      <c r="K1589" s="99">
        <f>_xlfn.XLOOKUP(_2__ROI_Daily_Update[[#This Row],[CSM id]],SHP!F:F,SHP!EE:EE,"-")</f>
        <v>0</v>
      </c>
      <c r="L1589" s="12"/>
      <c r="N1589" s="11"/>
      <c r="P1589"/>
      <c r="Q1589"/>
      <c r="W1589" s="28"/>
      <c r="AA1589"/>
    </row>
    <row r="1590" spans="1:27" x14ac:dyDescent="0.45">
      <c r="A1590" s="57">
        <v>342</v>
      </c>
      <c r="B1590" t="s">
        <v>378</v>
      </c>
      <c r="C1590" t="s">
        <v>379</v>
      </c>
      <c r="D1590" s="12">
        <v>46313</v>
      </c>
      <c r="E1590" s="11">
        <v>10</v>
      </c>
      <c r="F1590" s="11" t="s">
        <v>7480</v>
      </c>
      <c r="G1590">
        <v>20250101</v>
      </c>
      <c r="I1590" s="11" t="s">
        <v>63</v>
      </c>
      <c r="J1590" s="72">
        <v>60573270</v>
      </c>
      <c r="K1590" s="99">
        <f>_xlfn.XLOOKUP(_2__ROI_Daily_Update[[#This Row],[CSM id]],SHP!F:F,SHP!EE:EE,"-")</f>
        <v>0</v>
      </c>
      <c r="L1590" s="12"/>
      <c r="N1590" s="11"/>
      <c r="P1590"/>
      <c r="Q1590"/>
      <c r="W1590" s="28"/>
      <c r="AA1590"/>
    </row>
    <row r="1591" spans="1:27" x14ac:dyDescent="0.45">
      <c r="A1591" s="57">
        <v>1813</v>
      </c>
      <c r="B1591" t="s">
        <v>5560</v>
      </c>
      <c r="C1591" t="s">
        <v>5561</v>
      </c>
      <c r="D1591" s="12">
        <v>46313</v>
      </c>
      <c r="E1591" s="11">
        <v>462</v>
      </c>
      <c r="F1591" s="11" t="s">
        <v>7410</v>
      </c>
      <c r="G1591">
        <v>20220101</v>
      </c>
      <c r="I1591" s="11" t="s">
        <v>63</v>
      </c>
      <c r="J1591" s="72">
        <v>60503885</v>
      </c>
      <c r="K1591" s="99">
        <f>_xlfn.XLOOKUP(_2__ROI_Daily_Update[[#This Row],[CSM id]],SHP!F:F,SHP!EE:EE,"-")</f>
        <v>0</v>
      </c>
      <c r="L1591" s="12"/>
      <c r="N1591" s="11"/>
      <c r="P1591"/>
      <c r="Q1591"/>
      <c r="W1591" s="28"/>
      <c r="AA1591"/>
    </row>
    <row r="1592" spans="1:27" x14ac:dyDescent="0.45">
      <c r="A1592" s="57">
        <v>1415</v>
      </c>
      <c r="B1592" t="s">
        <v>2192</v>
      </c>
      <c r="C1592" t="s">
        <v>2193</v>
      </c>
      <c r="D1592" s="12">
        <v>46313</v>
      </c>
      <c r="E1592" s="11">
        <v>420</v>
      </c>
      <c r="F1592" s="11" t="s">
        <v>7395</v>
      </c>
      <c r="G1592">
        <v>20201001</v>
      </c>
      <c r="I1592" s="11" t="s">
        <v>63</v>
      </c>
      <c r="J1592" s="72">
        <v>80476348</v>
      </c>
      <c r="K1592" s="99">
        <f>_xlfn.XLOOKUP(_2__ROI_Daily_Update[[#This Row],[CSM id]],SHP!F:F,SHP!EE:EE,"-")</f>
        <v>0</v>
      </c>
      <c r="L1592" s="12"/>
      <c r="N1592" s="11"/>
      <c r="P1592"/>
      <c r="Q1592"/>
      <c r="W1592" s="28"/>
      <c r="AA1592"/>
    </row>
    <row r="1593" spans="1:27" x14ac:dyDescent="0.45">
      <c r="A1593" s="57">
        <v>216</v>
      </c>
      <c r="B1593" t="s">
        <v>7057</v>
      </c>
      <c r="C1593" t="s">
        <v>7058</v>
      </c>
      <c r="D1593" s="12">
        <v>46313</v>
      </c>
      <c r="E1593" s="11">
        <v>504</v>
      </c>
      <c r="F1593" s="11" t="s">
        <v>7480</v>
      </c>
      <c r="G1593">
        <v>20200401</v>
      </c>
      <c r="I1593" s="11" t="s">
        <v>63</v>
      </c>
      <c r="J1593" s="72">
        <v>70450240</v>
      </c>
      <c r="K1593" s="99">
        <f>_xlfn.XLOOKUP(_2__ROI_Daily_Update[[#This Row],[CSM id]],SHP!F:F,SHP!EE:EE,"-")</f>
        <v>0</v>
      </c>
      <c r="L1593" s="12"/>
      <c r="N1593" s="11"/>
      <c r="P1593"/>
      <c r="Q1593"/>
      <c r="W1593" s="28"/>
      <c r="AA1593"/>
    </row>
    <row r="1594" spans="1:27" x14ac:dyDescent="0.45">
      <c r="A1594" s="57">
        <v>1813</v>
      </c>
      <c r="B1594" t="s">
        <v>3412</v>
      </c>
      <c r="C1594" t="s">
        <v>3413</v>
      </c>
      <c r="D1594" s="12">
        <v>46313</v>
      </c>
      <c r="E1594" s="11">
        <v>8</v>
      </c>
      <c r="F1594" s="11" t="s">
        <v>7410</v>
      </c>
      <c r="G1594">
        <v>20250701</v>
      </c>
      <c r="I1594" s="11" t="s">
        <v>63</v>
      </c>
      <c r="J1594" s="72">
        <v>50596917</v>
      </c>
      <c r="K1594" s="99">
        <f>_xlfn.XLOOKUP(_2__ROI_Daily_Update[[#This Row],[CSM id]],SHP!F:F,SHP!EE:EE,"-")</f>
        <v>0</v>
      </c>
      <c r="L1594" s="12"/>
      <c r="N1594" s="11"/>
      <c r="P1594"/>
      <c r="Q1594"/>
      <c r="W1594" s="28"/>
      <c r="AA1594"/>
    </row>
    <row r="1595" spans="1:27" x14ac:dyDescent="0.45">
      <c r="A1595" s="57">
        <v>1813</v>
      </c>
      <c r="B1595" t="s">
        <v>3410</v>
      </c>
      <c r="C1595" t="s">
        <v>3411</v>
      </c>
      <c r="D1595" s="12">
        <v>46313</v>
      </c>
      <c r="E1595" s="11">
        <v>180</v>
      </c>
      <c r="F1595" s="11" t="s">
        <v>7420</v>
      </c>
      <c r="G1595">
        <v>20221001</v>
      </c>
      <c r="I1595" s="11" t="s">
        <v>63</v>
      </c>
      <c r="J1595" s="72">
        <v>50536160</v>
      </c>
      <c r="K1595" s="99">
        <f>_xlfn.XLOOKUP(_2__ROI_Daily_Update[[#This Row],[CSM id]],SHP!F:F,SHP!EE:EE,"-")</f>
        <v>0</v>
      </c>
      <c r="L1595" s="12"/>
      <c r="N1595" s="11"/>
      <c r="P1595"/>
      <c r="Q1595"/>
      <c r="W1595" s="28"/>
      <c r="AA1595"/>
    </row>
    <row r="1596" spans="1:27" x14ac:dyDescent="0.45">
      <c r="A1596" s="57">
        <v>1813</v>
      </c>
      <c r="B1596" t="s">
        <v>5560</v>
      </c>
      <c r="C1596" t="s">
        <v>5561</v>
      </c>
      <c r="D1596" s="12">
        <v>46313</v>
      </c>
      <c r="E1596" s="11">
        <v>1386</v>
      </c>
      <c r="F1596" s="11" t="s">
        <v>6946</v>
      </c>
      <c r="G1596">
        <v>20220101</v>
      </c>
      <c r="I1596" s="11" t="s">
        <v>63</v>
      </c>
      <c r="J1596" s="72">
        <v>60503885</v>
      </c>
      <c r="K1596" s="99">
        <f>_xlfn.XLOOKUP(_2__ROI_Daily_Update[[#This Row],[CSM id]],SHP!F:F,SHP!EE:EE,"-")</f>
        <v>0</v>
      </c>
      <c r="L1596" s="12"/>
      <c r="N1596" s="11"/>
      <c r="P1596"/>
      <c r="Q1596"/>
      <c r="W1596" s="28"/>
      <c r="AA1596"/>
    </row>
    <row r="1597" spans="1:27" x14ac:dyDescent="0.45">
      <c r="A1597" s="57">
        <v>1813</v>
      </c>
      <c r="B1597" t="s">
        <v>3396</v>
      </c>
      <c r="C1597" t="s">
        <v>3397</v>
      </c>
      <c r="D1597" s="12">
        <v>46313</v>
      </c>
      <c r="E1597" s="11">
        <v>16</v>
      </c>
      <c r="F1597" s="11" t="s">
        <v>7453</v>
      </c>
      <c r="G1597">
        <v>20260701</v>
      </c>
      <c r="I1597" s="11" t="s">
        <v>63</v>
      </c>
      <c r="J1597" s="72">
        <v>40521927</v>
      </c>
      <c r="K1597" s="99">
        <f>_xlfn.XLOOKUP(_2__ROI_Daily_Update[[#This Row],[CSM id]],SHP!F:F,SHP!EE:EE,"-")</f>
        <v>0</v>
      </c>
      <c r="L1597" s="12"/>
      <c r="N1597" s="11"/>
      <c r="P1597"/>
      <c r="Q1597"/>
      <c r="W1597" s="28"/>
      <c r="AA1597"/>
    </row>
    <row r="1598" spans="1:27" x14ac:dyDescent="0.45">
      <c r="A1598" s="57">
        <v>632</v>
      </c>
      <c r="B1598" t="s">
        <v>6433</v>
      </c>
      <c r="C1598" t="s">
        <v>6434</v>
      </c>
      <c r="D1598" s="12">
        <v>46313</v>
      </c>
      <c r="E1598" s="11">
        <v>160</v>
      </c>
      <c r="F1598" s="11" t="s">
        <v>7453</v>
      </c>
      <c r="G1598">
        <v>20180201</v>
      </c>
      <c r="I1598" s="11" t="s">
        <v>63</v>
      </c>
      <c r="J1598" s="72">
        <v>90342551</v>
      </c>
      <c r="K1598" s="99">
        <f>_xlfn.XLOOKUP(_2__ROI_Daily_Update[[#This Row],[CSM id]],SHP!F:F,SHP!EE:EE,"-")</f>
        <v>0</v>
      </c>
      <c r="L1598" s="12"/>
      <c r="N1598" s="11"/>
      <c r="P1598"/>
      <c r="Q1598"/>
      <c r="W1598" s="28"/>
      <c r="AA1598"/>
    </row>
    <row r="1599" spans="1:27" x14ac:dyDescent="0.45">
      <c r="A1599" s="57">
        <v>1813</v>
      </c>
      <c r="B1599" t="s">
        <v>3396</v>
      </c>
      <c r="C1599" t="s">
        <v>3397</v>
      </c>
      <c r="D1599" s="12">
        <v>46313</v>
      </c>
      <c r="E1599" s="11">
        <v>16</v>
      </c>
      <c r="F1599" s="11" t="s">
        <v>7410</v>
      </c>
      <c r="G1599">
        <v>20260701</v>
      </c>
      <c r="I1599" s="11" t="s">
        <v>63</v>
      </c>
      <c r="J1599" s="72">
        <v>40521927</v>
      </c>
      <c r="K1599" s="99">
        <f>_xlfn.XLOOKUP(_2__ROI_Daily_Update[[#This Row],[CSM id]],SHP!F:F,SHP!EE:EE,"-")</f>
        <v>0</v>
      </c>
      <c r="L1599" s="12"/>
      <c r="N1599" s="11"/>
      <c r="P1599"/>
      <c r="Q1599"/>
      <c r="W1599" s="28"/>
      <c r="AA1599"/>
    </row>
    <row r="1600" spans="1:27" x14ac:dyDescent="0.45">
      <c r="A1600" s="57">
        <v>1431</v>
      </c>
      <c r="B1600" t="s">
        <v>5568</v>
      </c>
      <c r="C1600" t="s">
        <v>5569</v>
      </c>
      <c r="D1600" s="12">
        <v>46313</v>
      </c>
      <c r="E1600" s="11">
        <v>216</v>
      </c>
      <c r="F1600" s="11" t="s">
        <v>7410</v>
      </c>
      <c r="G1600">
        <v>20250401</v>
      </c>
      <c r="I1600" s="11" t="s">
        <v>63</v>
      </c>
      <c r="J1600" s="72">
        <v>60607326</v>
      </c>
      <c r="K1600" s="99">
        <f>_xlfn.XLOOKUP(_2__ROI_Daily_Update[[#This Row],[CSM id]],SHP!F:F,SHP!EE:EE,"-")</f>
        <v>0</v>
      </c>
      <c r="L1600" s="12"/>
      <c r="N1600" s="11"/>
      <c r="P1600"/>
      <c r="Q1600"/>
      <c r="W1600" s="28"/>
      <c r="AA1600"/>
    </row>
    <row r="1601" spans="1:27" x14ac:dyDescent="0.45">
      <c r="A1601" s="57">
        <v>1431</v>
      </c>
      <c r="B1601" t="s">
        <v>2414</v>
      </c>
      <c r="C1601" t="s">
        <v>2415</v>
      </c>
      <c r="D1601" s="12">
        <v>46313</v>
      </c>
      <c r="E1601" s="11">
        <v>960</v>
      </c>
      <c r="F1601" s="11" t="s">
        <v>7430</v>
      </c>
      <c r="G1601">
        <v>20251001</v>
      </c>
      <c r="I1601" s="11" t="s">
        <v>63</v>
      </c>
      <c r="J1601" s="72">
        <v>60613209</v>
      </c>
      <c r="K1601" s="99">
        <f>_xlfn.XLOOKUP(_2__ROI_Daily_Update[[#This Row],[CSM id]],SHP!F:F,SHP!EE:EE,"-")</f>
        <v>0</v>
      </c>
      <c r="L1601" s="12"/>
      <c r="N1601" s="11"/>
      <c r="P1601"/>
      <c r="Q1601"/>
      <c r="W1601" s="28"/>
      <c r="AA1601"/>
    </row>
    <row r="1602" spans="1:27" x14ac:dyDescent="0.45">
      <c r="A1602" s="57">
        <v>623</v>
      </c>
      <c r="B1602" t="s">
        <v>6255</v>
      </c>
      <c r="C1602" t="s">
        <v>6256</v>
      </c>
      <c r="D1602" s="12">
        <v>46313</v>
      </c>
      <c r="E1602" s="11">
        <v>36</v>
      </c>
      <c r="F1602" s="11" t="s">
        <v>7440</v>
      </c>
      <c r="G1602">
        <v>20260401</v>
      </c>
      <c r="H1602" s="12">
        <v>46569</v>
      </c>
      <c r="I1602" s="11" t="s">
        <v>63</v>
      </c>
      <c r="J1602" s="72">
        <v>80618244</v>
      </c>
      <c r="K1602" s="99">
        <f>_xlfn.XLOOKUP(_2__ROI_Daily_Update[[#This Row],[CSM id]],SHP!F:F,SHP!EE:EE,"-")</f>
        <v>0</v>
      </c>
      <c r="L1602" s="12"/>
      <c r="N1602" s="11"/>
      <c r="P1602"/>
      <c r="Q1602"/>
      <c r="W1602" s="28"/>
      <c r="AA1602"/>
    </row>
    <row r="1603" spans="1:27" x14ac:dyDescent="0.45">
      <c r="A1603" s="57">
        <v>623</v>
      </c>
      <c r="B1603" t="s">
        <v>5158</v>
      </c>
      <c r="C1603" t="s">
        <v>5159</v>
      </c>
      <c r="D1603" s="12">
        <v>46313</v>
      </c>
      <c r="E1603" s="11">
        <v>12</v>
      </c>
      <c r="F1603" s="11" t="s">
        <v>7430</v>
      </c>
      <c r="G1603">
        <v>20260401</v>
      </c>
      <c r="H1603" s="12">
        <v>46569</v>
      </c>
      <c r="I1603" s="11" t="s">
        <v>63</v>
      </c>
      <c r="J1603" s="72">
        <v>20618242</v>
      </c>
      <c r="K1603" s="99">
        <f>_xlfn.XLOOKUP(_2__ROI_Daily_Update[[#This Row],[CSM id]],SHP!F:F,SHP!EE:EE,"-")</f>
        <v>0</v>
      </c>
      <c r="L1603" s="12"/>
      <c r="N1603" s="11"/>
      <c r="P1603"/>
      <c r="Q1603"/>
      <c r="W1603" s="28"/>
      <c r="AA1603"/>
    </row>
    <row r="1604" spans="1:27" x14ac:dyDescent="0.45">
      <c r="A1604" s="57">
        <v>623</v>
      </c>
      <c r="B1604" t="s">
        <v>485</v>
      </c>
      <c r="C1604" t="s">
        <v>486</v>
      </c>
      <c r="D1604" s="12">
        <v>46313</v>
      </c>
      <c r="E1604" s="11">
        <v>48</v>
      </c>
      <c r="F1604" s="11" t="s">
        <v>7430</v>
      </c>
      <c r="G1604">
        <v>20210201</v>
      </c>
      <c r="I1604" s="11" t="s">
        <v>63</v>
      </c>
      <c r="J1604" s="72">
        <v>70493008</v>
      </c>
      <c r="K1604" s="99">
        <f>_xlfn.XLOOKUP(_2__ROI_Daily_Update[[#This Row],[CSM id]],SHP!F:F,SHP!EE:EE,"-")</f>
        <v>0</v>
      </c>
      <c r="L1604" s="12"/>
      <c r="N1604" s="11"/>
      <c r="P1604"/>
      <c r="Q1604"/>
      <c r="W1604" s="28"/>
      <c r="AA1604"/>
    </row>
    <row r="1605" spans="1:27" x14ac:dyDescent="0.45">
      <c r="A1605" s="57">
        <v>1813</v>
      </c>
      <c r="B1605" t="s">
        <v>3380</v>
      </c>
      <c r="C1605" t="s">
        <v>3381</v>
      </c>
      <c r="D1605" s="12">
        <v>46313</v>
      </c>
      <c r="E1605" s="11">
        <v>24</v>
      </c>
      <c r="F1605" s="11" t="s">
        <v>7463</v>
      </c>
      <c r="G1605">
        <v>20250701</v>
      </c>
      <c r="I1605" s="11" t="s">
        <v>63</v>
      </c>
      <c r="J1605" s="72">
        <v>10596919</v>
      </c>
      <c r="K1605" s="99">
        <f>_xlfn.XLOOKUP(_2__ROI_Daily_Update[[#This Row],[CSM id]],SHP!F:F,SHP!EE:EE,"-")</f>
        <v>0</v>
      </c>
      <c r="L1605" s="12"/>
      <c r="N1605" s="11"/>
      <c r="P1605"/>
      <c r="Q1605"/>
      <c r="W1605" s="28"/>
      <c r="AA1605"/>
    </row>
    <row r="1606" spans="1:27" x14ac:dyDescent="0.45">
      <c r="A1606" s="57">
        <v>1813</v>
      </c>
      <c r="B1606" t="s">
        <v>3382</v>
      </c>
      <c r="C1606" t="s">
        <v>3383</v>
      </c>
      <c r="D1606" s="12">
        <v>46313</v>
      </c>
      <c r="E1606" s="11">
        <v>44</v>
      </c>
      <c r="F1606" s="11" t="s">
        <v>7430</v>
      </c>
      <c r="G1606">
        <v>20250701</v>
      </c>
      <c r="I1606" s="11" t="s">
        <v>63</v>
      </c>
      <c r="J1606" s="72">
        <v>20596914</v>
      </c>
      <c r="K1606" s="99">
        <f>_xlfn.XLOOKUP(_2__ROI_Daily_Update[[#This Row],[CSM id]],SHP!F:F,SHP!EE:EE,"-")</f>
        <v>0</v>
      </c>
      <c r="L1606" s="12"/>
      <c r="N1606" s="11"/>
      <c r="P1606"/>
      <c r="Q1606"/>
      <c r="W1606" s="28"/>
      <c r="AA1606"/>
    </row>
    <row r="1607" spans="1:27" x14ac:dyDescent="0.45">
      <c r="A1607" s="57">
        <v>623</v>
      </c>
      <c r="B1607" t="s">
        <v>532</v>
      </c>
      <c r="C1607" t="s">
        <v>533</v>
      </c>
      <c r="D1607" s="12">
        <v>46313</v>
      </c>
      <c r="E1607" s="11">
        <v>36</v>
      </c>
      <c r="F1607" s="11" t="s">
        <v>7480</v>
      </c>
      <c r="G1607">
        <v>20260401</v>
      </c>
      <c r="I1607" s="11" t="s">
        <v>63</v>
      </c>
      <c r="J1607" s="72">
        <v>20623494</v>
      </c>
      <c r="K1607" s="99">
        <f>_xlfn.XLOOKUP(_2__ROI_Daily_Update[[#This Row],[CSM id]],SHP!F:F,SHP!EE:EE,"-")</f>
        <v>0</v>
      </c>
      <c r="L1607" s="12"/>
      <c r="N1607" s="11"/>
      <c r="P1607"/>
      <c r="Q1607"/>
      <c r="W1607" s="28"/>
      <c r="AA1607"/>
    </row>
    <row r="1608" spans="1:27" x14ac:dyDescent="0.45">
      <c r="A1608" s="57">
        <v>1431</v>
      </c>
      <c r="B1608" t="s">
        <v>5430</v>
      </c>
      <c r="C1608" t="s">
        <v>5431</v>
      </c>
      <c r="D1608" s="12">
        <v>46313</v>
      </c>
      <c r="E1608" s="11">
        <v>102</v>
      </c>
      <c r="F1608" s="11" t="s">
        <v>7492</v>
      </c>
      <c r="G1608">
        <v>20240101</v>
      </c>
      <c r="I1608" s="11" t="s">
        <v>18</v>
      </c>
      <c r="J1608" s="72">
        <v>70561016</v>
      </c>
      <c r="K1608" s="99">
        <f>_xlfn.XLOOKUP(_2__ROI_Daily_Update[[#This Row],[CSM id]],SHP!F:F,SHP!EE:EE,"-")</f>
        <v>0</v>
      </c>
      <c r="L1608" s="12"/>
      <c r="N1608" s="11"/>
      <c r="P1608"/>
      <c r="Q1608"/>
      <c r="W1608" s="28"/>
      <c r="AA1608"/>
    </row>
    <row r="1609" spans="1:27" x14ac:dyDescent="0.45">
      <c r="A1609" s="57">
        <v>1431</v>
      </c>
      <c r="B1609" t="s">
        <v>2426</v>
      </c>
      <c r="C1609" t="s">
        <v>2427</v>
      </c>
      <c r="D1609" s="12">
        <v>46313</v>
      </c>
      <c r="E1609" s="11">
        <v>1728</v>
      </c>
      <c r="F1609" s="11" t="s">
        <v>7492</v>
      </c>
      <c r="G1609">
        <v>20250401</v>
      </c>
      <c r="I1609" s="11" t="s">
        <v>18</v>
      </c>
      <c r="J1609" s="72">
        <v>70597100</v>
      </c>
      <c r="K1609" s="99">
        <f>_xlfn.XLOOKUP(_2__ROI_Daily_Update[[#This Row],[CSM id]],SHP!F:F,SHP!EE:EE,"-")</f>
        <v>0</v>
      </c>
      <c r="L1609" s="12"/>
      <c r="N1609" s="11"/>
      <c r="P1609"/>
      <c r="Q1609"/>
      <c r="W1609" s="28"/>
      <c r="AA1609"/>
    </row>
    <row r="1610" spans="1:27" x14ac:dyDescent="0.45">
      <c r="A1610" s="57">
        <v>1813</v>
      </c>
      <c r="B1610" t="s">
        <v>3378</v>
      </c>
      <c r="C1610" t="s">
        <v>3379</v>
      </c>
      <c r="D1610" s="12">
        <v>46313</v>
      </c>
      <c r="E1610" s="11">
        <v>36</v>
      </c>
      <c r="F1610" s="11" t="s">
        <v>6940</v>
      </c>
      <c r="G1610">
        <v>20250101</v>
      </c>
      <c r="I1610" s="11" t="s">
        <v>63</v>
      </c>
      <c r="J1610" s="72">
        <v>10580800</v>
      </c>
      <c r="K1610" s="99">
        <f>_xlfn.XLOOKUP(_2__ROI_Daily_Update[[#This Row],[CSM id]],SHP!F:F,SHP!EE:EE,"-")</f>
        <v>0</v>
      </c>
      <c r="L1610" s="12"/>
      <c r="N1610" s="11"/>
      <c r="P1610"/>
      <c r="Q1610"/>
      <c r="W1610" s="28"/>
      <c r="AA1610"/>
    </row>
    <row r="1611" spans="1:27" x14ac:dyDescent="0.45">
      <c r="A1611" s="57">
        <v>1431</v>
      </c>
      <c r="B1611" t="s">
        <v>6816</v>
      </c>
      <c r="C1611" t="s">
        <v>6817</v>
      </c>
      <c r="D1611" s="12">
        <v>46313</v>
      </c>
      <c r="E1611" s="11">
        <v>1120</v>
      </c>
      <c r="F1611" s="11" t="s">
        <v>7492</v>
      </c>
      <c r="G1611">
        <v>20180401</v>
      </c>
      <c r="H1611" s="12">
        <v>46388</v>
      </c>
      <c r="I1611" s="11" t="s">
        <v>18</v>
      </c>
      <c r="J1611" s="72">
        <v>80359207</v>
      </c>
      <c r="K1611" s="99">
        <f>_xlfn.XLOOKUP(_2__ROI_Daily_Update[[#This Row],[CSM id]],SHP!F:F,SHP!EE:EE,"-")</f>
        <v>0</v>
      </c>
      <c r="L1611" s="12"/>
      <c r="N1611" s="11"/>
      <c r="P1611"/>
      <c r="Q1611"/>
      <c r="W1611" s="28"/>
      <c r="AA1611"/>
    </row>
    <row r="1612" spans="1:27" x14ac:dyDescent="0.45">
      <c r="A1612" s="57">
        <v>1813</v>
      </c>
      <c r="B1612" t="s">
        <v>3376</v>
      </c>
      <c r="C1612" t="s">
        <v>3377</v>
      </c>
      <c r="D1612" s="12">
        <v>46313</v>
      </c>
      <c r="E1612" s="11">
        <v>72</v>
      </c>
      <c r="F1612" s="11" t="s">
        <v>7463</v>
      </c>
      <c r="G1612">
        <v>20221001</v>
      </c>
      <c r="I1612" s="11" t="s">
        <v>63</v>
      </c>
      <c r="J1612" s="72">
        <v>10536162</v>
      </c>
      <c r="K1612" s="99">
        <f>_xlfn.XLOOKUP(_2__ROI_Daily_Update[[#This Row],[CSM id]],SHP!F:F,SHP!EE:EE,"-")</f>
        <v>0</v>
      </c>
      <c r="L1612" s="12"/>
      <c r="N1612" s="11"/>
      <c r="P1612"/>
      <c r="Q1612"/>
      <c r="W1612" s="28"/>
      <c r="AA1612"/>
    </row>
    <row r="1613" spans="1:27" x14ac:dyDescent="0.45">
      <c r="A1613" s="57">
        <v>1813</v>
      </c>
      <c r="B1613" t="s">
        <v>3376</v>
      </c>
      <c r="C1613" t="s">
        <v>3377</v>
      </c>
      <c r="D1613" s="12">
        <v>46313</v>
      </c>
      <c r="E1613" s="11">
        <v>90</v>
      </c>
      <c r="F1613" s="11" t="s">
        <v>7420</v>
      </c>
      <c r="G1613">
        <v>20221001</v>
      </c>
      <c r="I1613" s="11" t="s">
        <v>63</v>
      </c>
      <c r="J1613" s="72">
        <v>10536162</v>
      </c>
      <c r="K1613" s="99">
        <f>_xlfn.XLOOKUP(_2__ROI_Daily_Update[[#This Row],[CSM id]],SHP!F:F,SHP!EE:EE,"-")</f>
        <v>0</v>
      </c>
      <c r="L1613" s="12"/>
      <c r="N1613" s="11"/>
      <c r="P1613"/>
      <c r="Q1613"/>
      <c r="W1613" s="28"/>
      <c r="AA1613"/>
    </row>
    <row r="1614" spans="1:27" x14ac:dyDescent="0.45">
      <c r="A1614" s="57">
        <v>623</v>
      </c>
      <c r="B1614" t="s">
        <v>386</v>
      </c>
      <c r="C1614" t="s">
        <v>387</v>
      </c>
      <c r="D1614" s="12">
        <v>46313</v>
      </c>
      <c r="E1614" s="11">
        <v>36</v>
      </c>
      <c r="F1614" s="11" t="s">
        <v>7499</v>
      </c>
      <c r="G1614">
        <v>20190801</v>
      </c>
      <c r="I1614" s="11" t="s">
        <v>18</v>
      </c>
      <c r="J1614" s="72">
        <v>40433365</v>
      </c>
      <c r="K1614" s="99">
        <f>_xlfn.XLOOKUP(_2__ROI_Daily_Update[[#This Row],[CSM id]],SHP!F:F,SHP!EE:EE,"-")</f>
        <v>0</v>
      </c>
      <c r="L1614" s="12"/>
      <c r="N1614" s="11"/>
      <c r="P1614"/>
      <c r="Q1614"/>
      <c r="W1614" s="28"/>
      <c r="AA1614"/>
    </row>
    <row r="1615" spans="1:27" x14ac:dyDescent="0.45">
      <c r="A1615" s="57">
        <v>623</v>
      </c>
      <c r="B1615" t="s">
        <v>201</v>
      </c>
      <c r="C1615" t="s">
        <v>202</v>
      </c>
      <c r="D1615" s="12">
        <v>46313</v>
      </c>
      <c r="E1615" s="11">
        <v>24</v>
      </c>
      <c r="F1615" s="11" t="s">
        <v>7475</v>
      </c>
      <c r="G1615">
        <v>20250101</v>
      </c>
      <c r="I1615" s="11" t="s">
        <v>63</v>
      </c>
      <c r="J1615" s="72">
        <v>50599336</v>
      </c>
      <c r="K1615" s="99">
        <f>_xlfn.XLOOKUP(_2__ROI_Daily_Update[[#This Row],[CSM id]],SHP!F:F,SHP!EE:EE,"-")</f>
        <v>0</v>
      </c>
      <c r="L1615" s="12"/>
      <c r="N1615" s="11"/>
      <c r="P1615"/>
      <c r="Q1615"/>
      <c r="W1615" s="28"/>
      <c r="AA1615"/>
    </row>
    <row r="1616" spans="1:27" x14ac:dyDescent="0.45">
      <c r="A1616" s="57">
        <v>1813</v>
      </c>
      <c r="B1616" t="s">
        <v>3382</v>
      </c>
      <c r="C1616" t="s">
        <v>3383</v>
      </c>
      <c r="D1616" s="12">
        <v>46313</v>
      </c>
      <c r="E1616" s="11">
        <v>22</v>
      </c>
      <c r="F1616" s="11" t="s">
        <v>7480</v>
      </c>
      <c r="G1616">
        <v>20250701</v>
      </c>
      <c r="I1616" s="11" t="s">
        <v>63</v>
      </c>
      <c r="J1616" s="72">
        <v>20596914</v>
      </c>
      <c r="K1616" s="99">
        <f>_xlfn.XLOOKUP(_2__ROI_Daily_Update[[#This Row],[CSM id]],SHP!F:F,SHP!EE:EE,"-")</f>
        <v>0</v>
      </c>
      <c r="L1616" s="12"/>
      <c r="N1616" s="11"/>
      <c r="P1616"/>
      <c r="Q1616"/>
      <c r="W1616" s="28"/>
      <c r="AA1616"/>
    </row>
    <row r="1617" spans="1:27" x14ac:dyDescent="0.45">
      <c r="A1617" s="57">
        <v>623</v>
      </c>
      <c r="B1617" t="s">
        <v>6391</v>
      </c>
      <c r="C1617" t="s">
        <v>6392</v>
      </c>
      <c r="D1617" s="12">
        <v>46313</v>
      </c>
      <c r="E1617" s="11">
        <v>60</v>
      </c>
      <c r="F1617" s="11" t="s">
        <v>7453</v>
      </c>
      <c r="G1617">
        <v>20260401</v>
      </c>
      <c r="I1617" s="11" t="s">
        <v>63</v>
      </c>
      <c r="J1617" s="72">
        <v>50286482</v>
      </c>
      <c r="K1617" s="99">
        <f>_xlfn.XLOOKUP(_2__ROI_Daily_Update[[#This Row],[CSM id]],SHP!F:F,SHP!EE:EE,"-")</f>
        <v>0</v>
      </c>
      <c r="L1617" s="12"/>
      <c r="N1617" s="11"/>
      <c r="P1617"/>
      <c r="Q1617"/>
      <c r="W1617" s="28"/>
      <c r="AA1617"/>
    </row>
    <row r="1618" spans="1:27" x14ac:dyDescent="0.45">
      <c r="A1618" s="57">
        <v>1431</v>
      </c>
      <c r="B1618" t="s">
        <v>2398</v>
      </c>
      <c r="C1618" t="s">
        <v>2399</v>
      </c>
      <c r="D1618" s="12">
        <v>46313</v>
      </c>
      <c r="E1618" s="11">
        <v>192</v>
      </c>
      <c r="F1618" s="11" t="s">
        <v>7492</v>
      </c>
      <c r="G1618">
        <v>20141201</v>
      </c>
      <c r="I1618" s="11" t="s">
        <v>18</v>
      </c>
      <c r="J1618" s="72">
        <v>50213551</v>
      </c>
      <c r="K1618" s="99">
        <f>_xlfn.XLOOKUP(_2__ROI_Daily_Update[[#This Row],[CSM id]],SHP!F:F,SHP!EE:EE,"-")</f>
        <v>0</v>
      </c>
      <c r="L1618" s="12"/>
      <c r="N1618" s="11"/>
      <c r="P1618"/>
      <c r="Q1618"/>
      <c r="W1618" s="28"/>
      <c r="AA1618"/>
    </row>
    <row r="1619" spans="1:27" x14ac:dyDescent="0.45">
      <c r="A1619" s="57">
        <v>1813</v>
      </c>
      <c r="B1619" t="s">
        <v>3394</v>
      </c>
      <c r="C1619" t="s">
        <v>3395</v>
      </c>
      <c r="D1619" s="12">
        <v>46313</v>
      </c>
      <c r="E1619" s="11">
        <v>45</v>
      </c>
      <c r="F1619" s="11" t="s">
        <v>7430</v>
      </c>
      <c r="G1619">
        <v>20190601</v>
      </c>
      <c r="I1619" s="11" t="s">
        <v>63</v>
      </c>
      <c r="J1619" s="72">
        <v>40428825</v>
      </c>
      <c r="K1619" s="99">
        <f>_xlfn.XLOOKUP(_2__ROI_Daily_Update[[#This Row],[CSM id]],SHP!F:F,SHP!EE:EE,"-")</f>
        <v>0</v>
      </c>
      <c r="L1619" s="12"/>
      <c r="N1619" s="11"/>
      <c r="P1619"/>
      <c r="Q1619"/>
      <c r="W1619" s="28"/>
      <c r="AA1619"/>
    </row>
    <row r="1620" spans="1:27" x14ac:dyDescent="0.45">
      <c r="A1620" s="57">
        <v>623</v>
      </c>
      <c r="B1620" t="s">
        <v>5458</v>
      </c>
      <c r="C1620" t="s">
        <v>5459</v>
      </c>
      <c r="D1620" s="12">
        <v>46313</v>
      </c>
      <c r="E1620" s="11">
        <v>2</v>
      </c>
      <c r="F1620" s="11" t="s">
        <v>7410</v>
      </c>
      <c r="G1620">
        <v>20261001</v>
      </c>
      <c r="I1620" s="11" t="s">
        <v>63</v>
      </c>
      <c r="J1620" s="72">
        <v>10632093</v>
      </c>
      <c r="K1620" s="99">
        <f>_xlfn.XLOOKUP(_2__ROI_Daily_Update[[#This Row],[CSM id]],SHP!F:F,SHP!EE:EE,"-")</f>
        <v>0</v>
      </c>
      <c r="L1620" s="12"/>
      <c r="N1620" s="11"/>
      <c r="P1620"/>
      <c r="Q1620"/>
      <c r="W1620" s="28"/>
      <c r="AA1620"/>
    </row>
    <row r="1621" spans="1:27" x14ac:dyDescent="0.45">
      <c r="A1621" s="57">
        <v>1813</v>
      </c>
      <c r="B1621" t="s">
        <v>3390</v>
      </c>
      <c r="C1621" t="s">
        <v>3391</v>
      </c>
      <c r="D1621" s="12">
        <v>46313</v>
      </c>
      <c r="E1621" s="11">
        <v>4</v>
      </c>
      <c r="F1621" s="11" t="s">
        <v>7480</v>
      </c>
      <c r="G1621">
        <v>20250701</v>
      </c>
      <c r="I1621" s="11" t="s">
        <v>63</v>
      </c>
      <c r="J1621" s="72">
        <v>30596918</v>
      </c>
      <c r="K1621" s="99">
        <f>_xlfn.XLOOKUP(_2__ROI_Daily_Update[[#This Row],[CSM id]],SHP!F:F,SHP!EE:EE,"-")</f>
        <v>0</v>
      </c>
      <c r="L1621" s="12"/>
      <c r="N1621" s="11"/>
      <c r="P1621"/>
      <c r="Q1621"/>
      <c r="W1621" s="28"/>
      <c r="AA1621"/>
    </row>
    <row r="1622" spans="1:27" x14ac:dyDescent="0.45">
      <c r="A1622" s="57">
        <v>1813</v>
      </c>
      <c r="B1622" t="s">
        <v>3390</v>
      </c>
      <c r="C1622" t="s">
        <v>3391</v>
      </c>
      <c r="D1622" s="12">
        <v>46313</v>
      </c>
      <c r="E1622" s="11">
        <v>8</v>
      </c>
      <c r="F1622" s="11" t="s">
        <v>7468</v>
      </c>
      <c r="G1622">
        <v>20250701</v>
      </c>
      <c r="I1622" s="11" t="s">
        <v>18</v>
      </c>
      <c r="J1622" s="72">
        <v>30596918</v>
      </c>
      <c r="K1622" s="99">
        <f>_xlfn.XLOOKUP(_2__ROI_Daily_Update[[#This Row],[CSM id]],SHP!F:F,SHP!EE:EE,"-")</f>
        <v>0</v>
      </c>
      <c r="L1622" s="12"/>
      <c r="N1622" s="11"/>
      <c r="P1622"/>
      <c r="Q1622"/>
      <c r="W1622" s="28"/>
      <c r="AA1622"/>
    </row>
    <row r="1623" spans="1:27" x14ac:dyDescent="0.45">
      <c r="A1623" s="57">
        <v>623</v>
      </c>
      <c r="B1623" t="s">
        <v>6053</v>
      </c>
      <c r="C1623" t="s">
        <v>6054</v>
      </c>
      <c r="D1623" s="12">
        <v>46313</v>
      </c>
      <c r="E1623" s="11">
        <v>12</v>
      </c>
      <c r="F1623" s="11" t="s">
        <v>7440</v>
      </c>
      <c r="G1623">
        <v>20261001</v>
      </c>
      <c r="I1623" s="11" t="s">
        <v>63</v>
      </c>
      <c r="J1623" s="72">
        <v>40632096</v>
      </c>
      <c r="K1623" s="99">
        <f>_xlfn.XLOOKUP(_2__ROI_Daily_Update[[#This Row],[CSM id]],SHP!F:F,SHP!EE:EE,"-")</f>
        <v>0</v>
      </c>
      <c r="L1623" s="12"/>
      <c r="N1623" s="11"/>
      <c r="P1623"/>
      <c r="Q1623"/>
      <c r="W1623" s="28"/>
      <c r="AA1623"/>
    </row>
    <row r="1624" spans="1:27" x14ac:dyDescent="0.45">
      <c r="A1624" s="57">
        <v>1431</v>
      </c>
      <c r="B1624" t="s">
        <v>2412</v>
      </c>
      <c r="C1624" t="s">
        <v>2413</v>
      </c>
      <c r="D1624" s="12">
        <v>46313</v>
      </c>
      <c r="E1624" s="11">
        <v>720</v>
      </c>
      <c r="F1624" s="11" t="s">
        <v>7492</v>
      </c>
      <c r="G1624">
        <v>20250401</v>
      </c>
      <c r="I1624" s="11" t="s">
        <v>18</v>
      </c>
      <c r="J1624" s="72">
        <v>60597105</v>
      </c>
      <c r="K1624" s="99">
        <f>_xlfn.XLOOKUP(_2__ROI_Daily_Update[[#This Row],[CSM id]],SHP!F:F,SHP!EE:EE,"-")</f>
        <v>0</v>
      </c>
      <c r="L1624" s="12"/>
      <c r="N1624" s="11"/>
      <c r="P1624"/>
      <c r="Q1624"/>
      <c r="W1624" s="28"/>
      <c r="AA1624"/>
    </row>
    <row r="1625" spans="1:27" x14ac:dyDescent="0.45">
      <c r="A1625" s="57">
        <v>623</v>
      </c>
      <c r="B1625" t="s">
        <v>437</v>
      </c>
      <c r="C1625" t="s">
        <v>438</v>
      </c>
      <c r="D1625" s="12">
        <v>46313</v>
      </c>
      <c r="E1625" s="11">
        <v>36</v>
      </c>
      <c r="F1625" s="11" t="s">
        <v>7499</v>
      </c>
      <c r="G1625">
        <v>20260401</v>
      </c>
      <c r="I1625" s="11" t="s">
        <v>18</v>
      </c>
      <c r="J1625" s="72">
        <v>40621427</v>
      </c>
      <c r="K1625" s="99">
        <f>_xlfn.XLOOKUP(_2__ROI_Daily_Update[[#This Row],[CSM id]],SHP!F:F,SHP!EE:EE,"-")</f>
        <v>0</v>
      </c>
      <c r="L1625" s="12"/>
      <c r="N1625" s="11"/>
      <c r="P1625"/>
      <c r="Q1625"/>
      <c r="W1625" s="28"/>
      <c r="AA1625"/>
    </row>
    <row r="1626" spans="1:27" x14ac:dyDescent="0.45">
      <c r="A1626" s="57">
        <v>1813</v>
      </c>
      <c r="B1626" t="s">
        <v>3388</v>
      </c>
      <c r="C1626" t="s">
        <v>3389</v>
      </c>
      <c r="D1626" s="12">
        <v>46313</v>
      </c>
      <c r="E1626" s="11">
        <v>360</v>
      </c>
      <c r="F1626" s="11" t="s">
        <v>7475</v>
      </c>
      <c r="G1626">
        <v>20221001</v>
      </c>
      <c r="I1626" s="11" t="s">
        <v>63</v>
      </c>
      <c r="J1626" s="72">
        <v>30534628</v>
      </c>
      <c r="K1626" s="99">
        <f>_xlfn.XLOOKUP(_2__ROI_Daily_Update[[#This Row],[CSM id]],SHP!F:F,SHP!EE:EE,"-")</f>
        <v>0</v>
      </c>
      <c r="L1626" s="12"/>
      <c r="N1626" s="11"/>
      <c r="P1626"/>
      <c r="Q1626"/>
      <c r="W1626" s="28"/>
      <c r="AA1626"/>
    </row>
    <row r="1627" spans="1:27" x14ac:dyDescent="0.45">
      <c r="A1627" s="57">
        <v>1813</v>
      </c>
      <c r="B1627" t="s">
        <v>3388</v>
      </c>
      <c r="C1627" t="s">
        <v>3389</v>
      </c>
      <c r="D1627" s="12">
        <v>46313</v>
      </c>
      <c r="E1627" s="11">
        <v>320</v>
      </c>
      <c r="F1627" s="11" t="s">
        <v>7435</v>
      </c>
      <c r="G1627">
        <v>20221001</v>
      </c>
      <c r="I1627" s="11" t="s">
        <v>63</v>
      </c>
      <c r="J1627" s="72">
        <v>30534628</v>
      </c>
      <c r="K1627" s="99">
        <f>_xlfn.XLOOKUP(_2__ROI_Daily_Update[[#This Row],[CSM id]],SHP!F:F,SHP!EE:EE,"-")</f>
        <v>0</v>
      </c>
      <c r="L1627" s="12"/>
      <c r="N1627" s="11"/>
      <c r="P1627"/>
      <c r="Q1627"/>
      <c r="W1627" s="28"/>
      <c r="AA1627"/>
    </row>
    <row r="1628" spans="1:27" x14ac:dyDescent="0.45">
      <c r="A1628" s="57">
        <v>1813</v>
      </c>
      <c r="B1628" t="s">
        <v>3388</v>
      </c>
      <c r="C1628" t="s">
        <v>3389</v>
      </c>
      <c r="D1628" s="12">
        <v>46313</v>
      </c>
      <c r="E1628" s="11">
        <v>450</v>
      </c>
      <c r="F1628" s="11" t="s">
        <v>6940</v>
      </c>
      <c r="G1628">
        <v>20221001</v>
      </c>
      <c r="I1628" s="11" t="s">
        <v>63</v>
      </c>
      <c r="J1628" s="72">
        <v>30534628</v>
      </c>
      <c r="K1628" s="99">
        <f>_xlfn.XLOOKUP(_2__ROI_Daily_Update[[#This Row],[CSM id]],SHP!F:F,SHP!EE:EE,"-")</f>
        <v>0</v>
      </c>
      <c r="L1628" s="12"/>
      <c r="N1628" s="11"/>
      <c r="P1628"/>
      <c r="Q1628"/>
      <c r="W1628" s="28"/>
      <c r="AA1628"/>
    </row>
    <row r="1629" spans="1:27" x14ac:dyDescent="0.45">
      <c r="A1629" s="57">
        <v>1813</v>
      </c>
      <c r="B1629" t="s">
        <v>3386</v>
      </c>
      <c r="C1629" t="s">
        <v>3387</v>
      </c>
      <c r="D1629" s="12">
        <v>46313</v>
      </c>
      <c r="E1629" s="11">
        <v>720</v>
      </c>
      <c r="F1629" s="11" t="s">
        <v>7440</v>
      </c>
      <c r="G1629">
        <v>20221001</v>
      </c>
      <c r="I1629" s="11" t="s">
        <v>63</v>
      </c>
      <c r="J1629" s="72">
        <v>30534416</v>
      </c>
      <c r="K1629" s="99">
        <f>_xlfn.XLOOKUP(_2__ROI_Daily_Update[[#This Row],[CSM id]],SHP!F:F,SHP!EE:EE,"-")</f>
        <v>0</v>
      </c>
      <c r="L1629" s="12"/>
      <c r="N1629" s="11"/>
      <c r="P1629"/>
      <c r="Q1629"/>
      <c r="W1629" s="28"/>
      <c r="AA1629"/>
    </row>
    <row r="1630" spans="1:27" x14ac:dyDescent="0.45">
      <c r="A1630" s="57">
        <v>1813</v>
      </c>
      <c r="B1630" t="s">
        <v>3384</v>
      </c>
      <c r="C1630" t="s">
        <v>3385</v>
      </c>
      <c r="D1630" s="12">
        <v>46313</v>
      </c>
      <c r="E1630" s="11">
        <v>50</v>
      </c>
      <c r="F1630" s="11" t="s">
        <v>7420</v>
      </c>
      <c r="G1630">
        <v>20260101</v>
      </c>
      <c r="I1630" s="11" t="s">
        <v>63</v>
      </c>
      <c r="J1630" s="72">
        <v>20603311</v>
      </c>
      <c r="K1630" s="99">
        <f>_xlfn.XLOOKUP(_2__ROI_Daily_Update[[#This Row],[CSM id]],SHP!F:F,SHP!EE:EE,"-")</f>
        <v>0</v>
      </c>
      <c r="L1630" s="12"/>
      <c r="N1630" s="11"/>
      <c r="P1630"/>
      <c r="Q1630"/>
      <c r="W1630" s="28"/>
      <c r="AA1630"/>
    </row>
    <row r="1631" spans="1:27" x14ac:dyDescent="0.45">
      <c r="A1631" s="57">
        <v>1431</v>
      </c>
      <c r="B1631" t="s">
        <v>6182</v>
      </c>
      <c r="C1631" t="s">
        <v>6183</v>
      </c>
      <c r="D1631" s="12">
        <v>46313</v>
      </c>
      <c r="E1631" s="11">
        <v>50</v>
      </c>
      <c r="F1631" s="11" t="s">
        <v>7492</v>
      </c>
      <c r="G1631">
        <v>20181001</v>
      </c>
      <c r="I1631" s="11" t="s">
        <v>18</v>
      </c>
      <c r="J1631" s="72">
        <v>60393132</v>
      </c>
      <c r="K1631" s="99">
        <f>_xlfn.XLOOKUP(_2__ROI_Daily_Update[[#This Row],[CSM id]],SHP!F:F,SHP!EE:EE,"-")</f>
        <v>0</v>
      </c>
      <c r="L1631" s="12"/>
      <c r="N1631" s="11"/>
      <c r="P1631"/>
      <c r="Q1631"/>
      <c r="W1631" s="28"/>
      <c r="AA1631"/>
    </row>
    <row r="1632" spans="1:27" x14ac:dyDescent="0.45">
      <c r="A1632" s="57">
        <v>1431</v>
      </c>
      <c r="B1632" t="s">
        <v>2402</v>
      </c>
      <c r="C1632" t="s">
        <v>2403</v>
      </c>
      <c r="D1632" s="12">
        <v>46313</v>
      </c>
      <c r="E1632" s="11">
        <v>48</v>
      </c>
      <c r="F1632" s="11" t="s">
        <v>7492</v>
      </c>
      <c r="G1632">
        <v>20230701</v>
      </c>
      <c r="I1632" s="11" t="s">
        <v>18</v>
      </c>
      <c r="J1632" s="72">
        <v>50507964</v>
      </c>
      <c r="K1632" s="99">
        <f>_xlfn.XLOOKUP(_2__ROI_Daily_Update[[#This Row],[CSM id]],SHP!F:F,SHP!EE:EE,"-")</f>
        <v>0</v>
      </c>
      <c r="L1632" s="12"/>
      <c r="N1632" s="11"/>
      <c r="P1632"/>
      <c r="Q1632"/>
      <c r="W1632" s="28"/>
      <c r="AA1632"/>
    </row>
    <row r="1633" spans="1:27" x14ac:dyDescent="0.45">
      <c r="A1633" s="57">
        <v>1012</v>
      </c>
      <c r="B1633" t="s">
        <v>1056</v>
      </c>
      <c r="C1633" t="s">
        <v>1057</v>
      </c>
      <c r="D1633" s="12">
        <v>46313</v>
      </c>
      <c r="E1633" s="11">
        <v>12</v>
      </c>
      <c r="F1633" s="11" t="s">
        <v>7430</v>
      </c>
      <c r="G1633">
        <v>20250101</v>
      </c>
      <c r="I1633" s="11" t="s">
        <v>63</v>
      </c>
      <c r="J1633" s="72">
        <v>10589117</v>
      </c>
      <c r="K1633" s="99">
        <f>_xlfn.XLOOKUP(_2__ROI_Daily_Update[[#This Row],[CSM id]],SHP!F:F,SHP!EE:EE,"-")</f>
        <v>0</v>
      </c>
      <c r="L1633" s="12"/>
      <c r="N1633" s="11"/>
      <c r="P1633"/>
      <c r="Q1633"/>
      <c r="W1633" s="28"/>
      <c r="AA1633"/>
    </row>
    <row r="1634" spans="1:27" x14ac:dyDescent="0.45">
      <c r="A1634" s="57">
        <v>1415</v>
      </c>
      <c r="B1634" t="s">
        <v>6317</v>
      </c>
      <c r="C1634" t="s">
        <v>6318</v>
      </c>
      <c r="D1634" s="12">
        <v>46313</v>
      </c>
      <c r="E1634" s="11">
        <v>180</v>
      </c>
      <c r="F1634" s="11" t="s">
        <v>7453</v>
      </c>
      <c r="G1634">
        <v>20250101</v>
      </c>
      <c r="I1634" s="11" t="s">
        <v>63</v>
      </c>
      <c r="J1634" s="72">
        <v>587883</v>
      </c>
      <c r="K1634" s="99">
        <f>_xlfn.XLOOKUP(_2__ROI_Daily_Update[[#This Row],[CSM id]],SHP!F:F,SHP!EE:EE,"-")</f>
        <v>0</v>
      </c>
      <c r="L1634" s="12"/>
      <c r="N1634" s="11"/>
      <c r="P1634"/>
      <c r="Q1634"/>
      <c r="W1634" s="28"/>
      <c r="AA1634"/>
    </row>
    <row r="1635" spans="1:27" x14ac:dyDescent="0.45">
      <c r="A1635" s="57">
        <v>1415</v>
      </c>
      <c r="B1635" t="s">
        <v>6275</v>
      </c>
      <c r="C1635" t="s">
        <v>6276</v>
      </c>
      <c r="D1635" s="12">
        <v>46313</v>
      </c>
      <c r="E1635" s="11">
        <v>30</v>
      </c>
      <c r="F1635" s="11" t="s">
        <v>7440</v>
      </c>
      <c r="G1635">
        <v>20161001</v>
      </c>
      <c r="I1635" s="11" t="s">
        <v>63</v>
      </c>
      <c r="J1635" s="72">
        <v>80300815</v>
      </c>
      <c r="K1635" s="99">
        <f>_xlfn.XLOOKUP(_2__ROI_Daily_Update[[#This Row],[CSM id]],SHP!F:F,SHP!EE:EE,"-")</f>
        <v>0</v>
      </c>
      <c r="L1635" s="12"/>
      <c r="N1635" s="11"/>
      <c r="P1635"/>
      <c r="Q1635"/>
      <c r="W1635" s="28"/>
      <c r="AA1635"/>
    </row>
    <row r="1636" spans="1:27" x14ac:dyDescent="0.45">
      <c r="A1636" s="57">
        <v>1233</v>
      </c>
      <c r="B1636" t="s">
        <v>6586</v>
      </c>
      <c r="C1636" t="s">
        <v>6587</v>
      </c>
      <c r="D1636" s="12">
        <v>46313</v>
      </c>
      <c r="E1636" s="11">
        <v>228</v>
      </c>
      <c r="F1636" s="11" t="s">
        <v>7463</v>
      </c>
      <c r="G1636">
        <v>20260401</v>
      </c>
      <c r="I1636" s="11" t="s">
        <v>63</v>
      </c>
      <c r="J1636" s="72">
        <v>40624751</v>
      </c>
      <c r="K1636" s="99">
        <f>_xlfn.XLOOKUP(_2__ROI_Daily_Update[[#This Row],[CSM id]],SHP!F:F,SHP!EE:EE,"-")</f>
        <v>0</v>
      </c>
      <c r="L1636" s="12"/>
      <c r="N1636" s="11"/>
      <c r="P1636"/>
      <c r="Q1636"/>
      <c r="W1636" s="28"/>
      <c r="AA1636"/>
    </row>
    <row r="1637" spans="1:27" x14ac:dyDescent="0.45">
      <c r="A1637" s="57">
        <v>1233</v>
      </c>
      <c r="B1637" t="s">
        <v>1992</v>
      </c>
      <c r="C1637" t="s">
        <v>1993</v>
      </c>
      <c r="D1637" s="12">
        <v>46313</v>
      </c>
      <c r="E1637" s="11">
        <v>108</v>
      </c>
      <c r="F1637" s="11" t="s">
        <v>7430</v>
      </c>
      <c r="G1637">
        <v>20260401</v>
      </c>
      <c r="I1637" s="11" t="s">
        <v>63</v>
      </c>
      <c r="J1637" s="72">
        <v>30641242</v>
      </c>
      <c r="K1637" s="99">
        <f>_xlfn.XLOOKUP(_2__ROI_Daily_Update[[#This Row],[CSM id]],SHP!F:F,SHP!EE:EE,"-")</f>
        <v>0</v>
      </c>
      <c r="L1637" s="12"/>
      <c r="N1637" s="11"/>
      <c r="P1637"/>
      <c r="Q1637"/>
      <c r="W1637" s="28"/>
      <c r="AA1637"/>
    </row>
    <row r="1638" spans="1:27" x14ac:dyDescent="0.45">
      <c r="A1638" s="57">
        <v>922</v>
      </c>
      <c r="B1638" t="s">
        <v>737</v>
      </c>
      <c r="C1638" t="s">
        <v>738</v>
      </c>
      <c r="D1638" s="12">
        <v>46313</v>
      </c>
      <c r="E1638" s="11">
        <v>96</v>
      </c>
      <c r="F1638" s="11" t="s">
        <v>7395</v>
      </c>
      <c r="G1638">
        <v>20231001</v>
      </c>
      <c r="I1638" s="11" t="s">
        <v>63</v>
      </c>
      <c r="J1638" s="72">
        <v>90560619</v>
      </c>
      <c r="K1638" s="99">
        <f>_xlfn.XLOOKUP(_2__ROI_Daily_Update[[#This Row],[CSM id]],SHP!F:F,SHP!EE:EE,"-")</f>
        <v>0</v>
      </c>
      <c r="L1638" s="12"/>
      <c r="N1638" s="11"/>
      <c r="P1638"/>
      <c r="Q1638"/>
      <c r="W1638" s="28"/>
      <c r="AA1638"/>
    </row>
    <row r="1639" spans="1:27" x14ac:dyDescent="0.45">
      <c r="A1639" s="57">
        <v>939</v>
      </c>
      <c r="B1639" t="s">
        <v>7091</v>
      </c>
      <c r="C1639" t="s">
        <v>7092</v>
      </c>
      <c r="D1639" s="12">
        <v>46313</v>
      </c>
      <c r="E1639" s="11">
        <v>12</v>
      </c>
      <c r="F1639" s="11" t="s">
        <v>7480</v>
      </c>
      <c r="G1639">
        <v>20221001</v>
      </c>
      <c r="I1639" s="11" t="s">
        <v>63</v>
      </c>
      <c r="J1639" s="72">
        <v>80465830</v>
      </c>
      <c r="K1639" s="99">
        <f>_xlfn.XLOOKUP(_2__ROI_Daily_Update[[#This Row],[CSM id]],SHP!F:F,SHP!EE:EE,"-")</f>
        <v>0</v>
      </c>
      <c r="L1639" s="12"/>
      <c r="N1639" s="11"/>
      <c r="P1639"/>
      <c r="Q1639"/>
      <c r="W1639" s="28"/>
      <c r="AA1639"/>
    </row>
    <row r="1640" spans="1:27" x14ac:dyDescent="0.45">
      <c r="A1640" s="57">
        <v>962</v>
      </c>
      <c r="B1640" t="s">
        <v>6564</v>
      </c>
      <c r="C1640" t="s">
        <v>6565</v>
      </c>
      <c r="D1640" s="12">
        <v>46313</v>
      </c>
      <c r="E1640" s="11">
        <v>80</v>
      </c>
      <c r="F1640" s="11" t="s">
        <v>7463</v>
      </c>
      <c r="G1640">
        <v>20140801</v>
      </c>
      <c r="H1640" s="12">
        <v>46569</v>
      </c>
      <c r="I1640" s="11" t="s">
        <v>63</v>
      </c>
      <c r="J1640" s="72">
        <v>169070</v>
      </c>
      <c r="K1640" s="99">
        <f>_xlfn.XLOOKUP(_2__ROI_Daily_Update[[#This Row],[CSM id]],SHP!F:F,SHP!EE:EE,"-")</f>
        <v>0</v>
      </c>
      <c r="L1640" s="12"/>
      <c r="N1640" s="11"/>
      <c r="P1640"/>
      <c r="Q1640"/>
      <c r="W1640" s="28"/>
      <c r="AA1640"/>
    </row>
    <row r="1641" spans="1:27" x14ac:dyDescent="0.45">
      <c r="A1641" s="57">
        <v>962</v>
      </c>
      <c r="B1641" t="s">
        <v>741</v>
      </c>
      <c r="C1641" t="s">
        <v>742</v>
      </c>
      <c r="D1641" s="12">
        <v>46313</v>
      </c>
      <c r="E1641" s="11">
        <v>16</v>
      </c>
      <c r="F1641" s="11" t="s">
        <v>7448</v>
      </c>
      <c r="G1641">
        <v>20260701</v>
      </c>
      <c r="I1641" s="11" t="s">
        <v>63</v>
      </c>
      <c r="J1641" s="72">
        <v>625050</v>
      </c>
      <c r="K1641" s="99">
        <f>_xlfn.XLOOKUP(_2__ROI_Daily_Update[[#This Row],[CSM id]],SHP!F:F,SHP!EE:EE,"-")</f>
        <v>0</v>
      </c>
      <c r="L1641" s="12"/>
      <c r="N1641" s="11"/>
      <c r="P1641"/>
      <c r="Q1641"/>
      <c r="W1641" s="28"/>
      <c r="AA1641"/>
    </row>
    <row r="1642" spans="1:27" x14ac:dyDescent="0.45">
      <c r="A1642" s="57">
        <v>962</v>
      </c>
      <c r="B1642" t="s">
        <v>5138</v>
      </c>
      <c r="C1642" t="s">
        <v>5139</v>
      </c>
      <c r="D1642" s="12">
        <v>46313</v>
      </c>
      <c r="E1642" s="11">
        <v>15</v>
      </c>
      <c r="F1642" s="11" t="s">
        <v>7425</v>
      </c>
      <c r="G1642">
        <v>20250101</v>
      </c>
      <c r="I1642" s="11" t="s">
        <v>63</v>
      </c>
      <c r="J1642" s="72">
        <v>10573625</v>
      </c>
      <c r="K1642" s="99">
        <f>_xlfn.XLOOKUP(_2__ROI_Daily_Update[[#This Row],[CSM id]],SHP!F:F,SHP!EE:EE,"-")</f>
        <v>0</v>
      </c>
      <c r="L1642" s="12"/>
      <c r="N1642" s="11"/>
      <c r="P1642"/>
      <c r="Q1642"/>
      <c r="W1642" s="28"/>
      <c r="AA1642"/>
    </row>
    <row r="1643" spans="1:27" x14ac:dyDescent="0.45">
      <c r="A1643" s="57">
        <v>1821</v>
      </c>
      <c r="B1643" t="s">
        <v>7021</v>
      </c>
      <c r="C1643" t="s">
        <v>7022</v>
      </c>
      <c r="D1643" s="12">
        <v>46313</v>
      </c>
      <c r="E1643" s="11">
        <v>4</v>
      </c>
      <c r="F1643" s="11" t="s">
        <v>7475</v>
      </c>
      <c r="G1643">
        <v>20180401</v>
      </c>
      <c r="I1643" s="11" t="s">
        <v>63</v>
      </c>
      <c r="J1643" s="72">
        <v>70371224</v>
      </c>
      <c r="K1643" s="99">
        <f>_xlfn.XLOOKUP(_2__ROI_Daily_Update[[#This Row],[CSM id]],SHP!F:F,SHP!EE:EE,"-")</f>
        <v>0</v>
      </c>
      <c r="L1643" s="12"/>
      <c r="N1643" s="11"/>
      <c r="P1643"/>
      <c r="Q1643"/>
      <c r="W1643" s="28"/>
      <c r="AA1643"/>
    </row>
    <row r="1644" spans="1:27" x14ac:dyDescent="0.45">
      <c r="A1644" s="57">
        <v>962</v>
      </c>
      <c r="B1644" t="s">
        <v>6377</v>
      </c>
      <c r="C1644" t="s">
        <v>6378</v>
      </c>
      <c r="D1644" s="12">
        <v>46313</v>
      </c>
      <c r="E1644" s="11">
        <v>33</v>
      </c>
      <c r="F1644" s="11" t="s">
        <v>7448</v>
      </c>
      <c r="G1644">
        <v>20260701</v>
      </c>
      <c r="I1644" s="11" t="s">
        <v>63</v>
      </c>
      <c r="J1644" s="72">
        <v>10625097</v>
      </c>
      <c r="K1644" s="99">
        <f>_xlfn.XLOOKUP(_2__ROI_Daily_Update[[#This Row],[CSM id]],SHP!F:F,SHP!EE:EE,"-")</f>
        <v>0</v>
      </c>
      <c r="L1644" s="12"/>
      <c r="N1644" s="11"/>
      <c r="P1644"/>
      <c r="Q1644"/>
      <c r="W1644" s="28"/>
      <c r="AA1644"/>
    </row>
    <row r="1645" spans="1:27" x14ac:dyDescent="0.45">
      <c r="A1645" s="57">
        <v>962</v>
      </c>
      <c r="B1645" t="s">
        <v>5594</v>
      </c>
      <c r="C1645" t="s">
        <v>5595</v>
      </c>
      <c r="D1645" s="12">
        <v>46313</v>
      </c>
      <c r="E1645" s="11">
        <v>16</v>
      </c>
      <c r="F1645" s="11" t="s">
        <v>7405</v>
      </c>
      <c r="G1645">
        <v>20260701</v>
      </c>
      <c r="I1645" s="11" t="s">
        <v>63</v>
      </c>
      <c r="J1645" s="72">
        <v>40638593</v>
      </c>
      <c r="K1645" s="99">
        <f>_xlfn.XLOOKUP(_2__ROI_Daily_Update[[#This Row],[CSM id]],SHP!F:F,SHP!EE:EE,"-")</f>
        <v>0</v>
      </c>
      <c r="L1645" s="12"/>
      <c r="N1645" s="11"/>
      <c r="P1645"/>
      <c r="Q1645"/>
      <c r="W1645" s="28"/>
      <c r="AA1645"/>
    </row>
    <row r="1646" spans="1:27" x14ac:dyDescent="0.45">
      <c r="A1646" s="57">
        <v>962</v>
      </c>
      <c r="B1646" t="s">
        <v>5576</v>
      </c>
      <c r="C1646" t="s">
        <v>5577</v>
      </c>
      <c r="D1646" s="12">
        <v>46313</v>
      </c>
      <c r="E1646" s="11">
        <v>7</v>
      </c>
      <c r="F1646" s="11" t="s">
        <v>7405</v>
      </c>
      <c r="G1646">
        <v>20260701</v>
      </c>
      <c r="I1646" s="11" t="s">
        <v>63</v>
      </c>
      <c r="J1646" s="72">
        <v>60625132</v>
      </c>
      <c r="K1646" s="99">
        <f>_xlfn.XLOOKUP(_2__ROI_Daily_Update[[#This Row],[CSM id]],SHP!F:F,SHP!EE:EE,"-")</f>
        <v>0</v>
      </c>
      <c r="L1646" s="12"/>
      <c r="N1646" s="11"/>
      <c r="P1646"/>
      <c r="Q1646"/>
      <c r="W1646" s="28"/>
      <c r="AA1646"/>
    </row>
    <row r="1647" spans="1:27" x14ac:dyDescent="0.45">
      <c r="A1647" s="57">
        <v>1232</v>
      </c>
      <c r="B1647" t="s">
        <v>1980</v>
      </c>
      <c r="C1647" t="s">
        <v>1981</v>
      </c>
      <c r="D1647" s="12">
        <v>46313</v>
      </c>
      <c r="E1647" s="11">
        <v>6</v>
      </c>
      <c r="F1647" s="11" t="s">
        <v>7415</v>
      </c>
      <c r="G1647">
        <v>20240401</v>
      </c>
      <c r="I1647" s="11" t="s">
        <v>63</v>
      </c>
      <c r="J1647" s="72">
        <v>90572207</v>
      </c>
      <c r="K1647" s="99">
        <f>_xlfn.XLOOKUP(_2__ROI_Daily_Update[[#This Row],[CSM id]],SHP!F:F,SHP!EE:EE,"-")</f>
        <v>0</v>
      </c>
      <c r="L1647" s="12"/>
      <c r="N1647" s="11"/>
      <c r="P1647"/>
      <c r="Q1647"/>
      <c r="W1647" s="28"/>
      <c r="AA1647"/>
    </row>
    <row r="1648" spans="1:27" x14ac:dyDescent="0.45">
      <c r="A1648" s="57">
        <v>1232</v>
      </c>
      <c r="B1648" t="s">
        <v>1977</v>
      </c>
      <c r="C1648" t="s">
        <v>1978</v>
      </c>
      <c r="D1648" s="12">
        <v>46313</v>
      </c>
      <c r="E1648" s="11">
        <v>30</v>
      </c>
      <c r="F1648" s="11" t="s">
        <v>6940</v>
      </c>
      <c r="G1648">
        <v>20240101</v>
      </c>
      <c r="I1648" s="11" t="s">
        <v>63</v>
      </c>
      <c r="J1648" s="72">
        <v>70570935</v>
      </c>
      <c r="K1648" s="99">
        <f>_xlfn.XLOOKUP(_2__ROI_Daily_Update[[#This Row],[CSM id]],SHP!F:F,SHP!EE:EE,"-")</f>
        <v>0</v>
      </c>
      <c r="L1648" s="12"/>
      <c r="N1648" s="11"/>
      <c r="P1648"/>
      <c r="Q1648"/>
      <c r="W1648" s="28"/>
      <c r="AA1648"/>
    </row>
    <row r="1649" spans="1:27" x14ac:dyDescent="0.45">
      <c r="A1649" s="57">
        <v>962</v>
      </c>
      <c r="B1649" t="s">
        <v>747</v>
      </c>
      <c r="C1649" t="s">
        <v>748</v>
      </c>
      <c r="D1649" s="12">
        <v>46313</v>
      </c>
      <c r="E1649" s="11">
        <v>9</v>
      </c>
      <c r="F1649" s="11" t="s">
        <v>7463</v>
      </c>
      <c r="G1649">
        <v>20200201</v>
      </c>
      <c r="H1649" s="12">
        <v>46478</v>
      </c>
      <c r="I1649" s="11" t="s">
        <v>63</v>
      </c>
      <c r="J1649" s="72">
        <v>70453903</v>
      </c>
      <c r="K1649" s="99">
        <f>_xlfn.XLOOKUP(_2__ROI_Daily_Update[[#This Row],[CSM id]],SHP!F:F,SHP!EE:EE,"-")</f>
        <v>0</v>
      </c>
      <c r="L1649" s="12"/>
      <c r="N1649" s="11"/>
      <c r="P1649"/>
      <c r="Q1649"/>
      <c r="W1649" s="28"/>
      <c r="AA1649"/>
    </row>
    <row r="1650" spans="1:27" x14ac:dyDescent="0.45">
      <c r="A1650" s="57">
        <v>1821</v>
      </c>
      <c r="B1650" t="s">
        <v>5144</v>
      </c>
      <c r="C1650" t="s">
        <v>5145</v>
      </c>
      <c r="D1650" s="12">
        <v>46313</v>
      </c>
      <c r="E1650" s="11">
        <v>48</v>
      </c>
      <c r="F1650" s="11" t="s">
        <v>7430</v>
      </c>
      <c r="G1650">
        <v>20180401</v>
      </c>
      <c r="I1650" s="11" t="s">
        <v>63</v>
      </c>
      <c r="J1650" s="72">
        <v>70334934</v>
      </c>
      <c r="K1650" s="99">
        <f>_xlfn.XLOOKUP(_2__ROI_Daily_Update[[#This Row],[CSM id]],SHP!F:F,SHP!EE:EE,"-")</f>
        <v>0</v>
      </c>
      <c r="L1650" s="12"/>
      <c r="N1650" s="11"/>
      <c r="P1650"/>
      <c r="Q1650"/>
      <c r="W1650" s="28"/>
      <c r="AA1650"/>
    </row>
    <row r="1651" spans="1:27" x14ac:dyDescent="0.45">
      <c r="A1651" s="57">
        <v>1232</v>
      </c>
      <c r="B1651" t="s">
        <v>5646</v>
      </c>
      <c r="C1651" t="s">
        <v>5647</v>
      </c>
      <c r="D1651" s="12">
        <v>46313</v>
      </c>
      <c r="E1651" s="11">
        <v>96</v>
      </c>
      <c r="F1651" s="11" t="s">
        <v>7410</v>
      </c>
      <c r="G1651">
        <v>20260801</v>
      </c>
      <c r="H1651" s="12">
        <v>46388</v>
      </c>
      <c r="I1651" s="11" t="s">
        <v>63</v>
      </c>
      <c r="J1651" s="72">
        <v>60631350</v>
      </c>
      <c r="K1651" s="99">
        <f>_xlfn.XLOOKUP(_2__ROI_Daily_Update[[#This Row],[CSM id]],SHP!F:F,SHP!EE:EE,"-")</f>
        <v>0</v>
      </c>
      <c r="L1651" s="12"/>
      <c r="N1651" s="11"/>
      <c r="P1651"/>
      <c r="Q1651"/>
      <c r="W1651" s="28"/>
      <c r="AA1651"/>
    </row>
    <row r="1652" spans="1:27" x14ac:dyDescent="0.45">
      <c r="A1652" s="57">
        <v>1232</v>
      </c>
      <c r="B1652" t="s">
        <v>1973</v>
      </c>
      <c r="C1652" t="s">
        <v>1974</v>
      </c>
      <c r="D1652" s="12">
        <v>46313</v>
      </c>
      <c r="E1652" s="11">
        <v>45</v>
      </c>
      <c r="F1652" s="11" t="s">
        <v>6940</v>
      </c>
      <c r="G1652">
        <v>20251001</v>
      </c>
      <c r="I1652" s="11" t="s">
        <v>63</v>
      </c>
      <c r="J1652" s="72">
        <v>60614402</v>
      </c>
      <c r="K1652" s="99">
        <f>_xlfn.XLOOKUP(_2__ROI_Daily_Update[[#This Row],[CSM id]],SHP!F:F,SHP!EE:EE,"-")</f>
        <v>0</v>
      </c>
      <c r="L1652" s="12"/>
      <c r="N1652" s="11"/>
      <c r="P1652"/>
      <c r="Q1652"/>
      <c r="W1652" s="28"/>
      <c r="AA1652"/>
    </row>
    <row r="1653" spans="1:27" x14ac:dyDescent="0.45">
      <c r="A1653" s="57">
        <v>962</v>
      </c>
      <c r="B1653" t="s">
        <v>7105</v>
      </c>
      <c r="C1653" t="s">
        <v>7106</v>
      </c>
      <c r="D1653" s="12">
        <v>46313</v>
      </c>
      <c r="E1653" s="11">
        <v>36</v>
      </c>
      <c r="F1653" s="11" t="s">
        <v>7475</v>
      </c>
      <c r="G1653">
        <v>20260701</v>
      </c>
      <c r="I1653" s="11" t="s">
        <v>63</v>
      </c>
      <c r="J1653" s="72">
        <v>70625099</v>
      </c>
      <c r="K1653" s="99">
        <f>_xlfn.XLOOKUP(_2__ROI_Daily_Update[[#This Row],[CSM id]],SHP!F:F,SHP!EE:EE,"-")</f>
        <v>0</v>
      </c>
      <c r="L1653" s="12"/>
      <c r="N1653" s="11"/>
      <c r="P1653"/>
      <c r="Q1653"/>
      <c r="W1653" s="28"/>
      <c r="AA1653"/>
    </row>
    <row r="1654" spans="1:27" x14ac:dyDescent="0.45">
      <c r="A1654" s="57">
        <v>1232</v>
      </c>
      <c r="B1654" t="s">
        <v>1967</v>
      </c>
      <c r="C1654" t="s">
        <v>1968</v>
      </c>
      <c r="D1654" s="12">
        <v>46313</v>
      </c>
      <c r="E1654" s="11">
        <v>24</v>
      </c>
      <c r="F1654" s="11" t="s">
        <v>7463</v>
      </c>
      <c r="G1654">
        <v>20241001</v>
      </c>
      <c r="H1654" s="12">
        <v>46388</v>
      </c>
      <c r="I1654" s="11" t="s">
        <v>63</v>
      </c>
      <c r="J1654" s="72">
        <v>50584622</v>
      </c>
      <c r="K1654" s="99">
        <f>_xlfn.XLOOKUP(_2__ROI_Daily_Update[[#This Row],[CSM id]],SHP!F:F,SHP!EE:EE,"-")</f>
        <v>0</v>
      </c>
      <c r="L1654" s="12"/>
      <c r="N1654" s="11"/>
      <c r="P1654"/>
      <c r="Q1654"/>
      <c r="W1654" s="28"/>
      <c r="AA1654"/>
    </row>
    <row r="1655" spans="1:27" x14ac:dyDescent="0.45">
      <c r="A1655" s="57">
        <v>1232</v>
      </c>
      <c r="B1655" t="s">
        <v>1967</v>
      </c>
      <c r="C1655" t="s">
        <v>1968</v>
      </c>
      <c r="D1655" s="12">
        <v>46313</v>
      </c>
      <c r="E1655" s="11">
        <v>16</v>
      </c>
      <c r="F1655" s="11" t="s">
        <v>7410</v>
      </c>
      <c r="G1655">
        <v>20241001</v>
      </c>
      <c r="H1655" s="12">
        <v>46388</v>
      </c>
      <c r="I1655" s="11" t="s">
        <v>63</v>
      </c>
      <c r="J1655" s="72">
        <v>50584622</v>
      </c>
      <c r="K1655" s="99">
        <f>_xlfn.XLOOKUP(_2__ROI_Daily_Update[[#This Row],[CSM id]],SHP!F:F,SHP!EE:EE,"-")</f>
        <v>0</v>
      </c>
      <c r="L1655" s="12"/>
      <c r="N1655" s="11"/>
      <c r="P1655"/>
      <c r="Q1655"/>
      <c r="W1655" s="28"/>
      <c r="AA1655"/>
    </row>
    <row r="1656" spans="1:27" x14ac:dyDescent="0.45">
      <c r="A1656" s="57">
        <v>962</v>
      </c>
      <c r="B1656" t="s">
        <v>5951</v>
      </c>
      <c r="C1656" t="s">
        <v>5952</v>
      </c>
      <c r="D1656" s="12">
        <v>46313</v>
      </c>
      <c r="E1656" s="11">
        <v>24</v>
      </c>
      <c r="F1656" s="11" t="s">
        <v>6946</v>
      </c>
      <c r="G1656">
        <v>20260701</v>
      </c>
      <c r="I1656" s="11" t="s">
        <v>63</v>
      </c>
      <c r="J1656" s="72">
        <v>90625041</v>
      </c>
      <c r="K1656" s="99">
        <f>_xlfn.XLOOKUP(_2__ROI_Daily_Update[[#This Row],[CSM id]],SHP!F:F,SHP!EE:EE,"-")</f>
        <v>0</v>
      </c>
      <c r="L1656" s="12"/>
      <c r="N1656" s="11"/>
      <c r="P1656"/>
      <c r="Q1656"/>
      <c r="W1656" s="28"/>
      <c r="AA1656"/>
    </row>
    <row r="1657" spans="1:27" x14ac:dyDescent="0.45">
      <c r="A1657" s="57">
        <v>1232</v>
      </c>
      <c r="B1657" t="s">
        <v>1963</v>
      </c>
      <c r="C1657" t="s">
        <v>1964</v>
      </c>
      <c r="D1657" s="12">
        <v>46313</v>
      </c>
      <c r="E1657" s="11">
        <v>8</v>
      </c>
      <c r="F1657" s="11" t="s">
        <v>7453</v>
      </c>
      <c r="G1657">
        <v>20251001</v>
      </c>
      <c r="I1657" s="11" t="s">
        <v>63</v>
      </c>
      <c r="J1657" s="72">
        <v>30583464</v>
      </c>
      <c r="K1657" s="99">
        <f>_xlfn.XLOOKUP(_2__ROI_Daily_Update[[#This Row],[CSM id]],SHP!F:F,SHP!EE:EE,"-")</f>
        <v>0</v>
      </c>
      <c r="L1657" s="12"/>
      <c r="N1657" s="11"/>
      <c r="P1657"/>
      <c r="Q1657"/>
      <c r="W1657" s="28"/>
      <c r="AA1657"/>
    </row>
    <row r="1658" spans="1:27" x14ac:dyDescent="0.45">
      <c r="A1658" s="57">
        <v>962</v>
      </c>
      <c r="B1658" t="s">
        <v>751</v>
      </c>
      <c r="C1658" t="s">
        <v>752</v>
      </c>
      <c r="D1658" s="12">
        <v>46313</v>
      </c>
      <c r="E1658" s="11">
        <v>22</v>
      </c>
      <c r="F1658" s="11" t="s">
        <v>7420</v>
      </c>
      <c r="G1658">
        <v>20260701</v>
      </c>
      <c r="I1658" s="11" t="s">
        <v>63</v>
      </c>
      <c r="J1658" s="72">
        <v>90625055</v>
      </c>
      <c r="K1658" s="99">
        <f>_xlfn.XLOOKUP(_2__ROI_Daily_Update[[#This Row],[CSM id]],SHP!F:F,SHP!EE:EE,"-")</f>
        <v>0</v>
      </c>
      <c r="L1658" s="12"/>
      <c r="N1658" s="11"/>
      <c r="P1658"/>
      <c r="Q1658"/>
      <c r="W1658" s="28"/>
      <c r="AA1658"/>
    </row>
    <row r="1659" spans="1:27" x14ac:dyDescent="0.45">
      <c r="A1659" s="57">
        <v>1232</v>
      </c>
      <c r="B1659" t="s">
        <v>6251</v>
      </c>
      <c r="C1659" t="s">
        <v>6252</v>
      </c>
      <c r="D1659" s="12">
        <v>46313</v>
      </c>
      <c r="E1659" s="11">
        <v>30</v>
      </c>
      <c r="F1659" s="11" t="s">
        <v>7435</v>
      </c>
      <c r="G1659">
        <v>20231001</v>
      </c>
      <c r="H1659" s="12">
        <v>46478</v>
      </c>
      <c r="I1659" s="11" t="s">
        <v>63</v>
      </c>
      <c r="J1659" s="72">
        <v>20562037</v>
      </c>
      <c r="K1659" s="99">
        <f>_xlfn.XLOOKUP(_2__ROI_Daily_Update[[#This Row],[CSM id]],SHP!F:F,SHP!EE:EE,"-")</f>
        <v>0</v>
      </c>
      <c r="L1659" s="12"/>
      <c r="N1659" s="11"/>
      <c r="P1659"/>
      <c r="Q1659"/>
      <c r="W1659" s="28"/>
      <c r="AA1659"/>
    </row>
    <row r="1660" spans="1:27" x14ac:dyDescent="0.45">
      <c r="A1660" s="57">
        <v>1232</v>
      </c>
      <c r="B1660" t="s">
        <v>6367</v>
      </c>
      <c r="C1660" t="s">
        <v>6368</v>
      </c>
      <c r="D1660" s="12">
        <v>46313</v>
      </c>
      <c r="E1660" s="11">
        <v>180</v>
      </c>
      <c r="F1660" s="11" t="s">
        <v>7453</v>
      </c>
      <c r="G1660">
        <v>20220101</v>
      </c>
      <c r="H1660" s="12">
        <v>46478</v>
      </c>
      <c r="I1660" s="11" t="s">
        <v>63</v>
      </c>
      <c r="J1660" s="72">
        <v>10513599</v>
      </c>
      <c r="K1660" s="99">
        <f>_xlfn.XLOOKUP(_2__ROI_Daily_Update[[#This Row],[CSM id]],SHP!F:F,SHP!EE:EE,"-")</f>
        <v>0</v>
      </c>
      <c r="L1660" s="12"/>
      <c r="N1660" s="11"/>
      <c r="P1660"/>
      <c r="Q1660"/>
      <c r="W1660" s="28"/>
      <c r="AA1660"/>
    </row>
    <row r="1661" spans="1:27" x14ac:dyDescent="0.45">
      <c r="A1661" s="57">
        <v>964</v>
      </c>
      <c r="B1661" t="s">
        <v>5384</v>
      </c>
      <c r="C1661" t="s">
        <v>5385</v>
      </c>
      <c r="D1661" s="12">
        <v>46313</v>
      </c>
      <c r="E1661" s="11">
        <v>14</v>
      </c>
      <c r="F1661" s="11" t="s">
        <v>7420</v>
      </c>
      <c r="G1661">
        <v>20251001</v>
      </c>
      <c r="H1661" s="12">
        <v>46661</v>
      </c>
      <c r="I1661" s="11" t="s">
        <v>63</v>
      </c>
      <c r="J1661" s="72">
        <v>20603245</v>
      </c>
      <c r="K1661" s="99">
        <f>_xlfn.XLOOKUP(_2__ROI_Daily_Update[[#This Row],[CSM id]],SHP!F:F,SHP!EE:EE,"-")</f>
        <v>0</v>
      </c>
      <c r="L1661" s="12"/>
      <c r="N1661" s="11"/>
      <c r="P1661"/>
      <c r="Q1661"/>
      <c r="W1661" s="28"/>
      <c r="AA1661"/>
    </row>
    <row r="1662" spans="1:27" x14ac:dyDescent="0.45">
      <c r="A1662" s="57">
        <v>1232</v>
      </c>
      <c r="B1662" t="s">
        <v>1959</v>
      </c>
      <c r="C1662" t="s">
        <v>1960</v>
      </c>
      <c r="D1662" s="12">
        <v>46313</v>
      </c>
      <c r="E1662" s="11">
        <v>40</v>
      </c>
      <c r="F1662" s="11" t="s">
        <v>7425</v>
      </c>
      <c r="G1662">
        <v>20260101</v>
      </c>
      <c r="I1662" s="11" t="s">
        <v>63</v>
      </c>
      <c r="J1662" s="72">
        <v>621599</v>
      </c>
      <c r="K1662" s="99">
        <f>_xlfn.XLOOKUP(_2__ROI_Daily_Update[[#This Row],[CSM id]],SHP!F:F,SHP!EE:EE,"-")</f>
        <v>0</v>
      </c>
      <c r="L1662" s="12"/>
      <c r="N1662" s="11"/>
      <c r="P1662"/>
      <c r="Q1662"/>
      <c r="W1662" s="28"/>
      <c r="AA1662"/>
    </row>
    <row r="1663" spans="1:27" x14ac:dyDescent="0.45">
      <c r="A1663" s="57">
        <v>1231</v>
      </c>
      <c r="B1663" t="s">
        <v>1955</v>
      </c>
      <c r="C1663" t="s">
        <v>1956</v>
      </c>
      <c r="D1663" s="12">
        <v>46313</v>
      </c>
      <c r="E1663" s="11">
        <v>80</v>
      </c>
      <c r="F1663" s="11" t="s">
        <v>7453</v>
      </c>
      <c r="G1663">
        <v>20261001</v>
      </c>
      <c r="I1663" s="11" t="s">
        <v>63</v>
      </c>
      <c r="J1663" s="72">
        <v>90639712</v>
      </c>
      <c r="K1663" s="99">
        <f>_xlfn.XLOOKUP(_2__ROI_Daily_Update[[#This Row],[CSM id]],SHP!F:F,SHP!EE:EE,"-")</f>
        <v>0</v>
      </c>
      <c r="L1663" s="12"/>
      <c r="N1663" s="11"/>
      <c r="P1663"/>
      <c r="Q1663"/>
      <c r="W1663" s="28"/>
      <c r="AA1663"/>
    </row>
    <row r="1664" spans="1:27" x14ac:dyDescent="0.45">
      <c r="A1664" s="57">
        <v>1231</v>
      </c>
      <c r="B1664" t="s">
        <v>1953</v>
      </c>
      <c r="C1664" t="s">
        <v>1954</v>
      </c>
      <c r="D1664" s="12">
        <v>46313</v>
      </c>
      <c r="E1664" s="11">
        <v>16</v>
      </c>
      <c r="F1664" s="11" t="s">
        <v>7440</v>
      </c>
      <c r="G1664">
        <v>20260701</v>
      </c>
      <c r="H1664" s="12">
        <v>46569</v>
      </c>
      <c r="I1664" s="11" t="s">
        <v>63</v>
      </c>
      <c r="J1664" s="72">
        <v>90625475</v>
      </c>
      <c r="K1664" s="99">
        <f>_xlfn.XLOOKUP(_2__ROI_Daily_Update[[#This Row],[CSM id]],SHP!F:F,SHP!EE:EE,"-")</f>
        <v>0</v>
      </c>
      <c r="L1664" s="12"/>
      <c r="N1664" s="11"/>
      <c r="P1664"/>
      <c r="Q1664"/>
      <c r="W1664" s="28"/>
      <c r="AA1664"/>
    </row>
    <row r="1665" spans="1:27" x14ac:dyDescent="0.45">
      <c r="A1665" s="57">
        <v>964</v>
      </c>
      <c r="B1665" t="s">
        <v>6592</v>
      </c>
      <c r="C1665" t="s">
        <v>6593</v>
      </c>
      <c r="D1665" s="12">
        <v>46313</v>
      </c>
      <c r="E1665" s="11">
        <v>10</v>
      </c>
      <c r="F1665" s="11" t="s">
        <v>7458</v>
      </c>
      <c r="G1665">
        <v>20260401</v>
      </c>
      <c r="I1665" s="11" t="s">
        <v>63</v>
      </c>
      <c r="J1665" s="72">
        <v>30622719</v>
      </c>
      <c r="K1665" s="99">
        <f>_xlfn.XLOOKUP(_2__ROI_Daily_Update[[#This Row],[CSM id]],SHP!F:F,SHP!EE:EE,"-")</f>
        <v>0</v>
      </c>
      <c r="L1665" s="12"/>
      <c r="N1665" s="11"/>
      <c r="P1665"/>
      <c r="Q1665"/>
      <c r="W1665" s="28"/>
      <c r="AA1665"/>
    </row>
    <row r="1666" spans="1:27" x14ac:dyDescent="0.45">
      <c r="A1666" s="57">
        <v>1232</v>
      </c>
      <c r="B1666" t="s">
        <v>1973</v>
      </c>
      <c r="C1666" t="s">
        <v>1974</v>
      </c>
      <c r="D1666" s="12">
        <v>46313</v>
      </c>
      <c r="E1666" s="11">
        <v>30</v>
      </c>
      <c r="F1666" s="11" t="s">
        <v>7475</v>
      </c>
      <c r="G1666">
        <v>20251001</v>
      </c>
      <c r="I1666" s="11" t="s">
        <v>63</v>
      </c>
      <c r="J1666" s="72">
        <v>60614402</v>
      </c>
      <c r="K1666" s="99">
        <f>_xlfn.XLOOKUP(_2__ROI_Daily_Update[[#This Row],[CSM id]],SHP!F:F,SHP!EE:EE,"-")</f>
        <v>0</v>
      </c>
      <c r="L1666" s="12"/>
      <c r="N1666" s="11"/>
      <c r="P1666"/>
      <c r="Q1666"/>
      <c r="W1666" s="28"/>
      <c r="AA1666"/>
    </row>
    <row r="1667" spans="1:27" x14ac:dyDescent="0.45">
      <c r="A1667" s="57">
        <v>1233</v>
      </c>
      <c r="B1667" t="s">
        <v>6449</v>
      </c>
      <c r="C1667" t="s">
        <v>6450</v>
      </c>
      <c r="D1667" s="12">
        <v>46313</v>
      </c>
      <c r="E1667" s="11">
        <v>55</v>
      </c>
      <c r="F1667" s="11" t="s">
        <v>7453</v>
      </c>
      <c r="G1667">
        <v>20250401</v>
      </c>
      <c r="I1667" s="11" t="s">
        <v>63</v>
      </c>
      <c r="J1667" s="72">
        <v>50559726</v>
      </c>
      <c r="K1667" s="99">
        <f>_xlfn.XLOOKUP(_2__ROI_Daily_Update[[#This Row],[CSM id]],SHP!F:F,SHP!EE:EE,"-")</f>
        <v>0</v>
      </c>
      <c r="L1667" s="12"/>
      <c r="N1667" s="11"/>
      <c r="P1667"/>
      <c r="Q1667"/>
      <c r="W1667" s="28"/>
      <c r="AA1667"/>
    </row>
    <row r="1668" spans="1:27" x14ac:dyDescent="0.45">
      <c r="A1668" s="57">
        <v>922</v>
      </c>
      <c r="B1668" t="s">
        <v>737</v>
      </c>
      <c r="C1668" t="s">
        <v>738</v>
      </c>
      <c r="D1668" s="12">
        <v>46313</v>
      </c>
      <c r="E1668" s="11">
        <v>48</v>
      </c>
      <c r="F1668" s="11" t="s">
        <v>7425</v>
      </c>
      <c r="G1668">
        <v>20231001</v>
      </c>
      <c r="I1668" s="11" t="s">
        <v>63</v>
      </c>
      <c r="J1668" s="72">
        <v>90560619</v>
      </c>
      <c r="K1668" s="99">
        <f>_xlfn.XLOOKUP(_2__ROI_Daily_Update[[#This Row],[CSM id]],SHP!F:F,SHP!EE:EE,"-")</f>
        <v>0</v>
      </c>
      <c r="L1668" s="12"/>
      <c r="N1668" s="11"/>
      <c r="P1668"/>
      <c r="Q1668"/>
      <c r="W1668" s="28"/>
      <c r="AA1668"/>
    </row>
    <row r="1669" spans="1:27" x14ac:dyDescent="0.45">
      <c r="A1669" s="57">
        <v>1233</v>
      </c>
      <c r="B1669" t="s">
        <v>5344</v>
      </c>
      <c r="C1669" t="s">
        <v>5345</v>
      </c>
      <c r="D1669" s="12">
        <v>46313</v>
      </c>
      <c r="E1669" s="11">
        <v>76</v>
      </c>
      <c r="F1669" s="11" t="s">
        <v>7420</v>
      </c>
      <c r="G1669">
        <v>20260401</v>
      </c>
      <c r="I1669" s="11" t="s">
        <v>63</v>
      </c>
      <c r="J1669" s="72">
        <v>50629772</v>
      </c>
      <c r="K1669" s="99">
        <f>_xlfn.XLOOKUP(_2__ROI_Daily_Update[[#This Row],[CSM id]],SHP!F:F,SHP!EE:EE,"-")</f>
        <v>0</v>
      </c>
      <c r="L1669" s="12"/>
      <c r="N1669" s="11"/>
      <c r="P1669"/>
      <c r="Q1669"/>
      <c r="W1669" s="28"/>
      <c r="AA1669"/>
    </row>
    <row r="1670" spans="1:27" x14ac:dyDescent="0.45">
      <c r="A1670" s="57">
        <v>1311</v>
      </c>
      <c r="B1670" t="s">
        <v>5967</v>
      </c>
      <c r="C1670" t="s">
        <v>5968</v>
      </c>
      <c r="D1670" s="12">
        <v>46313</v>
      </c>
      <c r="E1670" s="11">
        <v>16</v>
      </c>
      <c r="F1670" s="11" t="s">
        <v>6940</v>
      </c>
      <c r="G1670">
        <v>20250401</v>
      </c>
      <c r="I1670" s="11" t="s">
        <v>63</v>
      </c>
      <c r="J1670" s="72">
        <v>40600967</v>
      </c>
      <c r="K1670" s="99">
        <f>_xlfn.XLOOKUP(_2__ROI_Daily_Update[[#This Row],[CSM id]],SHP!F:F,SHP!EE:EE,"-")</f>
        <v>0</v>
      </c>
      <c r="L1670" s="12"/>
      <c r="N1670" s="11"/>
      <c r="P1670"/>
      <c r="Q1670"/>
      <c r="W1670" s="28"/>
      <c r="AA1670"/>
    </row>
    <row r="1671" spans="1:27" x14ac:dyDescent="0.45">
      <c r="A1671" s="57">
        <v>1311</v>
      </c>
      <c r="B1671" t="s">
        <v>2028</v>
      </c>
      <c r="C1671" t="s">
        <v>2029</v>
      </c>
      <c r="D1671" s="12">
        <v>46313</v>
      </c>
      <c r="E1671" s="11">
        <v>20</v>
      </c>
      <c r="F1671" s="11" t="s">
        <v>6940</v>
      </c>
      <c r="G1671">
        <v>20250401</v>
      </c>
      <c r="I1671" s="11" t="s">
        <v>63</v>
      </c>
      <c r="J1671" s="72">
        <v>40600948</v>
      </c>
      <c r="K1671" s="99">
        <f>_xlfn.XLOOKUP(_2__ROI_Daily_Update[[#This Row],[CSM id]],SHP!F:F,SHP!EE:EE,"-")</f>
        <v>0</v>
      </c>
      <c r="L1671" s="12"/>
      <c r="N1671" s="11"/>
      <c r="P1671"/>
      <c r="Q1671"/>
      <c r="W1671" s="28"/>
      <c r="AA1671"/>
    </row>
    <row r="1672" spans="1:27" x14ac:dyDescent="0.45">
      <c r="A1672" s="57">
        <v>1311</v>
      </c>
      <c r="B1672" t="s">
        <v>2026</v>
      </c>
      <c r="C1672" t="s">
        <v>2027</v>
      </c>
      <c r="D1672" s="12">
        <v>46313</v>
      </c>
      <c r="E1672" s="11">
        <v>20</v>
      </c>
      <c r="F1672" s="11" t="s">
        <v>7425</v>
      </c>
      <c r="G1672">
        <v>20251001</v>
      </c>
      <c r="I1672" s="11" t="s">
        <v>63</v>
      </c>
      <c r="J1672" s="72">
        <v>30628858</v>
      </c>
      <c r="K1672" s="99">
        <f>_xlfn.XLOOKUP(_2__ROI_Daily_Update[[#This Row],[CSM id]],SHP!F:F,SHP!EE:EE,"-")</f>
        <v>0</v>
      </c>
      <c r="L1672" s="12"/>
      <c r="N1672" s="11"/>
      <c r="P1672"/>
      <c r="Q1672"/>
      <c r="W1672" s="28"/>
      <c r="AA1672"/>
    </row>
    <row r="1673" spans="1:27" x14ac:dyDescent="0.45">
      <c r="A1673" s="57">
        <v>1311</v>
      </c>
      <c r="B1673" t="s">
        <v>6157</v>
      </c>
      <c r="C1673" t="s">
        <v>6158</v>
      </c>
      <c r="D1673" s="12">
        <v>46313</v>
      </c>
      <c r="E1673" s="11">
        <v>30</v>
      </c>
      <c r="F1673" s="11" t="s">
        <v>7435</v>
      </c>
      <c r="G1673">
        <v>20260401</v>
      </c>
      <c r="H1673" s="12">
        <v>46569</v>
      </c>
      <c r="I1673" s="11" t="s">
        <v>63</v>
      </c>
      <c r="J1673" s="72">
        <v>30628844</v>
      </c>
      <c r="K1673" s="99">
        <f>_xlfn.XLOOKUP(_2__ROI_Daily_Update[[#This Row],[CSM id]],SHP!F:F,SHP!EE:EE,"-")</f>
        <v>0</v>
      </c>
      <c r="L1673" s="12"/>
      <c r="N1673" s="11"/>
      <c r="P1673"/>
      <c r="Q1673"/>
      <c r="W1673" s="28"/>
      <c r="AA1673"/>
    </row>
    <row r="1674" spans="1:27" x14ac:dyDescent="0.45">
      <c r="A1674" s="57">
        <v>1311</v>
      </c>
      <c r="B1674" t="s">
        <v>2022</v>
      </c>
      <c r="C1674" t="s">
        <v>2023</v>
      </c>
      <c r="D1674" s="12">
        <v>46313</v>
      </c>
      <c r="E1674" s="11">
        <v>32</v>
      </c>
      <c r="F1674" s="11" t="s">
        <v>7415</v>
      </c>
      <c r="G1674">
        <v>20260601</v>
      </c>
      <c r="I1674" s="11" t="s">
        <v>63</v>
      </c>
      <c r="J1674" s="72">
        <v>30619401</v>
      </c>
      <c r="K1674" s="99">
        <f>_xlfn.XLOOKUP(_2__ROI_Daily_Update[[#This Row],[CSM id]],SHP!F:F,SHP!EE:EE,"-")</f>
        <v>0</v>
      </c>
      <c r="L1674" s="12"/>
      <c r="N1674" s="11"/>
      <c r="P1674"/>
      <c r="Q1674"/>
      <c r="W1674" s="28"/>
      <c r="AA1674"/>
    </row>
    <row r="1675" spans="1:27" x14ac:dyDescent="0.45">
      <c r="A1675" s="57">
        <v>922</v>
      </c>
      <c r="B1675" t="s">
        <v>6441</v>
      </c>
      <c r="C1675" t="s">
        <v>6442</v>
      </c>
      <c r="D1675" s="12">
        <v>46313</v>
      </c>
      <c r="E1675" s="11">
        <v>2</v>
      </c>
      <c r="F1675" s="11" t="s">
        <v>7453</v>
      </c>
      <c r="G1675">
        <v>20260101</v>
      </c>
      <c r="I1675" s="11" t="s">
        <v>63</v>
      </c>
      <c r="J1675" s="72">
        <v>70614576</v>
      </c>
      <c r="K1675" s="99">
        <f>_xlfn.XLOOKUP(_2__ROI_Daily_Update[[#This Row],[CSM id]],SHP!F:F,SHP!EE:EE,"-")</f>
        <v>0</v>
      </c>
      <c r="L1675" s="12"/>
      <c r="N1675" s="11"/>
      <c r="P1675"/>
      <c r="Q1675"/>
      <c r="W1675" s="28"/>
      <c r="AA1675"/>
    </row>
    <row r="1676" spans="1:27" x14ac:dyDescent="0.45">
      <c r="A1676" s="57">
        <v>1821</v>
      </c>
      <c r="B1676" t="s">
        <v>3546</v>
      </c>
      <c r="C1676" t="s">
        <v>3547</v>
      </c>
      <c r="D1676" s="12">
        <v>46313</v>
      </c>
      <c r="E1676" s="11">
        <v>72</v>
      </c>
      <c r="F1676" s="11" t="s">
        <v>7420</v>
      </c>
      <c r="G1676">
        <v>20250701</v>
      </c>
      <c r="I1676" s="11" t="s">
        <v>63</v>
      </c>
      <c r="J1676" s="72">
        <v>60606119</v>
      </c>
      <c r="K1676" s="99">
        <f>_xlfn.XLOOKUP(_2__ROI_Daily_Update[[#This Row],[CSM id]],SHP!F:F,SHP!EE:EE,"-")</f>
        <v>0</v>
      </c>
      <c r="L1676" s="12"/>
      <c r="N1676" s="11"/>
      <c r="P1676"/>
      <c r="Q1676"/>
      <c r="W1676" s="28"/>
      <c r="AA1676"/>
    </row>
    <row r="1677" spans="1:27" x14ac:dyDescent="0.45">
      <c r="A1677" s="57">
        <v>1311</v>
      </c>
      <c r="B1677" t="s">
        <v>2018</v>
      </c>
      <c r="C1677" t="s">
        <v>2019</v>
      </c>
      <c r="D1677" s="12">
        <v>46313</v>
      </c>
      <c r="E1677" s="11">
        <v>20</v>
      </c>
      <c r="F1677" s="11" t="s">
        <v>7463</v>
      </c>
      <c r="G1677">
        <v>20260701</v>
      </c>
      <c r="I1677" s="11" t="s">
        <v>63</v>
      </c>
      <c r="J1677" s="72">
        <v>20623229</v>
      </c>
      <c r="K1677" s="99">
        <f>_xlfn.XLOOKUP(_2__ROI_Daily_Update[[#This Row],[CSM id]],SHP!F:F,SHP!EE:EE,"-")</f>
        <v>0</v>
      </c>
      <c r="L1677" s="12"/>
      <c r="N1677" s="11"/>
      <c r="P1677"/>
      <c r="Q1677"/>
      <c r="W1677" s="28"/>
      <c r="AA1677"/>
    </row>
    <row r="1678" spans="1:27" x14ac:dyDescent="0.45">
      <c r="A1678" s="57">
        <v>922</v>
      </c>
      <c r="B1678" t="s">
        <v>7089</v>
      </c>
      <c r="C1678" t="s">
        <v>7090</v>
      </c>
      <c r="D1678" s="12">
        <v>46313</v>
      </c>
      <c r="E1678" s="11">
        <v>204</v>
      </c>
      <c r="F1678" s="11" t="s">
        <v>7475</v>
      </c>
      <c r="G1678">
        <v>20220401</v>
      </c>
      <c r="I1678" s="11" t="s">
        <v>63</v>
      </c>
      <c r="J1678" s="72">
        <v>80532938</v>
      </c>
      <c r="K1678" s="99">
        <f>_xlfn.XLOOKUP(_2__ROI_Daily_Update[[#This Row],[CSM id]],SHP!F:F,SHP!EE:EE,"-")</f>
        <v>0</v>
      </c>
      <c r="L1678" s="12"/>
      <c r="N1678" s="11"/>
      <c r="P1678"/>
      <c r="Q1678"/>
      <c r="W1678" s="28"/>
      <c r="AA1678"/>
    </row>
    <row r="1679" spans="1:27" x14ac:dyDescent="0.45">
      <c r="A1679" s="57">
        <v>1311</v>
      </c>
      <c r="B1679" t="s">
        <v>6861</v>
      </c>
      <c r="C1679" t="s">
        <v>6862</v>
      </c>
      <c r="D1679" s="12">
        <v>46313</v>
      </c>
      <c r="E1679" s="11">
        <v>14</v>
      </c>
      <c r="F1679" s="11" t="s">
        <v>7499</v>
      </c>
      <c r="G1679">
        <v>20260701</v>
      </c>
      <c r="I1679" s="11" t="s">
        <v>18</v>
      </c>
      <c r="J1679" s="72">
        <v>20611453</v>
      </c>
      <c r="K1679" s="99">
        <f>_xlfn.XLOOKUP(_2__ROI_Daily_Update[[#This Row],[CSM id]],SHP!F:F,SHP!EE:EE,"-")</f>
        <v>0</v>
      </c>
      <c r="L1679" s="12"/>
      <c r="N1679" s="11"/>
      <c r="P1679"/>
      <c r="Q1679"/>
      <c r="W1679" s="28"/>
      <c r="AA1679"/>
    </row>
    <row r="1680" spans="1:27" x14ac:dyDescent="0.45">
      <c r="A1680" s="57">
        <v>1311</v>
      </c>
      <c r="B1680" t="s">
        <v>5971</v>
      </c>
      <c r="C1680" t="s">
        <v>5972</v>
      </c>
      <c r="D1680" s="12">
        <v>46313</v>
      </c>
      <c r="E1680" s="11">
        <v>3</v>
      </c>
      <c r="F1680" s="11" t="s">
        <v>6940</v>
      </c>
      <c r="G1680">
        <v>20260901</v>
      </c>
      <c r="H1680" s="12">
        <v>46478</v>
      </c>
      <c r="I1680" s="11" t="s">
        <v>63</v>
      </c>
      <c r="J1680" s="72">
        <v>10622942</v>
      </c>
      <c r="K1680" s="99">
        <f>_xlfn.XLOOKUP(_2__ROI_Daily_Update[[#This Row],[CSM id]],SHP!F:F,SHP!EE:EE,"-")</f>
        <v>0</v>
      </c>
      <c r="L1680" s="12"/>
      <c r="N1680" s="11"/>
      <c r="P1680"/>
      <c r="Q1680"/>
      <c r="W1680" s="28"/>
      <c r="AA1680"/>
    </row>
    <row r="1681" spans="1:27" x14ac:dyDescent="0.45">
      <c r="A1681" s="57">
        <v>1311</v>
      </c>
      <c r="B1681" t="s">
        <v>5304</v>
      </c>
      <c r="C1681" t="s">
        <v>5305</v>
      </c>
      <c r="D1681" s="12">
        <v>46313</v>
      </c>
      <c r="E1681" s="11">
        <v>20</v>
      </c>
      <c r="F1681" s="11" t="s">
        <v>7415</v>
      </c>
      <c r="G1681">
        <v>20240401</v>
      </c>
      <c r="H1681" s="12">
        <v>46661</v>
      </c>
      <c r="I1681" s="11" t="s">
        <v>63</v>
      </c>
      <c r="J1681" s="72">
        <v>10577647</v>
      </c>
      <c r="K1681" s="99">
        <f>_xlfn.XLOOKUP(_2__ROI_Daily_Update[[#This Row],[CSM id]],SHP!F:F,SHP!EE:EE,"-")</f>
        <v>0</v>
      </c>
      <c r="L1681" s="12"/>
      <c r="N1681" s="11"/>
      <c r="P1681"/>
      <c r="Q1681"/>
      <c r="W1681" s="28"/>
      <c r="AA1681"/>
    </row>
    <row r="1682" spans="1:27" x14ac:dyDescent="0.45">
      <c r="A1682" s="57">
        <v>1311</v>
      </c>
      <c r="B1682" t="s">
        <v>7045</v>
      </c>
      <c r="C1682" t="s">
        <v>7046</v>
      </c>
      <c r="D1682" s="12">
        <v>46313</v>
      </c>
      <c r="E1682" s="11">
        <v>20</v>
      </c>
      <c r="F1682" s="11" t="s">
        <v>7475</v>
      </c>
      <c r="G1682">
        <v>20200801</v>
      </c>
      <c r="I1682" s="11" t="s">
        <v>63</v>
      </c>
      <c r="J1682" s="72">
        <v>10482135</v>
      </c>
      <c r="K1682" s="99">
        <f>_xlfn.XLOOKUP(_2__ROI_Daily_Update[[#This Row],[CSM id]],SHP!F:F,SHP!EE:EE,"-")</f>
        <v>0</v>
      </c>
      <c r="L1682" s="12"/>
      <c r="N1682" s="11"/>
      <c r="P1682"/>
      <c r="Q1682"/>
      <c r="W1682" s="28"/>
      <c r="AA1682"/>
    </row>
    <row r="1683" spans="1:27" x14ac:dyDescent="0.45">
      <c r="A1683" s="57">
        <v>1311</v>
      </c>
      <c r="B1683" t="s">
        <v>5152</v>
      </c>
      <c r="C1683" t="s">
        <v>5153</v>
      </c>
      <c r="D1683" s="12">
        <v>46313</v>
      </c>
      <c r="E1683" s="11">
        <v>48</v>
      </c>
      <c r="F1683" s="11" t="s">
        <v>7425</v>
      </c>
      <c r="G1683">
        <v>20240101</v>
      </c>
      <c r="H1683" s="12">
        <v>46478</v>
      </c>
      <c r="I1683" s="11" t="s">
        <v>63</v>
      </c>
      <c r="J1683" s="72">
        <v>569134</v>
      </c>
      <c r="K1683" s="99">
        <f>_xlfn.XLOOKUP(_2__ROI_Daily_Update[[#This Row],[CSM id]],SHP!F:F,SHP!EE:EE,"-")</f>
        <v>0</v>
      </c>
      <c r="L1683" s="12"/>
      <c r="N1683" s="11"/>
      <c r="P1683"/>
      <c r="Q1683"/>
      <c r="W1683" s="28"/>
      <c r="AA1683"/>
    </row>
    <row r="1684" spans="1:27" x14ac:dyDescent="0.45">
      <c r="A1684" s="57">
        <v>1311</v>
      </c>
      <c r="B1684" t="s">
        <v>7043</v>
      </c>
      <c r="C1684" t="s">
        <v>7044</v>
      </c>
      <c r="D1684" s="12">
        <v>46313</v>
      </c>
      <c r="E1684" s="11">
        <v>144</v>
      </c>
      <c r="F1684" s="11" t="s">
        <v>7475</v>
      </c>
      <c r="G1684">
        <v>20200401</v>
      </c>
      <c r="I1684" s="11" t="s">
        <v>63</v>
      </c>
      <c r="J1684" s="72">
        <v>456759</v>
      </c>
      <c r="K1684" s="99">
        <f>_xlfn.XLOOKUP(_2__ROI_Daily_Update[[#This Row],[CSM id]],SHP!F:F,SHP!EE:EE,"-")</f>
        <v>0</v>
      </c>
      <c r="L1684" s="12"/>
      <c r="N1684" s="11"/>
      <c r="P1684"/>
      <c r="Q1684"/>
      <c r="W1684" s="28"/>
      <c r="AA1684"/>
    </row>
    <row r="1685" spans="1:27" x14ac:dyDescent="0.45">
      <c r="A1685" s="57">
        <v>1311</v>
      </c>
      <c r="B1685" t="s">
        <v>2016</v>
      </c>
      <c r="C1685" t="s">
        <v>2017</v>
      </c>
      <c r="D1685" s="12">
        <v>46313</v>
      </c>
      <c r="E1685" s="11">
        <v>32</v>
      </c>
      <c r="F1685" s="11" t="s">
        <v>7458</v>
      </c>
      <c r="G1685">
        <v>20190401</v>
      </c>
      <c r="I1685" s="11" t="s">
        <v>63</v>
      </c>
      <c r="J1685" s="72">
        <v>425536</v>
      </c>
      <c r="K1685" s="99">
        <f>_xlfn.XLOOKUP(_2__ROI_Daily_Update[[#This Row],[CSM id]],SHP!F:F,SHP!EE:EE,"-")</f>
        <v>0</v>
      </c>
      <c r="L1685" s="12"/>
      <c r="N1685" s="11"/>
      <c r="P1685"/>
      <c r="Q1685"/>
      <c r="W1685" s="28"/>
      <c r="AA1685"/>
    </row>
    <row r="1686" spans="1:27" x14ac:dyDescent="0.45">
      <c r="A1686" s="57">
        <v>1311</v>
      </c>
      <c r="B1686" t="s">
        <v>2016</v>
      </c>
      <c r="C1686" t="s">
        <v>2017</v>
      </c>
      <c r="D1686" s="12">
        <v>46313</v>
      </c>
      <c r="E1686" s="11">
        <v>48</v>
      </c>
      <c r="F1686" s="11" t="s">
        <v>7425</v>
      </c>
      <c r="G1686">
        <v>20190401</v>
      </c>
      <c r="I1686" s="11" t="s">
        <v>63</v>
      </c>
      <c r="J1686" s="72">
        <v>425536</v>
      </c>
      <c r="K1686" s="99">
        <f>_xlfn.XLOOKUP(_2__ROI_Daily_Update[[#This Row],[CSM id]],SHP!F:F,SHP!EE:EE,"-")</f>
        <v>0</v>
      </c>
      <c r="L1686" s="12"/>
      <c r="N1686" s="11"/>
      <c r="P1686"/>
      <c r="Q1686"/>
      <c r="W1686" s="28"/>
      <c r="AA1686"/>
    </row>
    <row r="1687" spans="1:27" x14ac:dyDescent="0.45">
      <c r="A1687" s="57">
        <v>1821</v>
      </c>
      <c r="B1687" t="s">
        <v>3548</v>
      </c>
      <c r="C1687" t="s">
        <v>3549</v>
      </c>
      <c r="D1687" s="12">
        <v>46313</v>
      </c>
      <c r="E1687" s="11">
        <v>168</v>
      </c>
      <c r="F1687" s="11" t="s">
        <v>7400</v>
      </c>
      <c r="G1687">
        <v>20180401</v>
      </c>
      <c r="I1687" s="11" t="s">
        <v>63</v>
      </c>
      <c r="J1687" s="72">
        <v>70334929</v>
      </c>
      <c r="K1687" s="99">
        <f>_xlfn.XLOOKUP(_2__ROI_Daily_Update[[#This Row],[CSM id]],SHP!F:F,SHP!EE:EE,"-")</f>
        <v>0</v>
      </c>
      <c r="L1687" s="12"/>
      <c r="N1687" s="11"/>
      <c r="P1687"/>
      <c r="Q1687"/>
      <c r="W1687" s="28"/>
      <c r="AA1687"/>
    </row>
    <row r="1688" spans="1:27" x14ac:dyDescent="0.45">
      <c r="A1688" s="57">
        <v>1233</v>
      </c>
      <c r="B1688" t="s">
        <v>5344</v>
      </c>
      <c r="C1688" t="s">
        <v>5345</v>
      </c>
      <c r="D1688" s="12">
        <v>46313</v>
      </c>
      <c r="E1688" s="11">
        <v>152</v>
      </c>
      <c r="F1688" s="11" t="s">
        <v>7463</v>
      </c>
      <c r="G1688">
        <v>20260401</v>
      </c>
      <c r="I1688" s="11" t="s">
        <v>63</v>
      </c>
      <c r="J1688" s="72">
        <v>50629772</v>
      </c>
      <c r="K1688" s="99">
        <f>_xlfn.XLOOKUP(_2__ROI_Daily_Update[[#This Row],[CSM id]],SHP!F:F,SHP!EE:EE,"-")</f>
        <v>0</v>
      </c>
      <c r="L1688" s="12"/>
      <c r="N1688" s="11"/>
      <c r="P1688"/>
      <c r="Q1688"/>
      <c r="W1688" s="28"/>
      <c r="AA1688"/>
    </row>
    <row r="1689" spans="1:27" x14ac:dyDescent="0.45">
      <c r="A1689" s="57">
        <v>1233</v>
      </c>
      <c r="B1689" t="s">
        <v>1996</v>
      </c>
      <c r="C1689" t="s">
        <v>1997</v>
      </c>
      <c r="D1689" s="12">
        <v>46313</v>
      </c>
      <c r="E1689" s="11">
        <v>48</v>
      </c>
      <c r="F1689" s="11" t="s">
        <v>7499</v>
      </c>
      <c r="G1689">
        <v>20261001</v>
      </c>
      <c r="I1689" s="11" t="s">
        <v>18</v>
      </c>
      <c r="J1689" s="72">
        <v>50636249</v>
      </c>
      <c r="K1689" s="99">
        <f>_xlfn.XLOOKUP(_2__ROI_Daily_Update[[#This Row],[CSM id]],SHP!F:F,SHP!EE:EE,"-")</f>
        <v>0</v>
      </c>
      <c r="L1689" s="12"/>
      <c r="N1689" s="11"/>
      <c r="P1689"/>
      <c r="Q1689"/>
      <c r="W1689" s="28"/>
      <c r="AA1689"/>
    </row>
    <row r="1690" spans="1:27" x14ac:dyDescent="0.45">
      <c r="A1690" s="57">
        <v>922</v>
      </c>
      <c r="B1690" t="s">
        <v>735</v>
      </c>
      <c r="C1690" t="s">
        <v>736</v>
      </c>
      <c r="D1690" s="12">
        <v>46313</v>
      </c>
      <c r="E1690" s="11">
        <v>14</v>
      </c>
      <c r="F1690" s="11" t="s">
        <v>7420</v>
      </c>
      <c r="G1690">
        <v>20230701</v>
      </c>
      <c r="I1690" s="11" t="s">
        <v>63</v>
      </c>
      <c r="J1690" s="72">
        <v>90554425</v>
      </c>
      <c r="K1690" s="99">
        <f>_xlfn.XLOOKUP(_2__ROI_Daily_Update[[#This Row],[CSM id]],SHP!F:F,SHP!EE:EE,"-")</f>
        <v>0</v>
      </c>
      <c r="L1690" s="12"/>
      <c r="N1690" s="11"/>
      <c r="P1690"/>
      <c r="Q1690"/>
      <c r="W1690" s="28"/>
      <c r="AA1690"/>
    </row>
    <row r="1691" spans="1:27" x14ac:dyDescent="0.45">
      <c r="A1691" s="57">
        <v>1233</v>
      </c>
      <c r="B1691" t="s">
        <v>2000</v>
      </c>
      <c r="C1691" t="s">
        <v>2001</v>
      </c>
      <c r="D1691" s="12">
        <v>46313</v>
      </c>
      <c r="E1691" s="11">
        <v>96</v>
      </c>
      <c r="F1691" s="11" t="s">
        <v>7468</v>
      </c>
      <c r="G1691">
        <v>20230701</v>
      </c>
      <c r="I1691" s="11" t="s">
        <v>18</v>
      </c>
      <c r="J1691" s="72">
        <v>60554361</v>
      </c>
      <c r="K1691" s="99">
        <f>_xlfn.XLOOKUP(_2__ROI_Daily_Update[[#This Row],[CSM id]],SHP!F:F,SHP!EE:EE,"-")</f>
        <v>0</v>
      </c>
      <c r="L1691" s="12"/>
      <c r="N1691" s="11"/>
      <c r="P1691"/>
      <c r="Q1691"/>
      <c r="W1691" s="28"/>
      <c r="AA1691"/>
    </row>
    <row r="1692" spans="1:27" x14ac:dyDescent="0.45">
      <c r="A1692" s="57">
        <v>1233</v>
      </c>
      <c r="B1692" t="s">
        <v>6885</v>
      </c>
      <c r="C1692" t="s">
        <v>6886</v>
      </c>
      <c r="D1692" s="12">
        <v>46313</v>
      </c>
      <c r="E1692" s="11">
        <v>144</v>
      </c>
      <c r="F1692" s="11" t="s">
        <v>7463</v>
      </c>
      <c r="G1692">
        <v>20261001</v>
      </c>
      <c r="H1692" s="12">
        <v>46478</v>
      </c>
      <c r="I1692" s="11" t="s">
        <v>63</v>
      </c>
      <c r="J1692" s="72">
        <v>60636908</v>
      </c>
      <c r="K1692" s="99">
        <f>_xlfn.XLOOKUP(_2__ROI_Daily_Update[[#This Row],[CSM id]],SHP!F:F,SHP!EE:EE,"-")</f>
        <v>0</v>
      </c>
      <c r="L1692" s="12"/>
      <c r="N1692" s="11"/>
      <c r="P1692"/>
      <c r="Q1692"/>
      <c r="W1692" s="28"/>
      <c r="AA1692"/>
    </row>
    <row r="1693" spans="1:27" x14ac:dyDescent="0.45">
      <c r="A1693" s="57">
        <v>1231</v>
      </c>
      <c r="B1693" t="s">
        <v>1951</v>
      </c>
      <c r="C1693" t="s">
        <v>1952</v>
      </c>
      <c r="D1693" s="12">
        <v>46313</v>
      </c>
      <c r="E1693" s="11">
        <v>88</v>
      </c>
      <c r="F1693" s="11" t="s">
        <v>7410</v>
      </c>
      <c r="G1693">
        <v>20260701</v>
      </c>
      <c r="I1693" s="11" t="s">
        <v>63</v>
      </c>
      <c r="J1693" s="72">
        <v>90625277</v>
      </c>
      <c r="K1693" s="99">
        <f>_xlfn.XLOOKUP(_2__ROI_Daily_Update[[#This Row],[CSM id]],SHP!F:F,SHP!EE:EE,"-")</f>
        <v>0</v>
      </c>
      <c r="L1693" s="12"/>
      <c r="N1693" s="11"/>
      <c r="P1693"/>
      <c r="Q1693"/>
      <c r="W1693" s="28"/>
      <c r="AA1693"/>
    </row>
    <row r="1694" spans="1:27" x14ac:dyDescent="0.45">
      <c r="A1694" s="57">
        <v>1233</v>
      </c>
      <c r="B1694" t="s">
        <v>6885</v>
      </c>
      <c r="C1694" t="s">
        <v>6886</v>
      </c>
      <c r="D1694" s="12">
        <v>46313</v>
      </c>
      <c r="E1694" s="11">
        <v>72</v>
      </c>
      <c r="F1694" s="11" t="s">
        <v>7480</v>
      </c>
      <c r="G1694">
        <v>20261001</v>
      </c>
      <c r="H1694" s="12">
        <v>46478</v>
      </c>
      <c r="I1694" s="11" t="s">
        <v>63</v>
      </c>
      <c r="J1694" s="72">
        <v>60636908</v>
      </c>
      <c r="K1694" s="99">
        <f>_xlfn.XLOOKUP(_2__ROI_Daily_Update[[#This Row],[CSM id]],SHP!F:F,SHP!EE:EE,"-")</f>
        <v>0</v>
      </c>
      <c r="L1694" s="12"/>
      <c r="N1694" s="11"/>
      <c r="P1694"/>
      <c r="Q1694"/>
      <c r="W1694" s="28"/>
      <c r="AA1694"/>
    </row>
    <row r="1695" spans="1:27" x14ac:dyDescent="0.45">
      <c r="A1695" s="57">
        <v>922</v>
      </c>
      <c r="B1695" t="s">
        <v>5957</v>
      </c>
      <c r="C1695" t="s">
        <v>5958</v>
      </c>
      <c r="D1695" s="12">
        <v>46313</v>
      </c>
      <c r="E1695" s="11">
        <v>20</v>
      </c>
      <c r="F1695" s="11" t="s">
        <v>6940</v>
      </c>
      <c r="G1695">
        <v>20261001</v>
      </c>
      <c r="I1695" s="11" t="s">
        <v>63</v>
      </c>
      <c r="J1695" s="72">
        <v>80631882</v>
      </c>
      <c r="K1695" s="99">
        <f>_xlfn.XLOOKUP(_2__ROI_Daily_Update[[#This Row],[CSM id]],SHP!F:F,SHP!EE:EE,"-")</f>
        <v>0</v>
      </c>
      <c r="L1695" s="12"/>
      <c r="N1695" s="11"/>
      <c r="P1695"/>
      <c r="Q1695"/>
      <c r="W1695" s="28"/>
      <c r="AA1695"/>
    </row>
    <row r="1696" spans="1:27" x14ac:dyDescent="0.45">
      <c r="A1696" s="57">
        <v>1233</v>
      </c>
      <c r="B1696" t="s">
        <v>2008</v>
      </c>
      <c r="C1696" t="s">
        <v>2009</v>
      </c>
      <c r="D1696" s="12">
        <v>46313</v>
      </c>
      <c r="E1696" s="11">
        <v>160</v>
      </c>
      <c r="F1696" s="11" t="s">
        <v>7440</v>
      </c>
      <c r="G1696">
        <v>20261001</v>
      </c>
      <c r="I1696" s="11" t="s">
        <v>63</v>
      </c>
      <c r="J1696" s="72">
        <v>70636267</v>
      </c>
      <c r="K1696" s="99">
        <f>_xlfn.XLOOKUP(_2__ROI_Daily_Update[[#This Row],[CSM id]],SHP!F:F,SHP!EE:EE,"-")</f>
        <v>0</v>
      </c>
      <c r="L1696" s="12"/>
      <c r="N1696" s="11"/>
      <c r="P1696"/>
      <c r="Q1696"/>
      <c r="W1696" s="28"/>
      <c r="AA1696"/>
    </row>
    <row r="1697" spans="1:27" x14ac:dyDescent="0.45">
      <c r="A1697" s="57">
        <v>1233</v>
      </c>
      <c r="B1697" t="s">
        <v>2010</v>
      </c>
      <c r="C1697" t="s">
        <v>2011</v>
      </c>
      <c r="D1697" s="12">
        <v>46313</v>
      </c>
      <c r="E1697" s="11">
        <v>32</v>
      </c>
      <c r="F1697" s="11" t="s">
        <v>7499</v>
      </c>
      <c r="G1697">
        <v>20261001</v>
      </c>
      <c r="I1697" s="11" t="s">
        <v>18</v>
      </c>
      <c r="J1697" s="72">
        <v>70636272</v>
      </c>
      <c r="K1697" s="99">
        <f>_xlfn.XLOOKUP(_2__ROI_Daily_Update[[#This Row],[CSM id]],SHP!F:F,SHP!EE:EE,"-")</f>
        <v>0</v>
      </c>
      <c r="L1697" s="12"/>
      <c r="N1697" s="11"/>
      <c r="P1697"/>
      <c r="Q1697"/>
      <c r="W1697" s="28"/>
      <c r="AA1697"/>
    </row>
    <row r="1698" spans="1:27" x14ac:dyDescent="0.45">
      <c r="A1698" s="57">
        <v>1233</v>
      </c>
      <c r="B1698" t="s">
        <v>2012</v>
      </c>
      <c r="C1698" t="s">
        <v>2013</v>
      </c>
      <c r="D1698" s="12">
        <v>46313</v>
      </c>
      <c r="E1698" s="11">
        <v>120</v>
      </c>
      <c r="F1698" s="11" t="s">
        <v>7485</v>
      </c>
      <c r="G1698">
        <v>20240401</v>
      </c>
      <c r="I1698" s="11" t="s">
        <v>18</v>
      </c>
      <c r="J1698" s="72">
        <v>90563547</v>
      </c>
      <c r="K1698" s="99">
        <f>_xlfn.XLOOKUP(_2__ROI_Daily_Update[[#This Row],[CSM id]],SHP!F:F,SHP!EE:EE,"-")</f>
        <v>0</v>
      </c>
      <c r="L1698" s="12"/>
      <c r="N1698" s="11"/>
      <c r="P1698"/>
      <c r="Q1698"/>
      <c r="W1698" s="28"/>
      <c r="AA1698"/>
    </row>
    <row r="1699" spans="1:27" x14ac:dyDescent="0.45">
      <c r="A1699" s="57">
        <v>1233</v>
      </c>
      <c r="B1699" t="s">
        <v>2014</v>
      </c>
      <c r="C1699" t="s">
        <v>2015</v>
      </c>
      <c r="D1699" s="12">
        <v>46313</v>
      </c>
      <c r="E1699" s="11">
        <v>120</v>
      </c>
      <c r="F1699" s="11" t="s">
        <v>7485</v>
      </c>
      <c r="G1699">
        <v>20261001</v>
      </c>
      <c r="I1699" s="11" t="s">
        <v>18</v>
      </c>
      <c r="J1699" s="72">
        <v>90635158</v>
      </c>
      <c r="K1699" s="99">
        <f>_xlfn.XLOOKUP(_2__ROI_Daily_Update[[#This Row],[CSM id]],SHP!F:F,SHP!EE:EE,"-")</f>
        <v>0</v>
      </c>
      <c r="L1699" s="12"/>
      <c r="N1699" s="11"/>
      <c r="P1699"/>
      <c r="Q1699"/>
      <c r="W1699" s="28"/>
      <c r="AA1699"/>
    </row>
    <row r="1700" spans="1:27" x14ac:dyDescent="0.45">
      <c r="A1700" s="57">
        <v>922</v>
      </c>
      <c r="B1700" t="s">
        <v>733</v>
      </c>
      <c r="C1700" t="s">
        <v>734</v>
      </c>
      <c r="D1700" s="12">
        <v>46313</v>
      </c>
      <c r="E1700" s="11">
        <v>420</v>
      </c>
      <c r="F1700" s="11" t="s">
        <v>7453</v>
      </c>
      <c r="G1700">
        <v>20260101</v>
      </c>
      <c r="I1700" s="11" t="s">
        <v>63</v>
      </c>
      <c r="J1700" s="72">
        <v>80604119</v>
      </c>
      <c r="K1700" s="99">
        <f>_xlfn.XLOOKUP(_2__ROI_Daily_Update[[#This Row],[CSM id]],SHP!F:F,SHP!EE:EE,"-")</f>
        <v>0</v>
      </c>
      <c r="L1700" s="12"/>
      <c r="N1700" s="11"/>
      <c r="P1700"/>
      <c r="Q1700"/>
      <c r="W1700" s="28"/>
      <c r="AA1700"/>
    </row>
    <row r="1701" spans="1:27" x14ac:dyDescent="0.45">
      <c r="A1701" s="57">
        <v>1233</v>
      </c>
      <c r="B1701" t="s">
        <v>2006</v>
      </c>
      <c r="C1701" t="s">
        <v>2007</v>
      </c>
      <c r="D1701" s="12">
        <v>46313</v>
      </c>
      <c r="E1701" s="11">
        <v>108</v>
      </c>
      <c r="F1701" s="11" t="s">
        <v>7400</v>
      </c>
      <c r="G1701">
        <v>20250701</v>
      </c>
      <c r="I1701" s="11" t="s">
        <v>63</v>
      </c>
      <c r="J1701" s="72">
        <v>70607991</v>
      </c>
      <c r="K1701" s="99">
        <f>_xlfn.XLOOKUP(_2__ROI_Daily_Update[[#This Row],[CSM id]],SHP!F:F,SHP!EE:EE,"-")</f>
        <v>0</v>
      </c>
      <c r="L1701" s="12"/>
      <c r="N1701" s="11"/>
      <c r="P1701"/>
      <c r="Q1701"/>
      <c r="W1701" s="28"/>
      <c r="AA1701"/>
    </row>
    <row r="1702" spans="1:27" x14ac:dyDescent="0.45">
      <c r="A1702" s="57">
        <v>1231</v>
      </c>
      <c r="B1702" t="s">
        <v>1949</v>
      </c>
      <c r="C1702" t="s">
        <v>1950</v>
      </c>
      <c r="D1702" s="12">
        <v>46313</v>
      </c>
      <c r="E1702" s="11">
        <v>104</v>
      </c>
      <c r="F1702" s="11" t="s">
        <v>7400</v>
      </c>
      <c r="G1702">
        <v>20260401</v>
      </c>
      <c r="H1702" s="12">
        <v>46569</v>
      </c>
      <c r="I1702" s="11" t="s">
        <v>63</v>
      </c>
      <c r="J1702" s="72">
        <v>90624386</v>
      </c>
      <c r="K1702" s="99">
        <f>_xlfn.XLOOKUP(_2__ROI_Daily_Update[[#This Row],[CSM id]],SHP!F:F,SHP!EE:EE,"-")</f>
        <v>0</v>
      </c>
      <c r="L1702" s="12"/>
      <c r="N1702" s="11"/>
      <c r="P1702"/>
      <c r="Q1702"/>
      <c r="W1702" s="28"/>
      <c r="AA1702"/>
    </row>
    <row r="1703" spans="1:27" x14ac:dyDescent="0.45">
      <c r="A1703" s="57">
        <v>1231</v>
      </c>
      <c r="B1703" t="s">
        <v>1947</v>
      </c>
      <c r="C1703" t="s">
        <v>1948</v>
      </c>
      <c r="D1703" s="12">
        <v>46313</v>
      </c>
      <c r="E1703" s="11">
        <v>84</v>
      </c>
      <c r="F1703" s="11" t="s">
        <v>7420</v>
      </c>
      <c r="G1703">
        <v>20250701</v>
      </c>
      <c r="H1703" s="12">
        <v>46569</v>
      </c>
      <c r="I1703" s="11" t="s">
        <v>63</v>
      </c>
      <c r="J1703" s="72">
        <v>90610742</v>
      </c>
      <c r="K1703" s="99">
        <f>_xlfn.XLOOKUP(_2__ROI_Daily_Update[[#This Row],[CSM id]],SHP!F:F,SHP!EE:EE,"-")</f>
        <v>0</v>
      </c>
      <c r="L1703" s="12"/>
      <c r="N1703" s="11"/>
      <c r="P1703"/>
      <c r="Q1703"/>
      <c r="W1703" s="28"/>
      <c r="AA1703"/>
    </row>
    <row r="1704" spans="1:27" x14ac:dyDescent="0.45">
      <c r="A1704" s="57">
        <v>1231</v>
      </c>
      <c r="B1704" t="s">
        <v>1945</v>
      </c>
      <c r="C1704" t="s">
        <v>1946</v>
      </c>
      <c r="D1704" s="12">
        <v>46313</v>
      </c>
      <c r="E1704" s="11">
        <v>24</v>
      </c>
      <c r="F1704" s="11" t="s">
        <v>6940</v>
      </c>
      <c r="G1704">
        <v>20250401</v>
      </c>
      <c r="H1704" s="12">
        <v>46569</v>
      </c>
      <c r="I1704" s="11" t="s">
        <v>63</v>
      </c>
      <c r="J1704" s="72">
        <v>90603987</v>
      </c>
      <c r="K1704" s="99">
        <f>_xlfn.XLOOKUP(_2__ROI_Daily_Update[[#This Row],[CSM id]],SHP!F:F,SHP!EE:EE,"-")</f>
        <v>0</v>
      </c>
      <c r="L1704" s="12"/>
      <c r="N1704" s="11"/>
      <c r="P1704"/>
      <c r="Q1704"/>
      <c r="W1704" s="28"/>
      <c r="AA1704"/>
    </row>
    <row r="1705" spans="1:27" x14ac:dyDescent="0.45">
      <c r="A1705" s="57">
        <v>1231</v>
      </c>
      <c r="B1705" t="s">
        <v>1911</v>
      </c>
      <c r="C1705" t="s">
        <v>1912</v>
      </c>
      <c r="D1705" s="12">
        <v>46313</v>
      </c>
      <c r="E1705" s="11">
        <v>20</v>
      </c>
      <c r="F1705" s="11" t="s">
        <v>7420</v>
      </c>
      <c r="G1705">
        <v>20200801</v>
      </c>
      <c r="H1705" s="12">
        <v>46478</v>
      </c>
      <c r="I1705" s="11" t="s">
        <v>63</v>
      </c>
      <c r="J1705" s="72">
        <v>70465053</v>
      </c>
      <c r="K1705" s="99">
        <f>_xlfn.XLOOKUP(_2__ROI_Daily_Update[[#This Row],[CSM id]],SHP!F:F,SHP!EE:EE,"-")</f>
        <v>0</v>
      </c>
      <c r="L1705" s="12"/>
      <c r="N1705" s="11"/>
      <c r="P1705"/>
      <c r="Q1705"/>
      <c r="W1705" s="28"/>
      <c r="AA1705"/>
    </row>
    <row r="1706" spans="1:27" x14ac:dyDescent="0.45">
      <c r="A1706" s="57">
        <v>1231</v>
      </c>
      <c r="B1706" t="s">
        <v>1909</v>
      </c>
      <c r="C1706" t="s">
        <v>1910</v>
      </c>
      <c r="D1706" s="12">
        <v>46313</v>
      </c>
      <c r="E1706" s="11">
        <v>272</v>
      </c>
      <c r="F1706" s="11" t="s">
        <v>7499</v>
      </c>
      <c r="G1706">
        <v>20180801</v>
      </c>
      <c r="I1706" s="11" t="s">
        <v>18</v>
      </c>
      <c r="J1706" s="72">
        <v>70372775</v>
      </c>
      <c r="K1706" s="99">
        <f>_xlfn.XLOOKUP(_2__ROI_Daily_Update[[#This Row],[CSM id]],SHP!F:F,SHP!EE:EE,"-")</f>
        <v>0</v>
      </c>
      <c r="L1706" s="12"/>
      <c r="N1706" s="11"/>
      <c r="P1706"/>
      <c r="Q1706"/>
      <c r="W1706" s="28"/>
      <c r="AA1706"/>
    </row>
    <row r="1707" spans="1:27" x14ac:dyDescent="0.45">
      <c r="A1707" s="57">
        <v>1231</v>
      </c>
      <c r="B1707" t="s">
        <v>1909</v>
      </c>
      <c r="C1707" t="s">
        <v>1910</v>
      </c>
      <c r="D1707" s="12">
        <v>46313</v>
      </c>
      <c r="E1707" s="11">
        <v>408</v>
      </c>
      <c r="F1707" s="11" t="s">
        <v>7485</v>
      </c>
      <c r="G1707">
        <v>20180801</v>
      </c>
      <c r="I1707" s="11" t="s">
        <v>18</v>
      </c>
      <c r="J1707" s="72">
        <v>70372775</v>
      </c>
      <c r="K1707" s="99">
        <f>_xlfn.XLOOKUP(_2__ROI_Daily_Update[[#This Row],[CSM id]],SHP!F:F,SHP!EE:EE,"-")</f>
        <v>0</v>
      </c>
      <c r="L1707" s="12"/>
      <c r="N1707" s="11"/>
      <c r="P1707"/>
      <c r="Q1707"/>
      <c r="W1707" s="28"/>
      <c r="AA1707"/>
    </row>
    <row r="1708" spans="1:27" x14ac:dyDescent="0.45">
      <c r="A1708" s="57">
        <v>965</v>
      </c>
      <c r="B1708" t="s">
        <v>771</v>
      </c>
      <c r="C1708" t="s">
        <v>772</v>
      </c>
      <c r="D1708" s="12">
        <v>46313</v>
      </c>
      <c r="E1708" s="11">
        <v>23</v>
      </c>
      <c r="F1708" s="11" t="s">
        <v>7435</v>
      </c>
      <c r="G1708">
        <v>20240101</v>
      </c>
      <c r="I1708" s="11" t="s">
        <v>63</v>
      </c>
      <c r="J1708" s="72">
        <v>60542127</v>
      </c>
      <c r="K1708" s="99">
        <f>_xlfn.XLOOKUP(_2__ROI_Daily_Update[[#This Row],[CSM id]],SHP!F:F,SHP!EE:EE,"-")</f>
        <v>0</v>
      </c>
      <c r="L1708" s="12"/>
      <c r="N1708" s="11"/>
      <c r="P1708"/>
      <c r="Q1708"/>
      <c r="W1708" s="28"/>
      <c r="AA1708"/>
    </row>
    <row r="1709" spans="1:27" x14ac:dyDescent="0.45">
      <c r="A1709" s="57">
        <v>965</v>
      </c>
      <c r="B1709" t="s">
        <v>773</v>
      </c>
      <c r="C1709" t="s">
        <v>774</v>
      </c>
      <c r="D1709" s="12">
        <v>46313</v>
      </c>
      <c r="E1709" s="11">
        <v>8</v>
      </c>
      <c r="F1709" s="11" t="s">
        <v>6946</v>
      </c>
      <c r="G1709">
        <v>20260201</v>
      </c>
      <c r="I1709" s="11" t="s">
        <v>63</v>
      </c>
      <c r="J1709" s="72">
        <v>70602012</v>
      </c>
      <c r="K1709" s="99">
        <f>_xlfn.XLOOKUP(_2__ROI_Daily_Update[[#This Row],[CSM id]],SHP!F:F,SHP!EE:EE,"-")</f>
        <v>0</v>
      </c>
      <c r="L1709" s="12"/>
      <c r="N1709" s="11"/>
      <c r="P1709"/>
      <c r="Q1709"/>
      <c r="W1709" s="28"/>
      <c r="AA1709"/>
    </row>
    <row r="1710" spans="1:27" x14ac:dyDescent="0.45">
      <c r="A1710" s="57">
        <v>1231</v>
      </c>
      <c r="B1710" t="s">
        <v>1907</v>
      </c>
      <c r="C1710" t="s">
        <v>1908</v>
      </c>
      <c r="D1710" s="12">
        <v>46313</v>
      </c>
      <c r="E1710" s="11">
        <v>36</v>
      </c>
      <c r="F1710" s="11" t="s">
        <v>7453</v>
      </c>
      <c r="G1710">
        <v>20260401</v>
      </c>
      <c r="H1710" s="12">
        <v>46569</v>
      </c>
      <c r="I1710" s="11" t="s">
        <v>63</v>
      </c>
      <c r="J1710" s="72">
        <v>60641113</v>
      </c>
      <c r="K1710" s="99">
        <f>_xlfn.XLOOKUP(_2__ROI_Daily_Update[[#This Row],[CSM id]],SHP!F:F,SHP!EE:EE,"-")</f>
        <v>0</v>
      </c>
      <c r="L1710" s="12"/>
      <c r="N1710" s="11"/>
      <c r="P1710"/>
      <c r="Q1710"/>
      <c r="W1710" s="28"/>
      <c r="AA1710"/>
    </row>
    <row r="1711" spans="1:27" x14ac:dyDescent="0.45">
      <c r="A1711" s="57">
        <v>1231</v>
      </c>
      <c r="B1711" t="s">
        <v>1907</v>
      </c>
      <c r="C1711" t="s">
        <v>1908</v>
      </c>
      <c r="D1711" s="12">
        <v>46313</v>
      </c>
      <c r="E1711" s="11">
        <v>18</v>
      </c>
      <c r="F1711" s="11" t="s">
        <v>7410</v>
      </c>
      <c r="G1711">
        <v>20260401</v>
      </c>
      <c r="H1711" s="12">
        <v>46569</v>
      </c>
      <c r="I1711" s="11" t="s">
        <v>63</v>
      </c>
      <c r="J1711" s="72">
        <v>60641113</v>
      </c>
      <c r="K1711" s="99">
        <f>_xlfn.XLOOKUP(_2__ROI_Daily_Update[[#This Row],[CSM id]],SHP!F:F,SHP!EE:EE,"-")</f>
        <v>0</v>
      </c>
      <c r="L1711" s="12"/>
      <c r="N1711" s="11"/>
      <c r="P1711"/>
      <c r="Q1711"/>
      <c r="W1711" s="28"/>
      <c r="AA1711"/>
    </row>
    <row r="1712" spans="1:27" x14ac:dyDescent="0.45">
      <c r="A1712" s="57">
        <v>965</v>
      </c>
      <c r="B1712" t="s">
        <v>773</v>
      </c>
      <c r="C1712" t="s">
        <v>774</v>
      </c>
      <c r="D1712" s="12">
        <v>46313</v>
      </c>
      <c r="E1712" s="11">
        <v>8</v>
      </c>
      <c r="F1712" s="11" t="s">
        <v>7453</v>
      </c>
      <c r="G1712">
        <v>20260201</v>
      </c>
      <c r="I1712" s="11" t="s">
        <v>63</v>
      </c>
      <c r="J1712" s="72">
        <v>70602012</v>
      </c>
      <c r="K1712" s="99">
        <f>_xlfn.XLOOKUP(_2__ROI_Daily_Update[[#This Row],[CSM id]],SHP!F:F,SHP!EE:EE,"-")</f>
        <v>0</v>
      </c>
      <c r="L1712" s="12"/>
      <c r="N1712" s="11"/>
      <c r="P1712"/>
      <c r="Q1712"/>
      <c r="W1712" s="28"/>
      <c r="AA1712"/>
    </row>
    <row r="1713" spans="1:27" x14ac:dyDescent="0.45">
      <c r="A1713" s="57">
        <v>1231</v>
      </c>
      <c r="B1713" t="s">
        <v>1903</v>
      </c>
      <c r="C1713" t="s">
        <v>1904</v>
      </c>
      <c r="D1713" s="12">
        <v>46313</v>
      </c>
      <c r="E1713" s="11">
        <v>16</v>
      </c>
      <c r="F1713" s="11" t="s">
        <v>7480</v>
      </c>
      <c r="G1713">
        <v>20260701</v>
      </c>
      <c r="I1713" s="11" t="s">
        <v>63</v>
      </c>
      <c r="J1713" s="72">
        <v>60636003</v>
      </c>
      <c r="K1713" s="99">
        <f>_xlfn.XLOOKUP(_2__ROI_Daily_Update[[#This Row],[CSM id]],SHP!F:F,SHP!EE:EE,"-")</f>
        <v>0</v>
      </c>
      <c r="L1713" s="12"/>
      <c r="N1713" s="11"/>
      <c r="P1713"/>
      <c r="Q1713"/>
      <c r="W1713" s="28"/>
      <c r="AA1713"/>
    </row>
    <row r="1714" spans="1:27" x14ac:dyDescent="0.45">
      <c r="A1714" s="57">
        <v>1231</v>
      </c>
      <c r="B1714" t="s">
        <v>1903</v>
      </c>
      <c r="C1714" t="s">
        <v>1904</v>
      </c>
      <c r="D1714" s="12">
        <v>46313</v>
      </c>
      <c r="E1714" s="11">
        <v>48</v>
      </c>
      <c r="F1714" s="11" t="s">
        <v>7400</v>
      </c>
      <c r="G1714">
        <v>20260701</v>
      </c>
      <c r="I1714" s="11" t="s">
        <v>63</v>
      </c>
      <c r="J1714" s="72">
        <v>60636003</v>
      </c>
      <c r="K1714" s="99">
        <f>_xlfn.XLOOKUP(_2__ROI_Daily_Update[[#This Row],[CSM id]],SHP!F:F,SHP!EE:EE,"-")</f>
        <v>0</v>
      </c>
      <c r="L1714" s="12"/>
      <c r="N1714" s="11"/>
      <c r="P1714"/>
      <c r="Q1714"/>
      <c r="W1714" s="28"/>
      <c r="AA1714"/>
    </row>
    <row r="1715" spans="1:27" x14ac:dyDescent="0.45">
      <c r="A1715" s="57">
        <v>1231</v>
      </c>
      <c r="B1715" t="s">
        <v>1903</v>
      </c>
      <c r="C1715" t="s">
        <v>1904</v>
      </c>
      <c r="D1715" s="12">
        <v>46313</v>
      </c>
      <c r="E1715" s="11">
        <v>16</v>
      </c>
      <c r="F1715" s="11" t="s">
        <v>7430</v>
      </c>
      <c r="G1715">
        <v>20260701</v>
      </c>
      <c r="I1715" s="11" t="s">
        <v>63</v>
      </c>
      <c r="J1715" s="72">
        <v>60636003</v>
      </c>
      <c r="K1715" s="99">
        <f>_xlfn.XLOOKUP(_2__ROI_Daily_Update[[#This Row],[CSM id]],SHP!F:F,SHP!EE:EE,"-")</f>
        <v>0</v>
      </c>
      <c r="L1715" s="12"/>
      <c r="N1715" s="11"/>
      <c r="P1715"/>
      <c r="Q1715"/>
      <c r="W1715" s="28"/>
      <c r="AA1715"/>
    </row>
    <row r="1716" spans="1:27" x14ac:dyDescent="0.45">
      <c r="A1716" s="57">
        <v>1833</v>
      </c>
      <c r="B1716" t="s">
        <v>6047</v>
      </c>
      <c r="C1716" t="s">
        <v>6048</v>
      </c>
      <c r="D1716" s="12">
        <v>46313</v>
      </c>
      <c r="E1716" s="11">
        <v>100</v>
      </c>
      <c r="F1716" s="11" t="s">
        <v>7440</v>
      </c>
      <c r="G1716">
        <v>20260701</v>
      </c>
      <c r="I1716" s="11" t="s">
        <v>63</v>
      </c>
      <c r="J1716" s="72">
        <v>50612724</v>
      </c>
      <c r="K1716" s="99">
        <f>_xlfn.XLOOKUP(_2__ROI_Daily_Update[[#This Row],[CSM id]],SHP!F:F,SHP!EE:EE,"-")</f>
        <v>0</v>
      </c>
      <c r="L1716" s="12"/>
      <c r="N1716" s="11"/>
      <c r="P1716"/>
      <c r="Q1716"/>
      <c r="W1716" s="28"/>
      <c r="AA1716"/>
    </row>
    <row r="1717" spans="1:27" x14ac:dyDescent="0.45">
      <c r="A1717" s="57">
        <v>1231</v>
      </c>
      <c r="B1717" t="s">
        <v>5935</v>
      </c>
      <c r="C1717" t="s">
        <v>5936</v>
      </c>
      <c r="D1717" s="12">
        <v>46313</v>
      </c>
      <c r="E1717" s="11">
        <v>56</v>
      </c>
      <c r="F1717" s="11" t="s">
        <v>7480</v>
      </c>
      <c r="G1717">
        <v>20260401</v>
      </c>
      <c r="I1717" s="11" t="s">
        <v>63</v>
      </c>
      <c r="J1717" s="72">
        <v>60626419</v>
      </c>
      <c r="K1717" s="99">
        <f>_xlfn.XLOOKUP(_2__ROI_Daily_Update[[#This Row],[CSM id]],SHP!F:F,SHP!EE:EE,"-")</f>
        <v>0</v>
      </c>
      <c r="L1717" s="12"/>
      <c r="N1717" s="11"/>
      <c r="P1717"/>
      <c r="Q1717"/>
      <c r="W1717" s="28"/>
      <c r="AA1717"/>
    </row>
    <row r="1718" spans="1:27" x14ac:dyDescent="0.45">
      <c r="A1718" s="57">
        <v>1231</v>
      </c>
      <c r="B1718" t="s">
        <v>5935</v>
      </c>
      <c r="C1718" t="s">
        <v>5936</v>
      </c>
      <c r="D1718" s="12">
        <v>46313</v>
      </c>
      <c r="E1718" s="11">
        <v>56</v>
      </c>
      <c r="F1718" s="11" t="s">
        <v>6946</v>
      </c>
      <c r="G1718">
        <v>20260401</v>
      </c>
      <c r="I1718" s="11" t="s">
        <v>63</v>
      </c>
      <c r="J1718" s="72">
        <v>60626419</v>
      </c>
      <c r="K1718" s="99">
        <f>_xlfn.XLOOKUP(_2__ROI_Daily_Update[[#This Row],[CSM id]],SHP!F:F,SHP!EE:EE,"-")</f>
        <v>0</v>
      </c>
      <c r="L1718" s="12"/>
      <c r="N1718" s="11"/>
      <c r="P1718"/>
      <c r="Q1718"/>
      <c r="W1718" s="28"/>
      <c r="AA1718"/>
    </row>
    <row r="1719" spans="1:27" x14ac:dyDescent="0.45">
      <c r="A1719" s="57">
        <v>1231</v>
      </c>
      <c r="B1719" t="s">
        <v>5737</v>
      </c>
      <c r="C1719" t="s">
        <v>5738</v>
      </c>
      <c r="D1719" s="12">
        <v>46313</v>
      </c>
      <c r="E1719" s="11">
        <v>144</v>
      </c>
      <c r="F1719" s="11" t="s">
        <v>7395</v>
      </c>
      <c r="G1719">
        <v>20250401</v>
      </c>
      <c r="H1719" s="12">
        <v>46569</v>
      </c>
      <c r="I1719" s="11" t="s">
        <v>63</v>
      </c>
      <c r="J1719" s="72">
        <v>60603998</v>
      </c>
      <c r="K1719" s="99">
        <f>_xlfn.XLOOKUP(_2__ROI_Daily_Update[[#This Row],[CSM id]],SHP!F:F,SHP!EE:EE,"-")</f>
        <v>0</v>
      </c>
      <c r="L1719" s="12"/>
      <c r="N1719" s="11"/>
      <c r="P1719"/>
      <c r="Q1719"/>
      <c r="W1719" s="28"/>
      <c r="AA1719"/>
    </row>
    <row r="1720" spans="1:27" x14ac:dyDescent="0.45">
      <c r="A1720" s="57">
        <v>1231</v>
      </c>
      <c r="B1720" t="s">
        <v>1899</v>
      </c>
      <c r="C1720" t="s">
        <v>1900</v>
      </c>
      <c r="D1720" s="12">
        <v>46313</v>
      </c>
      <c r="E1720" s="11">
        <v>48</v>
      </c>
      <c r="F1720" s="11" t="s">
        <v>7410</v>
      </c>
      <c r="G1720">
        <v>20241001</v>
      </c>
      <c r="I1720" s="11" t="s">
        <v>63</v>
      </c>
      <c r="J1720" s="72">
        <v>60590929</v>
      </c>
      <c r="K1720" s="99">
        <f>_xlfn.XLOOKUP(_2__ROI_Daily_Update[[#This Row],[CSM id]],SHP!F:F,SHP!EE:EE,"-")</f>
        <v>0</v>
      </c>
      <c r="L1720" s="12"/>
      <c r="N1720" s="11"/>
      <c r="P1720"/>
      <c r="Q1720"/>
      <c r="W1720" s="28"/>
      <c r="AA1720"/>
    </row>
    <row r="1721" spans="1:27" x14ac:dyDescent="0.45">
      <c r="A1721" s="57">
        <v>1231</v>
      </c>
      <c r="B1721" t="s">
        <v>1897</v>
      </c>
      <c r="C1721" t="s">
        <v>1898</v>
      </c>
      <c r="D1721" s="12">
        <v>46313</v>
      </c>
      <c r="E1721" s="11">
        <v>20</v>
      </c>
      <c r="F1721" s="11" t="s">
        <v>7448</v>
      </c>
      <c r="G1721">
        <v>20250101</v>
      </c>
      <c r="I1721" s="11" t="s">
        <v>63</v>
      </c>
      <c r="J1721" s="72">
        <v>60588139</v>
      </c>
      <c r="K1721" s="99">
        <f>_xlfn.XLOOKUP(_2__ROI_Daily_Update[[#This Row],[CSM id]],SHP!F:F,SHP!EE:EE,"-")</f>
        <v>0</v>
      </c>
      <c r="L1721" s="12"/>
      <c r="N1721" s="11"/>
      <c r="P1721"/>
      <c r="Q1721"/>
      <c r="W1721" s="28"/>
      <c r="AA1721"/>
    </row>
    <row r="1722" spans="1:27" x14ac:dyDescent="0.45">
      <c r="A1722" s="57">
        <v>1231</v>
      </c>
      <c r="B1722" t="s">
        <v>5769</v>
      </c>
      <c r="C1722" t="s">
        <v>5770</v>
      </c>
      <c r="D1722" s="12">
        <v>46313</v>
      </c>
      <c r="E1722" s="11">
        <v>16</v>
      </c>
      <c r="F1722" s="11" t="s">
        <v>6946</v>
      </c>
      <c r="G1722">
        <v>20241001</v>
      </c>
      <c r="H1722" s="12">
        <v>46569</v>
      </c>
      <c r="I1722" s="11" t="s">
        <v>63</v>
      </c>
      <c r="J1722" s="72">
        <v>50590982</v>
      </c>
      <c r="K1722" s="99">
        <f>_xlfn.XLOOKUP(_2__ROI_Daily_Update[[#This Row],[CSM id]],SHP!F:F,SHP!EE:EE,"-")</f>
        <v>0</v>
      </c>
      <c r="L1722" s="12"/>
      <c r="N1722" s="11"/>
      <c r="P1722"/>
      <c r="Q1722"/>
      <c r="W1722" s="28"/>
      <c r="AA1722"/>
    </row>
    <row r="1723" spans="1:27" x14ac:dyDescent="0.45">
      <c r="A1723" s="57">
        <v>1231</v>
      </c>
      <c r="B1723" t="s">
        <v>5769</v>
      </c>
      <c r="C1723" t="s">
        <v>5770</v>
      </c>
      <c r="D1723" s="12">
        <v>46313</v>
      </c>
      <c r="E1723" s="11">
        <v>16</v>
      </c>
      <c r="F1723" s="11" t="s">
        <v>7440</v>
      </c>
      <c r="G1723">
        <v>20241001</v>
      </c>
      <c r="H1723" s="12">
        <v>46569</v>
      </c>
      <c r="I1723" s="11" t="s">
        <v>63</v>
      </c>
      <c r="J1723" s="72">
        <v>50590982</v>
      </c>
      <c r="K1723" s="99">
        <f>_xlfn.XLOOKUP(_2__ROI_Daily_Update[[#This Row],[CSM id]],SHP!F:F,SHP!EE:EE,"-")</f>
        <v>0</v>
      </c>
      <c r="L1723" s="12"/>
      <c r="N1723" s="11"/>
      <c r="P1723"/>
      <c r="Q1723"/>
      <c r="W1723" s="28"/>
      <c r="AA1723"/>
    </row>
    <row r="1724" spans="1:27" x14ac:dyDescent="0.45">
      <c r="A1724" s="57">
        <v>1231</v>
      </c>
      <c r="B1724" t="s">
        <v>5298</v>
      </c>
      <c r="C1724" t="s">
        <v>5299</v>
      </c>
      <c r="D1724" s="12">
        <v>46313</v>
      </c>
      <c r="E1724" s="11">
        <v>30</v>
      </c>
      <c r="F1724" s="11" t="s">
        <v>7420</v>
      </c>
      <c r="G1724">
        <v>20241001</v>
      </c>
      <c r="I1724" s="11" t="s">
        <v>63</v>
      </c>
      <c r="J1724" s="72">
        <v>50591137</v>
      </c>
      <c r="K1724" s="99">
        <f>_xlfn.XLOOKUP(_2__ROI_Daily_Update[[#This Row],[CSM id]],SHP!F:F,SHP!EE:EE,"-")</f>
        <v>0</v>
      </c>
      <c r="L1724" s="12"/>
      <c r="N1724" s="11"/>
      <c r="P1724"/>
      <c r="Q1724"/>
      <c r="W1724" s="28"/>
      <c r="AA1724"/>
    </row>
    <row r="1725" spans="1:27" x14ac:dyDescent="0.45">
      <c r="A1725" s="57">
        <v>1231</v>
      </c>
      <c r="B1725" t="s">
        <v>5298</v>
      </c>
      <c r="C1725" t="s">
        <v>5299</v>
      </c>
      <c r="D1725" s="12">
        <v>46313</v>
      </c>
      <c r="E1725" s="11">
        <v>40</v>
      </c>
      <c r="F1725" s="11" t="s">
        <v>7440</v>
      </c>
      <c r="G1725">
        <v>20241001</v>
      </c>
      <c r="I1725" s="11" t="s">
        <v>63</v>
      </c>
      <c r="J1725" s="72">
        <v>50591137</v>
      </c>
      <c r="K1725" s="99">
        <f>_xlfn.XLOOKUP(_2__ROI_Daily_Update[[#This Row],[CSM id]],SHP!F:F,SHP!EE:EE,"-")</f>
        <v>0</v>
      </c>
      <c r="L1725" s="12"/>
      <c r="N1725" s="11"/>
      <c r="P1725"/>
      <c r="Q1725"/>
      <c r="W1725" s="28"/>
      <c r="AA1725"/>
    </row>
    <row r="1726" spans="1:27" x14ac:dyDescent="0.45">
      <c r="A1726" s="57">
        <v>1231</v>
      </c>
      <c r="B1726" t="s">
        <v>1889</v>
      </c>
      <c r="C1726" t="s">
        <v>1890</v>
      </c>
      <c r="D1726" s="12">
        <v>46313</v>
      </c>
      <c r="E1726" s="11">
        <v>56</v>
      </c>
      <c r="F1726" s="11" t="s">
        <v>7430</v>
      </c>
      <c r="G1726">
        <v>20260101</v>
      </c>
      <c r="I1726" s="11" t="s">
        <v>63</v>
      </c>
      <c r="J1726" s="72">
        <v>50604700</v>
      </c>
      <c r="K1726" s="99">
        <f>_xlfn.XLOOKUP(_2__ROI_Daily_Update[[#This Row],[CSM id]],SHP!F:F,SHP!EE:EE,"-")</f>
        <v>0</v>
      </c>
      <c r="L1726" s="12"/>
      <c r="N1726" s="11"/>
      <c r="P1726"/>
      <c r="Q1726"/>
      <c r="W1726" s="28"/>
      <c r="AA1726"/>
    </row>
    <row r="1727" spans="1:27" x14ac:dyDescent="0.45">
      <c r="A1727" s="57">
        <v>1231</v>
      </c>
      <c r="B1727" t="s">
        <v>1889</v>
      </c>
      <c r="C1727" t="s">
        <v>1890</v>
      </c>
      <c r="D1727" s="12">
        <v>46313</v>
      </c>
      <c r="E1727" s="11">
        <v>56</v>
      </c>
      <c r="F1727" s="11" t="s">
        <v>7480</v>
      </c>
      <c r="G1727">
        <v>20260101</v>
      </c>
      <c r="I1727" s="11" t="s">
        <v>63</v>
      </c>
      <c r="J1727" s="72">
        <v>50604700</v>
      </c>
      <c r="K1727" s="99">
        <f>_xlfn.XLOOKUP(_2__ROI_Daily_Update[[#This Row],[CSM id]],SHP!F:F,SHP!EE:EE,"-")</f>
        <v>0</v>
      </c>
      <c r="L1727" s="12"/>
      <c r="N1727" s="11"/>
      <c r="P1727"/>
      <c r="Q1727"/>
      <c r="W1727" s="28"/>
      <c r="AA1727"/>
    </row>
    <row r="1728" spans="1:27" x14ac:dyDescent="0.45">
      <c r="A1728" s="57">
        <v>1833</v>
      </c>
      <c r="B1728" t="s">
        <v>3636</v>
      </c>
      <c r="C1728" t="s">
        <v>3637</v>
      </c>
      <c r="D1728" s="12">
        <v>46313</v>
      </c>
      <c r="E1728" s="11">
        <v>240</v>
      </c>
      <c r="F1728" s="11" t="s">
        <v>7458</v>
      </c>
      <c r="G1728">
        <v>20240701</v>
      </c>
      <c r="I1728" s="11" t="s">
        <v>63</v>
      </c>
      <c r="J1728" s="72">
        <v>70579158</v>
      </c>
      <c r="K1728" s="99">
        <f>_xlfn.XLOOKUP(_2__ROI_Daily_Update[[#This Row],[CSM id]],SHP!F:F,SHP!EE:EE,"-")</f>
        <v>0</v>
      </c>
      <c r="L1728" s="12"/>
      <c r="N1728" s="11"/>
      <c r="P1728"/>
      <c r="Q1728"/>
      <c r="W1728" s="28"/>
      <c r="AA1728"/>
    </row>
    <row r="1729" spans="1:27" x14ac:dyDescent="0.45">
      <c r="A1729" s="57">
        <v>1231</v>
      </c>
      <c r="B1729" t="s">
        <v>1891</v>
      </c>
      <c r="C1729" t="s">
        <v>1892</v>
      </c>
      <c r="D1729" s="12">
        <v>46313</v>
      </c>
      <c r="E1729" s="11">
        <v>36</v>
      </c>
      <c r="F1729" s="11" t="s">
        <v>7405</v>
      </c>
      <c r="G1729">
        <v>20250701</v>
      </c>
      <c r="I1729" s="11" t="s">
        <v>63</v>
      </c>
      <c r="J1729" s="72">
        <v>50623421</v>
      </c>
      <c r="K1729" s="99">
        <f>_xlfn.XLOOKUP(_2__ROI_Daily_Update[[#This Row],[CSM id]],SHP!F:F,SHP!EE:EE,"-")</f>
        <v>0</v>
      </c>
      <c r="L1729" s="12"/>
      <c r="N1729" s="11"/>
      <c r="P1729"/>
      <c r="Q1729"/>
      <c r="W1729" s="28"/>
      <c r="AA1729"/>
    </row>
    <row r="1730" spans="1:27" x14ac:dyDescent="0.45">
      <c r="A1730" s="57">
        <v>1231</v>
      </c>
      <c r="B1730" t="s">
        <v>6891</v>
      </c>
      <c r="C1730" t="s">
        <v>6892</v>
      </c>
      <c r="D1730" s="12">
        <v>46313</v>
      </c>
      <c r="E1730" s="11">
        <v>44</v>
      </c>
      <c r="F1730" s="11" t="s">
        <v>7463</v>
      </c>
      <c r="G1730">
        <v>20261001</v>
      </c>
      <c r="H1730" s="12">
        <v>46388</v>
      </c>
      <c r="I1730" s="11" t="s">
        <v>63</v>
      </c>
      <c r="J1730" s="72">
        <v>50634373</v>
      </c>
      <c r="K1730" s="99">
        <f>_xlfn.XLOOKUP(_2__ROI_Daily_Update[[#This Row],[CSM id]],SHP!F:F,SHP!EE:EE,"-")</f>
        <v>0</v>
      </c>
      <c r="L1730" s="12"/>
      <c r="N1730" s="11"/>
      <c r="P1730"/>
      <c r="Q1730"/>
      <c r="W1730" s="28"/>
      <c r="AA1730"/>
    </row>
    <row r="1731" spans="1:27" x14ac:dyDescent="0.45">
      <c r="A1731" s="57">
        <v>1231</v>
      </c>
      <c r="B1731" t="s">
        <v>1893</v>
      </c>
      <c r="C1731" t="s">
        <v>1894</v>
      </c>
      <c r="D1731" s="12">
        <v>46313</v>
      </c>
      <c r="E1731" s="11">
        <v>224</v>
      </c>
      <c r="F1731" s="11" t="s">
        <v>7468</v>
      </c>
      <c r="G1731">
        <v>20230401</v>
      </c>
      <c r="I1731" s="11" t="s">
        <v>18</v>
      </c>
      <c r="J1731" s="72">
        <v>60548370</v>
      </c>
      <c r="K1731" s="99">
        <f>_xlfn.XLOOKUP(_2__ROI_Daily_Update[[#This Row],[CSM id]],SHP!F:F,SHP!EE:EE,"-")</f>
        <v>0</v>
      </c>
      <c r="L1731" s="12"/>
      <c r="N1731" s="11"/>
      <c r="P1731"/>
      <c r="Q1731"/>
      <c r="W1731" s="28"/>
      <c r="AA1731"/>
    </row>
    <row r="1732" spans="1:27" x14ac:dyDescent="0.45">
      <c r="A1732" s="57">
        <v>1231</v>
      </c>
      <c r="B1732" t="s">
        <v>1895</v>
      </c>
      <c r="C1732" t="s">
        <v>1896</v>
      </c>
      <c r="D1732" s="12">
        <v>46313</v>
      </c>
      <c r="E1732" s="11">
        <v>72</v>
      </c>
      <c r="F1732" s="11" t="s">
        <v>7468</v>
      </c>
      <c r="G1732">
        <v>20230401</v>
      </c>
      <c r="I1732" s="11" t="s">
        <v>18</v>
      </c>
      <c r="J1732" s="72">
        <v>60550711</v>
      </c>
      <c r="K1732" s="99">
        <f>_xlfn.XLOOKUP(_2__ROI_Daily_Update[[#This Row],[CSM id]],SHP!F:F,SHP!EE:EE,"-")</f>
        <v>0</v>
      </c>
      <c r="L1732" s="12"/>
      <c r="N1732" s="11"/>
      <c r="P1732"/>
      <c r="Q1732"/>
      <c r="W1732" s="28"/>
      <c r="AA1732"/>
    </row>
    <row r="1733" spans="1:27" x14ac:dyDescent="0.45">
      <c r="A1733" s="57">
        <v>1231</v>
      </c>
      <c r="B1733" t="s">
        <v>1895</v>
      </c>
      <c r="C1733" t="s">
        <v>1896</v>
      </c>
      <c r="D1733" s="12">
        <v>46313</v>
      </c>
      <c r="E1733" s="11">
        <v>144</v>
      </c>
      <c r="F1733" s="11" t="s">
        <v>7485</v>
      </c>
      <c r="G1733">
        <v>20230401</v>
      </c>
      <c r="I1733" s="11" t="s">
        <v>18</v>
      </c>
      <c r="J1733" s="72">
        <v>60550711</v>
      </c>
      <c r="K1733" s="99">
        <f>_xlfn.XLOOKUP(_2__ROI_Daily_Update[[#This Row],[CSM id]],SHP!F:F,SHP!EE:EE,"-")</f>
        <v>0</v>
      </c>
      <c r="L1733" s="12"/>
      <c r="N1733" s="11"/>
      <c r="P1733"/>
      <c r="Q1733"/>
      <c r="W1733" s="28"/>
      <c r="AA1733"/>
    </row>
    <row r="1734" spans="1:27" x14ac:dyDescent="0.45">
      <c r="A1734" s="57">
        <v>1231</v>
      </c>
      <c r="B1734" t="s">
        <v>6337</v>
      </c>
      <c r="C1734" t="s">
        <v>6338</v>
      </c>
      <c r="D1734" s="12">
        <v>46313</v>
      </c>
      <c r="E1734" s="11">
        <v>26</v>
      </c>
      <c r="F1734" s="11" t="s">
        <v>7448</v>
      </c>
      <c r="G1734">
        <v>20240101</v>
      </c>
      <c r="I1734" s="11" t="s">
        <v>63</v>
      </c>
      <c r="J1734" s="72">
        <v>60570988</v>
      </c>
      <c r="K1734" s="99">
        <f>_xlfn.XLOOKUP(_2__ROI_Daily_Update[[#This Row],[CSM id]],SHP!F:F,SHP!EE:EE,"-")</f>
        <v>0</v>
      </c>
      <c r="L1734" s="12"/>
      <c r="N1734" s="11"/>
      <c r="P1734"/>
      <c r="Q1734"/>
      <c r="W1734" s="28"/>
      <c r="AA1734"/>
    </row>
    <row r="1735" spans="1:27" x14ac:dyDescent="0.45">
      <c r="A1735" s="57">
        <v>965</v>
      </c>
      <c r="B1735" t="s">
        <v>773</v>
      </c>
      <c r="C1735" t="s">
        <v>774</v>
      </c>
      <c r="D1735" s="12">
        <v>46313</v>
      </c>
      <c r="E1735" s="11">
        <v>8</v>
      </c>
      <c r="F1735" s="11" t="s">
        <v>7480</v>
      </c>
      <c r="G1735">
        <v>20260201</v>
      </c>
      <c r="I1735" s="11" t="s">
        <v>63</v>
      </c>
      <c r="J1735" s="72">
        <v>70602012</v>
      </c>
      <c r="K1735" s="99">
        <f>_xlfn.XLOOKUP(_2__ROI_Daily_Update[[#This Row],[CSM id]],SHP!F:F,SHP!EE:EE,"-")</f>
        <v>0</v>
      </c>
      <c r="L1735" s="12"/>
      <c r="N1735" s="11"/>
      <c r="P1735"/>
      <c r="Q1735"/>
      <c r="W1735" s="28"/>
      <c r="AA1735"/>
    </row>
    <row r="1736" spans="1:27" x14ac:dyDescent="0.45">
      <c r="A1736" s="57">
        <v>1231</v>
      </c>
      <c r="B1736" t="s">
        <v>6582</v>
      </c>
      <c r="C1736" t="s">
        <v>6583</v>
      </c>
      <c r="D1736" s="12">
        <v>46313</v>
      </c>
      <c r="E1736" s="11">
        <v>40</v>
      </c>
      <c r="F1736" s="11" t="s">
        <v>7463</v>
      </c>
      <c r="G1736">
        <v>20260701</v>
      </c>
      <c r="H1736" s="12">
        <v>46569</v>
      </c>
      <c r="I1736" s="11" t="s">
        <v>63</v>
      </c>
      <c r="J1736" s="72">
        <v>50625463</v>
      </c>
      <c r="K1736" s="99">
        <f>_xlfn.XLOOKUP(_2__ROI_Daily_Update[[#This Row],[CSM id]],SHP!F:F,SHP!EE:EE,"-")</f>
        <v>0</v>
      </c>
      <c r="L1736" s="12"/>
      <c r="N1736" s="11"/>
      <c r="P1736"/>
      <c r="Q1736"/>
      <c r="W1736" s="28"/>
      <c r="AA1736"/>
    </row>
    <row r="1737" spans="1:27" x14ac:dyDescent="0.45">
      <c r="A1737" s="57">
        <v>1311</v>
      </c>
      <c r="B1737" t="s">
        <v>5967</v>
      </c>
      <c r="C1737" t="s">
        <v>5968</v>
      </c>
      <c r="D1737" s="12">
        <v>46313</v>
      </c>
      <c r="E1737" s="11">
        <v>16</v>
      </c>
      <c r="F1737" s="11" t="s">
        <v>7475</v>
      </c>
      <c r="G1737">
        <v>20250401</v>
      </c>
      <c r="I1737" s="11" t="s">
        <v>63</v>
      </c>
      <c r="J1737" s="72">
        <v>40600967</v>
      </c>
      <c r="K1737" s="99">
        <f>_xlfn.XLOOKUP(_2__ROI_Daily_Update[[#This Row],[CSM id]],SHP!F:F,SHP!EE:EE,"-")</f>
        <v>0</v>
      </c>
      <c r="L1737" s="12"/>
      <c r="N1737" s="11"/>
      <c r="P1737"/>
      <c r="Q1737"/>
      <c r="W1737" s="28"/>
      <c r="AA1737"/>
    </row>
    <row r="1738" spans="1:27" x14ac:dyDescent="0.45">
      <c r="A1738" s="57">
        <v>1231</v>
      </c>
      <c r="B1738" t="s">
        <v>1915</v>
      </c>
      <c r="C1738" t="s">
        <v>1916</v>
      </c>
      <c r="D1738" s="12">
        <v>46313</v>
      </c>
      <c r="E1738" s="11">
        <v>36</v>
      </c>
      <c r="F1738" s="11" t="s">
        <v>7415</v>
      </c>
      <c r="G1738">
        <v>20240701</v>
      </c>
      <c r="H1738" s="12">
        <v>46478</v>
      </c>
      <c r="I1738" s="11" t="s">
        <v>63</v>
      </c>
      <c r="J1738" s="72">
        <v>70561808</v>
      </c>
      <c r="K1738" s="99">
        <f>_xlfn.XLOOKUP(_2__ROI_Daily_Update[[#This Row],[CSM id]],SHP!F:F,SHP!EE:EE,"-")</f>
        <v>0</v>
      </c>
      <c r="L1738" s="12"/>
      <c r="N1738" s="11"/>
      <c r="P1738"/>
      <c r="Q1738"/>
      <c r="W1738" s="28"/>
      <c r="AA1738"/>
    </row>
    <row r="1739" spans="1:27" x14ac:dyDescent="0.45">
      <c r="A1739" s="57">
        <v>1231</v>
      </c>
      <c r="B1739" t="s">
        <v>1917</v>
      </c>
      <c r="C1739" t="s">
        <v>1918</v>
      </c>
      <c r="D1739" s="12">
        <v>46313</v>
      </c>
      <c r="E1739" s="11">
        <v>20</v>
      </c>
      <c r="F1739" s="11" t="s">
        <v>7410</v>
      </c>
      <c r="G1739">
        <v>20250401</v>
      </c>
      <c r="H1739" s="12">
        <v>46661</v>
      </c>
      <c r="I1739" s="11" t="s">
        <v>63</v>
      </c>
      <c r="J1739" s="72">
        <v>70592131</v>
      </c>
      <c r="K1739" s="99">
        <f>_xlfn.XLOOKUP(_2__ROI_Daily_Update[[#This Row],[CSM id]],SHP!F:F,SHP!EE:EE,"-")</f>
        <v>0</v>
      </c>
      <c r="L1739" s="12"/>
      <c r="N1739" s="11"/>
      <c r="P1739"/>
      <c r="Q1739"/>
      <c r="W1739" s="28"/>
      <c r="AA1739"/>
    </row>
    <row r="1740" spans="1:27" x14ac:dyDescent="0.45">
      <c r="A1740" s="57">
        <v>1231</v>
      </c>
      <c r="B1740" t="s">
        <v>1945</v>
      </c>
      <c r="C1740" t="s">
        <v>1946</v>
      </c>
      <c r="D1740" s="12">
        <v>46313</v>
      </c>
      <c r="E1740" s="11">
        <v>24</v>
      </c>
      <c r="F1740" s="11" t="s">
        <v>7405</v>
      </c>
      <c r="G1740">
        <v>20250401</v>
      </c>
      <c r="H1740" s="12">
        <v>46569</v>
      </c>
      <c r="I1740" s="11" t="s">
        <v>63</v>
      </c>
      <c r="J1740" s="72">
        <v>90603987</v>
      </c>
      <c r="K1740" s="99">
        <f>_xlfn.XLOOKUP(_2__ROI_Daily_Update[[#This Row],[CSM id]],SHP!F:F,SHP!EE:EE,"-")</f>
        <v>0</v>
      </c>
      <c r="L1740" s="12"/>
      <c r="N1740" s="11"/>
      <c r="P1740"/>
      <c r="Q1740"/>
      <c r="W1740" s="28"/>
      <c r="AA1740"/>
    </row>
    <row r="1741" spans="1:27" x14ac:dyDescent="0.45">
      <c r="A1741" s="57">
        <v>964</v>
      </c>
      <c r="B1741" t="s">
        <v>6578</v>
      </c>
      <c r="C1741" t="s">
        <v>6579</v>
      </c>
      <c r="D1741" s="12">
        <v>46313</v>
      </c>
      <c r="E1741" s="11">
        <v>14</v>
      </c>
      <c r="F1741" s="11" t="s">
        <v>7463</v>
      </c>
      <c r="G1741">
        <v>20251001</v>
      </c>
      <c r="H1741" s="12">
        <v>46661</v>
      </c>
      <c r="I1741" s="11" t="s">
        <v>63</v>
      </c>
      <c r="J1741" s="72">
        <v>40603254</v>
      </c>
      <c r="K1741" s="99">
        <f>_xlfn.XLOOKUP(_2__ROI_Daily_Update[[#This Row],[CSM id]],SHP!F:F,SHP!EE:EE,"-")</f>
        <v>0</v>
      </c>
      <c r="L1741" s="12"/>
      <c r="N1741" s="11"/>
      <c r="P1741"/>
      <c r="Q1741"/>
      <c r="W1741" s="28"/>
      <c r="AA1741"/>
    </row>
    <row r="1742" spans="1:27" x14ac:dyDescent="0.45">
      <c r="A1742" s="57">
        <v>1231</v>
      </c>
      <c r="B1742" t="s">
        <v>1943</v>
      </c>
      <c r="C1742" t="s">
        <v>1944</v>
      </c>
      <c r="D1742" s="12">
        <v>46313</v>
      </c>
      <c r="E1742" s="11">
        <v>48</v>
      </c>
      <c r="F1742" s="11" t="s">
        <v>7410</v>
      </c>
      <c r="G1742">
        <v>20240701</v>
      </c>
      <c r="I1742" s="11" t="s">
        <v>63</v>
      </c>
      <c r="J1742" s="72">
        <v>90582329</v>
      </c>
      <c r="K1742" s="99">
        <f>_xlfn.XLOOKUP(_2__ROI_Daily_Update[[#This Row],[CSM id]],SHP!F:F,SHP!EE:EE,"-")</f>
        <v>0</v>
      </c>
      <c r="L1742" s="12"/>
      <c r="N1742" s="11"/>
      <c r="P1742"/>
      <c r="Q1742"/>
      <c r="W1742" s="28"/>
      <c r="AA1742"/>
    </row>
    <row r="1743" spans="1:27" x14ac:dyDescent="0.45">
      <c r="A1743" s="57">
        <v>1231</v>
      </c>
      <c r="B1743" t="s">
        <v>1939</v>
      </c>
      <c r="C1743" t="s">
        <v>1940</v>
      </c>
      <c r="D1743" s="12">
        <v>46313</v>
      </c>
      <c r="E1743" s="11">
        <v>40</v>
      </c>
      <c r="F1743" s="11" t="s">
        <v>7463</v>
      </c>
      <c r="G1743">
        <v>20220401</v>
      </c>
      <c r="H1743" s="12">
        <v>46569</v>
      </c>
      <c r="I1743" s="11" t="s">
        <v>63</v>
      </c>
      <c r="J1743" s="72">
        <v>90517683</v>
      </c>
      <c r="K1743" s="99">
        <f>_xlfn.XLOOKUP(_2__ROI_Daily_Update[[#This Row],[CSM id]],SHP!F:F,SHP!EE:EE,"-")</f>
        <v>0</v>
      </c>
      <c r="L1743" s="12"/>
      <c r="N1743" s="11"/>
      <c r="P1743"/>
      <c r="Q1743"/>
      <c r="W1743" s="28"/>
      <c r="AA1743"/>
    </row>
    <row r="1744" spans="1:27" x14ac:dyDescent="0.45">
      <c r="A1744" s="57">
        <v>1231</v>
      </c>
      <c r="B1744" t="s">
        <v>1939</v>
      </c>
      <c r="C1744" t="s">
        <v>1940</v>
      </c>
      <c r="D1744" s="12">
        <v>46313</v>
      </c>
      <c r="E1744" s="11">
        <v>40</v>
      </c>
      <c r="F1744" s="11" t="s">
        <v>7420</v>
      </c>
      <c r="G1744">
        <v>20220401</v>
      </c>
      <c r="H1744" s="12">
        <v>46569</v>
      </c>
      <c r="I1744" s="11" t="s">
        <v>63</v>
      </c>
      <c r="J1744" s="72">
        <v>90517683</v>
      </c>
      <c r="K1744" s="99">
        <f>_xlfn.XLOOKUP(_2__ROI_Daily_Update[[#This Row],[CSM id]],SHP!F:F,SHP!EE:EE,"-")</f>
        <v>0</v>
      </c>
      <c r="L1744" s="12"/>
      <c r="N1744" s="11"/>
      <c r="P1744"/>
      <c r="Q1744"/>
      <c r="W1744" s="28"/>
      <c r="AA1744"/>
    </row>
    <row r="1745" spans="1:27" x14ac:dyDescent="0.45">
      <c r="A1745" s="57">
        <v>1231</v>
      </c>
      <c r="B1745" t="s">
        <v>6175</v>
      </c>
      <c r="C1745" t="s">
        <v>6176</v>
      </c>
      <c r="D1745" s="12">
        <v>46313</v>
      </c>
      <c r="E1745" s="11">
        <v>48</v>
      </c>
      <c r="F1745" s="11" t="s">
        <v>7435</v>
      </c>
      <c r="G1745">
        <v>20210201</v>
      </c>
      <c r="H1745" s="12">
        <v>46569</v>
      </c>
      <c r="I1745" s="11" t="s">
        <v>63</v>
      </c>
      <c r="J1745" s="72">
        <v>90485578</v>
      </c>
      <c r="K1745" s="99">
        <f>_xlfn.XLOOKUP(_2__ROI_Daily_Update[[#This Row],[CSM id]],SHP!F:F,SHP!EE:EE,"-")</f>
        <v>0</v>
      </c>
      <c r="L1745" s="12"/>
      <c r="N1745" s="11"/>
      <c r="P1745"/>
      <c r="Q1745"/>
      <c r="W1745" s="28"/>
      <c r="AA1745"/>
    </row>
    <row r="1746" spans="1:27" x14ac:dyDescent="0.45">
      <c r="A1746" s="57">
        <v>1231</v>
      </c>
      <c r="B1746" t="s">
        <v>1937</v>
      </c>
      <c r="C1746" t="s">
        <v>1938</v>
      </c>
      <c r="D1746" s="12">
        <v>46313</v>
      </c>
      <c r="E1746" s="11">
        <v>18</v>
      </c>
      <c r="F1746" s="11" t="s">
        <v>7453</v>
      </c>
      <c r="G1746">
        <v>20191001</v>
      </c>
      <c r="H1746" s="12">
        <v>46388</v>
      </c>
      <c r="I1746" s="11" t="s">
        <v>63</v>
      </c>
      <c r="J1746" s="72">
        <v>90471699</v>
      </c>
      <c r="K1746" s="99">
        <f>_xlfn.XLOOKUP(_2__ROI_Daily_Update[[#This Row],[CSM id]],SHP!F:F,SHP!EE:EE,"-")</f>
        <v>0</v>
      </c>
      <c r="L1746" s="12"/>
      <c r="N1746" s="11"/>
      <c r="P1746"/>
      <c r="Q1746"/>
      <c r="W1746" s="28"/>
      <c r="AA1746"/>
    </row>
    <row r="1747" spans="1:27" x14ac:dyDescent="0.45">
      <c r="A1747" s="57">
        <v>1231</v>
      </c>
      <c r="B1747" t="s">
        <v>1937</v>
      </c>
      <c r="C1747" t="s">
        <v>1938</v>
      </c>
      <c r="D1747" s="12">
        <v>46313</v>
      </c>
      <c r="E1747" s="11">
        <v>18</v>
      </c>
      <c r="F1747" s="11" t="s">
        <v>7430</v>
      </c>
      <c r="G1747">
        <v>20191001</v>
      </c>
      <c r="H1747" s="12">
        <v>46388</v>
      </c>
      <c r="I1747" s="11" t="s">
        <v>63</v>
      </c>
      <c r="J1747" s="72">
        <v>90471699</v>
      </c>
      <c r="K1747" s="99">
        <f>_xlfn.XLOOKUP(_2__ROI_Daily_Update[[#This Row],[CSM id]],SHP!F:F,SHP!EE:EE,"-")</f>
        <v>0</v>
      </c>
      <c r="L1747" s="12"/>
      <c r="N1747" s="11"/>
      <c r="P1747"/>
      <c r="Q1747"/>
      <c r="W1747" s="28"/>
      <c r="AA1747"/>
    </row>
    <row r="1748" spans="1:27" x14ac:dyDescent="0.45">
      <c r="A1748" s="57">
        <v>964</v>
      </c>
      <c r="B1748" t="s">
        <v>759</v>
      </c>
      <c r="C1748" t="s">
        <v>760</v>
      </c>
      <c r="D1748" s="12">
        <v>46313</v>
      </c>
      <c r="E1748" s="11">
        <v>10</v>
      </c>
      <c r="F1748" s="11" t="s">
        <v>7435</v>
      </c>
      <c r="G1748">
        <v>20200801</v>
      </c>
      <c r="H1748" s="12">
        <v>46388</v>
      </c>
      <c r="I1748" s="11" t="s">
        <v>63</v>
      </c>
      <c r="J1748" s="72">
        <v>70464119</v>
      </c>
      <c r="K1748" s="99">
        <f>_xlfn.XLOOKUP(_2__ROI_Daily_Update[[#This Row],[CSM id]],SHP!F:F,SHP!EE:EE,"-")</f>
        <v>0</v>
      </c>
      <c r="L1748" s="12"/>
      <c r="N1748" s="11"/>
      <c r="P1748"/>
      <c r="Q1748"/>
      <c r="W1748" s="28"/>
      <c r="AA1748"/>
    </row>
    <row r="1749" spans="1:27" x14ac:dyDescent="0.45">
      <c r="A1749" s="57">
        <v>1231</v>
      </c>
      <c r="B1749" t="s">
        <v>1931</v>
      </c>
      <c r="C1749" t="s">
        <v>1932</v>
      </c>
      <c r="D1749" s="12">
        <v>46313</v>
      </c>
      <c r="E1749" s="11">
        <v>48</v>
      </c>
      <c r="F1749" s="11" t="s">
        <v>7475</v>
      </c>
      <c r="G1749">
        <v>20251001</v>
      </c>
      <c r="I1749" s="11" t="s">
        <v>63</v>
      </c>
      <c r="J1749" s="72">
        <v>80614401</v>
      </c>
      <c r="K1749" s="99">
        <f>_xlfn.XLOOKUP(_2__ROI_Daily_Update[[#This Row],[CSM id]],SHP!F:F,SHP!EE:EE,"-")</f>
        <v>0</v>
      </c>
      <c r="L1749" s="12"/>
      <c r="N1749" s="11"/>
      <c r="P1749"/>
      <c r="Q1749"/>
      <c r="W1749" s="28"/>
      <c r="AA1749"/>
    </row>
    <row r="1750" spans="1:27" x14ac:dyDescent="0.45">
      <c r="A1750" s="57">
        <v>1231</v>
      </c>
      <c r="B1750" t="s">
        <v>1931</v>
      </c>
      <c r="C1750" t="s">
        <v>1932</v>
      </c>
      <c r="D1750" s="12">
        <v>46313</v>
      </c>
      <c r="E1750" s="11">
        <v>32</v>
      </c>
      <c r="F1750" s="11" t="s">
        <v>7425</v>
      </c>
      <c r="G1750">
        <v>20251001</v>
      </c>
      <c r="I1750" s="11" t="s">
        <v>63</v>
      </c>
      <c r="J1750" s="72">
        <v>80614401</v>
      </c>
      <c r="K1750" s="99">
        <f>_xlfn.XLOOKUP(_2__ROI_Daily_Update[[#This Row],[CSM id]],SHP!F:F,SHP!EE:EE,"-")</f>
        <v>0</v>
      </c>
      <c r="L1750" s="12"/>
      <c r="N1750" s="11"/>
      <c r="P1750"/>
      <c r="Q1750"/>
      <c r="W1750" s="28"/>
      <c r="AA1750"/>
    </row>
    <row r="1751" spans="1:27" x14ac:dyDescent="0.45">
      <c r="A1751" s="57">
        <v>1231</v>
      </c>
      <c r="B1751" t="s">
        <v>5212</v>
      </c>
      <c r="C1751" t="s">
        <v>5213</v>
      </c>
      <c r="D1751" s="12">
        <v>46313</v>
      </c>
      <c r="E1751" s="11">
        <v>16</v>
      </c>
      <c r="F1751" s="11" t="s">
        <v>7463</v>
      </c>
      <c r="G1751">
        <v>20260101</v>
      </c>
      <c r="I1751" s="11" t="s">
        <v>63</v>
      </c>
      <c r="J1751" s="72">
        <v>80604708</v>
      </c>
      <c r="K1751" s="99">
        <f>_xlfn.XLOOKUP(_2__ROI_Daily_Update[[#This Row],[CSM id]],SHP!F:F,SHP!EE:EE,"-")</f>
        <v>0</v>
      </c>
      <c r="L1751" s="12"/>
      <c r="N1751" s="11"/>
      <c r="P1751"/>
      <c r="Q1751"/>
      <c r="W1751" s="28"/>
      <c r="AA1751"/>
    </row>
    <row r="1752" spans="1:27" x14ac:dyDescent="0.45">
      <c r="A1752" s="57">
        <v>1231</v>
      </c>
      <c r="B1752" t="s">
        <v>5212</v>
      </c>
      <c r="C1752" t="s">
        <v>5213</v>
      </c>
      <c r="D1752" s="12">
        <v>46313</v>
      </c>
      <c r="E1752" s="11">
        <v>16</v>
      </c>
      <c r="F1752" s="11" t="s">
        <v>7420</v>
      </c>
      <c r="G1752">
        <v>20260101</v>
      </c>
      <c r="I1752" s="11" t="s">
        <v>63</v>
      </c>
      <c r="J1752" s="72">
        <v>80604708</v>
      </c>
      <c r="K1752" s="99">
        <f>_xlfn.XLOOKUP(_2__ROI_Daily_Update[[#This Row],[CSM id]],SHP!F:F,SHP!EE:EE,"-")</f>
        <v>0</v>
      </c>
      <c r="L1752" s="12"/>
      <c r="N1752" s="11"/>
      <c r="P1752"/>
      <c r="Q1752"/>
      <c r="W1752" s="28"/>
      <c r="AA1752"/>
    </row>
    <row r="1753" spans="1:27" x14ac:dyDescent="0.45">
      <c r="A1753" s="57">
        <v>1231</v>
      </c>
      <c r="B1753" t="s">
        <v>1929</v>
      </c>
      <c r="C1753" t="s">
        <v>1930</v>
      </c>
      <c r="D1753" s="12">
        <v>46313</v>
      </c>
      <c r="E1753" s="11">
        <v>66</v>
      </c>
      <c r="F1753" s="11" t="s">
        <v>7463</v>
      </c>
      <c r="G1753">
        <v>20250701</v>
      </c>
      <c r="I1753" s="11" t="s">
        <v>63</v>
      </c>
      <c r="J1753" s="72">
        <v>80604628</v>
      </c>
      <c r="K1753" s="99">
        <f>_xlfn.XLOOKUP(_2__ROI_Daily_Update[[#This Row],[CSM id]],SHP!F:F,SHP!EE:EE,"-")</f>
        <v>0</v>
      </c>
      <c r="L1753" s="12"/>
      <c r="N1753" s="11"/>
      <c r="P1753"/>
      <c r="Q1753"/>
      <c r="W1753" s="28"/>
      <c r="AA1753"/>
    </row>
    <row r="1754" spans="1:27" x14ac:dyDescent="0.45">
      <c r="A1754" s="57">
        <v>1231</v>
      </c>
      <c r="B1754" t="s">
        <v>1927</v>
      </c>
      <c r="C1754" t="s">
        <v>1928</v>
      </c>
      <c r="D1754" s="12">
        <v>46313</v>
      </c>
      <c r="E1754" s="11">
        <v>56</v>
      </c>
      <c r="F1754" s="11" t="s">
        <v>7440</v>
      </c>
      <c r="G1754">
        <v>20240101</v>
      </c>
      <c r="I1754" s="11" t="s">
        <v>63</v>
      </c>
      <c r="J1754" s="72">
        <v>80572420</v>
      </c>
      <c r="K1754" s="99">
        <f>_xlfn.XLOOKUP(_2__ROI_Daily_Update[[#This Row],[CSM id]],SHP!F:F,SHP!EE:EE,"-")</f>
        <v>0</v>
      </c>
      <c r="L1754" s="12"/>
      <c r="N1754" s="11"/>
      <c r="P1754"/>
      <c r="Q1754"/>
      <c r="W1754" s="28"/>
      <c r="AA1754"/>
    </row>
    <row r="1755" spans="1:27" x14ac:dyDescent="0.45">
      <c r="A1755" s="57">
        <v>1231</v>
      </c>
      <c r="B1755" t="s">
        <v>1927</v>
      </c>
      <c r="C1755" t="s">
        <v>1928</v>
      </c>
      <c r="D1755" s="12">
        <v>46313</v>
      </c>
      <c r="E1755" s="11">
        <v>28</v>
      </c>
      <c r="F1755" s="11" t="s">
        <v>7420</v>
      </c>
      <c r="G1755">
        <v>20240101</v>
      </c>
      <c r="I1755" s="11" t="s">
        <v>63</v>
      </c>
      <c r="J1755" s="72">
        <v>80572420</v>
      </c>
      <c r="K1755" s="99">
        <f>_xlfn.XLOOKUP(_2__ROI_Daily_Update[[#This Row],[CSM id]],SHP!F:F,SHP!EE:EE,"-")</f>
        <v>0</v>
      </c>
      <c r="L1755" s="12"/>
      <c r="N1755" s="11"/>
      <c r="P1755"/>
      <c r="Q1755"/>
      <c r="W1755" s="28"/>
      <c r="AA1755"/>
    </row>
    <row r="1756" spans="1:27" x14ac:dyDescent="0.45">
      <c r="A1756" s="57">
        <v>964</v>
      </c>
      <c r="B1756" t="s">
        <v>6425</v>
      </c>
      <c r="C1756" t="s">
        <v>6426</v>
      </c>
      <c r="D1756" s="12">
        <v>46313</v>
      </c>
      <c r="E1756" s="11">
        <v>12</v>
      </c>
      <c r="F1756" s="11" t="s">
        <v>7453</v>
      </c>
      <c r="G1756">
        <v>20261001</v>
      </c>
      <c r="H1756" s="12">
        <v>46661</v>
      </c>
      <c r="I1756" s="11" t="s">
        <v>63</v>
      </c>
      <c r="J1756" s="72">
        <v>70625155</v>
      </c>
      <c r="K1756" s="99">
        <f>_xlfn.XLOOKUP(_2__ROI_Daily_Update[[#This Row],[CSM id]],SHP!F:F,SHP!EE:EE,"-")</f>
        <v>0</v>
      </c>
      <c r="L1756" s="12"/>
      <c r="N1756" s="11"/>
      <c r="P1756"/>
      <c r="Q1756"/>
      <c r="W1756" s="28"/>
      <c r="AA1756"/>
    </row>
    <row r="1757" spans="1:27" x14ac:dyDescent="0.45">
      <c r="A1757" s="57">
        <v>1231</v>
      </c>
      <c r="B1757" t="s">
        <v>1917</v>
      </c>
      <c r="C1757" t="s">
        <v>1918</v>
      </c>
      <c r="D1757" s="12">
        <v>46313</v>
      </c>
      <c r="E1757" s="11">
        <v>20</v>
      </c>
      <c r="F1757" s="11" t="s">
        <v>7440</v>
      </c>
      <c r="G1757">
        <v>20250401</v>
      </c>
      <c r="H1757" s="12">
        <v>46661</v>
      </c>
      <c r="I1757" s="11" t="s">
        <v>63</v>
      </c>
      <c r="J1757" s="72">
        <v>70592131</v>
      </c>
      <c r="K1757" s="99">
        <f>_xlfn.XLOOKUP(_2__ROI_Daily_Update[[#This Row],[CSM id]],SHP!F:F,SHP!EE:EE,"-")</f>
        <v>0</v>
      </c>
      <c r="L1757" s="12"/>
      <c r="N1757" s="11"/>
      <c r="P1757"/>
      <c r="Q1757"/>
      <c r="W1757" s="28"/>
      <c r="AA1757"/>
    </row>
    <row r="1758" spans="1:27" x14ac:dyDescent="0.45">
      <c r="A1758" s="57">
        <v>964</v>
      </c>
      <c r="B1758" t="s">
        <v>7107</v>
      </c>
      <c r="C1758" t="s">
        <v>7108</v>
      </c>
      <c r="D1758" s="12">
        <v>46313</v>
      </c>
      <c r="E1758" s="11">
        <v>12</v>
      </c>
      <c r="F1758" s="11" t="s">
        <v>7475</v>
      </c>
      <c r="G1758">
        <v>20251001</v>
      </c>
      <c r="I1758" s="11" t="s">
        <v>63</v>
      </c>
      <c r="J1758" s="72">
        <v>90603204</v>
      </c>
      <c r="K1758" s="99">
        <f>_xlfn.XLOOKUP(_2__ROI_Daily_Update[[#This Row],[CSM id]],SHP!F:F,SHP!EE:EE,"-")</f>
        <v>0</v>
      </c>
      <c r="L1758" s="12"/>
      <c r="N1758" s="11"/>
      <c r="P1758"/>
      <c r="Q1758"/>
      <c r="W1758" s="28"/>
      <c r="AA1758"/>
    </row>
    <row r="1759" spans="1:27" x14ac:dyDescent="0.45">
      <c r="A1759" s="57">
        <v>1231</v>
      </c>
      <c r="B1759" t="s">
        <v>5733</v>
      </c>
      <c r="C1759" t="s">
        <v>5734</v>
      </c>
      <c r="D1759" s="12">
        <v>46313</v>
      </c>
      <c r="E1759" s="11">
        <v>36</v>
      </c>
      <c r="F1759" s="11" t="s">
        <v>7458</v>
      </c>
      <c r="G1759">
        <v>20251001</v>
      </c>
      <c r="I1759" s="11" t="s">
        <v>63</v>
      </c>
      <c r="J1759" s="72">
        <v>70611506</v>
      </c>
      <c r="K1759" s="99">
        <f>_xlfn.XLOOKUP(_2__ROI_Daily_Update[[#This Row],[CSM id]],SHP!F:F,SHP!EE:EE,"-")</f>
        <v>0</v>
      </c>
      <c r="L1759" s="12"/>
      <c r="N1759" s="11"/>
      <c r="P1759"/>
      <c r="Q1759"/>
      <c r="W1759" s="28"/>
      <c r="AA1759"/>
    </row>
    <row r="1760" spans="1:27" x14ac:dyDescent="0.45">
      <c r="A1760" s="57">
        <v>1231</v>
      </c>
      <c r="B1760" t="s">
        <v>7041</v>
      </c>
      <c r="C1760" t="s">
        <v>7042</v>
      </c>
      <c r="D1760" s="12">
        <v>46313</v>
      </c>
      <c r="E1760" s="11">
        <v>24</v>
      </c>
      <c r="F1760" s="11" t="s">
        <v>7475</v>
      </c>
      <c r="G1760">
        <v>20260101</v>
      </c>
      <c r="I1760" s="11" t="s">
        <v>63</v>
      </c>
      <c r="J1760" s="72">
        <v>70625650</v>
      </c>
      <c r="K1760" s="99">
        <f>_xlfn.XLOOKUP(_2__ROI_Daily_Update[[#This Row],[CSM id]],SHP!F:F,SHP!EE:EE,"-")</f>
        <v>0</v>
      </c>
      <c r="L1760" s="12"/>
      <c r="N1760" s="11"/>
      <c r="P1760"/>
      <c r="Q1760"/>
      <c r="W1760" s="28"/>
      <c r="AA1760"/>
    </row>
    <row r="1761" spans="1:27" x14ac:dyDescent="0.45">
      <c r="A1761" s="57">
        <v>1231</v>
      </c>
      <c r="B1761" t="s">
        <v>5210</v>
      </c>
      <c r="C1761" t="s">
        <v>5211</v>
      </c>
      <c r="D1761" s="12">
        <v>46313</v>
      </c>
      <c r="E1761" s="11">
        <v>16</v>
      </c>
      <c r="F1761" s="11" t="s">
        <v>7410</v>
      </c>
      <c r="G1761">
        <v>20260401</v>
      </c>
      <c r="I1761" s="11" t="s">
        <v>63</v>
      </c>
      <c r="J1761" s="72">
        <v>70625891</v>
      </c>
      <c r="K1761" s="99">
        <f>_xlfn.XLOOKUP(_2__ROI_Daily_Update[[#This Row],[CSM id]],SHP!F:F,SHP!EE:EE,"-")</f>
        <v>0</v>
      </c>
      <c r="L1761" s="12"/>
      <c r="N1761" s="11"/>
      <c r="P1761"/>
      <c r="Q1761"/>
      <c r="W1761" s="28"/>
      <c r="AA1761"/>
    </row>
    <row r="1762" spans="1:27" x14ac:dyDescent="0.45">
      <c r="A1762" s="57">
        <v>1231</v>
      </c>
      <c r="B1762" t="s">
        <v>5210</v>
      </c>
      <c r="C1762" t="s">
        <v>5211</v>
      </c>
      <c r="D1762" s="12">
        <v>46313</v>
      </c>
      <c r="E1762" s="11">
        <v>16</v>
      </c>
      <c r="F1762" s="11" t="s">
        <v>7463</v>
      </c>
      <c r="G1762">
        <v>20260401</v>
      </c>
      <c r="I1762" s="11" t="s">
        <v>63</v>
      </c>
      <c r="J1762" s="72">
        <v>70625891</v>
      </c>
      <c r="K1762" s="99">
        <f>_xlfn.XLOOKUP(_2__ROI_Daily_Update[[#This Row],[CSM id]],SHP!F:F,SHP!EE:EE,"-")</f>
        <v>0</v>
      </c>
      <c r="L1762" s="12"/>
      <c r="N1762" s="11"/>
      <c r="P1762"/>
      <c r="Q1762"/>
      <c r="W1762" s="28"/>
      <c r="AA1762"/>
    </row>
    <row r="1763" spans="1:27" x14ac:dyDescent="0.45">
      <c r="A1763" s="57">
        <v>965</v>
      </c>
      <c r="B1763" t="s">
        <v>763</v>
      </c>
      <c r="C1763" t="s">
        <v>764</v>
      </c>
      <c r="D1763" s="12">
        <v>46313</v>
      </c>
      <c r="E1763" s="11">
        <v>56</v>
      </c>
      <c r="F1763" s="11" t="s">
        <v>7453</v>
      </c>
      <c r="G1763">
        <v>20260401</v>
      </c>
      <c r="I1763" s="11" t="s">
        <v>63</v>
      </c>
      <c r="J1763" s="72">
        <v>622886</v>
      </c>
      <c r="K1763" s="99">
        <f>_xlfn.XLOOKUP(_2__ROI_Daily_Update[[#This Row],[CSM id]],SHP!F:F,SHP!EE:EE,"-")</f>
        <v>0</v>
      </c>
      <c r="L1763" s="12"/>
      <c r="N1763" s="11"/>
      <c r="P1763"/>
      <c r="Q1763"/>
      <c r="W1763" s="28"/>
      <c r="AA1763"/>
    </row>
    <row r="1764" spans="1:27" x14ac:dyDescent="0.45">
      <c r="A1764" s="57">
        <v>964</v>
      </c>
      <c r="B1764" t="s">
        <v>5969</v>
      </c>
      <c r="C1764" t="s">
        <v>5970</v>
      </c>
      <c r="D1764" s="12">
        <v>46313</v>
      </c>
      <c r="E1764" s="11">
        <v>48</v>
      </c>
      <c r="F1764" s="11" t="s">
        <v>7480</v>
      </c>
      <c r="G1764">
        <v>20260401</v>
      </c>
      <c r="I1764" s="11" t="s">
        <v>63</v>
      </c>
      <c r="J1764" s="72">
        <v>80623537</v>
      </c>
      <c r="K1764" s="99">
        <f>_xlfn.XLOOKUP(_2__ROI_Daily_Update[[#This Row],[CSM id]],SHP!F:F,SHP!EE:EE,"-")</f>
        <v>0</v>
      </c>
      <c r="L1764" s="12"/>
      <c r="N1764" s="11"/>
      <c r="P1764"/>
      <c r="Q1764"/>
      <c r="W1764" s="28"/>
      <c r="AA1764"/>
    </row>
    <row r="1765" spans="1:27" x14ac:dyDescent="0.45">
      <c r="A1765" s="57">
        <v>1231</v>
      </c>
      <c r="B1765" t="s">
        <v>1921</v>
      </c>
      <c r="C1765" t="s">
        <v>1922</v>
      </c>
      <c r="D1765" s="12">
        <v>46313</v>
      </c>
      <c r="E1765" s="11">
        <v>48</v>
      </c>
      <c r="F1765" s="11" t="s">
        <v>6946</v>
      </c>
      <c r="G1765">
        <v>20260701</v>
      </c>
      <c r="I1765" s="11" t="s">
        <v>63</v>
      </c>
      <c r="J1765" s="72">
        <v>70635989</v>
      </c>
      <c r="K1765" s="99">
        <f>_xlfn.XLOOKUP(_2__ROI_Daily_Update[[#This Row],[CSM id]],SHP!F:F,SHP!EE:EE,"-")</f>
        <v>0</v>
      </c>
      <c r="L1765" s="12"/>
      <c r="N1765" s="11"/>
      <c r="P1765"/>
      <c r="Q1765"/>
      <c r="W1765" s="28"/>
      <c r="AA1765"/>
    </row>
    <row r="1766" spans="1:27" x14ac:dyDescent="0.45">
      <c r="A1766" s="57">
        <v>1231</v>
      </c>
      <c r="B1766" t="s">
        <v>6171</v>
      </c>
      <c r="C1766" t="s">
        <v>6172</v>
      </c>
      <c r="D1766" s="12">
        <v>46313</v>
      </c>
      <c r="E1766" s="11">
        <v>480</v>
      </c>
      <c r="F1766" s="11" t="s">
        <v>7435</v>
      </c>
      <c r="G1766">
        <v>20220101</v>
      </c>
      <c r="H1766" s="12">
        <v>46569</v>
      </c>
      <c r="I1766" s="11" t="s">
        <v>63</v>
      </c>
      <c r="J1766" s="72">
        <v>80506963</v>
      </c>
      <c r="K1766" s="99">
        <f>_xlfn.XLOOKUP(_2__ROI_Daily_Update[[#This Row],[CSM id]],SHP!F:F,SHP!EE:EE,"-")</f>
        <v>0</v>
      </c>
      <c r="L1766" s="12"/>
      <c r="N1766" s="11"/>
      <c r="P1766"/>
      <c r="Q1766"/>
      <c r="W1766" s="28"/>
      <c r="AA1766"/>
    </row>
    <row r="1767" spans="1:27" x14ac:dyDescent="0.45">
      <c r="A1767" s="57">
        <v>1231</v>
      </c>
      <c r="B1767" t="s">
        <v>1923</v>
      </c>
      <c r="C1767" t="s">
        <v>1924</v>
      </c>
      <c r="D1767" s="12">
        <v>46313</v>
      </c>
      <c r="E1767" s="11">
        <v>40</v>
      </c>
      <c r="F1767" s="11" t="s">
        <v>7405</v>
      </c>
      <c r="G1767">
        <v>20240701</v>
      </c>
      <c r="I1767" s="11" t="s">
        <v>63</v>
      </c>
      <c r="J1767" s="72">
        <v>80561799</v>
      </c>
      <c r="K1767" s="99">
        <f>_xlfn.XLOOKUP(_2__ROI_Daily_Update[[#This Row],[CSM id]],SHP!F:F,SHP!EE:EE,"-")</f>
        <v>0</v>
      </c>
      <c r="L1767" s="12"/>
      <c r="N1767" s="11"/>
      <c r="P1767"/>
      <c r="Q1767"/>
      <c r="W1767" s="28"/>
      <c r="AA1767"/>
    </row>
    <row r="1768" spans="1:27" x14ac:dyDescent="0.45">
      <c r="A1768" s="57">
        <v>1231</v>
      </c>
      <c r="B1768" t="s">
        <v>6235</v>
      </c>
      <c r="C1768" t="s">
        <v>6236</v>
      </c>
      <c r="D1768" s="12">
        <v>46313</v>
      </c>
      <c r="E1768" s="11">
        <v>32</v>
      </c>
      <c r="F1768" s="11" t="s">
        <v>7435</v>
      </c>
      <c r="G1768">
        <v>20250401</v>
      </c>
      <c r="I1768" s="11" t="s">
        <v>63</v>
      </c>
      <c r="J1768" s="72">
        <v>80566886</v>
      </c>
      <c r="K1768" s="99">
        <f>_xlfn.XLOOKUP(_2__ROI_Daily_Update[[#This Row],[CSM id]],SHP!F:F,SHP!EE:EE,"-")</f>
        <v>0</v>
      </c>
      <c r="L1768" s="12"/>
      <c r="N1768" s="11"/>
      <c r="P1768"/>
      <c r="Q1768"/>
      <c r="W1768" s="28"/>
      <c r="AA1768"/>
    </row>
    <row r="1769" spans="1:27" x14ac:dyDescent="0.45">
      <c r="A1769" s="57">
        <v>1231</v>
      </c>
      <c r="B1769" t="s">
        <v>6235</v>
      </c>
      <c r="C1769" t="s">
        <v>6236</v>
      </c>
      <c r="D1769" s="12">
        <v>46313</v>
      </c>
      <c r="E1769" s="11">
        <v>32</v>
      </c>
      <c r="F1769" s="11" t="s">
        <v>7475</v>
      </c>
      <c r="G1769">
        <v>20250401</v>
      </c>
      <c r="I1769" s="11" t="s">
        <v>63</v>
      </c>
      <c r="J1769" s="72">
        <v>80566886</v>
      </c>
      <c r="K1769" s="99">
        <f>_xlfn.XLOOKUP(_2__ROI_Daily_Update[[#This Row],[CSM id]],SHP!F:F,SHP!EE:EE,"-")</f>
        <v>0</v>
      </c>
      <c r="L1769" s="12"/>
      <c r="N1769" s="11"/>
      <c r="P1769"/>
      <c r="Q1769"/>
      <c r="W1769" s="28"/>
      <c r="AA1769"/>
    </row>
    <row r="1770" spans="1:27" x14ac:dyDescent="0.45">
      <c r="A1770" s="57">
        <v>964</v>
      </c>
      <c r="B1770" t="s">
        <v>5969</v>
      </c>
      <c r="C1770" t="s">
        <v>5970</v>
      </c>
      <c r="D1770" s="12">
        <v>46313</v>
      </c>
      <c r="E1770" s="11">
        <v>24</v>
      </c>
      <c r="F1770" s="11" t="s">
        <v>6946</v>
      </c>
      <c r="G1770">
        <v>20260401</v>
      </c>
      <c r="I1770" s="11" t="s">
        <v>63</v>
      </c>
      <c r="J1770" s="72">
        <v>80623537</v>
      </c>
      <c r="K1770" s="99">
        <f>_xlfn.XLOOKUP(_2__ROI_Daily_Update[[#This Row],[CSM id]],SHP!F:F,SHP!EE:EE,"-")</f>
        <v>0</v>
      </c>
      <c r="L1770" s="12"/>
      <c r="N1770" s="11"/>
      <c r="P1770"/>
      <c r="Q1770"/>
      <c r="W1770" s="28"/>
      <c r="AA1770"/>
    </row>
    <row r="1771" spans="1:27" x14ac:dyDescent="0.45">
      <c r="A1771" s="57">
        <v>1231</v>
      </c>
      <c r="B1771" t="s">
        <v>1921</v>
      </c>
      <c r="C1771" t="s">
        <v>1922</v>
      </c>
      <c r="D1771" s="12">
        <v>46313</v>
      </c>
      <c r="E1771" s="11">
        <v>48</v>
      </c>
      <c r="F1771" s="11" t="s">
        <v>7430</v>
      </c>
      <c r="G1771">
        <v>20260701</v>
      </c>
      <c r="I1771" s="11" t="s">
        <v>63</v>
      </c>
      <c r="J1771" s="72">
        <v>70635989</v>
      </c>
      <c r="K1771" s="99">
        <f>_xlfn.XLOOKUP(_2__ROI_Daily_Update[[#This Row],[CSM id]],SHP!F:F,SHP!EE:EE,"-")</f>
        <v>0</v>
      </c>
      <c r="L1771" s="12"/>
      <c r="N1771" s="11"/>
      <c r="P1771"/>
      <c r="Q1771"/>
      <c r="W1771" s="28"/>
      <c r="AA1771"/>
    </row>
    <row r="1772" spans="1:27" x14ac:dyDescent="0.45">
      <c r="A1772" s="57">
        <v>1311</v>
      </c>
      <c r="B1772" t="s">
        <v>5340</v>
      </c>
      <c r="C1772" t="s">
        <v>5341</v>
      </c>
      <c r="D1772" s="12">
        <v>46313</v>
      </c>
      <c r="E1772" s="11">
        <v>16</v>
      </c>
      <c r="F1772" s="11" t="s">
        <v>7415</v>
      </c>
      <c r="G1772">
        <v>20240401</v>
      </c>
      <c r="H1772" s="12">
        <v>46661</v>
      </c>
      <c r="I1772" s="11" t="s">
        <v>63</v>
      </c>
      <c r="J1772" s="72">
        <v>50577645</v>
      </c>
      <c r="K1772" s="99">
        <f>_xlfn.XLOOKUP(_2__ROI_Daily_Update[[#This Row],[CSM id]],SHP!F:F,SHP!EE:EE,"-")</f>
        <v>0</v>
      </c>
      <c r="L1772" s="12"/>
      <c r="N1772" s="11"/>
      <c r="P1772"/>
      <c r="Q1772"/>
      <c r="W1772" s="28"/>
      <c r="AA1772"/>
    </row>
    <row r="1773" spans="1:27" x14ac:dyDescent="0.45">
      <c r="A1773" s="57">
        <v>1311</v>
      </c>
      <c r="B1773" t="s">
        <v>2030</v>
      </c>
      <c r="C1773" t="s">
        <v>2031</v>
      </c>
      <c r="D1773" s="12">
        <v>46313</v>
      </c>
      <c r="E1773" s="11">
        <v>30</v>
      </c>
      <c r="F1773" s="11" t="s">
        <v>7425</v>
      </c>
      <c r="G1773">
        <v>20190401</v>
      </c>
      <c r="I1773" s="11" t="s">
        <v>63</v>
      </c>
      <c r="J1773" s="72">
        <v>60426830</v>
      </c>
      <c r="K1773" s="99">
        <f>_xlfn.XLOOKUP(_2__ROI_Daily_Update[[#This Row],[CSM id]],SHP!F:F,SHP!EE:EE,"-")</f>
        <v>0</v>
      </c>
      <c r="L1773" s="12"/>
      <c r="N1773" s="11"/>
      <c r="P1773"/>
      <c r="Q1773"/>
      <c r="W1773" s="28"/>
      <c r="AA1773"/>
    </row>
    <row r="1774" spans="1:27" x14ac:dyDescent="0.45">
      <c r="A1774" s="57">
        <v>1311</v>
      </c>
      <c r="B1774" t="s">
        <v>7039</v>
      </c>
      <c r="C1774" t="s">
        <v>7040</v>
      </c>
      <c r="D1774" s="12">
        <v>46313</v>
      </c>
      <c r="E1774" s="11">
        <v>128</v>
      </c>
      <c r="F1774" s="11" t="s">
        <v>7475</v>
      </c>
      <c r="G1774">
        <v>20200401</v>
      </c>
      <c r="I1774" s="11" t="s">
        <v>63</v>
      </c>
      <c r="J1774" s="72">
        <v>60470045</v>
      </c>
      <c r="K1774" s="99">
        <f>_xlfn.XLOOKUP(_2__ROI_Daily_Update[[#This Row],[CSM id]],SHP!F:F,SHP!EE:EE,"-")</f>
        <v>0</v>
      </c>
      <c r="L1774" s="12"/>
      <c r="N1774" s="11"/>
      <c r="P1774"/>
      <c r="Q1774"/>
      <c r="W1774" s="28"/>
      <c r="AA1774"/>
    </row>
    <row r="1775" spans="1:27" x14ac:dyDescent="0.45">
      <c r="A1775" s="57">
        <v>1821</v>
      </c>
      <c r="B1775" t="s">
        <v>3519</v>
      </c>
      <c r="C1775" t="s">
        <v>3520</v>
      </c>
      <c r="D1775" s="12">
        <v>46313</v>
      </c>
      <c r="E1775" s="11">
        <v>32</v>
      </c>
      <c r="F1775" s="11" t="s">
        <v>7400</v>
      </c>
      <c r="G1775">
        <v>20180401</v>
      </c>
      <c r="I1775" s="11" t="s">
        <v>63</v>
      </c>
      <c r="J1775" s="72">
        <v>30334926</v>
      </c>
      <c r="K1775" s="99">
        <f>_xlfn.XLOOKUP(_2__ROI_Daily_Update[[#This Row],[CSM id]],SHP!F:F,SHP!EE:EE,"-")</f>
        <v>0</v>
      </c>
      <c r="L1775" s="12"/>
      <c r="N1775" s="11"/>
      <c r="P1775"/>
      <c r="Q1775"/>
      <c r="W1775" s="28"/>
      <c r="AA1775"/>
    </row>
    <row r="1776" spans="1:27" x14ac:dyDescent="0.45">
      <c r="A1776" s="57">
        <v>921</v>
      </c>
      <c r="B1776" t="s">
        <v>680</v>
      </c>
      <c r="C1776" t="s">
        <v>681</v>
      </c>
      <c r="D1776" s="12">
        <v>46313</v>
      </c>
      <c r="E1776" s="11">
        <v>108</v>
      </c>
      <c r="F1776" s="11" t="s">
        <v>7485</v>
      </c>
      <c r="G1776">
        <v>20250101</v>
      </c>
      <c r="I1776" s="11" t="s">
        <v>18</v>
      </c>
      <c r="J1776" s="72">
        <v>20582101</v>
      </c>
      <c r="K1776" s="99">
        <f>_xlfn.XLOOKUP(_2__ROI_Daily_Update[[#This Row],[CSM id]],SHP!F:F,SHP!EE:EE,"-")</f>
        <v>0</v>
      </c>
      <c r="L1776" s="12"/>
      <c r="N1776" s="11"/>
      <c r="P1776"/>
      <c r="Q1776"/>
      <c r="W1776" s="28"/>
      <c r="AA1776"/>
    </row>
    <row r="1777" spans="1:27" x14ac:dyDescent="0.45">
      <c r="A1777" s="57">
        <v>1821</v>
      </c>
      <c r="B1777" t="s">
        <v>3521</v>
      </c>
      <c r="C1777" t="s">
        <v>3522</v>
      </c>
      <c r="D1777" s="12">
        <v>46313</v>
      </c>
      <c r="E1777" s="11">
        <v>12</v>
      </c>
      <c r="F1777" s="11" t="s">
        <v>7430</v>
      </c>
      <c r="G1777">
        <v>20180401</v>
      </c>
      <c r="I1777" s="11" t="s">
        <v>63</v>
      </c>
      <c r="J1777" s="72">
        <v>30334931</v>
      </c>
      <c r="K1777" s="99">
        <f>_xlfn.XLOOKUP(_2__ROI_Daily_Update[[#This Row],[CSM id]],SHP!F:F,SHP!EE:EE,"-")</f>
        <v>0</v>
      </c>
      <c r="L1777" s="12"/>
      <c r="N1777" s="11"/>
      <c r="P1777"/>
      <c r="Q1777"/>
      <c r="W1777" s="28"/>
      <c r="AA1777"/>
    </row>
    <row r="1778" spans="1:27" x14ac:dyDescent="0.45">
      <c r="A1778" s="57">
        <v>921</v>
      </c>
      <c r="B1778" t="s">
        <v>682</v>
      </c>
      <c r="C1778" t="s">
        <v>683</v>
      </c>
      <c r="D1778" s="12">
        <v>46313</v>
      </c>
      <c r="E1778" s="11">
        <v>16</v>
      </c>
      <c r="F1778" s="11" t="s">
        <v>7420</v>
      </c>
      <c r="G1778">
        <v>20220701</v>
      </c>
      <c r="I1778" s="11" t="s">
        <v>63</v>
      </c>
      <c r="J1778" s="72">
        <v>30518572</v>
      </c>
      <c r="K1778" s="99">
        <f>_xlfn.XLOOKUP(_2__ROI_Daily_Update[[#This Row],[CSM id]],SHP!F:F,SHP!EE:EE,"-")</f>
        <v>0</v>
      </c>
      <c r="L1778" s="12"/>
      <c r="N1778" s="11"/>
      <c r="P1778"/>
      <c r="Q1778"/>
      <c r="W1778" s="28"/>
      <c r="AA1778"/>
    </row>
    <row r="1779" spans="1:27" x14ac:dyDescent="0.45">
      <c r="A1779" s="57">
        <v>921</v>
      </c>
      <c r="B1779" t="s">
        <v>682</v>
      </c>
      <c r="C1779" t="s">
        <v>683</v>
      </c>
      <c r="D1779" s="12">
        <v>46313</v>
      </c>
      <c r="E1779" s="11">
        <v>16</v>
      </c>
      <c r="F1779" s="11" t="s">
        <v>7410</v>
      </c>
      <c r="G1779">
        <v>20220701</v>
      </c>
      <c r="I1779" s="11" t="s">
        <v>63</v>
      </c>
      <c r="J1779" s="72">
        <v>30518572</v>
      </c>
      <c r="K1779" s="99">
        <f>_xlfn.XLOOKUP(_2__ROI_Daily_Update[[#This Row],[CSM id]],SHP!F:F,SHP!EE:EE,"-")</f>
        <v>0</v>
      </c>
      <c r="L1779" s="12"/>
      <c r="N1779" s="11"/>
      <c r="P1779"/>
      <c r="Q1779"/>
      <c r="W1779" s="28"/>
      <c r="AA1779"/>
    </row>
    <row r="1780" spans="1:27" x14ac:dyDescent="0.45">
      <c r="A1780" s="57">
        <v>921</v>
      </c>
      <c r="B1780" t="s">
        <v>684</v>
      </c>
      <c r="C1780" t="s">
        <v>685</v>
      </c>
      <c r="D1780" s="12">
        <v>46313</v>
      </c>
      <c r="E1780" s="11">
        <v>256</v>
      </c>
      <c r="F1780" s="11" t="s">
        <v>7485</v>
      </c>
      <c r="G1780">
        <v>20250101</v>
      </c>
      <c r="I1780" s="11" t="s">
        <v>18</v>
      </c>
      <c r="J1780" s="72">
        <v>30582073</v>
      </c>
      <c r="K1780" s="99">
        <f>_xlfn.XLOOKUP(_2__ROI_Daily_Update[[#This Row],[CSM id]],SHP!F:F,SHP!EE:EE,"-")</f>
        <v>0</v>
      </c>
      <c r="L1780" s="12"/>
      <c r="N1780" s="11"/>
      <c r="P1780"/>
      <c r="Q1780"/>
      <c r="W1780" s="28"/>
      <c r="AA1780"/>
    </row>
    <row r="1781" spans="1:27" x14ac:dyDescent="0.45">
      <c r="A1781" s="57">
        <v>1821</v>
      </c>
      <c r="B1781" t="s">
        <v>3523</v>
      </c>
      <c r="C1781" t="s">
        <v>3524</v>
      </c>
      <c r="D1781" s="12">
        <v>46313</v>
      </c>
      <c r="E1781" s="11">
        <v>70</v>
      </c>
      <c r="F1781" s="11" t="s">
        <v>7440</v>
      </c>
      <c r="G1781">
        <v>20180201</v>
      </c>
      <c r="I1781" s="11" t="s">
        <v>63</v>
      </c>
      <c r="J1781" s="72">
        <v>30335619</v>
      </c>
      <c r="K1781" s="99">
        <f>_xlfn.XLOOKUP(_2__ROI_Daily_Update[[#This Row],[CSM id]],SHP!F:F,SHP!EE:EE,"-")</f>
        <v>0</v>
      </c>
      <c r="L1781" s="12"/>
      <c r="N1781" s="11"/>
      <c r="P1781"/>
      <c r="Q1781"/>
      <c r="W1781" s="28"/>
      <c r="AA1781"/>
    </row>
    <row r="1782" spans="1:27" x14ac:dyDescent="0.45">
      <c r="A1782" s="57">
        <v>921</v>
      </c>
      <c r="B1782" t="s">
        <v>684</v>
      </c>
      <c r="C1782" t="s">
        <v>685</v>
      </c>
      <c r="D1782" s="12">
        <v>46313</v>
      </c>
      <c r="E1782" s="11">
        <v>256</v>
      </c>
      <c r="F1782" s="11" t="s">
        <v>7499</v>
      </c>
      <c r="G1782">
        <v>20250101</v>
      </c>
      <c r="I1782" s="11" t="s">
        <v>18</v>
      </c>
      <c r="J1782" s="72">
        <v>30582073</v>
      </c>
      <c r="K1782" s="99">
        <f>_xlfn.XLOOKUP(_2__ROI_Daily_Update[[#This Row],[CSM id]],SHP!F:F,SHP!EE:EE,"-")</f>
        <v>0</v>
      </c>
      <c r="L1782" s="12"/>
      <c r="N1782" s="11"/>
      <c r="P1782"/>
      <c r="Q1782"/>
      <c r="W1782" s="28"/>
      <c r="AA1782"/>
    </row>
    <row r="1783" spans="1:27" x14ac:dyDescent="0.45">
      <c r="A1783" s="57">
        <v>1821</v>
      </c>
      <c r="B1783" t="s">
        <v>5548</v>
      </c>
      <c r="C1783" t="s">
        <v>5549</v>
      </c>
      <c r="D1783" s="12">
        <v>46313</v>
      </c>
      <c r="E1783" s="11">
        <v>54</v>
      </c>
      <c r="F1783" s="11" t="s">
        <v>7410</v>
      </c>
      <c r="G1783">
        <v>20210201</v>
      </c>
      <c r="I1783" s="11" t="s">
        <v>63</v>
      </c>
      <c r="J1783" s="72">
        <v>30429566</v>
      </c>
      <c r="K1783" s="99">
        <f>_xlfn.XLOOKUP(_2__ROI_Daily_Update[[#This Row],[CSM id]],SHP!F:F,SHP!EE:EE,"-")</f>
        <v>0</v>
      </c>
      <c r="L1783" s="12"/>
      <c r="N1783" s="11"/>
      <c r="P1783"/>
      <c r="Q1783"/>
      <c r="W1783" s="28"/>
      <c r="AA1783"/>
    </row>
    <row r="1784" spans="1:27" x14ac:dyDescent="0.45">
      <c r="A1784" s="57">
        <v>1412</v>
      </c>
      <c r="B1784" t="s">
        <v>5845</v>
      </c>
      <c r="C1784" t="s">
        <v>5846</v>
      </c>
      <c r="D1784" s="12">
        <v>46313</v>
      </c>
      <c r="E1784" s="11">
        <v>112</v>
      </c>
      <c r="F1784" s="11" t="s">
        <v>7492</v>
      </c>
      <c r="G1784">
        <v>20250401</v>
      </c>
      <c r="I1784" s="11" t="s">
        <v>18</v>
      </c>
      <c r="J1784" s="72">
        <v>50580704</v>
      </c>
      <c r="K1784" s="99">
        <f>_xlfn.XLOOKUP(_2__ROI_Daily_Update[[#This Row],[CSM id]],SHP!F:F,SHP!EE:EE,"-")</f>
        <v>0</v>
      </c>
      <c r="L1784" s="12"/>
      <c r="N1784" s="11"/>
      <c r="P1784"/>
      <c r="Q1784"/>
      <c r="W1784" s="28"/>
      <c r="AA1784"/>
    </row>
    <row r="1785" spans="1:27" x14ac:dyDescent="0.45">
      <c r="A1785" s="57">
        <v>1412</v>
      </c>
      <c r="B1785" t="s">
        <v>5479</v>
      </c>
      <c r="C1785" t="s">
        <v>5480</v>
      </c>
      <c r="D1785" s="12">
        <v>46313</v>
      </c>
      <c r="E1785" s="11">
        <v>112</v>
      </c>
      <c r="F1785" s="11" t="s">
        <v>7492</v>
      </c>
      <c r="G1785">
        <v>20241001</v>
      </c>
      <c r="I1785" s="11" t="s">
        <v>18</v>
      </c>
      <c r="J1785" s="72">
        <v>30582737</v>
      </c>
      <c r="K1785" s="99">
        <f>_xlfn.XLOOKUP(_2__ROI_Daily_Update[[#This Row],[CSM id]],SHP!F:F,SHP!EE:EE,"-")</f>
        <v>0</v>
      </c>
      <c r="L1785" s="12"/>
      <c r="N1785" s="11"/>
      <c r="P1785"/>
      <c r="Q1785"/>
      <c r="W1785" s="28"/>
      <c r="AA1785"/>
    </row>
    <row r="1786" spans="1:27" x14ac:dyDescent="0.45">
      <c r="A1786" s="57">
        <v>1821</v>
      </c>
      <c r="B1786" t="s">
        <v>5570</v>
      </c>
      <c r="C1786" t="s">
        <v>5571</v>
      </c>
      <c r="D1786" s="12">
        <v>46313</v>
      </c>
      <c r="E1786" s="11">
        <v>42</v>
      </c>
      <c r="F1786" s="11" t="s">
        <v>7405</v>
      </c>
      <c r="G1786">
        <v>20240101</v>
      </c>
      <c r="I1786" s="11" t="s">
        <v>63</v>
      </c>
      <c r="J1786" s="72">
        <v>30569929</v>
      </c>
      <c r="K1786" s="99">
        <f>_xlfn.XLOOKUP(_2__ROI_Daily_Update[[#This Row],[CSM id]],SHP!F:F,SHP!EE:EE,"-")</f>
        <v>0</v>
      </c>
      <c r="L1786" s="12"/>
      <c r="N1786" s="11"/>
      <c r="P1786"/>
      <c r="Q1786"/>
      <c r="W1786" s="28"/>
      <c r="AA1786"/>
    </row>
    <row r="1787" spans="1:27" x14ac:dyDescent="0.45">
      <c r="A1787" s="57">
        <v>1412</v>
      </c>
      <c r="B1787" t="s">
        <v>2124</v>
      </c>
      <c r="C1787" t="s">
        <v>2125</v>
      </c>
      <c r="D1787" s="12">
        <v>46313</v>
      </c>
      <c r="E1787" s="11">
        <v>160</v>
      </c>
      <c r="F1787" s="11" t="s">
        <v>7492</v>
      </c>
      <c r="G1787">
        <v>20250401</v>
      </c>
      <c r="H1787" s="12">
        <v>46388</v>
      </c>
      <c r="I1787" s="11" t="s">
        <v>18</v>
      </c>
      <c r="J1787" s="72">
        <v>30545226</v>
      </c>
      <c r="K1787" s="99">
        <f>_xlfn.XLOOKUP(_2__ROI_Daily_Update[[#This Row],[CSM id]],SHP!F:F,SHP!EE:EE,"-")</f>
        <v>0</v>
      </c>
      <c r="L1787" s="12"/>
      <c r="N1787" s="11"/>
      <c r="P1787"/>
      <c r="Q1787"/>
      <c r="W1787" s="28"/>
      <c r="AA1787"/>
    </row>
    <row r="1788" spans="1:27" x14ac:dyDescent="0.45">
      <c r="A1788" s="57">
        <v>921</v>
      </c>
      <c r="B1788" t="s">
        <v>690</v>
      </c>
      <c r="C1788" t="s">
        <v>691</v>
      </c>
      <c r="D1788" s="12">
        <v>46313</v>
      </c>
      <c r="E1788" s="11">
        <v>16</v>
      </c>
      <c r="F1788" s="11" t="s">
        <v>6946</v>
      </c>
      <c r="G1788">
        <v>20220701</v>
      </c>
      <c r="I1788" s="11" t="s">
        <v>63</v>
      </c>
      <c r="J1788" s="72">
        <v>40518576</v>
      </c>
      <c r="K1788" s="99">
        <f>_xlfn.XLOOKUP(_2__ROI_Daily_Update[[#This Row],[CSM id]],SHP!F:F,SHP!EE:EE,"-")</f>
        <v>0</v>
      </c>
      <c r="L1788" s="12"/>
      <c r="N1788" s="11"/>
      <c r="P1788"/>
      <c r="Q1788"/>
      <c r="W1788" s="28"/>
      <c r="AA1788"/>
    </row>
    <row r="1789" spans="1:27" x14ac:dyDescent="0.45">
      <c r="A1789" s="57">
        <v>1821</v>
      </c>
      <c r="B1789" t="s">
        <v>5955</v>
      </c>
      <c r="C1789" t="s">
        <v>5956</v>
      </c>
      <c r="D1789" s="12">
        <v>46313</v>
      </c>
      <c r="E1789" s="11">
        <v>15</v>
      </c>
      <c r="F1789" s="11" t="s">
        <v>6946</v>
      </c>
      <c r="G1789">
        <v>20180401</v>
      </c>
      <c r="I1789" s="11" t="s">
        <v>63</v>
      </c>
      <c r="J1789" s="72">
        <v>40334935</v>
      </c>
      <c r="K1789" s="99">
        <f>_xlfn.XLOOKUP(_2__ROI_Daily_Update[[#This Row],[CSM id]],SHP!F:F,SHP!EE:EE,"-")</f>
        <v>0</v>
      </c>
      <c r="L1789" s="12"/>
      <c r="N1789" s="11"/>
      <c r="P1789"/>
      <c r="Q1789"/>
      <c r="W1789" s="28"/>
      <c r="AA1789"/>
    </row>
    <row r="1790" spans="1:27" x14ac:dyDescent="0.45">
      <c r="A1790" s="57">
        <v>1821</v>
      </c>
      <c r="B1790" t="s">
        <v>3529</v>
      </c>
      <c r="C1790" t="s">
        <v>3530</v>
      </c>
      <c r="D1790" s="12">
        <v>46313</v>
      </c>
      <c r="E1790" s="11">
        <v>78</v>
      </c>
      <c r="F1790" s="11" t="s">
        <v>7420</v>
      </c>
      <c r="G1790">
        <v>20240101</v>
      </c>
      <c r="I1790" s="11" t="s">
        <v>63</v>
      </c>
      <c r="J1790" s="72">
        <v>40569938</v>
      </c>
      <c r="K1790" s="99">
        <f>_xlfn.XLOOKUP(_2__ROI_Daily_Update[[#This Row],[CSM id]],SHP!F:F,SHP!EE:EE,"-")</f>
        <v>0</v>
      </c>
      <c r="L1790" s="12"/>
      <c r="N1790" s="11"/>
      <c r="P1790"/>
      <c r="Q1790"/>
      <c r="W1790" s="28"/>
      <c r="AA1790"/>
    </row>
    <row r="1791" spans="1:27" x14ac:dyDescent="0.45">
      <c r="A1791" s="57">
        <v>1412</v>
      </c>
      <c r="B1791" t="s">
        <v>2114</v>
      </c>
      <c r="C1791" t="s">
        <v>2115</v>
      </c>
      <c r="D1791" s="12">
        <v>46313</v>
      </c>
      <c r="E1791" s="11">
        <v>96</v>
      </c>
      <c r="F1791" s="11" t="s">
        <v>7492</v>
      </c>
      <c r="G1791">
        <v>20250401</v>
      </c>
      <c r="I1791" s="11" t="s">
        <v>18</v>
      </c>
      <c r="J1791" s="72">
        <v>10545227</v>
      </c>
      <c r="K1791" s="99">
        <f>_xlfn.XLOOKUP(_2__ROI_Daily_Update[[#This Row],[CSM id]],SHP!F:F,SHP!EE:EE,"-")</f>
        <v>0</v>
      </c>
      <c r="L1791" s="12"/>
      <c r="N1791" s="11"/>
      <c r="P1791"/>
      <c r="Q1791"/>
      <c r="W1791" s="28"/>
      <c r="AA1791"/>
    </row>
    <row r="1792" spans="1:27" x14ac:dyDescent="0.45">
      <c r="A1792" s="57">
        <v>1821</v>
      </c>
      <c r="B1792" t="s">
        <v>6051</v>
      </c>
      <c r="C1792" t="s">
        <v>6052</v>
      </c>
      <c r="D1792" s="12">
        <v>46313</v>
      </c>
      <c r="E1792" s="11">
        <v>8</v>
      </c>
      <c r="F1792" s="11" t="s">
        <v>7440</v>
      </c>
      <c r="G1792">
        <v>20180401</v>
      </c>
      <c r="I1792" s="11" t="s">
        <v>63</v>
      </c>
      <c r="J1792" s="72">
        <v>50334930</v>
      </c>
      <c r="K1792" s="99">
        <f>_xlfn.XLOOKUP(_2__ROI_Daily_Update[[#This Row],[CSM id]],SHP!F:F,SHP!EE:EE,"-")</f>
        <v>0</v>
      </c>
      <c r="L1792" s="12"/>
      <c r="N1792" s="11"/>
      <c r="P1792"/>
      <c r="Q1792"/>
      <c r="W1792" s="28"/>
      <c r="AA1792"/>
    </row>
    <row r="1793" spans="1:27" x14ac:dyDescent="0.45">
      <c r="A1793" s="57">
        <v>922</v>
      </c>
      <c r="B1793" t="s">
        <v>710</v>
      </c>
      <c r="C1793" t="s">
        <v>711</v>
      </c>
      <c r="D1793" s="12">
        <v>46313</v>
      </c>
      <c r="E1793" s="11">
        <v>22</v>
      </c>
      <c r="F1793" s="11" t="s">
        <v>7485</v>
      </c>
      <c r="G1793">
        <v>20231001</v>
      </c>
      <c r="I1793" s="11" t="s">
        <v>32</v>
      </c>
      <c r="J1793" s="72">
        <v>20550176</v>
      </c>
      <c r="K1793" s="99">
        <f>_xlfn.XLOOKUP(_2__ROI_Daily_Update[[#This Row],[CSM id]],SHP!F:F,SHP!EE:EE,"-")</f>
        <v>0</v>
      </c>
      <c r="L1793" s="12"/>
      <c r="N1793" s="11"/>
      <c r="P1793"/>
      <c r="Q1793"/>
      <c r="W1793" s="28"/>
      <c r="AA1793"/>
    </row>
    <row r="1794" spans="1:27" x14ac:dyDescent="0.45">
      <c r="A1794" s="57">
        <v>922</v>
      </c>
      <c r="B1794" t="s">
        <v>710</v>
      </c>
      <c r="C1794" t="s">
        <v>711</v>
      </c>
      <c r="D1794" s="12">
        <v>46313</v>
      </c>
      <c r="E1794" s="11">
        <v>22</v>
      </c>
      <c r="F1794" s="11" t="s">
        <v>7468</v>
      </c>
      <c r="G1794">
        <v>20231001</v>
      </c>
      <c r="I1794" s="11" t="s">
        <v>32</v>
      </c>
      <c r="J1794" s="72">
        <v>20550176</v>
      </c>
      <c r="K1794" s="99">
        <f>_xlfn.XLOOKUP(_2__ROI_Daily_Update[[#This Row],[CSM id]],SHP!F:F,SHP!EE:EE,"-")</f>
        <v>0</v>
      </c>
      <c r="L1794" s="12"/>
      <c r="N1794" s="11"/>
      <c r="P1794"/>
      <c r="Q1794"/>
      <c r="W1794" s="28"/>
      <c r="AA1794"/>
    </row>
    <row r="1795" spans="1:27" x14ac:dyDescent="0.45">
      <c r="A1795" s="57">
        <v>1411</v>
      </c>
      <c r="B1795" t="s">
        <v>2098</v>
      </c>
      <c r="C1795" t="s">
        <v>2099</v>
      </c>
      <c r="D1795" s="12">
        <v>46313</v>
      </c>
      <c r="E1795" s="11">
        <v>18</v>
      </c>
      <c r="F1795" s="11" t="s">
        <v>7492</v>
      </c>
      <c r="G1795">
        <v>20220101</v>
      </c>
      <c r="I1795" s="11" t="s">
        <v>18</v>
      </c>
      <c r="J1795" s="72">
        <v>60484274</v>
      </c>
      <c r="K1795" s="99">
        <f>_xlfn.XLOOKUP(_2__ROI_Daily_Update[[#This Row],[CSM id]],SHP!F:F,SHP!EE:EE,"-")</f>
        <v>0</v>
      </c>
      <c r="L1795" s="12"/>
      <c r="N1795" s="11"/>
      <c r="P1795"/>
      <c r="Q1795"/>
      <c r="W1795" s="28"/>
      <c r="AA1795"/>
    </row>
    <row r="1796" spans="1:27" x14ac:dyDescent="0.45">
      <c r="A1796" s="57">
        <v>922</v>
      </c>
      <c r="B1796" t="s">
        <v>708</v>
      </c>
      <c r="C1796" t="s">
        <v>709</v>
      </c>
      <c r="D1796" s="12">
        <v>46313</v>
      </c>
      <c r="E1796" s="11">
        <v>432</v>
      </c>
      <c r="F1796" s="11" t="s">
        <v>7430</v>
      </c>
      <c r="G1796">
        <v>20140801</v>
      </c>
      <c r="I1796" s="11" t="s">
        <v>63</v>
      </c>
      <c r="J1796" s="72">
        <v>20178771</v>
      </c>
      <c r="K1796" s="99">
        <f>_xlfn.XLOOKUP(_2__ROI_Daily_Update[[#This Row],[CSM id]],SHP!F:F,SHP!EE:EE,"-")</f>
        <v>0</v>
      </c>
      <c r="L1796" s="12"/>
      <c r="N1796" s="11"/>
      <c r="P1796"/>
      <c r="Q1796"/>
      <c r="W1796" s="28"/>
      <c r="AA1796"/>
    </row>
    <row r="1797" spans="1:27" x14ac:dyDescent="0.45">
      <c r="A1797" s="57">
        <v>1411</v>
      </c>
      <c r="B1797" t="s">
        <v>2102</v>
      </c>
      <c r="C1797" t="s">
        <v>2103</v>
      </c>
      <c r="D1797" s="12">
        <v>46313</v>
      </c>
      <c r="E1797" s="11">
        <v>20</v>
      </c>
      <c r="F1797" s="11" t="s">
        <v>7453</v>
      </c>
      <c r="G1797">
        <v>20251001</v>
      </c>
      <c r="I1797" s="11" t="s">
        <v>63</v>
      </c>
      <c r="J1797" s="72">
        <v>70611059</v>
      </c>
      <c r="K1797" s="99">
        <f>_xlfn.XLOOKUP(_2__ROI_Daily_Update[[#This Row],[CSM id]],SHP!F:F,SHP!EE:EE,"-")</f>
        <v>0</v>
      </c>
      <c r="L1797" s="12"/>
      <c r="N1797" s="11"/>
      <c r="P1797"/>
      <c r="Q1797"/>
      <c r="W1797" s="28"/>
      <c r="AA1797"/>
    </row>
    <row r="1798" spans="1:27" x14ac:dyDescent="0.45">
      <c r="A1798" s="57">
        <v>921</v>
      </c>
      <c r="B1798" t="s">
        <v>6021</v>
      </c>
      <c r="C1798" t="s">
        <v>6022</v>
      </c>
      <c r="D1798" s="12">
        <v>46313</v>
      </c>
      <c r="E1798" s="11">
        <v>40</v>
      </c>
      <c r="F1798" s="11" t="s">
        <v>6946</v>
      </c>
      <c r="G1798">
        <v>20250101</v>
      </c>
      <c r="I1798" s="11" t="s">
        <v>63</v>
      </c>
      <c r="J1798" s="72">
        <v>20582078</v>
      </c>
      <c r="K1798" s="99">
        <f>_xlfn.XLOOKUP(_2__ROI_Daily_Update[[#This Row],[CSM id]],SHP!F:F,SHP!EE:EE,"-")</f>
        <v>0</v>
      </c>
      <c r="L1798" s="12"/>
      <c r="N1798" s="11"/>
      <c r="P1798"/>
      <c r="Q1798"/>
      <c r="W1798" s="28"/>
      <c r="AA1798"/>
    </row>
    <row r="1799" spans="1:27" x14ac:dyDescent="0.45">
      <c r="A1799" s="57">
        <v>1411</v>
      </c>
      <c r="B1799" t="s">
        <v>6818</v>
      </c>
      <c r="C1799" t="s">
        <v>6819</v>
      </c>
      <c r="D1799" s="12">
        <v>46313</v>
      </c>
      <c r="E1799" s="11">
        <v>120</v>
      </c>
      <c r="F1799" s="11" t="s">
        <v>7492</v>
      </c>
      <c r="G1799">
        <v>20231001</v>
      </c>
      <c r="H1799" s="12">
        <v>46388</v>
      </c>
      <c r="I1799" s="11" t="s">
        <v>18</v>
      </c>
      <c r="J1799" s="72">
        <v>80463708</v>
      </c>
      <c r="K1799" s="99">
        <f>_xlfn.XLOOKUP(_2__ROI_Daily_Update[[#This Row],[CSM id]],SHP!F:F,SHP!EE:EE,"-")</f>
        <v>0</v>
      </c>
      <c r="L1799" s="12"/>
      <c r="N1799" s="11"/>
      <c r="P1799"/>
      <c r="Q1799"/>
      <c r="W1799" s="28"/>
      <c r="AA1799"/>
    </row>
    <row r="1800" spans="1:27" x14ac:dyDescent="0.45">
      <c r="A1800" s="57">
        <v>1821</v>
      </c>
      <c r="B1800" t="s">
        <v>3531</v>
      </c>
      <c r="C1800" t="s">
        <v>3532</v>
      </c>
      <c r="D1800" s="12">
        <v>46313</v>
      </c>
      <c r="E1800" s="11">
        <v>24</v>
      </c>
      <c r="F1800" s="11" t="s">
        <v>7430</v>
      </c>
      <c r="G1800">
        <v>20241001</v>
      </c>
      <c r="I1800" s="11" t="s">
        <v>63</v>
      </c>
      <c r="J1800" s="72">
        <v>40586419</v>
      </c>
      <c r="K1800" s="99">
        <f>_xlfn.XLOOKUP(_2__ROI_Daily_Update[[#This Row],[CSM id]],SHP!F:F,SHP!EE:EE,"-")</f>
        <v>0</v>
      </c>
      <c r="L1800" s="12"/>
      <c r="N1800" s="11"/>
      <c r="P1800"/>
      <c r="Q1800"/>
      <c r="W1800" s="28"/>
      <c r="AA1800"/>
    </row>
    <row r="1801" spans="1:27" x14ac:dyDescent="0.45">
      <c r="A1801" s="57">
        <v>1411</v>
      </c>
      <c r="B1801" t="s">
        <v>2106</v>
      </c>
      <c r="C1801" t="s">
        <v>2107</v>
      </c>
      <c r="D1801" s="12">
        <v>46313</v>
      </c>
      <c r="E1801" s="11">
        <v>48</v>
      </c>
      <c r="F1801" s="11" t="s">
        <v>7492</v>
      </c>
      <c r="G1801">
        <v>20141201</v>
      </c>
      <c r="I1801" s="11" t="s">
        <v>18</v>
      </c>
      <c r="J1801" s="72">
        <v>90163525</v>
      </c>
      <c r="K1801" s="99">
        <f>_xlfn.XLOOKUP(_2__ROI_Daily_Update[[#This Row],[CSM id]],SHP!F:F,SHP!EE:EE,"-")</f>
        <v>0</v>
      </c>
      <c r="L1801" s="12"/>
      <c r="N1801" s="11"/>
      <c r="P1801"/>
      <c r="Q1801"/>
      <c r="W1801" s="28"/>
      <c r="AA1801"/>
    </row>
    <row r="1802" spans="1:27" x14ac:dyDescent="0.45">
      <c r="A1802" s="57">
        <v>922</v>
      </c>
      <c r="B1802" t="s">
        <v>706</v>
      </c>
      <c r="C1802" t="s">
        <v>707</v>
      </c>
      <c r="D1802" s="12">
        <v>46313</v>
      </c>
      <c r="E1802" s="11">
        <v>252</v>
      </c>
      <c r="F1802" s="11" t="s">
        <v>7395</v>
      </c>
      <c r="G1802">
        <v>20231001</v>
      </c>
      <c r="I1802" s="11" t="s">
        <v>63</v>
      </c>
      <c r="J1802" s="72">
        <v>560614</v>
      </c>
      <c r="K1802" s="99">
        <f>_xlfn.XLOOKUP(_2__ROI_Daily_Update[[#This Row],[CSM id]],SHP!F:F,SHP!EE:EE,"-")</f>
        <v>0</v>
      </c>
      <c r="L1802" s="12"/>
      <c r="N1802" s="11"/>
      <c r="P1802"/>
      <c r="Q1802"/>
      <c r="W1802" s="28"/>
      <c r="AA1802"/>
    </row>
    <row r="1803" spans="1:27" x14ac:dyDescent="0.45">
      <c r="A1803" s="57">
        <v>921</v>
      </c>
      <c r="B1803" t="s">
        <v>704</v>
      </c>
      <c r="C1803" t="s">
        <v>705</v>
      </c>
      <c r="D1803" s="12">
        <v>46313</v>
      </c>
      <c r="E1803" s="11">
        <v>10</v>
      </c>
      <c r="F1803" s="11" t="s">
        <v>6946</v>
      </c>
      <c r="G1803">
        <v>20260101</v>
      </c>
      <c r="I1803" s="11" t="s">
        <v>63</v>
      </c>
      <c r="J1803" s="72">
        <v>90615396</v>
      </c>
      <c r="K1803" s="99">
        <f>_xlfn.XLOOKUP(_2__ROI_Daily_Update[[#This Row],[CSM id]],SHP!F:F,SHP!EE:EE,"-")</f>
        <v>0</v>
      </c>
      <c r="L1803" s="12"/>
      <c r="N1803" s="11"/>
      <c r="P1803"/>
      <c r="Q1803"/>
      <c r="W1803" s="28"/>
      <c r="AA1803"/>
    </row>
    <row r="1804" spans="1:27" x14ac:dyDescent="0.45">
      <c r="A1804" s="57">
        <v>921</v>
      </c>
      <c r="B1804" t="s">
        <v>700</v>
      </c>
      <c r="C1804" t="s">
        <v>701</v>
      </c>
      <c r="D1804" s="12">
        <v>46313</v>
      </c>
      <c r="E1804" s="11">
        <v>132</v>
      </c>
      <c r="F1804" s="11" t="s">
        <v>7485</v>
      </c>
      <c r="G1804">
        <v>20250101</v>
      </c>
      <c r="I1804" s="11" t="s">
        <v>18</v>
      </c>
      <c r="J1804" s="72">
        <v>80582080</v>
      </c>
      <c r="K1804" s="99">
        <f>_xlfn.XLOOKUP(_2__ROI_Daily_Update[[#This Row],[CSM id]],SHP!F:F,SHP!EE:EE,"-")</f>
        <v>0</v>
      </c>
      <c r="L1804" s="12"/>
      <c r="N1804" s="11"/>
      <c r="P1804"/>
      <c r="Q1804"/>
      <c r="W1804" s="28"/>
      <c r="AA1804"/>
    </row>
    <row r="1805" spans="1:27" x14ac:dyDescent="0.45">
      <c r="A1805" s="57">
        <v>1412</v>
      </c>
      <c r="B1805" t="s">
        <v>2112</v>
      </c>
      <c r="C1805" t="s">
        <v>2113</v>
      </c>
      <c r="D1805" s="12">
        <v>46313</v>
      </c>
      <c r="E1805" s="11">
        <v>96</v>
      </c>
      <c r="F1805" s="11" t="s">
        <v>7492</v>
      </c>
      <c r="G1805">
        <v>20250401</v>
      </c>
      <c r="I1805" s="11" t="s">
        <v>18</v>
      </c>
      <c r="J1805" s="72">
        <v>10463698</v>
      </c>
      <c r="K1805" s="99">
        <f>_xlfn.XLOOKUP(_2__ROI_Daily_Update[[#This Row],[CSM id]],SHP!F:F,SHP!EE:EE,"-")</f>
        <v>0</v>
      </c>
      <c r="L1805" s="12"/>
      <c r="N1805" s="11"/>
      <c r="P1805"/>
      <c r="Q1805"/>
      <c r="W1805" s="28"/>
      <c r="AA1805"/>
    </row>
    <row r="1806" spans="1:27" x14ac:dyDescent="0.45">
      <c r="A1806" s="57">
        <v>1821</v>
      </c>
      <c r="B1806" t="s">
        <v>3531</v>
      </c>
      <c r="C1806" t="s">
        <v>3532</v>
      </c>
      <c r="D1806" s="12">
        <v>46313</v>
      </c>
      <c r="E1806" s="11">
        <v>24</v>
      </c>
      <c r="F1806" s="11" t="s">
        <v>7453</v>
      </c>
      <c r="G1806">
        <v>20241001</v>
      </c>
      <c r="I1806" s="11" t="s">
        <v>63</v>
      </c>
      <c r="J1806" s="72">
        <v>40586419</v>
      </c>
      <c r="K1806" s="99">
        <f>_xlfn.XLOOKUP(_2__ROI_Daily_Update[[#This Row],[CSM id]],SHP!F:F,SHP!EE:EE,"-")</f>
        <v>0</v>
      </c>
      <c r="L1806" s="12"/>
      <c r="N1806" s="11"/>
      <c r="P1806"/>
      <c r="Q1806"/>
      <c r="W1806" s="28"/>
      <c r="AA1806"/>
    </row>
    <row r="1807" spans="1:27" x14ac:dyDescent="0.45">
      <c r="A1807" s="57">
        <v>1411</v>
      </c>
      <c r="B1807" t="s">
        <v>2094</v>
      </c>
      <c r="C1807" t="s">
        <v>2095</v>
      </c>
      <c r="D1807" s="12">
        <v>46313</v>
      </c>
      <c r="E1807" s="11">
        <v>144</v>
      </c>
      <c r="F1807" s="11" t="s">
        <v>7492</v>
      </c>
      <c r="G1807">
        <v>20220101</v>
      </c>
      <c r="I1807" s="11" t="s">
        <v>18</v>
      </c>
      <c r="J1807" s="72">
        <v>50484236</v>
      </c>
      <c r="K1807" s="99">
        <f>_xlfn.XLOOKUP(_2__ROI_Daily_Update[[#This Row],[CSM id]],SHP!F:F,SHP!EE:EE,"-")</f>
        <v>0</v>
      </c>
      <c r="L1807" s="12"/>
      <c r="N1807" s="11"/>
      <c r="P1807"/>
      <c r="Q1807"/>
      <c r="W1807" s="28"/>
      <c r="AA1807"/>
    </row>
    <row r="1808" spans="1:27" x14ac:dyDescent="0.45">
      <c r="A1808" s="57">
        <v>1821</v>
      </c>
      <c r="B1808" t="s">
        <v>3517</v>
      </c>
      <c r="C1808" t="s">
        <v>3518</v>
      </c>
      <c r="D1808" s="12">
        <v>46313</v>
      </c>
      <c r="E1808" s="11">
        <v>78</v>
      </c>
      <c r="F1808" s="11" t="s">
        <v>7453</v>
      </c>
      <c r="G1808">
        <v>20180201</v>
      </c>
      <c r="I1808" s="11" t="s">
        <v>63</v>
      </c>
      <c r="J1808" s="72">
        <v>30321617</v>
      </c>
      <c r="K1808" s="99">
        <f>_xlfn.XLOOKUP(_2__ROI_Daily_Update[[#This Row],[CSM id]],SHP!F:F,SHP!EE:EE,"-")</f>
        <v>0</v>
      </c>
      <c r="L1808" s="12"/>
      <c r="N1808" s="11"/>
      <c r="P1808"/>
      <c r="Q1808"/>
      <c r="W1808" s="28"/>
      <c r="AA1808"/>
    </row>
    <row r="1809" spans="1:27" x14ac:dyDescent="0.45">
      <c r="A1809" s="57">
        <v>1821</v>
      </c>
      <c r="B1809" t="s">
        <v>3512</v>
      </c>
      <c r="C1809" t="s">
        <v>3513</v>
      </c>
      <c r="D1809" s="12">
        <v>46313</v>
      </c>
      <c r="E1809" s="11">
        <v>1728</v>
      </c>
      <c r="F1809" s="11" t="s">
        <v>7485</v>
      </c>
      <c r="G1809">
        <v>20160801</v>
      </c>
      <c r="I1809" s="11" t="s">
        <v>18</v>
      </c>
      <c r="J1809" s="72">
        <v>30303736</v>
      </c>
      <c r="K1809" s="99">
        <f>_xlfn.XLOOKUP(_2__ROI_Daily_Update[[#This Row],[CSM id]],SHP!F:F,SHP!EE:EE,"-")</f>
        <v>0</v>
      </c>
      <c r="L1809" s="12"/>
      <c r="N1809" s="11"/>
      <c r="P1809"/>
      <c r="Q1809"/>
      <c r="W1809" s="28"/>
      <c r="AA1809"/>
    </row>
    <row r="1810" spans="1:27" x14ac:dyDescent="0.45">
      <c r="A1810" s="57">
        <v>1415</v>
      </c>
      <c r="B1810" t="s">
        <v>5713</v>
      </c>
      <c r="C1810" t="s">
        <v>5714</v>
      </c>
      <c r="D1810" s="12">
        <v>46313</v>
      </c>
      <c r="E1810" s="11">
        <v>48</v>
      </c>
      <c r="F1810" s="11" t="s">
        <v>7458</v>
      </c>
      <c r="G1810">
        <v>20250701</v>
      </c>
      <c r="I1810" s="11" t="s">
        <v>63</v>
      </c>
      <c r="J1810" s="72">
        <v>70609985</v>
      </c>
      <c r="K1810" s="99">
        <f>_xlfn.XLOOKUP(_2__ROI_Daily_Update[[#This Row],[CSM id]],SHP!F:F,SHP!EE:EE,"-")</f>
        <v>0</v>
      </c>
      <c r="L1810" s="12"/>
      <c r="N1810" s="11"/>
      <c r="P1810"/>
      <c r="Q1810"/>
      <c r="W1810" s="28"/>
      <c r="AA1810"/>
    </row>
    <row r="1811" spans="1:27" x14ac:dyDescent="0.45">
      <c r="A1811" s="57">
        <v>1415</v>
      </c>
      <c r="B1811" t="s">
        <v>6737</v>
      </c>
      <c r="C1811" t="s">
        <v>6738</v>
      </c>
      <c r="D1811" s="12">
        <v>46313</v>
      </c>
      <c r="E1811" s="11">
        <v>60</v>
      </c>
      <c r="F1811" s="11" t="s">
        <v>7458</v>
      </c>
      <c r="G1811">
        <v>20261001</v>
      </c>
      <c r="H1811" s="12">
        <v>46388</v>
      </c>
      <c r="I1811" s="11" t="s">
        <v>63</v>
      </c>
      <c r="J1811" s="72">
        <v>60633801</v>
      </c>
      <c r="K1811" s="99">
        <f>_xlfn.XLOOKUP(_2__ROI_Daily_Update[[#This Row],[CSM id]],SHP!F:F,SHP!EE:EE,"-")</f>
        <v>0</v>
      </c>
      <c r="L1811" s="12"/>
      <c r="N1811" s="11"/>
      <c r="P1811"/>
      <c r="Q1811"/>
      <c r="W1811" s="28"/>
      <c r="AA1811"/>
    </row>
    <row r="1812" spans="1:27" x14ac:dyDescent="0.45">
      <c r="A1812" s="57">
        <v>1415</v>
      </c>
      <c r="B1812" t="s">
        <v>6877</v>
      </c>
      <c r="C1812" t="s">
        <v>6878</v>
      </c>
      <c r="D1812" s="12">
        <v>46313</v>
      </c>
      <c r="E1812" s="11">
        <v>72</v>
      </c>
      <c r="F1812" s="11" t="s">
        <v>7458</v>
      </c>
      <c r="G1812">
        <v>20251001</v>
      </c>
      <c r="I1812" s="11" t="s">
        <v>63</v>
      </c>
      <c r="J1812" s="72">
        <v>60618004</v>
      </c>
      <c r="K1812" s="99">
        <f>_xlfn.XLOOKUP(_2__ROI_Daily_Update[[#This Row],[CSM id]],SHP!F:F,SHP!EE:EE,"-")</f>
        <v>0</v>
      </c>
      <c r="L1812" s="12"/>
      <c r="N1812" s="11"/>
      <c r="P1812"/>
      <c r="Q1812"/>
      <c r="W1812" s="28"/>
      <c r="AA1812"/>
    </row>
    <row r="1813" spans="1:27" x14ac:dyDescent="0.45">
      <c r="A1813" s="57">
        <v>1415</v>
      </c>
      <c r="B1813" t="s">
        <v>5364</v>
      </c>
      <c r="C1813" t="s">
        <v>5365</v>
      </c>
      <c r="D1813" s="12">
        <v>46313</v>
      </c>
      <c r="E1813" s="11">
        <v>112</v>
      </c>
      <c r="F1813" s="11" t="s">
        <v>7420</v>
      </c>
      <c r="G1813">
        <v>20201001</v>
      </c>
      <c r="I1813" s="11" t="s">
        <v>63</v>
      </c>
      <c r="J1813" s="72">
        <v>50476364</v>
      </c>
      <c r="K1813" s="99">
        <f>_xlfn.XLOOKUP(_2__ROI_Daily_Update[[#This Row],[CSM id]],SHP!F:F,SHP!EE:EE,"-")</f>
        <v>0</v>
      </c>
      <c r="L1813" s="12"/>
      <c r="N1813" s="11"/>
      <c r="P1813"/>
      <c r="Q1813"/>
      <c r="W1813" s="28"/>
      <c r="AA1813"/>
    </row>
    <row r="1814" spans="1:27" x14ac:dyDescent="0.45">
      <c r="A1814" s="57">
        <v>1415</v>
      </c>
      <c r="B1814" t="s">
        <v>2190</v>
      </c>
      <c r="C1814" t="s">
        <v>2191</v>
      </c>
      <c r="D1814" s="12">
        <v>46313</v>
      </c>
      <c r="E1814" s="11">
        <v>80</v>
      </c>
      <c r="F1814" s="11" t="s">
        <v>7410</v>
      </c>
      <c r="G1814">
        <v>20250701</v>
      </c>
      <c r="I1814" s="11" t="s">
        <v>63</v>
      </c>
      <c r="J1814" s="72">
        <v>40609982</v>
      </c>
      <c r="K1814" s="99">
        <f>_xlfn.XLOOKUP(_2__ROI_Daily_Update[[#This Row],[CSM id]],SHP!F:F,SHP!EE:EE,"-")</f>
        <v>0</v>
      </c>
      <c r="L1814" s="12"/>
      <c r="N1814" s="11"/>
      <c r="P1814"/>
      <c r="Q1814"/>
      <c r="W1814" s="28"/>
      <c r="AA1814"/>
    </row>
    <row r="1815" spans="1:27" x14ac:dyDescent="0.45">
      <c r="A1815" s="57">
        <v>1415</v>
      </c>
      <c r="B1815" t="s">
        <v>6997</v>
      </c>
      <c r="C1815" t="s">
        <v>6998</v>
      </c>
      <c r="D1815" s="12">
        <v>46313</v>
      </c>
      <c r="E1815" s="11">
        <v>144</v>
      </c>
      <c r="F1815" s="11" t="s">
        <v>7475</v>
      </c>
      <c r="G1815">
        <v>20250101</v>
      </c>
      <c r="I1815" s="11" t="s">
        <v>63</v>
      </c>
      <c r="J1815" s="72">
        <v>40587881</v>
      </c>
      <c r="K1815" s="99">
        <f>_xlfn.XLOOKUP(_2__ROI_Daily_Update[[#This Row],[CSM id]],SHP!F:F,SHP!EE:EE,"-")</f>
        <v>0</v>
      </c>
      <c r="L1815" s="12"/>
      <c r="N1815" s="11"/>
      <c r="P1815"/>
      <c r="Q1815"/>
      <c r="W1815" s="28"/>
      <c r="AA1815"/>
    </row>
    <row r="1816" spans="1:27" x14ac:dyDescent="0.45">
      <c r="A1816" s="57">
        <v>1415</v>
      </c>
      <c r="B1816" t="s">
        <v>6851</v>
      </c>
      <c r="C1816" t="s">
        <v>6852</v>
      </c>
      <c r="D1816" s="12">
        <v>46313</v>
      </c>
      <c r="E1816" s="11">
        <v>72</v>
      </c>
      <c r="F1816" s="11" t="s">
        <v>7458</v>
      </c>
      <c r="G1816">
        <v>20261001</v>
      </c>
      <c r="H1816" s="12">
        <v>46388</v>
      </c>
      <c r="I1816" s="11" t="s">
        <v>63</v>
      </c>
      <c r="J1816" s="72">
        <v>30636472</v>
      </c>
      <c r="K1816" s="99">
        <f>_xlfn.XLOOKUP(_2__ROI_Daily_Update[[#This Row],[CSM id]],SHP!F:F,SHP!EE:EE,"-")</f>
        <v>0</v>
      </c>
      <c r="L1816" s="12"/>
      <c r="N1816" s="11"/>
      <c r="P1816"/>
      <c r="Q1816"/>
      <c r="W1816" s="28"/>
      <c r="AA1816"/>
    </row>
    <row r="1817" spans="1:27" x14ac:dyDescent="0.45">
      <c r="A1817" s="57">
        <v>1415</v>
      </c>
      <c r="B1817" t="s">
        <v>6403</v>
      </c>
      <c r="C1817" t="s">
        <v>6404</v>
      </c>
      <c r="D1817" s="12">
        <v>46313</v>
      </c>
      <c r="E1817" s="11">
        <v>36</v>
      </c>
      <c r="F1817" s="11" t="s">
        <v>7448</v>
      </c>
      <c r="G1817">
        <v>20261001</v>
      </c>
      <c r="H1817" s="12">
        <v>46388</v>
      </c>
      <c r="I1817" s="11" t="s">
        <v>63</v>
      </c>
      <c r="J1817" s="72">
        <v>20633803</v>
      </c>
      <c r="K1817" s="99">
        <f>_xlfn.XLOOKUP(_2__ROI_Daily_Update[[#This Row],[CSM id]],SHP!F:F,SHP!EE:EE,"-")</f>
        <v>0</v>
      </c>
      <c r="L1817" s="12"/>
      <c r="N1817" s="11"/>
      <c r="P1817"/>
      <c r="Q1817"/>
      <c r="W1817" s="28"/>
      <c r="AA1817"/>
    </row>
    <row r="1818" spans="1:27" x14ac:dyDescent="0.45">
      <c r="A1818" s="57">
        <v>1415</v>
      </c>
      <c r="B1818" t="s">
        <v>7005</v>
      </c>
      <c r="C1818" t="s">
        <v>7006</v>
      </c>
      <c r="D1818" s="12">
        <v>46313</v>
      </c>
      <c r="E1818" s="11">
        <v>540</v>
      </c>
      <c r="F1818" s="11" t="s">
        <v>7475</v>
      </c>
      <c r="G1818">
        <v>20210201</v>
      </c>
      <c r="I1818" s="11" t="s">
        <v>63</v>
      </c>
      <c r="J1818" s="72">
        <v>20484011</v>
      </c>
      <c r="K1818" s="99">
        <f>_xlfn.XLOOKUP(_2__ROI_Daily_Update[[#This Row],[CSM id]],SHP!F:F,SHP!EE:EE,"-")</f>
        <v>0</v>
      </c>
      <c r="L1818" s="12"/>
      <c r="N1818" s="11"/>
      <c r="P1818"/>
      <c r="Q1818"/>
      <c r="W1818" s="28"/>
      <c r="AA1818"/>
    </row>
    <row r="1819" spans="1:27" x14ac:dyDescent="0.45">
      <c r="A1819" s="57">
        <v>1415</v>
      </c>
      <c r="B1819" t="s">
        <v>6317</v>
      </c>
      <c r="C1819" t="s">
        <v>6318</v>
      </c>
      <c r="D1819" s="12">
        <v>46313</v>
      </c>
      <c r="E1819" s="11">
        <v>180</v>
      </c>
      <c r="F1819" s="11" t="s">
        <v>7480</v>
      </c>
      <c r="G1819">
        <v>20250101</v>
      </c>
      <c r="I1819" s="11" t="s">
        <v>63</v>
      </c>
      <c r="J1819" s="72">
        <v>587883</v>
      </c>
      <c r="K1819" s="99">
        <f>_xlfn.XLOOKUP(_2__ROI_Daily_Update[[#This Row],[CSM id]],SHP!F:F,SHP!EE:EE,"-")</f>
        <v>0</v>
      </c>
      <c r="L1819" s="12"/>
      <c r="N1819" s="11"/>
      <c r="P1819"/>
      <c r="Q1819"/>
      <c r="W1819" s="28"/>
      <c r="AA1819"/>
    </row>
    <row r="1820" spans="1:27" x14ac:dyDescent="0.45">
      <c r="A1820" s="57">
        <v>621</v>
      </c>
      <c r="B1820" t="s">
        <v>392</v>
      </c>
      <c r="C1820" t="s">
        <v>393</v>
      </c>
      <c r="D1820" s="12">
        <v>46313</v>
      </c>
      <c r="E1820" s="11">
        <v>72</v>
      </c>
      <c r="F1820" s="11" t="s">
        <v>7410</v>
      </c>
      <c r="G1820">
        <v>20210201</v>
      </c>
      <c r="I1820" s="11" t="s">
        <v>63</v>
      </c>
      <c r="J1820" s="72">
        <v>30493005</v>
      </c>
      <c r="K1820" s="99">
        <f>_xlfn.XLOOKUP(_2__ROI_Daily_Update[[#This Row],[CSM id]],SHP!F:F,SHP!EE:EE,"-")</f>
        <v>0</v>
      </c>
      <c r="L1820" s="12"/>
      <c r="N1820" s="11"/>
      <c r="P1820"/>
      <c r="Q1820"/>
      <c r="W1820" s="28"/>
      <c r="AA1820"/>
    </row>
    <row r="1821" spans="1:27" x14ac:dyDescent="0.45">
      <c r="A1821" s="57">
        <v>1821</v>
      </c>
      <c r="B1821" t="s">
        <v>6371</v>
      </c>
      <c r="C1821" t="s">
        <v>6372</v>
      </c>
      <c r="D1821" s="12">
        <v>46313</v>
      </c>
      <c r="E1821" s="11">
        <v>24</v>
      </c>
      <c r="F1821" s="11" t="s">
        <v>7453</v>
      </c>
      <c r="G1821">
        <v>20260701</v>
      </c>
      <c r="H1821" s="12">
        <v>46569</v>
      </c>
      <c r="I1821" s="11" t="s">
        <v>63</v>
      </c>
      <c r="J1821" s="72">
        <v>624404</v>
      </c>
      <c r="K1821" s="99">
        <f>_xlfn.XLOOKUP(_2__ROI_Daily_Update[[#This Row],[CSM id]],SHP!F:F,SHP!EE:EE,"-")</f>
        <v>0</v>
      </c>
      <c r="L1821" s="12"/>
      <c r="N1821" s="11"/>
      <c r="P1821"/>
      <c r="Q1821"/>
      <c r="W1821" s="28"/>
      <c r="AA1821"/>
    </row>
    <row r="1822" spans="1:27" x14ac:dyDescent="0.45">
      <c r="A1822" s="57">
        <v>821</v>
      </c>
      <c r="B1822" t="s">
        <v>651</v>
      </c>
      <c r="C1822" t="s">
        <v>652</v>
      </c>
      <c r="D1822" s="12">
        <v>46313</v>
      </c>
      <c r="E1822" s="11">
        <v>52</v>
      </c>
      <c r="F1822" s="11" t="s">
        <v>7485</v>
      </c>
      <c r="G1822">
        <v>20250401</v>
      </c>
      <c r="I1822" s="11" t="s">
        <v>18</v>
      </c>
      <c r="J1822" s="72">
        <v>90592738</v>
      </c>
      <c r="K1822" s="99">
        <f>_xlfn.XLOOKUP(_2__ROI_Daily_Update[[#This Row],[CSM id]],SHP!F:F,SHP!EE:EE,"-")</f>
        <v>0</v>
      </c>
      <c r="L1822" s="12"/>
      <c r="N1822" s="11"/>
      <c r="P1822"/>
      <c r="Q1822"/>
      <c r="W1822" s="28"/>
      <c r="AA1822"/>
    </row>
    <row r="1823" spans="1:27" x14ac:dyDescent="0.45">
      <c r="A1823" s="57">
        <v>1821</v>
      </c>
      <c r="B1823" t="s">
        <v>3500</v>
      </c>
      <c r="C1823" t="s">
        <v>3501</v>
      </c>
      <c r="D1823" s="12">
        <v>46313</v>
      </c>
      <c r="E1823" s="11">
        <v>240</v>
      </c>
      <c r="F1823" s="11" t="s">
        <v>7430</v>
      </c>
      <c r="G1823">
        <v>20180201</v>
      </c>
      <c r="I1823" s="11" t="s">
        <v>63</v>
      </c>
      <c r="J1823" s="72">
        <v>10320794</v>
      </c>
      <c r="K1823" s="99">
        <f>_xlfn.XLOOKUP(_2__ROI_Daily_Update[[#This Row],[CSM id]],SHP!F:F,SHP!EE:EE,"-")</f>
        <v>0</v>
      </c>
      <c r="L1823" s="12"/>
      <c r="N1823" s="11"/>
      <c r="P1823"/>
      <c r="Q1823"/>
      <c r="W1823" s="28"/>
      <c r="AA1823"/>
    </row>
    <row r="1824" spans="1:27" x14ac:dyDescent="0.45">
      <c r="A1824" s="57">
        <v>1821</v>
      </c>
      <c r="B1824" t="s">
        <v>6279</v>
      </c>
      <c r="C1824" t="s">
        <v>6280</v>
      </c>
      <c r="D1824" s="12">
        <v>46313</v>
      </c>
      <c r="E1824" s="11">
        <v>20</v>
      </c>
      <c r="F1824" s="11" t="s">
        <v>7440</v>
      </c>
      <c r="G1824">
        <v>20180401</v>
      </c>
      <c r="I1824" s="11" t="s">
        <v>63</v>
      </c>
      <c r="J1824" s="72">
        <v>10334927</v>
      </c>
      <c r="K1824" s="99">
        <f>_xlfn.XLOOKUP(_2__ROI_Daily_Update[[#This Row],[CSM id]],SHP!F:F,SHP!EE:EE,"-")</f>
        <v>0</v>
      </c>
      <c r="L1824" s="12"/>
      <c r="N1824" s="11"/>
      <c r="P1824"/>
      <c r="Q1824"/>
      <c r="W1824" s="28"/>
      <c r="AA1824"/>
    </row>
    <row r="1825" spans="1:27" x14ac:dyDescent="0.45">
      <c r="A1825" s="57">
        <v>821</v>
      </c>
      <c r="B1825" t="s">
        <v>651</v>
      </c>
      <c r="C1825" t="s">
        <v>652</v>
      </c>
      <c r="D1825" s="12">
        <v>46313</v>
      </c>
      <c r="E1825" s="11">
        <v>52</v>
      </c>
      <c r="F1825" s="11" t="s">
        <v>7499</v>
      </c>
      <c r="G1825">
        <v>20250401</v>
      </c>
      <c r="I1825" s="11" t="s">
        <v>18</v>
      </c>
      <c r="J1825" s="72">
        <v>90592738</v>
      </c>
      <c r="K1825" s="99">
        <f>_xlfn.XLOOKUP(_2__ROI_Daily_Update[[#This Row],[CSM id]],SHP!F:F,SHP!EE:EE,"-")</f>
        <v>0</v>
      </c>
      <c r="L1825" s="12"/>
      <c r="N1825" s="11"/>
      <c r="P1825"/>
      <c r="Q1825"/>
      <c r="W1825" s="28"/>
      <c r="AA1825"/>
    </row>
    <row r="1826" spans="1:27" x14ac:dyDescent="0.45">
      <c r="A1826" s="57">
        <v>822</v>
      </c>
      <c r="B1826" t="s">
        <v>655</v>
      </c>
      <c r="C1826" t="s">
        <v>656</v>
      </c>
      <c r="D1826" s="12">
        <v>46313</v>
      </c>
      <c r="E1826" s="11">
        <v>156</v>
      </c>
      <c r="F1826" s="11" t="s">
        <v>7485</v>
      </c>
      <c r="G1826">
        <v>20140801</v>
      </c>
      <c r="I1826" s="11" t="s">
        <v>18</v>
      </c>
      <c r="J1826" s="72">
        <v>30184050</v>
      </c>
      <c r="K1826" s="99">
        <f>_xlfn.XLOOKUP(_2__ROI_Daily_Update[[#This Row],[CSM id]],SHP!F:F,SHP!EE:EE,"-")</f>
        <v>0</v>
      </c>
      <c r="L1826" s="12"/>
      <c r="N1826" s="11"/>
      <c r="P1826"/>
      <c r="Q1826"/>
      <c r="W1826" s="28"/>
      <c r="AA1826"/>
    </row>
    <row r="1827" spans="1:27" x14ac:dyDescent="0.45">
      <c r="A1827" s="57">
        <v>824</v>
      </c>
      <c r="B1827" t="s">
        <v>668</v>
      </c>
      <c r="C1827" t="s">
        <v>669</v>
      </c>
      <c r="D1827" s="12">
        <v>46313</v>
      </c>
      <c r="E1827" s="11">
        <v>20</v>
      </c>
      <c r="F1827" s="11" t="s">
        <v>7468</v>
      </c>
      <c r="G1827">
        <v>20250401</v>
      </c>
      <c r="I1827" s="11" t="s">
        <v>18</v>
      </c>
      <c r="J1827" s="72">
        <v>60592768</v>
      </c>
      <c r="K1827" s="99">
        <f>_xlfn.XLOOKUP(_2__ROI_Daily_Update[[#This Row],[CSM id]],SHP!F:F,SHP!EE:EE,"-")</f>
        <v>0</v>
      </c>
      <c r="L1827" s="12"/>
      <c r="N1827" s="11"/>
      <c r="P1827"/>
      <c r="Q1827"/>
      <c r="W1827" s="28"/>
      <c r="AA1827"/>
    </row>
    <row r="1828" spans="1:27" x14ac:dyDescent="0.45">
      <c r="A1828" s="57">
        <v>1821</v>
      </c>
      <c r="B1828" t="s">
        <v>5763</v>
      </c>
      <c r="C1828" t="s">
        <v>5764</v>
      </c>
      <c r="D1828" s="12">
        <v>46313</v>
      </c>
      <c r="E1828" s="11">
        <v>128</v>
      </c>
      <c r="F1828" s="11" t="s">
        <v>7400</v>
      </c>
      <c r="G1828">
        <v>20240101</v>
      </c>
      <c r="I1828" s="11" t="s">
        <v>63</v>
      </c>
      <c r="J1828" s="72">
        <v>20569944</v>
      </c>
      <c r="K1828" s="99">
        <f>_xlfn.XLOOKUP(_2__ROI_Daily_Update[[#This Row],[CSM id]],SHP!F:F,SHP!EE:EE,"-")</f>
        <v>0</v>
      </c>
      <c r="L1828" s="12"/>
      <c r="N1828" s="11"/>
      <c r="P1828"/>
      <c r="Q1828"/>
      <c r="W1828" s="28"/>
      <c r="AA1828"/>
    </row>
    <row r="1829" spans="1:27" x14ac:dyDescent="0.45">
      <c r="A1829" s="57">
        <v>824</v>
      </c>
      <c r="B1829" t="s">
        <v>7119</v>
      </c>
      <c r="C1829" t="s">
        <v>7120</v>
      </c>
      <c r="D1829" s="12">
        <v>46313</v>
      </c>
      <c r="E1829" s="11">
        <v>6</v>
      </c>
      <c r="F1829" s="11" t="s">
        <v>7499</v>
      </c>
      <c r="G1829">
        <v>20261001</v>
      </c>
      <c r="I1829" s="11" t="s">
        <v>18</v>
      </c>
      <c r="J1829" s="72">
        <v>10620580</v>
      </c>
      <c r="K1829" s="99">
        <f>_xlfn.XLOOKUP(_2__ROI_Daily_Update[[#This Row],[CSM id]],SHP!F:F,SHP!EE:EE,"-")</f>
        <v>0</v>
      </c>
      <c r="L1829" s="12"/>
      <c r="N1829" s="11"/>
      <c r="P1829"/>
      <c r="Q1829"/>
      <c r="W1829" s="28"/>
      <c r="AA1829"/>
    </row>
    <row r="1830" spans="1:27" x14ac:dyDescent="0.45">
      <c r="A1830" s="57">
        <v>1821</v>
      </c>
      <c r="B1830" t="s">
        <v>3510</v>
      </c>
      <c r="C1830" t="s">
        <v>3511</v>
      </c>
      <c r="D1830" s="12">
        <v>46313</v>
      </c>
      <c r="E1830" s="11">
        <v>42</v>
      </c>
      <c r="F1830" s="11" t="s">
        <v>7435</v>
      </c>
      <c r="G1830">
        <v>20180201</v>
      </c>
      <c r="I1830" s="11" t="s">
        <v>63</v>
      </c>
      <c r="J1830" s="72">
        <v>20321632</v>
      </c>
      <c r="K1830" s="99">
        <f>_xlfn.XLOOKUP(_2__ROI_Daily_Update[[#This Row],[CSM id]],SHP!F:F,SHP!EE:EE,"-")</f>
        <v>0</v>
      </c>
      <c r="L1830" s="12"/>
      <c r="N1830" s="11"/>
      <c r="P1830"/>
      <c r="Q1830"/>
      <c r="W1830" s="28"/>
      <c r="AA1830"/>
    </row>
    <row r="1831" spans="1:27" x14ac:dyDescent="0.45">
      <c r="A1831" s="57">
        <v>824</v>
      </c>
      <c r="B1831" t="s">
        <v>663</v>
      </c>
      <c r="C1831" t="s">
        <v>664</v>
      </c>
      <c r="D1831" s="12">
        <v>46313</v>
      </c>
      <c r="E1831" s="11">
        <v>20</v>
      </c>
      <c r="F1831" s="11" t="s">
        <v>7499</v>
      </c>
      <c r="G1831">
        <v>20250401</v>
      </c>
      <c r="I1831" s="11" t="s">
        <v>18</v>
      </c>
      <c r="J1831" s="72">
        <v>10592761</v>
      </c>
      <c r="K1831" s="99">
        <f>_xlfn.XLOOKUP(_2__ROI_Daily_Update[[#This Row],[CSM id]],SHP!F:F,SHP!EE:EE,"-")</f>
        <v>0</v>
      </c>
      <c r="L1831" s="12"/>
      <c r="N1831" s="11"/>
      <c r="P1831"/>
      <c r="Q1831"/>
      <c r="W1831" s="28"/>
      <c r="AA1831"/>
    </row>
    <row r="1832" spans="1:27" x14ac:dyDescent="0.45">
      <c r="A1832" s="57">
        <v>824</v>
      </c>
      <c r="B1832" t="s">
        <v>663</v>
      </c>
      <c r="C1832" t="s">
        <v>664</v>
      </c>
      <c r="D1832" s="12">
        <v>46313</v>
      </c>
      <c r="E1832" s="11">
        <v>20</v>
      </c>
      <c r="F1832" s="11" t="s">
        <v>7485</v>
      </c>
      <c r="G1832">
        <v>20250401</v>
      </c>
      <c r="I1832" s="11" t="s">
        <v>18</v>
      </c>
      <c r="J1832" s="72">
        <v>10592761</v>
      </c>
      <c r="K1832" s="99">
        <f>_xlfn.XLOOKUP(_2__ROI_Daily_Update[[#This Row],[CSM id]],SHP!F:F,SHP!EE:EE,"-")</f>
        <v>0</v>
      </c>
      <c r="L1832" s="12"/>
      <c r="N1832" s="11"/>
      <c r="P1832"/>
      <c r="Q1832"/>
      <c r="W1832" s="28"/>
      <c r="AA1832"/>
    </row>
    <row r="1833" spans="1:27" x14ac:dyDescent="0.45">
      <c r="A1833" s="57">
        <v>921</v>
      </c>
      <c r="B1833" t="s">
        <v>676</v>
      </c>
      <c r="C1833" t="s">
        <v>677</v>
      </c>
      <c r="D1833" s="12">
        <v>46313</v>
      </c>
      <c r="E1833" s="11">
        <v>64</v>
      </c>
      <c r="F1833" s="11" t="s">
        <v>7410</v>
      </c>
      <c r="G1833">
        <v>20220701</v>
      </c>
      <c r="I1833" s="11" t="s">
        <v>63</v>
      </c>
      <c r="J1833" s="72">
        <v>10530075</v>
      </c>
      <c r="K1833" s="99">
        <f>_xlfn.XLOOKUP(_2__ROI_Daily_Update[[#This Row],[CSM id]],SHP!F:F,SHP!EE:EE,"-")</f>
        <v>0</v>
      </c>
      <c r="L1833" s="12"/>
      <c r="N1833" s="11"/>
      <c r="P1833"/>
      <c r="Q1833"/>
      <c r="W1833" s="28"/>
      <c r="AA1833"/>
    </row>
    <row r="1834" spans="1:27" x14ac:dyDescent="0.45">
      <c r="A1834" s="57">
        <v>1836</v>
      </c>
      <c r="B1834" t="s">
        <v>3644</v>
      </c>
      <c r="C1834" t="s">
        <v>3645</v>
      </c>
      <c r="D1834" s="12">
        <v>46313</v>
      </c>
      <c r="E1834" s="11">
        <v>54</v>
      </c>
      <c r="F1834" s="11" t="s">
        <v>7448</v>
      </c>
      <c r="G1834">
        <v>20210401</v>
      </c>
      <c r="I1834" s="11" t="s">
        <v>63</v>
      </c>
      <c r="J1834" s="72">
        <v>30485227</v>
      </c>
      <c r="K1834" s="99">
        <f>_xlfn.XLOOKUP(_2__ROI_Daily_Update[[#This Row],[CSM id]],SHP!F:F,SHP!EE:EE,"-")</f>
        <v>0</v>
      </c>
      <c r="L1834" s="12"/>
      <c r="N1834" s="11"/>
      <c r="P1834"/>
      <c r="Q1834"/>
      <c r="W1834" s="28"/>
      <c r="AA1834"/>
    </row>
    <row r="1835" spans="1:27" x14ac:dyDescent="0.45">
      <c r="A1835" s="57">
        <v>1821</v>
      </c>
      <c r="B1835" t="s">
        <v>5874</v>
      </c>
      <c r="C1835" t="s">
        <v>5875</v>
      </c>
      <c r="D1835" s="12">
        <v>46313</v>
      </c>
      <c r="E1835" s="11">
        <v>40</v>
      </c>
      <c r="F1835" s="11" t="s">
        <v>6946</v>
      </c>
      <c r="G1835">
        <v>20240101</v>
      </c>
      <c r="I1835" s="11" t="s">
        <v>63</v>
      </c>
      <c r="J1835" s="72">
        <v>10569925</v>
      </c>
      <c r="K1835" s="99">
        <f>_xlfn.XLOOKUP(_2__ROI_Daily_Update[[#This Row],[CSM id]],SHP!F:F,SHP!EE:EE,"-")</f>
        <v>0</v>
      </c>
      <c r="L1835" s="12"/>
      <c r="N1835" s="11"/>
      <c r="P1835"/>
      <c r="Q1835"/>
      <c r="W1835" s="28"/>
      <c r="AA1835"/>
    </row>
    <row r="1836" spans="1:27" x14ac:dyDescent="0.45">
      <c r="A1836" s="57">
        <v>1821</v>
      </c>
      <c r="B1836" t="s">
        <v>3506</v>
      </c>
      <c r="C1836" t="s">
        <v>3507</v>
      </c>
      <c r="D1836" s="12">
        <v>46313</v>
      </c>
      <c r="E1836" s="11">
        <v>60</v>
      </c>
      <c r="F1836" s="11" t="s">
        <v>6946</v>
      </c>
      <c r="G1836">
        <v>20220401</v>
      </c>
      <c r="I1836" s="11" t="s">
        <v>63</v>
      </c>
      <c r="J1836" s="72">
        <v>10519884</v>
      </c>
      <c r="K1836" s="99">
        <f>_xlfn.XLOOKUP(_2__ROI_Daily_Update[[#This Row],[CSM id]],SHP!F:F,SHP!EE:EE,"-")</f>
        <v>0</v>
      </c>
      <c r="L1836" s="12"/>
      <c r="N1836" s="11"/>
      <c r="P1836"/>
      <c r="Q1836"/>
      <c r="W1836" s="28"/>
      <c r="AA1836"/>
    </row>
    <row r="1837" spans="1:27" x14ac:dyDescent="0.45">
      <c r="A1837" s="57">
        <v>822</v>
      </c>
      <c r="B1837" t="s">
        <v>657</v>
      </c>
      <c r="C1837" t="s">
        <v>658</v>
      </c>
      <c r="D1837" s="12">
        <v>46313</v>
      </c>
      <c r="E1837" s="11">
        <v>50</v>
      </c>
      <c r="F1837" s="11" t="s">
        <v>7468</v>
      </c>
      <c r="G1837">
        <v>20251001</v>
      </c>
      <c r="I1837" s="11" t="s">
        <v>18</v>
      </c>
      <c r="J1837" s="72">
        <v>70608132</v>
      </c>
      <c r="K1837" s="99">
        <f>_xlfn.XLOOKUP(_2__ROI_Daily_Update[[#This Row],[CSM id]],SHP!F:F,SHP!EE:EE,"-")</f>
        <v>0</v>
      </c>
      <c r="L1837" s="12"/>
      <c r="N1837" s="11"/>
      <c r="P1837"/>
      <c r="Q1837"/>
      <c r="W1837" s="28"/>
      <c r="AA1837"/>
    </row>
    <row r="1838" spans="1:27" x14ac:dyDescent="0.45">
      <c r="A1838" s="57">
        <v>822</v>
      </c>
      <c r="B1838" t="s">
        <v>6265</v>
      </c>
      <c r="C1838" t="s">
        <v>6266</v>
      </c>
      <c r="D1838" s="12">
        <v>46313</v>
      </c>
      <c r="E1838" s="11">
        <v>48</v>
      </c>
      <c r="F1838" s="11" t="s">
        <v>7485</v>
      </c>
      <c r="G1838">
        <v>20240701</v>
      </c>
      <c r="I1838" s="11" t="s">
        <v>18</v>
      </c>
      <c r="J1838" s="72">
        <v>70570407</v>
      </c>
      <c r="K1838" s="99">
        <f>_xlfn.XLOOKUP(_2__ROI_Daily_Update[[#This Row],[CSM id]],SHP!F:F,SHP!EE:EE,"-")</f>
        <v>0</v>
      </c>
      <c r="L1838" s="12"/>
      <c r="N1838" s="11"/>
      <c r="P1838"/>
      <c r="Q1838"/>
      <c r="W1838" s="28"/>
      <c r="AA1838"/>
    </row>
    <row r="1839" spans="1:27" x14ac:dyDescent="0.45">
      <c r="A1839" s="57">
        <v>822</v>
      </c>
      <c r="B1839" t="s">
        <v>6863</v>
      </c>
      <c r="C1839" t="s">
        <v>6864</v>
      </c>
      <c r="D1839" s="12">
        <v>46313</v>
      </c>
      <c r="E1839" s="11">
        <v>21</v>
      </c>
      <c r="F1839" s="11" t="s">
        <v>7463</v>
      </c>
      <c r="G1839">
        <v>20210701</v>
      </c>
      <c r="I1839" s="11" t="s">
        <v>63</v>
      </c>
      <c r="J1839" s="72">
        <v>40501321</v>
      </c>
      <c r="K1839" s="99">
        <f>_xlfn.XLOOKUP(_2__ROI_Daily_Update[[#This Row],[CSM id]],SHP!F:F,SHP!EE:EE,"-")</f>
        <v>0</v>
      </c>
      <c r="L1839" s="12"/>
      <c r="N1839" s="11"/>
      <c r="P1839"/>
      <c r="Q1839"/>
      <c r="W1839" s="28"/>
      <c r="AA1839"/>
    </row>
    <row r="1840" spans="1:27" x14ac:dyDescent="0.45">
      <c r="A1840" s="57">
        <v>1821</v>
      </c>
      <c r="B1840" t="s">
        <v>3502</v>
      </c>
      <c r="C1840" t="s">
        <v>3503</v>
      </c>
      <c r="D1840" s="12">
        <v>46313</v>
      </c>
      <c r="E1840" s="11">
        <v>10</v>
      </c>
      <c r="F1840" s="11" t="s">
        <v>7458</v>
      </c>
      <c r="G1840">
        <v>20200201</v>
      </c>
      <c r="I1840" s="11" t="s">
        <v>63</v>
      </c>
      <c r="J1840" s="72">
        <v>10440367</v>
      </c>
      <c r="K1840" s="99">
        <f>_xlfn.XLOOKUP(_2__ROI_Daily_Update[[#This Row],[CSM id]],SHP!F:F,SHP!EE:EE,"-")</f>
        <v>0</v>
      </c>
      <c r="L1840" s="12"/>
      <c r="N1840" s="11"/>
      <c r="P1840"/>
      <c r="Q1840"/>
      <c r="W1840" s="28"/>
      <c r="AA1840"/>
    </row>
    <row r="1841" spans="1:27" x14ac:dyDescent="0.45">
      <c r="A1841" s="57">
        <v>823</v>
      </c>
      <c r="B1841" t="s">
        <v>6584</v>
      </c>
      <c r="C1841" t="s">
        <v>6585</v>
      </c>
      <c r="D1841" s="12">
        <v>46313</v>
      </c>
      <c r="E1841" s="11">
        <v>68</v>
      </c>
      <c r="F1841" s="11" t="s">
        <v>7458</v>
      </c>
      <c r="G1841">
        <v>20261001</v>
      </c>
      <c r="I1841" s="11" t="s">
        <v>63</v>
      </c>
      <c r="J1841" s="72">
        <v>652430</v>
      </c>
      <c r="K1841" s="99">
        <f>_xlfn.XLOOKUP(_2__ROI_Daily_Update[[#This Row],[CSM id]],SHP!F:F,SHP!EE:EE,"-")</f>
        <v>0</v>
      </c>
      <c r="L1841" s="12"/>
      <c r="N1841" s="11"/>
      <c r="P1841"/>
      <c r="Q1841"/>
      <c r="W1841" s="28"/>
      <c r="AA1841"/>
    </row>
    <row r="1842" spans="1:27" x14ac:dyDescent="0.45">
      <c r="A1842" s="57">
        <v>1415</v>
      </c>
      <c r="B1842" t="s">
        <v>2192</v>
      </c>
      <c r="C1842" t="s">
        <v>2193</v>
      </c>
      <c r="D1842" s="12">
        <v>46313</v>
      </c>
      <c r="E1842" s="11">
        <v>420</v>
      </c>
      <c r="F1842" s="11" t="s">
        <v>7425</v>
      </c>
      <c r="G1842">
        <v>20201001</v>
      </c>
      <c r="I1842" s="11" t="s">
        <v>63</v>
      </c>
      <c r="J1842" s="72">
        <v>80476348</v>
      </c>
      <c r="K1842" s="99">
        <f>_xlfn.XLOOKUP(_2__ROI_Daily_Update[[#This Row],[CSM id]],SHP!F:F,SHP!EE:EE,"-")</f>
        <v>0</v>
      </c>
      <c r="L1842" s="12"/>
      <c r="N1842" s="11"/>
      <c r="P1842"/>
      <c r="Q1842"/>
      <c r="W1842" s="28"/>
      <c r="AA1842"/>
    </row>
    <row r="1843" spans="1:27" x14ac:dyDescent="0.45">
      <c r="A1843" s="57">
        <v>1411</v>
      </c>
      <c r="B1843" t="s">
        <v>2092</v>
      </c>
      <c r="C1843" t="s">
        <v>2093</v>
      </c>
      <c r="D1843" s="12">
        <v>46313</v>
      </c>
      <c r="E1843" s="11">
        <v>256</v>
      </c>
      <c r="F1843" s="11" t="s">
        <v>7492</v>
      </c>
      <c r="G1843">
        <v>20160401</v>
      </c>
      <c r="I1843" s="11" t="s">
        <v>18</v>
      </c>
      <c r="J1843" s="72">
        <v>50298475</v>
      </c>
      <c r="K1843" s="99">
        <f>_xlfn.XLOOKUP(_2__ROI_Daily_Update[[#This Row],[CSM id]],SHP!F:F,SHP!EE:EE,"-")</f>
        <v>0</v>
      </c>
      <c r="L1843" s="12"/>
      <c r="N1843" s="11"/>
      <c r="P1843"/>
      <c r="Q1843"/>
      <c r="W1843" s="28"/>
      <c r="AA1843"/>
    </row>
    <row r="1844" spans="1:27" x14ac:dyDescent="0.45">
      <c r="A1844" s="57">
        <v>1411</v>
      </c>
      <c r="B1844" t="s">
        <v>6027</v>
      </c>
      <c r="C1844" t="s">
        <v>6028</v>
      </c>
      <c r="D1844" s="12">
        <v>46313</v>
      </c>
      <c r="E1844" s="11">
        <v>168</v>
      </c>
      <c r="F1844" s="11" t="s">
        <v>6946</v>
      </c>
      <c r="G1844">
        <v>20261001</v>
      </c>
      <c r="H1844" s="12">
        <v>46478</v>
      </c>
      <c r="I1844" s="11" t="s">
        <v>63</v>
      </c>
      <c r="J1844" s="72">
        <v>40637701</v>
      </c>
      <c r="K1844" s="99">
        <f>_xlfn.XLOOKUP(_2__ROI_Daily_Update[[#This Row],[CSM id]],SHP!F:F,SHP!EE:EE,"-")</f>
        <v>0</v>
      </c>
      <c r="L1844" s="12"/>
      <c r="N1844" s="11"/>
      <c r="P1844"/>
      <c r="Q1844"/>
      <c r="W1844" s="28"/>
      <c r="AA1844"/>
    </row>
    <row r="1845" spans="1:27" x14ac:dyDescent="0.45">
      <c r="A1845" s="57">
        <v>1314</v>
      </c>
      <c r="B1845" t="s">
        <v>5132</v>
      </c>
      <c r="C1845" t="s">
        <v>5133</v>
      </c>
      <c r="D1845" s="12">
        <v>46313</v>
      </c>
      <c r="E1845" s="11">
        <v>240</v>
      </c>
      <c r="F1845" s="11" t="s">
        <v>7400</v>
      </c>
      <c r="G1845">
        <v>20201001</v>
      </c>
      <c r="I1845" s="11" t="s">
        <v>63</v>
      </c>
      <c r="J1845" s="72">
        <v>20481017</v>
      </c>
      <c r="K1845" s="99">
        <f>_xlfn.XLOOKUP(_2__ROI_Daily_Update[[#This Row],[CSM id]],SHP!F:F,SHP!EE:EE,"-")</f>
        <v>0</v>
      </c>
      <c r="L1845" s="12"/>
      <c r="N1845" s="11"/>
      <c r="P1845"/>
      <c r="Q1845"/>
      <c r="W1845" s="28"/>
      <c r="AA1845"/>
    </row>
    <row r="1846" spans="1:27" x14ac:dyDescent="0.45">
      <c r="A1846" s="57">
        <v>1314</v>
      </c>
      <c r="B1846" t="s">
        <v>5132</v>
      </c>
      <c r="C1846" t="s">
        <v>5133</v>
      </c>
      <c r="D1846" s="12">
        <v>46313</v>
      </c>
      <c r="E1846" s="11">
        <v>80</v>
      </c>
      <c r="F1846" s="11" t="s">
        <v>7420</v>
      </c>
      <c r="G1846">
        <v>20201001</v>
      </c>
      <c r="I1846" s="11" t="s">
        <v>63</v>
      </c>
      <c r="J1846" s="72">
        <v>20481017</v>
      </c>
      <c r="K1846" s="99">
        <f>_xlfn.XLOOKUP(_2__ROI_Daily_Update[[#This Row],[CSM id]],SHP!F:F,SHP!EE:EE,"-")</f>
        <v>0</v>
      </c>
      <c r="L1846" s="12"/>
      <c r="N1846" s="11"/>
      <c r="P1846"/>
      <c r="Q1846"/>
      <c r="W1846" s="28"/>
      <c r="AA1846"/>
    </row>
    <row r="1847" spans="1:27" x14ac:dyDescent="0.45">
      <c r="A1847" s="57">
        <v>1821</v>
      </c>
      <c r="B1847" t="s">
        <v>3544</v>
      </c>
      <c r="C1847" t="s">
        <v>3545</v>
      </c>
      <c r="D1847" s="12">
        <v>46313</v>
      </c>
      <c r="E1847" s="11">
        <v>30</v>
      </c>
      <c r="F1847" s="11" t="s">
        <v>7410</v>
      </c>
      <c r="G1847">
        <v>20250101</v>
      </c>
      <c r="I1847" s="11" t="s">
        <v>63</v>
      </c>
      <c r="J1847" s="72">
        <v>60599519</v>
      </c>
      <c r="K1847" s="99">
        <f>_xlfn.XLOOKUP(_2__ROI_Daily_Update[[#This Row],[CSM id]],SHP!F:F,SHP!EE:EE,"-")</f>
        <v>0</v>
      </c>
      <c r="L1847" s="12"/>
      <c r="N1847" s="11"/>
      <c r="P1847"/>
      <c r="Q1847"/>
      <c r="W1847" s="28"/>
      <c r="AA1847"/>
    </row>
    <row r="1848" spans="1:27" x14ac:dyDescent="0.45">
      <c r="A1848" s="57">
        <v>1314</v>
      </c>
      <c r="B1848" t="s">
        <v>2054</v>
      </c>
      <c r="C1848" t="s">
        <v>2055</v>
      </c>
      <c r="D1848" s="12">
        <v>46313</v>
      </c>
      <c r="E1848" s="11">
        <v>44</v>
      </c>
      <c r="F1848" s="11" t="s">
        <v>6946</v>
      </c>
      <c r="G1848">
        <v>20190401</v>
      </c>
      <c r="I1848" s="11" t="s">
        <v>63</v>
      </c>
      <c r="J1848" s="72">
        <v>20426281</v>
      </c>
      <c r="K1848" s="99">
        <f>_xlfn.XLOOKUP(_2__ROI_Daily_Update[[#This Row],[CSM id]],SHP!F:F,SHP!EE:EE,"-")</f>
        <v>0</v>
      </c>
      <c r="L1848" s="12"/>
      <c r="N1848" s="11"/>
      <c r="P1848"/>
      <c r="Q1848"/>
      <c r="W1848" s="28"/>
      <c r="AA1848"/>
    </row>
    <row r="1849" spans="1:27" x14ac:dyDescent="0.45">
      <c r="A1849" s="57">
        <v>922</v>
      </c>
      <c r="B1849" t="s">
        <v>7087</v>
      </c>
      <c r="C1849" t="s">
        <v>7088</v>
      </c>
      <c r="D1849" s="12">
        <v>46313</v>
      </c>
      <c r="E1849" s="11">
        <v>64</v>
      </c>
      <c r="F1849" s="11" t="s">
        <v>7475</v>
      </c>
      <c r="G1849">
        <v>20260401</v>
      </c>
      <c r="I1849" s="11" t="s">
        <v>63</v>
      </c>
      <c r="J1849" s="72">
        <v>40618566</v>
      </c>
      <c r="K1849" s="99">
        <f>_xlfn.XLOOKUP(_2__ROI_Daily_Update[[#This Row],[CSM id]],SHP!F:F,SHP!EE:EE,"-")</f>
        <v>0</v>
      </c>
      <c r="L1849" s="12"/>
      <c r="N1849" s="11"/>
      <c r="P1849"/>
      <c r="Q1849"/>
      <c r="W1849" s="28"/>
      <c r="AA1849"/>
    </row>
    <row r="1850" spans="1:27" x14ac:dyDescent="0.45">
      <c r="A1850" s="57">
        <v>1314</v>
      </c>
      <c r="B1850" t="s">
        <v>7067</v>
      </c>
      <c r="C1850" t="s">
        <v>7068</v>
      </c>
      <c r="D1850" s="12">
        <v>46313</v>
      </c>
      <c r="E1850" s="11">
        <v>88</v>
      </c>
      <c r="F1850" s="11" t="s">
        <v>7480</v>
      </c>
      <c r="G1850">
        <v>20261001</v>
      </c>
      <c r="H1850" s="12">
        <v>46478</v>
      </c>
      <c r="I1850" s="11" t="s">
        <v>63</v>
      </c>
      <c r="J1850" s="72">
        <v>10642799</v>
      </c>
      <c r="K1850" s="99">
        <f>_xlfn.XLOOKUP(_2__ROI_Daily_Update[[#This Row],[CSM id]],SHP!F:F,SHP!EE:EE,"-")</f>
        <v>0</v>
      </c>
      <c r="L1850" s="12"/>
      <c r="N1850" s="11"/>
      <c r="P1850"/>
      <c r="Q1850"/>
      <c r="W1850" s="28"/>
      <c r="AA1850"/>
    </row>
    <row r="1851" spans="1:27" x14ac:dyDescent="0.45">
      <c r="A1851" s="57">
        <v>922</v>
      </c>
      <c r="B1851" t="s">
        <v>722</v>
      </c>
      <c r="C1851" t="s">
        <v>723</v>
      </c>
      <c r="D1851" s="12">
        <v>46313</v>
      </c>
      <c r="E1851" s="11">
        <v>22</v>
      </c>
      <c r="F1851" s="11" t="s">
        <v>7395</v>
      </c>
      <c r="G1851">
        <v>20261001</v>
      </c>
      <c r="I1851" s="11" t="s">
        <v>63</v>
      </c>
      <c r="J1851" s="72">
        <v>40631884</v>
      </c>
      <c r="K1851" s="99">
        <f>_xlfn.XLOOKUP(_2__ROI_Daily_Update[[#This Row],[CSM id]],SHP!F:F,SHP!EE:EE,"-")</f>
        <v>0</v>
      </c>
      <c r="L1851" s="12"/>
      <c r="N1851" s="11"/>
      <c r="P1851"/>
      <c r="Q1851"/>
      <c r="W1851" s="28"/>
      <c r="AA1851"/>
    </row>
    <row r="1852" spans="1:27" x14ac:dyDescent="0.45">
      <c r="A1852" s="57">
        <v>1314</v>
      </c>
      <c r="B1852" t="s">
        <v>5753</v>
      </c>
      <c r="C1852" t="s">
        <v>5754</v>
      </c>
      <c r="D1852" s="12">
        <v>46313</v>
      </c>
      <c r="E1852" s="11">
        <v>40</v>
      </c>
      <c r="F1852" s="11" t="s">
        <v>7395</v>
      </c>
      <c r="G1852">
        <v>20260101</v>
      </c>
      <c r="I1852" s="11" t="s">
        <v>63</v>
      </c>
      <c r="J1852" s="72">
        <v>623904</v>
      </c>
      <c r="K1852" s="99">
        <f>_xlfn.XLOOKUP(_2__ROI_Daily_Update[[#This Row],[CSM id]],SHP!F:F,SHP!EE:EE,"-")</f>
        <v>0</v>
      </c>
      <c r="L1852" s="12"/>
      <c r="N1852" s="11"/>
      <c r="P1852"/>
      <c r="Q1852"/>
      <c r="W1852" s="28"/>
      <c r="AA1852"/>
    </row>
    <row r="1853" spans="1:27" x14ac:dyDescent="0.45">
      <c r="A1853" s="57">
        <v>922</v>
      </c>
      <c r="B1853" t="s">
        <v>724</v>
      </c>
      <c r="C1853" t="s">
        <v>725</v>
      </c>
      <c r="D1853" s="12">
        <v>46313</v>
      </c>
      <c r="E1853" s="11">
        <v>40</v>
      </c>
      <c r="F1853" s="11" t="s">
        <v>7425</v>
      </c>
      <c r="G1853">
        <v>20251001</v>
      </c>
      <c r="H1853" s="12">
        <v>46478</v>
      </c>
      <c r="I1853" s="11" t="s">
        <v>63</v>
      </c>
      <c r="J1853" s="72">
        <v>50603215</v>
      </c>
      <c r="K1853" s="99">
        <f>_xlfn.XLOOKUP(_2__ROI_Daily_Update[[#This Row],[CSM id]],SHP!F:F,SHP!EE:EE,"-")</f>
        <v>0</v>
      </c>
      <c r="L1853" s="12"/>
      <c r="N1853" s="11"/>
      <c r="P1853"/>
      <c r="Q1853"/>
      <c r="W1853" s="28"/>
      <c r="AA1853"/>
    </row>
    <row r="1854" spans="1:27" x14ac:dyDescent="0.45">
      <c r="A1854" s="57">
        <v>1314</v>
      </c>
      <c r="B1854" t="s">
        <v>6409</v>
      </c>
      <c r="C1854" t="s">
        <v>6410</v>
      </c>
      <c r="D1854" s="12">
        <v>46313</v>
      </c>
      <c r="E1854" s="11">
        <v>80</v>
      </c>
      <c r="F1854" s="11" t="s">
        <v>7453</v>
      </c>
      <c r="G1854">
        <v>20221001</v>
      </c>
      <c r="I1854" s="11" t="s">
        <v>63</v>
      </c>
      <c r="J1854" s="72">
        <v>532126</v>
      </c>
      <c r="K1854" s="99">
        <f>_xlfn.XLOOKUP(_2__ROI_Daily_Update[[#This Row],[CSM id]],SHP!F:F,SHP!EE:EE,"-")</f>
        <v>0</v>
      </c>
      <c r="L1854" s="12"/>
      <c r="N1854" s="11"/>
      <c r="P1854"/>
      <c r="Q1854"/>
      <c r="W1854" s="28"/>
      <c r="AA1854"/>
    </row>
    <row r="1855" spans="1:27" x14ac:dyDescent="0.45">
      <c r="A1855" s="57">
        <v>1314</v>
      </c>
      <c r="B1855" t="s">
        <v>2048</v>
      </c>
      <c r="C1855" t="s">
        <v>2049</v>
      </c>
      <c r="D1855" s="12">
        <v>46313</v>
      </c>
      <c r="E1855" s="11">
        <v>368</v>
      </c>
      <c r="F1855" s="11" t="s">
        <v>7463</v>
      </c>
      <c r="G1855">
        <v>20181001</v>
      </c>
      <c r="I1855" s="11" t="s">
        <v>63</v>
      </c>
      <c r="J1855" s="72">
        <v>406335</v>
      </c>
      <c r="K1855" s="99">
        <f>_xlfn.XLOOKUP(_2__ROI_Daily_Update[[#This Row],[CSM id]],SHP!F:F,SHP!EE:EE,"-")</f>
        <v>0</v>
      </c>
      <c r="L1855" s="12"/>
      <c r="N1855" s="11"/>
      <c r="P1855"/>
      <c r="Q1855"/>
      <c r="W1855" s="28"/>
      <c r="AA1855"/>
    </row>
    <row r="1856" spans="1:27" x14ac:dyDescent="0.45">
      <c r="A1856" s="57">
        <v>1314</v>
      </c>
      <c r="B1856" t="s">
        <v>2048</v>
      </c>
      <c r="C1856" t="s">
        <v>2049</v>
      </c>
      <c r="D1856" s="12">
        <v>46313</v>
      </c>
      <c r="E1856" s="11">
        <v>368</v>
      </c>
      <c r="F1856" s="11" t="s">
        <v>7400</v>
      </c>
      <c r="G1856">
        <v>20181001</v>
      </c>
      <c r="I1856" s="11" t="s">
        <v>63</v>
      </c>
      <c r="J1856" s="72">
        <v>406335</v>
      </c>
      <c r="K1856" s="99">
        <f>_xlfn.XLOOKUP(_2__ROI_Daily_Update[[#This Row],[CSM id]],SHP!F:F,SHP!EE:EE,"-")</f>
        <v>0</v>
      </c>
      <c r="L1856" s="12"/>
      <c r="N1856" s="11"/>
      <c r="P1856"/>
      <c r="Q1856"/>
      <c r="W1856" s="28"/>
      <c r="AA1856"/>
    </row>
    <row r="1857" spans="1:27" x14ac:dyDescent="0.45">
      <c r="A1857" s="57">
        <v>1314</v>
      </c>
      <c r="B1857" t="s">
        <v>2048</v>
      </c>
      <c r="C1857" t="s">
        <v>2049</v>
      </c>
      <c r="D1857" s="12">
        <v>46313</v>
      </c>
      <c r="E1857" s="11">
        <v>368</v>
      </c>
      <c r="F1857" s="11" t="s">
        <v>7420</v>
      </c>
      <c r="G1857">
        <v>20181001</v>
      </c>
      <c r="I1857" s="11" t="s">
        <v>63</v>
      </c>
      <c r="J1857" s="72">
        <v>406335</v>
      </c>
      <c r="K1857" s="99">
        <f>_xlfn.XLOOKUP(_2__ROI_Daily_Update[[#This Row],[CSM id]],SHP!F:F,SHP!EE:EE,"-")</f>
        <v>0</v>
      </c>
      <c r="L1857" s="12"/>
      <c r="N1857" s="11"/>
      <c r="P1857"/>
      <c r="Q1857"/>
      <c r="W1857" s="28"/>
      <c r="AA1857"/>
    </row>
    <row r="1858" spans="1:27" x14ac:dyDescent="0.45">
      <c r="A1858" s="57">
        <v>922</v>
      </c>
      <c r="B1858" t="s">
        <v>726</v>
      </c>
      <c r="C1858" t="s">
        <v>727</v>
      </c>
      <c r="D1858" s="12">
        <v>46313</v>
      </c>
      <c r="E1858" s="11">
        <v>216</v>
      </c>
      <c r="F1858" s="11" t="s">
        <v>7420</v>
      </c>
      <c r="G1858">
        <v>20240101</v>
      </c>
      <c r="H1858" s="12">
        <v>46569</v>
      </c>
      <c r="I1858" s="11" t="s">
        <v>63</v>
      </c>
      <c r="J1858" s="72">
        <v>60574161</v>
      </c>
      <c r="K1858" s="99">
        <f>_xlfn.XLOOKUP(_2__ROI_Daily_Update[[#This Row],[CSM id]],SHP!F:F,SHP!EE:EE,"-")</f>
        <v>0</v>
      </c>
      <c r="L1858" s="12"/>
      <c r="N1858" s="11"/>
      <c r="P1858"/>
      <c r="Q1858"/>
      <c r="W1858" s="28"/>
      <c r="AA1858"/>
    </row>
    <row r="1859" spans="1:27" x14ac:dyDescent="0.45">
      <c r="A1859" s="57">
        <v>1314</v>
      </c>
      <c r="B1859" t="s">
        <v>5747</v>
      </c>
      <c r="C1859" t="s">
        <v>5748</v>
      </c>
      <c r="D1859" s="12">
        <v>46313</v>
      </c>
      <c r="E1859" s="11">
        <v>28</v>
      </c>
      <c r="F1859" s="11" t="s">
        <v>7395</v>
      </c>
      <c r="G1859">
        <v>20160401</v>
      </c>
      <c r="I1859" s="11" t="s">
        <v>63</v>
      </c>
      <c r="J1859" s="72">
        <v>307482</v>
      </c>
      <c r="K1859" s="99">
        <f>_xlfn.XLOOKUP(_2__ROI_Daily_Update[[#This Row],[CSM id]],SHP!F:F,SHP!EE:EE,"-")</f>
        <v>0</v>
      </c>
      <c r="L1859" s="12"/>
      <c r="N1859" s="11"/>
      <c r="P1859"/>
      <c r="Q1859"/>
      <c r="W1859" s="28"/>
      <c r="AA1859"/>
    </row>
    <row r="1860" spans="1:27" x14ac:dyDescent="0.45">
      <c r="A1860" s="57">
        <v>922</v>
      </c>
      <c r="B1860" t="s">
        <v>5892</v>
      </c>
      <c r="C1860" t="s">
        <v>5893</v>
      </c>
      <c r="D1860" s="12">
        <v>46313</v>
      </c>
      <c r="E1860" s="11">
        <v>168</v>
      </c>
      <c r="F1860" s="11" t="s">
        <v>7395</v>
      </c>
      <c r="G1860">
        <v>20251001</v>
      </c>
      <c r="I1860" s="11" t="s">
        <v>63</v>
      </c>
      <c r="J1860" s="72">
        <v>60612709</v>
      </c>
      <c r="K1860" s="99">
        <f>_xlfn.XLOOKUP(_2__ROI_Daily_Update[[#This Row],[CSM id]],SHP!F:F,SHP!EE:EE,"-")</f>
        <v>0</v>
      </c>
      <c r="L1860" s="12"/>
      <c r="N1860" s="11"/>
      <c r="P1860"/>
      <c r="Q1860"/>
      <c r="W1860" s="28"/>
      <c r="AA1860"/>
    </row>
    <row r="1861" spans="1:27" x14ac:dyDescent="0.45">
      <c r="A1861" s="57">
        <v>1313</v>
      </c>
      <c r="B1861" t="s">
        <v>7063</v>
      </c>
      <c r="C1861" t="s">
        <v>7064</v>
      </c>
      <c r="D1861" s="12">
        <v>46313</v>
      </c>
      <c r="E1861" s="11">
        <v>120</v>
      </c>
      <c r="F1861" s="11" t="s">
        <v>7475</v>
      </c>
      <c r="G1861">
        <v>20140801</v>
      </c>
      <c r="I1861" s="11" t="s">
        <v>63</v>
      </c>
      <c r="J1861" s="72">
        <v>50172305</v>
      </c>
      <c r="K1861" s="99">
        <f>_xlfn.XLOOKUP(_2__ROI_Daily_Update[[#This Row],[CSM id]],SHP!F:F,SHP!EE:EE,"-")</f>
        <v>0</v>
      </c>
      <c r="L1861" s="12"/>
      <c r="N1861" s="11"/>
      <c r="P1861"/>
      <c r="Q1861"/>
      <c r="W1861" s="28"/>
      <c r="AA1861"/>
    </row>
    <row r="1862" spans="1:27" x14ac:dyDescent="0.45">
      <c r="A1862" s="57">
        <v>1311</v>
      </c>
      <c r="B1862" t="s">
        <v>5965</v>
      </c>
      <c r="C1862" t="s">
        <v>5966</v>
      </c>
      <c r="D1862" s="12">
        <v>46313</v>
      </c>
      <c r="E1862" s="11">
        <v>4</v>
      </c>
      <c r="F1862" s="11" t="s">
        <v>6940</v>
      </c>
      <c r="G1862">
        <v>20251001</v>
      </c>
      <c r="I1862" s="11" t="s">
        <v>63</v>
      </c>
      <c r="J1862" s="72">
        <v>60610890</v>
      </c>
      <c r="K1862" s="99">
        <f>_xlfn.XLOOKUP(_2__ROI_Daily_Update[[#This Row],[CSM id]],SHP!F:F,SHP!EE:EE,"-")</f>
        <v>0</v>
      </c>
      <c r="L1862" s="12"/>
      <c r="N1862" s="11"/>
      <c r="P1862"/>
      <c r="Q1862"/>
      <c r="W1862" s="28"/>
      <c r="AA1862"/>
    </row>
    <row r="1863" spans="1:27" x14ac:dyDescent="0.45">
      <c r="A1863" s="57">
        <v>1311</v>
      </c>
      <c r="B1863" t="s">
        <v>5965</v>
      </c>
      <c r="C1863" t="s">
        <v>5966</v>
      </c>
      <c r="D1863" s="12">
        <v>46313</v>
      </c>
      <c r="E1863" s="11">
        <v>4</v>
      </c>
      <c r="F1863" s="11" t="s">
        <v>7475</v>
      </c>
      <c r="G1863">
        <v>20251001</v>
      </c>
      <c r="I1863" s="11" t="s">
        <v>63</v>
      </c>
      <c r="J1863" s="72">
        <v>60610890</v>
      </c>
      <c r="K1863" s="99">
        <f>_xlfn.XLOOKUP(_2__ROI_Daily_Update[[#This Row],[CSM id]],SHP!F:F,SHP!EE:EE,"-")</f>
        <v>0</v>
      </c>
      <c r="L1863" s="12"/>
      <c r="N1863" s="11"/>
      <c r="P1863"/>
      <c r="Q1863"/>
      <c r="W1863" s="28"/>
      <c r="AA1863"/>
    </row>
    <row r="1864" spans="1:27" x14ac:dyDescent="0.45">
      <c r="A1864" s="57">
        <v>1311</v>
      </c>
      <c r="B1864" t="s">
        <v>2032</v>
      </c>
      <c r="C1864" t="s">
        <v>2033</v>
      </c>
      <c r="D1864" s="12">
        <v>46313</v>
      </c>
      <c r="E1864" s="11">
        <v>36</v>
      </c>
      <c r="F1864" s="11" t="s">
        <v>7425</v>
      </c>
      <c r="G1864">
        <v>20260401</v>
      </c>
      <c r="I1864" s="11" t="s">
        <v>63</v>
      </c>
      <c r="J1864" s="72">
        <v>60624180</v>
      </c>
      <c r="K1864" s="99">
        <f>_xlfn.XLOOKUP(_2__ROI_Daily_Update[[#This Row],[CSM id]],SHP!F:F,SHP!EE:EE,"-")</f>
        <v>0</v>
      </c>
      <c r="L1864" s="12"/>
      <c r="N1864" s="11"/>
      <c r="P1864"/>
      <c r="Q1864"/>
      <c r="W1864" s="28"/>
      <c r="AA1864"/>
    </row>
    <row r="1865" spans="1:27" x14ac:dyDescent="0.45">
      <c r="A1865" s="57">
        <v>1311</v>
      </c>
      <c r="B1865" t="s">
        <v>7047</v>
      </c>
      <c r="C1865" t="s">
        <v>7048</v>
      </c>
      <c r="D1865" s="12">
        <v>46313</v>
      </c>
      <c r="E1865" s="11">
        <v>25</v>
      </c>
      <c r="F1865" s="11" t="s">
        <v>7475</v>
      </c>
      <c r="G1865">
        <v>20260101</v>
      </c>
      <c r="I1865" s="11" t="s">
        <v>63</v>
      </c>
      <c r="J1865" s="72">
        <v>60624241</v>
      </c>
      <c r="K1865" s="99">
        <f>_xlfn.XLOOKUP(_2__ROI_Daily_Update[[#This Row],[CSM id]],SHP!F:F,SHP!EE:EE,"-")</f>
        <v>0</v>
      </c>
      <c r="L1865" s="12"/>
      <c r="N1865" s="11"/>
      <c r="P1865"/>
      <c r="Q1865"/>
      <c r="W1865" s="28"/>
      <c r="AA1865"/>
    </row>
    <row r="1866" spans="1:27" x14ac:dyDescent="0.45">
      <c r="A1866" s="57">
        <v>1311</v>
      </c>
      <c r="B1866" t="s">
        <v>2034</v>
      </c>
      <c r="C1866" t="s">
        <v>2035</v>
      </c>
      <c r="D1866" s="12">
        <v>46313</v>
      </c>
      <c r="E1866" s="11">
        <v>56</v>
      </c>
      <c r="F1866" s="11" t="s">
        <v>7425</v>
      </c>
      <c r="G1866">
        <v>20250101</v>
      </c>
      <c r="I1866" s="11" t="s">
        <v>63</v>
      </c>
      <c r="J1866" s="72">
        <v>70550211</v>
      </c>
      <c r="K1866" s="99">
        <f>_xlfn.XLOOKUP(_2__ROI_Daily_Update[[#This Row],[CSM id]],SHP!F:F,SHP!EE:EE,"-")</f>
        <v>0</v>
      </c>
      <c r="L1866" s="12"/>
      <c r="N1866" s="11"/>
      <c r="P1866"/>
      <c r="Q1866"/>
      <c r="W1866" s="28"/>
      <c r="AA1866"/>
    </row>
    <row r="1867" spans="1:27" x14ac:dyDescent="0.45">
      <c r="A1867" s="57">
        <v>1311</v>
      </c>
      <c r="B1867" t="s">
        <v>2036</v>
      </c>
      <c r="C1867" t="s">
        <v>2037</v>
      </c>
      <c r="D1867" s="12">
        <v>46313</v>
      </c>
      <c r="E1867" s="11">
        <v>20</v>
      </c>
      <c r="F1867" s="11" t="s">
        <v>6940</v>
      </c>
      <c r="G1867">
        <v>20260101</v>
      </c>
      <c r="I1867" s="11" t="s">
        <v>63</v>
      </c>
      <c r="J1867" s="72">
        <v>70623076</v>
      </c>
      <c r="K1867" s="99">
        <f>_xlfn.XLOOKUP(_2__ROI_Daily_Update[[#This Row],[CSM id]],SHP!F:F,SHP!EE:EE,"-")</f>
        <v>0</v>
      </c>
      <c r="L1867" s="12"/>
      <c r="N1867" s="11"/>
      <c r="P1867"/>
      <c r="Q1867"/>
      <c r="W1867" s="28"/>
      <c r="AA1867"/>
    </row>
    <row r="1868" spans="1:27" x14ac:dyDescent="0.45">
      <c r="A1868" s="57">
        <v>1314</v>
      </c>
      <c r="B1868" t="s">
        <v>5132</v>
      </c>
      <c r="C1868" t="s">
        <v>5133</v>
      </c>
      <c r="D1868" s="12">
        <v>46313</v>
      </c>
      <c r="E1868" s="11">
        <v>80</v>
      </c>
      <c r="F1868" s="11" t="s">
        <v>7463</v>
      </c>
      <c r="G1868">
        <v>20201001</v>
      </c>
      <c r="I1868" s="11" t="s">
        <v>63</v>
      </c>
      <c r="J1868" s="72">
        <v>20481017</v>
      </c>
      <c r="K1868" s="99">
        <f>_xlfn.XLOOKUP(_2__ROI_Daily_Update[[#This Row],[CSM id]],SHP!F:F,SHP!EE:EE,"-")</f>
        <v>0</v>
      </c>
      <c r="L1868" s="12"/>
      <c r="N1868" s="11"/>
      <c r="P1868"/>
      <c r="Q1868"/>
      <c r="W1868" s="28"/>
      <c r="AA1868"/>
    </row>
    <row r="1869" spans="1:27" x14ac:dyDescent="0.45">
      <c r="A1869" s="57">
        <v>1311</v>
      </c>
      <c r="B1869" t="s">
        <v>6301</v>
      </c>
      <c r="C1869" t="s">
        <v>6302</v>
      </c>
      <c r="D1869" s="12">
        <v>46313</v>
      </c>
      <c r="E1869" s="11">
        <v>30</v>
      </c>
      <c r="F1869" s="11" t="s">
        <v>7448</v>
      </c>
      <c r="G1869">
        <v>20190401</v>
      </c>
      <c r="I1869" s="11" t="s">
        <v>63</v>
      </c>
      <c r="J1869" s="72">
        <v>80426805</v>
      </c>
      <c r="K1869" s="99">
        <f>_xlfn.XLOOKUP(_2__ROI_Daily_Update[[#This Row],[CSM id]],SHP!F:F,SHP!EE:EE,"-")</f>
        <v>0</v>
      </c>
      <c r="L1869" s="12"/>
      <c r="N1869" s="11"/>
      <c r="P1869"/>
      <c r="Q1869"/>
      <c r="W1869" s="28"/>
      <c r="AA1869"/>
    </row>
    <row r="1870" spans="1:27" x14ac:dyDescent="0.45">
      <c r="A1870" s="57">
        <v>1833</v>
      </c>
      <c r="B1870" t="s">
        <v>3638</v>
      </c>
      <c r="C1870" t="s">
        <v>3639</v>
      </c>
      <c r="D1870" s="12">
        <v>46313</v>
      </c>
      <c r="E1870" s="11">
        <v>96</v>
      </c>
      <c r="F1870" s="11" t="s">
        <v>7463</v>
      </c>
      <c r="G1870">
        <v>20240101</v>
      </c>
      <c r="I1870" s="11" t="s">
        <v>63</v>
      </c>
      <c r="J1870" s="72">
        <v>80569856</v>
      </c>
      <c r="K1870" s="99">
        <f>_xlfn.XLOOKUP(_2__ROI_Daily_Update[[#This Row],[CSM id]],SHP!F:F,SHP!EE:EE,"-")</f>
        <v>0</v>
      </c>
      <c r="L1870" s="12"/>
      <c r="N1870" s="11"/>
      <c r="P1870"/>
      <c r="Q1870"/>
      <c r="W1870" s="28"/>
      <c r="AA1870"/>
    </row>
    <row r="1871" spans="1:27" x14ac:dyDescent="0.45">
      <c r="A1871" s="57">
        <v>1311</v>
      </c>
      <c r="B1871" t="s">
        <v>2040</v>
      </c>
      <c r="C1871" t="s">
        <v>2041</v>
      </c>
      <c r="D1871" s="12">
        <v>46313</v>
      </c>
      <c r="E1871" s="11">
        <v>40</v>
      </c>
      <c r="F1871" s="11" t="s">
        <v>6940</v>
      </c>
      <c r="G1871">
        <v>20190401</v>
      </c>
      <c r="I1871" s="11" t="s">
        <v>63</v>
      </c>
      <c r="J1871" s="72">
        <v>90425527</v>
      </c>
      <c r="K1871" s="99">
        <f>_xlfn.XLOOKUP(_2__ROI_Daily_Update[[#This Row],[CSM id]],SHP!F:F,SHP!EE:EE,"-")</f>
        <v>0</v>
      </c>
      <c r="L1871" s="12"/>
      <c r="N1871" s="11"/>
      <c r="P1871"/>
      <c r="Q1871"/>
      <c r="W1871" s="28"/>
      <c r="AA1871"/>
    </row>
    <row r="1872" spans="1:27" x14ac:dyDescent="0.45">
      <c r="A1872" s="57">
        <v>1311</v>
      </c>
      <c r="B1872" t="s">
        <v>2042</v>
      </c>
      <c r="C1872" t="s">
        <v>2043</v>
      </c>
      <c r="D1872" s="12">
        <v>46313</v>
      </c>
      <c r="E1872" s="11">
        <v>16</v>
      </c>
      <c r="F1872" s="11" t="s">
        <v>7415</v>
      </c>
      <c r="G1872">
        <v>20250701</v>
      </c>
      <c r="I1872" s="11" t="s">
        <v>63</v>
      </c>
      <c r="J1872" s="72">
        <v>90607669</v>
      </c>
      <c r="K1872" s="99">
        <f>_xlfn.XLOOKUP(_2__ROI_Daily_Update[[#This Row],[CSM id]],SHP!F:F,SHP!EE:EE,"-")</f>
        <v>0</v>
      </c>
      <c r="L1872" s="12"/>
      <c r="N1872" s="11"/>
      <c r="P1872"/>
      <c r="Q1872"/>
      <c r="W1872" s="28"/>
      <c r="AA1872"/>
    </row>
    <row r="1873" spans="1:27" x14ac:dyDescent="0.45">
      <c r="A1873" s="57">
        <v>1311</v>
      </c>
      <c r="B1873" t="s">
        <v>2042</v>
      </c>
      <c r="C1873" t="s">
        <v>2043</v>
      </c>
      <c r="D1873" s="12">
        <v>46313</v>
      </c>
      <c r="E1873" s="11">
        <v>16</v>
      </c>
      <c r="F1873" s="11" t="s">
        <v>7458</v>
      </c>
      <c r="G1873">
        <v>20250701</v>
      </c>
      <c r="I1873" s="11" t="s">
        <v>63</v>
      </c>
      <c r="J1873" s="72">
        <v>90607669</v>
      </c>
      <c r="K1873" s="99">
        <f>_xlfn.XLOOKUP(_2__ROI_Daily_Update[[#This Row],[CSM id]],SHP!F:F,SHP!EE:EE,"-")</f>
        <v>0</v>
      </c>
      <c r="L1873" s="12"/>
      <c r="N1873" s="11"/>
      <c r="P1873"/>
      <c r="Q1873"/>
      <c r="W1873" s="28"/>
      <c r="AA1873"/>
    </row>
    <row r="1874" spans="1:27" x14ac:dyDescent="0.45">
      <c r="A1874" s="57">
        <v>1313</v>
      </c>
      <c r="B1874" t="s">
        <v>5963</v>
      </c>
      <c r="C1874" t="s">
        <v>5964</v>
      </c>
      <c r="D1874" s="12">
        <v>46313</v>
      </c>
      <c r="E1874" s="11">
        <v>132</v>
      </c>
      <c r="F1874" s="11" t="s">
        <v>6940</v>
      </c>
      <c r="G1874">
        <v>20240701</v>
      </c>
      <c r="I1874" s="11" t="s">
        <v>63</v>
      </c>
      <c r="J1874" s="72">
        <v>20582530</v>
      </c>
      <c r="K1874" s="99">
        <f>_xlfn.XLOOKUP(_2__ROI_Daily_Update[[#This Row],[CSM id]],SHP!F:F,SHP!EE:EE,"-")</f>
        <v>0</v>
      </c>
      <c r="L1874" s="12"/>
      <c r="N1874" s="11"/>
      <c r="P1874"/>
      <c r="Q1874"/>
      <c r="W1874" s="28"/>
      <c r="AA1874"/>
    </row>
    <row r="1875" spans="1:27" x14ac:dyDescent="0.45">
      <c r="A1875" s="57">
        <v>922</v>
      </c>
      <c r="B1875" t="s">
        <v>5695</v>
      </c>
      <c r="C1875" t="s">
        <v>5696</v>
      </c>
      <c r="D1875" s="12">
        <v>46313</v>
      </c>
      <c r="E1875" s="11">
        <v>48</v>
      </c>
      <c r="F1875" s="11" t="s">
        <v>7468</v>
      </c>
      <c r="G1875">
        <v>20260101</v>
      </c>
      <c r="I1875" s="11" t="s">
        <v>18</v>
      </c>
      <c r="J1875" s="72">
        <v>60614567</v>
      </c>
      <c r="K1875" s="99">
        <f>_xlfn.XLOOKUP(_2__ROI_Daily_Update[[#This Row],[CSM id]],SHP!F:F,SHP!EE:EE,"-")</f>
        <v>0</v>
      </c>
      <c r="L1875" s="12"/>
      <c r="N1875" s="11"/>
      <c r="P1875"/>
      <c r="Q1875"/>
      <c r="W1875" s="28"/>
      <c r="AA1875"/>
    </row>
    <row r="1876" spans="1:27" x14ac:dyDescent="0.45">
      <c r="A1876" s="57">
        <v>1311</v>
      </c>
      <c r="B1876" t="s">
        <v>2038</v>
      </c>
      <c r="C1876" t="s">
        <v>2039</v>
      </c>
      <c r="D1876" s="12">
        <v>46313</v>
      </c>
      <c r="E1876" s="11">
        <v>20</v>
      </c>
      <c r="F1876" s="11" t="s">
        <v>7425</v>
      </c>
      <c r="G1876">
        <v>20260401</v>
      </c>
      <c r="I1876" s="11" t="s">
        <v>63</v>
      </c>
      <c r="J1876" s="72">
        <v>80629148</v>
      </c>
      <c r="K1876" s="99">
        <f>_xlfn.XLOOKUP(_2__ROI_Daily_Update[[#This Row],[CSM id]],SHP!F:F,SHP!EE:EE,"-")</f>
        <v>0</v>
      </c>
      <c r="L1876" s="12"/>
      <c r="N1876" s="11"/>
      <c r="P1876"/>
      <c r="Q1876"/>
      <c r="W1876" s="28"/>
      <c r="AA1876"/>
    </row>
    <row r="1877" spans="1:27" x14ac:dyDescent="0.45">
      <c r="A1877" s="57">
        <v>922</v>
      </c>
      <c r="B1877" t="s">
        <v>710</v>
      </c>
      <c r="C1877" t="s">
        <v>711</v>
      </c>
      <c r="D1877" s="12">
        <v>46313</v>
      </c>
      <c r="E1877" s="11">
        <v>22</v>
      </c>
      <c r="F1877" s="11" t="s">
        <v>7499</v>
      </c>
      <c r="G1877">
        <v>20231001</v>
      </c>
      <c r="I1877" s="11" t="s">
        <v>32</v>
      </c>
      <c r="J1877" s="72">
        <v>20550176</v>
      </c>
      <c r="K1877" s="99">
        <f>_xlfn.XLOOKUP(_2__ROI_Daily_Update[[#This Row],[CSM id]],SHP!F:F,SHP!EE:EE,"-")</f>
        <v>0</v>
      </c>
      <c r="L1877" s="12"/>
      <c r="N1877" s="11"/>
      <c r="P1877"/>
      <c r="Q1877"/>
      <c r="W1877" s="28"/>
      <c r="AA1877"/>
    </row>
    <row r="1878" spans="1:27" x14ac:dyDescent="0.45">
      <c r="A1878" s="57">
        <v>1314</v>
      </c>
      <c r="B1878" t="s">
        <v>6375</v>
      </c>
      <c r="C1878" t="s">
        <v>6376</v>
      </c>
      <c r="D1878" s="12">
        <v>46313</v>
      </c>
      <c r="E1878" s="11">
        <v>48</v>
      </c>
      <c r="F1878" s="11" t="s">
        <v>7448</v>
      </c>
      <c r="G1878">
        <v>20231001</v>
      </c>
      <c r="I1878" s="11" t="s">
        <v>63</v>
      </c>
      <c r="J1878" s="72">
        <v>20561882</v>
      </c>
      <c r="K1878" s="99">
        <f>_xlfn.XLOOKUP(_2__ROI_Daily_Update[[#This Row],[CSM id]],SHP!F:F,SHP!EE:EE,"-")</f>
        <v>0</v>
      </c>
      <c r="L1878" s="12"/>
      <c r="N1878" s="11"/>
      <c r="P1878"/>
      <c r="Q1878"/>
      <c r="W1878" s="28"/>
      <c r="AA1878"/>
    </row>
    <row r="1879" spans="1:27" x14ac:dyDescent="0.45">
      <c r="A1879" s="57">
        <v>1314</v>
      </c>
      <c r="B1879" t="s">
        <v>7073</v>
      </c>
      <c r="C1879" t="s">
        <v>7074</v>
      </c>
      <c r="D1879" s="12">
        <v>46313</v>
      </c>
      <c r="E1879" s="11">
        <v>750</v>
      </c>
      <c r="F1879" s="11" t="s">
        <v>7475</v>
      </c>
      <c r="G1879">
        <v>20250101</v>
      </c>
      <c r="I1879" s="11" t="s">
        <v>63</v>
      </c>
      <c r="J1879" s="72">
        <v>20592826</v>
      </c>
      <c r="K1879" s="99">
        <f>_xlfn.XLOOKUP(_2__ROI_Daily_Update[[#This Row],[CSM id]],SHP!F:F,SHP!EE:EE,"-")</f>
        <v>0</v>
      </c>
      <c r="L1879" s="12"/>
      <c r="N1879" s="11"/>
      <c r="P1879"/>
      <c r="Q1879"/>
      <c r="W1879" s="28"/>
      <c r="AA1879"/>
    </row>
    <row r="1880" spans="1:27" x14ac:dyDescent="0.45">
      <c r="A1880" s="57">
        <v>922</v>
      </c>
      <c r="B1880" t="s">
        <v>714</v>
      </c>
      <c r="C1880" t="s">
        <v>715</v>
      </c>
      <c r="D1880" s="12">
        <v>46313</v>
      </c>
      <c r="E1880" s="11">
        <v>30</v>
      </c>
      <c r="F1880" s="11" t="s">
        <v>6946</v>
      </c>
      <c r="G1880">
        <v>20260101</v>
      </c>
      <c r="I1880" s="11" t="s">
        <v>63</v>
      </c>
      <c r="J1880" s="72">
        <v>20614569</v>
      </c>
      <c r="K1880" s="99">
        <f>_xlfn.XLOOKUP(_2__ROI_Daily_Update[[#This Row],[CSM id]],SHP!F:F,SHP!EE:EE,"-")</f>
        <v>0</v>
      </c>
      <c r="L1880" s="12"/>
      <c r="N1880" s="11"/>
      <c r="P1880"/>
      <c r="Q1880"/>
      <c r="W1880" s="28"/>
      <c r="AA1880"/>
    </row>
    <row r="1881" spans="1:27" x14ac:dyDescent="0.45">
      <c r="A1881" s="57">
        <v>1411</v>
      </c>
      <c r="B1881" t="s">
        <v>2080</v>
      </c>
      <c r="C1881" t="s">
        <v>2081</v>
      </c>
      <c r="D1881" s="12">
        <v>46313</v>
      </c>
      <c r="E1881" s="11">
        <v>24</v>
      </c>
      <c r="F1881" s="11" t="s">
        <v>7492</v>
      </c>
      <c r="G1881">
        <v>20220401</v>
      </c>
      <c r="I1881" s="11" t="s">
        <v>18</v>
      </c>
      <c r="J1881" s="72">
        <v>20513160</v>
      </c>
      <c r="K1881" s="99">
        <f>_xlfn.XLOOKUP(_2__ROI_Daily_Update[[#This Row],[CSM id]],SHP!F:F,SHP!EE:EE,"-")</f>
        <v>0</v>
      </c>
      <c r="L1881" s="12"/>
      <c r="N1881" s="11"/>
      <c r="P1881"/>
      <c r="Q1881"/>
      <c r="W1881" s="28"/>
      <c r="AA1881"/>
    </row>
    <row r="1882" spans="1:27" x14ac:dyDescent="0.45">
      <c r="A1882" s="57">
        <v>922</v>
      </c>
      <c r="B1882" t="s">
        <v>7101</v>
      </c>
      <c r="C1882" t="s">
        <v>7102</v>
      </c>
      <c r="D1882" s="12">
        <v>46313</v>
      </c>
      <c r="E1882" s="11">
        <v>12</v>
      </c>
      <c r="F1882" s="11" t="s">
        <v>7475</v>
      </c>
      <c r="G1882">
        <v>20221001</v>
      </c>
      <c r="I1882" s="11" t="s">
        <v>63</v>
      </c>
      <c r="J1882" s="72">
        <v>30526398</v>
      </c>
      <c r="K1882" s="99">
        <f>_xlfn.XLOOKUP(_2__ROI_Daily_Update[[#This Row],[CSM id]],SHP!F:F,SHP!EE:EE,"-")</f>
        <v>0</v>
      </c>
      <c r="L1882" s="12"/>
      <c r="N1882" s="11"/>
      <c r="P1882"/>
      <c r="Q1882"/>
      <c r="W1882" s="28"/>
      <c r="AA1882"/>
    </row>
    <row r="1883" spans="1:27" x14ac:dyDescent="0.45">
      <c r="A1883" s="57">
        <v>1411</v>
      </c>
      <c r="B1883" t="s">
        <v>2078</v>
      </c>
      <c r="C1883" t="s">
        <v>2079</v>
      </c>
      <c r="D1883" s="12">
        <v>46313</v>
      </c>
      <c r="E1883" s="11">
        <v>48</v>
      </c>
      <c r="F1883" s="11" t="s">
        <v>7492</v>
      </c>
      <c r="G1883">
        <v>20220101</v>
      </c>
      <c r="I1883" s="11" t="s">
        <v>18</v>
      </c>
      <c r="J1883" s="72">
        <v>20484271</v>
      </c>
      <c r="K1883" s="99">
        <f>_xlfn.XLOOKUP(_2__ROI_Daily_Update[[#This Row],[CSM id]],SHP!F:F,SHP!EE:EE,"-")</f>
        <v>0</v>
      </c>
      <c r="L1883" s="12"/>
      <c r="N1883" s="11"/>
      <c r="P1883"/>
      <c r="Q1883"/>
      <c r="W1883" s="28"/>
      <c r="AA1883"/>
    </row>
    <row r="1884" spans="1:27" x14ac:dyDescent="0.45">
      <c r="A1884" s="57">
        <v>922</v>
      </c>
      <c r="B1884" t="s">
        <v>718</v>
      </c>
      <c r="C1884" t="s">
        <v>719</v>
      </c>
      <c r="D1884" s="12">
        <v>46313</v>
      </c>
      <c r="E1884" s="11">
        <v>80</v>
      </c>
      <c r="F1884" s="11" t="s">
        <v>7430</v>
      </c>
      <c r="G1884">
        <v>20260201</v>
      </c>
      <c r="I1884" s="11" t="s">
        <v>63</v>
      </c>
      <c r="J1884" s="72">
        <v>30603179</v>
      </c>
      <c r="K1884" s="99">
        <f>_xlfn.XLOOKUP(_2__ROI_Daily_Update[[#This Row],[CSM id]],SHP!F:F,SHP!EE:EE,"-")</f>
        <v>0</v>
      </c>
      <c r="L1884" s="12"/>
      <c r="N1884" s="11"/>
      <c r="P1884"/>
      <c r="Q1884"/>
      <c r="W1884" s="28"/>
      <c r="AA1884"/>
    </row>
    <row r="1885" spans="1:27" x14ac:dyDescent="0.45">
      <c r="A1885" s="57">
        <v>1411</v>
      </c>
      <c r="B1885" t="s">
        <v>2076</v>
      </c>
      <c r="C1885" t="s">
        <v>2077</v>
      </c>
      <c r="D1885" s="12">
        <v>46313</v>
      </c>
      <c r="E1885" s="11">
        <v>1080</v>
      </c>
      <c r="F1885" s="11" t="s">
        <v>7492</v>
      </c>
      <c r="G1885">
        <v>20201001</v>
      </c>
      <c r="I1885" s="11" t="s">
        <v>18</v>
      </c>
      <c r="J1885" s="72">
        <v>20449169</v>
      </c>
      <c r="K1885" s="99">
        <f>_xlfn.XLOOKUP(_2__ROI_Daily_Update[[#This Row],[CSM id]],SHP!F:F,SHP!EE:EE,"-")</f>
        <v>0</v>
      </c>
      <c r="L1885" s="12"/>
      <c r="N1885" s="11"/>
      <c r="P1885"/>
      <c r="Q1885"/>
      <c r="W1885" s="28"/>
      <c r="AA1885"/>
    </row>
    <row r="1886" spans="1:27" x14ac:dyDescent="0.45">
      <c r="A1886" s="57">
        <v>1821</v>
      </c>
      <c r="B1886" t="s">
        <v>3535</v>
      </c>
      <c r="C1886" t="s">
        <v>3536</v>
      </c>
      <c r="D1886" s="12">
        <v>46313</v>
      </c>
      <c r="E1886" s="11">
        <v>56</v>
      </c>
      <c r="F1886" s="11" t="s">
        <v>7485</v>
      </c>
      <c r="G1886">
        <v>20180201</v>
      </c>
      <c r="I1886" s="11" t="s">
        <v>18</v>
      </c>
      <c r="J1886" s="72">
        <v>60320800</v>
      </c>
      <c r="K1886" s="99">
        <f>_xlfn.XLOOKUP(_2__ROI_Daily_Update[[#This Row],[CSM id]],SHP!F:F,SHP!EE:EE,"-")</f>
        <v>0</v>
      </c>
      <c r="L1886" s="12"/>
      <c r="N1886" s="11"/>
      <c r="P1886"/>
      <c r="Q1886"/>
      <c r="W1886" s="28"/>
      <c r="AA1886"/>
    </row>
    <row r="1887" spans="1:27" x14ac:dyDescent="0.45">
      <c r="A1887" s="57">
        <v>922</v>
      </c>
      <c r="B1887" t="s">
        <v>718</v>
      </c>
      <c r="C1887" t="s">
        <v>719</v>
      </c>
      <c r="D1887" s="12">
        <v>46313</v>
      </c>
      <c r="E1887" s="11">
        <v>80</v>
      </c>
      <c r="F1887" s="11" t="s">
        <v>6946</v>
      </c>
      <c r="G1887">
        <v>20260201</v>
      </c>
      <c r="I1887" s="11" t="s">
        <v>63</v>
      </c>
      <c r="J1887" s="72">
        <v>30603179</v>
      </c>
      <c r="K1887" s="99">
        <f>_xlfn.XLOOKUP(_2__ROI_Daily_Update[[#This Row],[CSM id]],SHP!F:F,SHP!EE:EE,"-")</f>
        <v>0</v>
      </c>
      <c r="L1887" s="12"/>
      <c r="N1887" s="11"/>
      <c r="P1887"/>
      <c r="Q1887"/>
      <c r="W1887" s="28"/>
      <c r="AA1887"/>
    </row>
    <row r="1888" spans="1:27" x14ac:dyDescent="0.45">
      <c r="A1888" s="57">
        <v>1411</v>
      </c>
      <c r="B1888" t="s">
        <v>2072</v>
      </c>
      <c r="C1888" t="s">
        <v>2073</v>
      </c>
      <c r="D1888" s="12">
        <v>46313</v>
      </c>
      <c r="E1888" s="11">
        <v>30</v>
      </c>
      <c r="F1888" s="11" t="s">
        <v>7492</v>
      </c>
      <c r="G1888">
        <v>20220401</v>
      </c>
      <c r="I1888" s="11" t="s">
        <v>18</v>
      </c>
      <c r="J1888" s="72">
        <v>513142</v>
      </c>
      <c r="K1888" s="99">
        <f>_xlfn.XLOOKUP(_2__ROI_Daily_Update[[#This Row],[CSM id]],SHP!F:F,SHP!EE:EE,"-")</f>
        <v>0</v>
      </c>
      <c r="L1888" s="12"/>
      <c r="N1888" s="11"/>
      <c r="P1888"/>
      <c r="Q1888"/>
      <c r="W1888" s="28"/>
      <c r="AA1888"/>
    </row>
    <row r="1889" spans="1:27" x14ac:dyDescent="0.45">
      <c r="A1889" s="57">
        <v>1314</v>
      </c>
      <c r="B1889" t="s">
        <v>2070</v>
      </c>
      <c r="C1889" t="s">
        <v>2071</v>
      </c>
      <c r="D1889" s="12">
        <v>46313</v>
      </c>
      <c r="E1889" s="11">
        <v>25</v>
      </c>
      <c r="F1889" s="11" t="s">
        <v>7448</v>
      </c>
      <c r="G1889">
        <v>20190401</v>
      </c>
      <c r="I1889" s="11" t="s">
        <v>63</v>
      </c>
      <c r="J1889" s="72">
        <v>80427008</v>
      </c>
      <c r="K1889" s="99">
        <f>_xlfn.XLOOKUP(_2__ROI_Daily_Update[[#This Row],[CSM id]],SHP!F:F,SHP!EE:EE,"-")</f>
        <v>0</v>
      </c>
      <c r="L1889" s="12"/>
      <c r="N1889" s="11"/>
      <c r="P1889"/>
      <c r="Q1889"/>
      <c r="W1889" s="28"/>
      <c r="AA1889"/>
    </row>
    <row r="1890" spans="1:27" x14ac:dyDescent="0.45">
      <c r="A1890" s="57">
        <v>1314</v>
      </c>
      <c r="B1890" t="s">
        <v>2070</v>
      </c>
      <c r="C1890" t="s">
        <v>2071</v>
      </c>
      <c r="D1890" s="12">
        <v>46313</v>
      </c>
      <c r="E1890" s="11">
        <v>25</v>
      </c>
      <c r="F1890" s="11" t="s">
        <v>7425</v>
      </c>
      <c r="G1890">
        <v>20190401</v>
      </c>
      <c r="I1890" s="11" t="s">
        <v>63</v>
      </c>
      <c r="J1890" s="72">
        <v>80427008</v>
      </c>
      <c r="K1890" s="99">
        <f>_xlfn.XLOOKUP(_2__ROI_Daily_Update[[#This Row],[CSM id]],SHP!F:F,SHP!EE:EE,"-")</f>
        <v>0</v>
      </c>
      <c r="L1890" s="12"/>
      <c r="N1890" s="11"/>
      <c r="P1890"/>
      <c r="Q1890"/>
      <c r="W1890" s="28"/>
      <c r="AA1890"/>
    </row>
    <row r="1891" spans="1:27" x14ac:dyDescent="0.45">
      <c r="A1891" s="57">
        <v>1314</v>
      </c>
      <c r="B1891" t="s">
        <v>5614</v>
      </c>
      <c r="C1891" t="s">
        <v>5615</v>
      </c>
      <c r="D1891" s="12">
        <v>46313</v>
      </c>
      <c r="E1891" s="11">
        <v>80</v>
      </c>
      <c r="F1891" s="11" t="s">
        <v>7485</v>
      </c>
      <c r="G1891">
        <v>20181001</v>
      </c>
      <c r="I1891" s="11" t="s">
        <v>18</v>
      </c>
      <c r="J1891" s="72">
        <v>80420243</v>
      </c>
      <c r="K1891" s="99">
        <f>_xlfn.XLOOKUP(_2__ROI_Daily_Update[[#This Row],[CSM id]],SHP!F:F,SHP!EE:EE,"-")</f>
        <v>0</v>
      </c>
      <c r="L1891" s="12"/>
      <c r="N1891" s="11"/>
      <c r="P1891"/>
      <c r="Q1891"/>
      <c r="W1891" s="28"/>
      <c r="AA1891"/>
    </row>
    <row r="1892" spans="1:27" x14ac:dyDescent="0.45">
      <c r="A1892" s="57">
        <v>1314</v>
      </c>
      <c r="B1892" t="s">
        <v>5614</v>
      </c>
      <c r="C1892" t="s">
        <v>5615</v>
      </c>
      <c r="D1892" s="12">
        <v>46313</v>
      </c>
      <c r="E1892" s="11">
        <v>320</v>
      </c>
      <c r="F1892" s="11" t="s">
        <v>7468</v>
      </c>
      <c r="G1892">
        <v>20181001</v>
      </c>
      <c r="I1892" s="11" t="s">
        <v>18</v>
      </c>
      <c r="J1892" s="72">
        <v>80420243</v>
      </c>
      <c r="K1892" s="99">
        <f>_xlfn.XLOOKUP(_2__ROI_Daily_Update[[#This Row],[CSM id]],SHP!F:F,SHP!EE:EE,"-")</f>
        <v>0</v>
      </c>
      <c r="L1892" s="12"/>
      <c r="N1892" s="11"/>
      <c r="P1892"/>
      <c r="Q1892"/>
      <c r="W1892" s="28"/>
      <c r="AA1892"/>
    </row>
    <row r="1893" spans="1:27" x14ac:dyDescent="0.45">
      <c r="A1893" s="57">
        <v>1314</v>
      </c>
      <c r="B1893" t="s">
        <v>2068</v>
      </c>
      <c r="C1893" t="s">
        <v>2069</v>
      </c>
      <c r="D1893" s="12">
        <v>46313</v>
      </c>
      <c r="E1893" s="11">
        <v>400</v>
      </c>
      <c r="F1893" s="11" t="s">
        <v>7425</v>
      </c>
      <c r="G1893">
        <v>20230101</v>
      </c>
      <c r="I1893" s="11" t="s">
        <v>63</v>
      </c>
      <c r="J1893" s="72">
        <v>70549053</v>
      </c>
      <c r="K1893" s="99">
        <f>_xlfn.XLOOKUP(_2__ROI_Daily_Update[[#This Row],[CSM id]],SHP!F:F,SHP!EE:EE,"-")</f>
        <v>0</v>
      </c>
      <c r="L1893" s="12"/>
      <c r="N1893" s="11"/>
      <c r="P1893"/>
      <c r="Q1893"/>
      <c r="W1893" s="28"/>
      <c r="AA1893"/>
    </row>
    <row r="1894" spans="1:27" x14ac:dyDescent="0.45">
      <c r="A1894" s="57">
        <v>1821</v>
      </c>
      <c r="B1894" t="s">
        <v>3538</v>
      </c>
      <c r="C1894" t="s">
        <v>3539</v>
      </c>
      <c r="D1894" s="12">
        <v>46313</v>
      </c>
      <c r="E1894" s="11">
        <v>15</v>
      </c>
      <c r="F1894" s="11" t="s">
        <v>6946</v>
      </c>
      <c r="G1894">
        <v>20210201</v>
      </c>
      <c r="I1894" s="11" t="s">
        <v>63</v>
      </c>
      <c r="J1894" s="72">
        <v>60465925</v>
      </c>
      <c r="K1894" s="99">
        <f>_xlfn.XLOOKUP(_2__ROI_Daily_Update[[#This Row],[CSM id]],SHP!F:F,SHP!EE:EE,"-")</f>
        <v>0</v>
      </c>
      <c r="L1894" s="12"/>
      <c r="N1894" s="11"/>
      <c r="P1894"/>
      <c r="Q1894"/>
      <c r="W1894" s="28"/>
      <c r="AA1894"/>
    </row>
    <row r="1895" spans="1:27" x14ac:dyDescent="0.45">
      <c r="A1895" s="57">
        <v>1314</v>
      </c>
      <c r="B1895" t="s">
        <v>2066</v>
      </c>
      <c r="C1895" t="s">
        <v>2067</v>
      </c>
      <c r="D1895" s="12">
        <v>46313</v>
      </c>
      <c r="E1895" s="11">
        <v>25</v>
      </c>
      <c r="F1895" s="11" t="s">
        <v>7435</v>
      </c>
      <c r="G1895">
        <v>20190401</v>
      </c>
      <c r="I1895" s="11" t="s">
        <v>63</v>
      </c>
      <c r="J1895" s="72">
        <v>60426806</v>
      </c>
      <c r="K1895" s="99">
        <f>_xlfn.XLOOKUP(_2__ROI_Daily_Update[[#This Row],[CSM id]],SHP!F:F,SHP!EE:EE,"-")</f>
        <v>0</v>
      </c>
      <c r="L1895" s="12"/>
      <c r="N1895" s="11"/>
      <c r="P1895"/>
      <c r="Q1895"/>
      <c r="W1895" s="28"/>
      <c r="AA1895"/>
    </row>
    <row r="1896" spans="1:27" x14ac:dyDescent="0.45">
      <c r="A1896" s="57">
        <v>1314</v>
      </c>
      <c r="B1896" t="s">
        <v>2066</v>
      </c>
      <c r="C1896" t="s">
        <v>2067</v>
      </c>
      <c r="D1896" s="12">
        <v>46313</v>
      </c>
      <c r="E1896" s="11">
        <v>25</v>
      </c>
      <c r="F1896" s="11" t="s">
        <v>7415</v>
      </c>
      <c r="G1896">
        <v>20190401</v>
      </c>
      <c r="I1896" s="11" t="s">
        <v>63</v>
      </c>
      <c r="J1896" s="72">
        <v>60426806</v>
      </c>
      <c r="K1896" s="99">
        <f>_xlfn.XLOOKUP(_2__ROI_Daily_Update[[#This Row],[CSM id]],SHP!F:F,SHP!EE:EE,"-")</f>
        <v>0</v>
      </c>
      <c r="L1896" s="12"/>
      <c r="N1896" s="11"/>
      <c r="P1896"/>
      <c r="Q1896"/>
      <c r="W1896" s="28"/>
      <c r="AA1896"/>
    </row>
    <row r="1897" spans="1:27" x14ac:dyDescent="0.45">
      <c r="A1897" s="57">
        <v>922</v>
      </c>
      <c r="B1897" t="s">
        <v>7085</v>
      </c>
      <c r="C1897" t="s">
        <v>7086</v>
      </c>
      <c r="D1897" s="12">
        <v>46313</v>
      </c>
      <c r="E1897" s="11">
        <v>14</v>
      </c>
      <c r="F1897" s="11" t="s">
        <v>7480</v>
      </c>
      <c r="G1897">
        <v>20210201</v>
      </c>
      <c r="I1897" s="11" t="s">
        <v>63</v>
      </c>
      <c r="J1897" s="72">
        <v>40446155</v>
      </c>
      <c r="K1897" s="99">
        <f>_xlfn.XLOOKUP(_2__ROI_Daily_Update[[#This Row],[CSM id]],SHP!F:F,SHP!EE:EE,"-")</f>
        <v>0</v>
      </c>
      <c r="L1897" s="12"/>
      <c r="N1897" s="11"/>
      <c r="P1897"/>
      <c r="Q1897"/>
      <c r="W1897" s="28"/>
      <c r="AA1897"/>
    </row>
    <row r="1898" spans="1:27" x14ac:dyDescent="0.45">
      <c r="A1898" s="57">
        <v>1314</v>
      </c>
      <c r="B1898" t="s">
        <v>2056</v>
      </c>
      <c r="C1898" t="s">
        <v>2057</v>
      </c>
      <c r="D1898" s="12">
        <v>46313</v>
      </c>
      <c r="E1898" s="11">
        <v>432</v>
      </c>
      <c r="F1898" s="11" t="s">
        <v>7430</v>
      </c>
      <c r="G1898">
        <v>20250701</v>
      </c>
      <c r="H1898" s="12">
        <v>46569</v>
      </c>
      <c r="I1898" s="11" t="s">
        <v>63</v>
      </c>
      <c r="J1898" s="72">
        <v>20610788</v>
      </c>
      <c r="K1898" s="99">
        <f>_xlfn.XLOOKUP(_2__ROI_Daily_Update[[#This Row],[CSM id]],SHP!F:F,SHP!EE:EE,"-")</f>
        <v>0</v>
      </c>
      <c r="L1898" s="12"/>
      <c r="N1898" s="11"/>
      <c r="P1898"/>
      <c r="Q1898"/>
      <c r="W1898" s="28"/>
      <c r="AA1898"/>
    </row>
    <row r="1899" spans="1:27" x14ac:dyDescent="0.45">
      <c r="A1899" s="57">
        <v>1314</v>
      </c>
      <c r="B1899" t="s">
        <v>2056</v>
      </c>
      <c r="C1899" t="s">
        <v>2057</v>
      </c>
      <c r="D1899" s="12">
        <v>46313</v>
      </c>
      <c r="E1899" s="11">
        <v>108</v>
      </c>
      <c r="F1899" s="11" t="s">
        <v>7410</v>
      </c>
      <c r="G1899">
        <v>20250701</v>
      </c>
      <c r="H1899" s="12">
        <v>46569</v>
      </c>
      <c r="I1899" s="11" t="s">
        <v>63</v>
      </c>
      <c r="J1899" s="72">
        <v>20610788</v>
      </c>
      <c r="K1899" s="99">
        <f>_xlfn.XLOOKUP(_2__ROI_Daily_Update[[#This Row],[CSM id]],SHP!F:F,SHP!EE:EE,"-")</f>
        <v>0</v>
      </c>
      <c r="L1899" s="12"/>
      <c r="N1899" s="11"/>
      <c r="P1899"/>
      <c r="Q1899"/>
      <c r="W1899" s="28"/>
      <c r="AA1899"/>
    </row>
    <row r="1900" spans="1:27" x14ac:dyDescent="0.45">
      <c r="A1900" s="57">
        <v>1314</v>
      </c>
      <c r="B1900" t="s">
        <v>2058</v>
      </c>
      <c r="C1900" t="s">
        <v>2059</v>
      </c>
      <c r="D1900" s="12">
        <v>46313</v>
      </c>
      <c r="E1900" s="11">
        <v>35</v>
      </c>
      <c r="F1900" s="11" t="s">
        <v>7440</v>
      </c>
      <c r="G1900">
        <v>20200801</v>
      </c>
      <c r="I1900" s="11" t="s">
        <v>63</v>
      </c>
      <c r="J1900" s="72">
        <v>30478726</v>
      </c>
      <c r="K1900" s="99">
        <f>_xlfn.XLOOKUP(_2__ROI_Daily_Update[[#This Row],[CSM id]],SHP!F:F,SHP!EE:EE,"-")</f>
        <v>0</v>
      </c>
      <c r="L1900" s="12"/>
      <c r="N1900" s="11"/>
      <c r="P1900"/>
      <c r="Q1900"/>
      <c r="W1900" s="28"/>
      <c r="AA1900"/>
    </row>
    <row r="1901" spans="1:27" x14ac:dyDescent="0.45">
      <c r="A1901" s="57">
        <v>922</v>
      </c>
      <c r="B1901" t="s">
        <v>718</v>
      </c>
      <c r="C1901" t="s">
        <v>719</v>
      </c>
      <c r="D1901" s="12">
        <v>46313</v>
      </c>
      <c r="E1901" s="11">
        <v>160</v>
      </c>
      <c r="F1901" s="11" t="s">
        <v>7440</v>
      </c>
      <c r="G1901">
        <v>20260201</v>
      </c>
      <c r="I1901" s="11" t="s">
        <v>63</v>
      </c>
      <c r="J1901" s="72">
        <v>30603179</v>
      </c>
      <c r="K1901" s="99">
        <f>_xlfn.XLOOKUP(_2__ROI_Daily_Update[[#This Row],[CSM id]],SHP!F:F,SHP!EE:EE,"-")</f>
        <v>0</v>
      </c>
      <c r="L1901" s="12"/>
      <c r="N1901" s="11"/>
      <c r="P1901"/>
      <c r="Q1901"/>
      <c r="W1901" s="28"/>
      <c r="AA1901"/>
    </row>
    <row r="1902" spans="1:27" x14ac:dyDescent="0.45">
      <c r="A1902" s="57">
        <v>1314</v>
      </c>
      <c r="B1902" t="s">
        <v>2060</v>
      </c>
      <c r="C1902" t="s">
        <v>2061</v>
      </c>
      <c r="D1902" s="12">
        <v>46313</v>
      </c>
      <c r="E1902" s="11">
        <v>44</v>
      </c>
      <c r="F1902" s="11" t="s">
        <v>7410</v>
      </c>
      <c r="G1902">
        <v>20190401</v>
      </c>
      <c r="I1902" s="11" t="s">
        <v>63</v>
      </c>
      <c r="J1902" s="72">
        <v>40426280</v>
      </c>
      <c r="K1902" s="99">
        <f>_xlfn.XLOOKUP(_2__ROI_Daily_Update[[#This Row],[CSM id]],SHP!F:F,SHP!EE:EE,"-")</f>
        <v>0</v>
      </c>
      <c r="L1902" s="12"/>
      <c r="N1902" s="11"/>
      <c r="P1902"/>
      <c r="Q1902"/>
      <c r="W1902" s="28"/>
      <c r="AA1902"/>
    </row>
    <row r="1903" spans="1:27" x14ac:dyDescent="0.45">
      <c r="A1903" s="57">
        <v>1833</v>
      </c>
      <c r="B1903" t="s">
        <v>6529</v>
      </c>
      <c r="C1903" t="s">
        <v>6530</v>
      </c>
      <c r="D1903" s="12">
        <v>46313</v>
      </c>
      <c r="E1903" s="11">
        <v>70</v>
      </c>
      <c r="F1903" s="11" t="s">
        <v>7453</v>
      </c>
      <c r="G1903">
        <v>20240101</v>
      </c>
      <c r="I1903" s="11" t="s">
        <v>63</v>
      </c>
      <c r="J1903" s="72">
        <v>90567734</v>
      </c>
      <c r="K1903" s="99">
        <f>_xlfn.XLOOKUP(_2__ROI_Daily_Update[[#This Row],[CSM id]],SHP!F:F,SHP!EE:EE,"-")</f>
        <v>0</v>
      </c>
      <c r="L1903" s="12"/>
      <c r="N1903" s="11"/>
      <c r="P1903"/>
      <c r="Q1903"/>
      <c r="W1903" s="28"/>
      <c r="AA1903"/>
    </row>
    <row r="1904" spans="1:27" x14ac:dyDescent="0.45">
      <c r="A1904" s="57">
        <v>1314</v>
      </c>
      <c r="B1904" t="s">
        <v>2060</v>
      </c>
      <c r="C1904" t="s">
        <v>2061</v>
      </c>
      <c r="D1904" s="12">
        <v>46313</v>
      </c>
      <c r="E1904" s="11">
        <v>44</v>
      </c>
      <c r="F1904" s="11" t="s">
        <v>7453</v>
      </c>
      <c r="G1904">
        <v>20190401</v>
      </c>
      <c r="I1904" s="11" t="s">
        <v>63</v>
      </c>
      <c r="J1904" s="72">
        <v>40426280</v>
      </c>
      <c r="K1904" s="99">
        <f>_xlfn.XLOOKUP(_2__ROI_Daily_Update[[#This Row],[CSM id]],SHP!F:F,SHP!EE:EE,"-")</f>
        <v>0</v>
      </c>
      <c r="L1904" s="12"/>
      <c r="N1904" s="11"/>
      <c r="P1904"/>
      <c r="Q1904"/>
      <c r="W1904" s="28"/>
      <c r="AA1904"/>
    </row>
    <row r="1905" spans="1:27" x14ac:dyDescent="0.45">
      <c r="A1905" s="57">
        <v>1314</v>
      </c>
      <c r="B1905" t="s">
        <v>2062</v>
      </c>
      <c r="C1905" t="s">
        <v>2063</v>
      </c>
      <c r="D1905" s="12">
        <v>46313</v>
      </c>
      <c r="E1905" s="11">
        <v>32</v>
      </c>
      <c r="F1905" s="11" t="s">
        <v>7430</v>
      </c>
      <c r="G1905">
        <v>20260701</v>
      </c>
      <c r="I1905" s="11" t="s">
        <v>63</v>
      </c>
      <c r="J1905" s="72">
        <v>40623233</v>
      </c>
      <c r="K1905" s="99">
        <f>_xlfn.XLOOKUP(_2__ROI_Daily_Update[[#This Row],[CSM id]],SHP!F:F,SHP!EE:EE,"-")</f>
        <v>0</v>
      </c>
      <c r="L1905" s="12"/>
      <c r="N1905" s="11"/>
      <c r="P1905"/>
      <c r="Q1905"/>
      <c r="W1905" s="28"/>
      <c r="AA1905"/>
    </row>
    <row r="1906" spans="1:27" x14ac:dyDescent="0.45">
      <c r="A1906" s="57">
        <v>1314</v>
      </c>
      <c r="B1906" t="s">
        <v>5562</v>
      </c>
      <c r="C1906" t="s">
        <v>5563</v>
      </c>
      <c r="D1906" s="12">
        <v>46313</v>
      </c>
      <c r="E1906" s="11">
        <v>150</v>
      </c>
      <c r="F1906" s="11" t="s">
        <v>7410</v>
      </c>
      <c r="G1906">
        <v>20210701</v>
      </c>
      <c r="I1906" s="11" t="s">
        <v>63</v>
      </c>
      <c r="J1906" s="72">
        <v>50501052</v>
      </c>
      <c r="K1906" s="99">
        <f>_xlfn.XLOOKUP(_2__ROI_Daily_Update[[#This Row],[CSM id]],SHP!F:F,SHP!EE:EE,"-")</f>
        <v>0</v>
      </c>
      <c r="L1906" s="12"/>
      <c r="N1906" s="11"/>
      <c r="P1906"/>
      <c r="Q1906"/>
      <c r="W1906" s="28"/>
      <c r="AA1906"/>
    </row>
    <row r="1907" spans="1:27" x14ac:dyDescent="0.45">
      <c r="A1907" s="57">
        <v>1314</v>
      </c>
      <c r="B1907" t="s">
        <v>5562</v>
      </c>
      <c r="C1907" t="s">
        <v>5563</v>
      </c>
      <c r="D1907" s="12">
        <v>46313</v>
      </c>
      <c r="E1907" s="11">
        <v>90</v>
      </c>
      <c r="F1907" s="11" t="s">
        <v>7440</v>
      </c>
      <c r="G1907">
        <v>20210701</v>
      </c>
      <c r="I1907" s="11" t="s">
        <v>63</v>
      </c>
      <c r="J1907" s="72">
        <v>50501052</v>
      </c>
      <c r="K1907" s="99">
        <f>_xlfn.XLOOKUP(_2__ROI_Daily_Update[[#This Row],[CSM id]],SHP!F:F,SHP!EE:EE,"-")</f>
        <v>0</v>
      </c>
      <c r="L1907" s="12"/>
      <c r="N1907" s="11"/>
      <c r="P1907"/>
      <c r="Q1907"/>
      <c r="W1907" s="28"/>
      <c r="AA1907"/>
    </row>
    <row r="1908" spans="1:27" x14ac:dyDescent="0.45">
      <c r="A1908" s="57">
        <v>1314</v>
      </c>
      <c r="B1908" t="s">
        <v>5953</v>
      </c>
      <c r="C1908" t="s">
        <v>5954</v>
      </c>
      <c r="D1908" s="12">
        <v>46313</v>
      </c>
      <c r="E1908" s="11">
        <v>176</v>
      </c>
      <c r="F1908" s="11" t="s">
        <v>7440</v>
      </c>
      <c r="G1908">
        <v>20261001</v>
      </c>
      <c r="H1908" s="12">
        <v>46478</v>
      </c>
      <c r="I1908" s="11" t="s">
        <v>63</v>
      </c>
      <c r="J1908" s="72">
        <v>50642801</v>
      </c>
      <c r="K1908" s="99">
        <f>_xlfn.XLOOKUP(_2__ROI_Daily_Update[[#This Row],[CSM id]],SHP!F:F,SHP!EE:EE,"-")</f>
        <v>0</v>
      </c>
      <c r="L1908" s="12"/>
      <c r="N1908" s="11"/>
      <c r="P1908"/>
      <c r="Q1908"/>
      <c r="W1908" s="28"/>
      <c r="AA1908"/>
    </row>
    <row r="1909" spans="1:27" x14ac:dyDescent="0.45">
      <c r="A1909" s="57">
        <v>1012</v>
      </c>
      <c r="B1909" t="s">
        <v>5638</v>
      </c>
      <c r="C1909" t="s">
        <v>5639</v>
      </c>
      <c r="D1909" s="12">
        <v>46313</v>
      </c>
      <c r="E1909" s="11">
        <v>56</v>
      </c>
      <c r="F1909" s="11" t="s">
        <v>7410</v>
      </c>
      <c r="G1909">
        <v>20241001</v>
      </c>
      <c r="I1909" s="11" t="s">
        <v>63</v>
      </c>
      <c r="J1909" s="72">
        <v>10577690</v>
      </c>
      <c r="K1909" s="99">
        <f>_xlfn.XLOOKUP(_2__ROI_Daily_Update[[#This Row],[CSM id]],SHP!F:F,SHP!EE:EE,"-")</f>
        <v>0</v>
      </c>
      <c r="L1909" s="12"/>
      <c r="N1909" s="11"/>
      <c r="P1909"/>
      <c r="Q1909"/>
      <c r="W1909" s="28"/>
      <c r="AA1909"/>
    </row>
    <row r="1910" spans="1:27" x14ac:dyDescent="0.45">
      <c r="A1910" s="57">
        <v>1314</v>
      </c>
      <c r="B1910" t="s">
        <v>2066</v>
      </c>
      <c r="C1910" t="s">
        <v>2067</v>
      </c>
      <c r="D1910" s="12">
        <v>46313</v>
      </c>
      <c r="E1910" s="11">
        <v>25</v>
      </c>
      <c r="F1910" s="11" t="s">
        <v>7425</v>
      </c>
      <c r="G1910">
        <v>20190401</v>
      </c>
      <c r="I1910" s="11" t="s">
        <v>63</v>
      </c>
      <c r="J1910" s="72">
        <v>60426806</v>
      </c>
      <c r="K1910" s="99">
        <f>_xlfn.XLOOKUP(_2__ROI_Daily_Update[[#This Row],[CSM id]],SHP!F:F,SHP!EE:EE,"-")</f>
        <v>0</v>
      </c>
      <c r="L1910" s="12"/>
      <c r="N1910" s="11"/>
      <c r="P1910"/>
      <c r="Q1910"/>
      <c r="W1910" s="28"/>
      <c r="AA1910"/>
    </row>
    <row r="1911" spans="1:27" x14ac:dyDescent="0.45">
      <c r="A1911" s="57">
        <v>1821</v>
      </c>
      <c r="B1911" t="s">
        <v>3540</v>
      </c>
      <c r="C1911" t="s">
        <v>3541</v>
      </c>
      <c r="D1911" s="12">
        <v>46313</v>
      </c>
      <c r="E1911" s="11">
        <v>100</v>
      </c>
      <c r="F1911" s="11" t="s">
        <v>7420</v>
      </c>
      <c r="G1911">
        <v>20220401</v>
      </c>
      <c r="I1911" s="11" t="s">
        <v>63</v>
      </c>
      <c r="J1911" s="72">
        <v>60519886</v>
      </c>
      <c r="K1911" s="99">
        <f>_xlfn.XLOOKUP(_2__ROI_Daily_Update[[#This Row],[CSM id]],SHP!F:F,SHP!EE:EE,"-")</f>
        <v>0</v>
      </c>
      <c r="L1911" s="12"/>
      <c r="N1911" s="11"/>
      <c r="P1911"/>
      <c r="Q1911"/>
      <c r="W1911" s="28"/>
      <c r="AA1911"/>
    </row>
    <row r="1912" spans="1:27" x14ac:dyDescent="0.45">
      <c r="A1912" s="57">
        <v>612</v>
      </c>
      <c r="B1912" t="s">
        <v>429</v>
      </c>
      <c r="C1912" t="s">
        <v>430</v>
      </c>
      <c r="D1912" s="12">
        <v>46313</v>
      </c>
      <c r="E1912" s="11">
        <v>300</v>
      </c>
      <c r="F1912" s="11" t="s">
        <v>7485</v>
      </c>
      <c r="G1912">
        <v>20261001</v>
      </c>
      <c r="I1912" s="11" t="s">
        <v>18</v>
      </c>
      <c r="J1912" s="72">
        <v>40563719</v>
      </c>
      <c r="K1912" s="99">
        <f>_xlfn.XLOOKUP(_2__ROI_Daily_Update[[#This Row],[CSM id]],SHP!F:F,SHP!EE:EE,"-")</f>
        <v>0</v>
      </c>
      <c r="L1912" s="12"/>
      <c r="N1912" s="11"/>
      <c r="P1912"/>
      <c r="Q1912"/>
      <c r="W1912" s="28"/>
      <c r="AA1912"/>
    </row>
    <row r="1913" spans="1:27" x14ac:dyDescent="0.45">
      <c r="A1913" s="57">
        <v>1811</v>
      </c>
      <c r="B1913" t="s">
        <v>3345</v>
      </c>
      <c r="C1913" t="s">
        <v>3346</v>
      </c>
      <c r="D1913" s="12">
        <v>46313</v>
      </c>
      <c r="E1913" s="11">
        <v>204</v>
      </c>
      <c r="F1913" s="11" t="s">
        <v>7448</v>
      </c>
      <c r="G1913">
        <v>20160401</v>
      </c>
      <c r="I1913" s="11" t="s">
        <v>63</v>
      </c>
      <c r="J1913" s="72">
        <v>70262828</v>
      </c>
      <c r="K1913" s="99">
        <f>_xlfn.XLOOKUP(_2__ROI_Daily_Update[[#This Row],[CSM id]],SHP!F:F,SHP!EE:EE,"-")</f>
        <v>0</v>
      </c>
      <c r="L1913" s="12"/>
      <c r="N1913" s="11"/>
      <c r="P1913"/>
      <c r="Q1913"/>
      <c r="W1913" s="28"/>
      <c r="AA1913"/>
    </row>
    <row r="1914" spans="1:27" x14ac:dyDescent="0.45">
      <c r="A1914" s="57">
        <v>612</v>
      </c>
      <c r="B1914" t="s">
        <v>364</v>
      </c>
      <c r="C1914" t="s">
        <v>365</v>
      </c>
      <c r="D1914" s="12">
        <v>46313</v>
      </c>
      <c r="E1914" s="11">
        <v>40</v>
      </c>
      <c r="F1914" s="11" t="s">
        <v>7485</v>
      </c>
      <c r="G1914">
        <v>20160401</v>
      </c>
      <c r="I1914" s="11" t="s">
        <v>18</v>
      </c>
      <c r="J1914" s="72">
        <v>20307867</v>
      </c>
      <c r="K1914" s="99">
        <f>_xlfn.XLOOKUP(_2__ROI_Daily_Update[[#This Row],[CSM id]],SHP!F:F,SHP!EE:EE,"-")</f>
        <v>0</v>
      </c>
      <c r="L1914" s="12"/>
      <c r="N1914" s="11"/>
      <c r="P1914"/>
      <c r="Q1914"/>
      <c r="W1914" s="28"/>
      <c r="AA1914"/>
    </row>
    <row r="1915" spans="1:27" x14ac:dyDescent="0.45">
      <c r="A1915" s="57">
        <v>1633</v>
      </c>
      <c r="B1915" t="s">
        <v>6873</v>
      </c>
      <c r="C1915" t="s">
        <v>6874</v>
      </c>
      <c r="D1915" s="12">
        <v>46313</v>
      </c>
      <c r="E1915" s="11">
        <v>198</v>
      </c>
      <c r="F1915" s="11" t="s">
        <v>7463</v>
      </c>
      <c r="G1915">
        <v>20260701</v>
      </c>
      <c r="I1915" s="11" t="s">
        <v>63</v>
      </c>
      <c r="J1915" s="72">
        <v>40637739</v>
      </c>
      <c r="K1915" s="99">
        <f>_xlfn.XLOOKUP(_2__ROI_Daily_Update[[#This Row],[CSM id]],SHP!F:F,SHP!EE:EE,"-")</f>
        <v>0</v>
      </c>
      <c r="L1915" s="12"/>
      <c r="N1915" s="11"/>
      <c r="P1915"/>
      <c r="Q1915"/>
      <c r="W1915" s="28"/>
      <c r="AA1915"/>
    </row>
    <row r="1916" spans="1:27" x14ac:dyDescent="0.45">
      <c r="A1916" s="57">
        <v>1641</v>
      </c>
      <c r="B1916" t="s">
        <v>3193</v>
      </c>
      <c r="C1916" t="s">
        <v>3194</v>
      </c>
      <c r="D1916" s="12">
        <v>46313</v>
      </c>
      <c r="E1916" s="11">
        <v>20</v>
      </c>
      <c r="F1916" s="11" t="s">
        <v>7410</v>
      </c>
      <c r="G1916">
        <v>20240401</v>
      </c>
      <c r="I1916" s="11" t="s">
        <v>63</v>
      </c>
      <c r="J1916" s="72">
        <v>90550031</v>
      </c>
      <c r="K1916" s="99">
        <f>_xlfn.XLOOKUP(_2__ROI_Daily_Update[[#This Row],[CSM id]],SHP!F:F,SHP!EE:EE,"-")</f>
        <v>0</v>
      </c>
      <c r="L1916" s="12"/>
      <c r="N1916" s="11"/>
      <c r="P1916"/>
      <c r="Q1916"/>
      <c r="W1916" s="28"/>
      <c r="AA1916"/>
    </row>
    <row r="1917" spans="1:27" x14ac:dyDescent="0.45">
      <c r="A1917" s="57">
        <v>131</v>
      </c>
      <c r="B1917" t="s">
        <v>5320</v>
      </c>
      <c r="C1917" t="s">
        <v>5321</v>
      </c>
      <c r="D1917" s="12">
        <v>46313</v>
      </c>
      <c r="E1917" s="11">
        <v>28</v>
      </c>
      <c r="F1917" s="11" t="s">
        <v>7485</v>
      </c>
      <c r="G1917">
        <v>20230401</v>
      </c>
      <c r="H1917" s="12">
        <v>46388</v>
      </c>
      <c r="I1917" s="11" t="s">
        <v>18</v>
      </c>
      <c r="J1917" s="72">
        <v>80482052</v>
      </c>
      <c r="K1917" s="99">
        <f>_xlfn.XLOOKUP(_2__ROI_Daily_Update[[#This Row],[CSM id]],SHP!F:F,SHP!EE:EE,"-")</f>
        <v>0</v>
      </c>
      <c r="L1917" s="12"/>
      <c r="N1917" s="11"/>
      <c r="P1917"/>
      <c r="Q1917"/>
      <c r="W1917" s="28"/>
      <c r="AA1917"/>
    </row>
    <row r="1918" spans="1:27" x14ac:dyDescent="0.45">
      <c r="A1918" s="57">
        <v>1641</v>
      </c>
      <c r="B1918" t="s">
        <v>3197</v>
      </c>
      <c r="C1918" t="s">
        <v>3198</v>
      </c>
      <c r="D1918" s="12">
        <v>46313</v>
      </c>
      <c r="E1918" s="11">
        <v>40</v>
      </c>
      <c r="F1918" s="11" t="s">
        <v>7430</v>
      </c>
      <c r="G1918">
        <v>20240701</v>
      </c>
      <c r="I1918" s="11" t="s">
        <v>63</v>
      </c>
      <c r="J1918" s="72">
        <v>90566391</v>
      </c>
      <c r="K1918" s="99">
        <f>_xlfn.XLOOKUP(_2__ROI_Daily_Update[[#This Row],[CSM id]],SHP!F:F,SHP!EE:EE,"-")</f>
        <v>0</v>
      </c>
      <c r="L1918" s="12"/>
      <c r="N1918" s="11"/>
      <c r="P1918"/>
      <c r="Q1918"/>
      <c r="W1918" s="28"/>
      <c r="AA1918"/>
    </row>
    <row r="1919" spans="1:27" x14ac:dyDescent="0.45">
      <c r="A1919" s="57">
        <v>1633</v>
      </c>
      <c r="B1919" t="s">
        <v>2992</v>
      </c>
      <c r="C1919" t="s">
        <v>2993</v>
      </c>
      <c r="D1919" s="12">
        <v>46313</v>
      </c>
      <c r="E1919" s="11">
        <v>10</v>
      </c>
      <c r="F1919" s="11" t="s">
        <v>7420</v>
      </c>
      <c r="G1919">
        <v>20260801</v>
      </c>
      <c r="H1919" s="12">
        <v>46388</v>
      </c>
      <c r="I1919" s="11" t="s">
        <v>63</v>
      </c>
      <c r="J1919" s="72">
        <v>30630578</v>
      </c>
      <c r="K1919" s="99">
        <f>_xlfn.XLOOKUP(_2__ROI_Daily_Update[[#This Row],[CSM id]],SHP!F:F,SHP!EE:EE,"-")</f>
        <v>0</v>
      </c>
      <c r="L1919" s="12"/>
      <c r="N1919" s="11"/>
      <c r="P1919"/>
      <c r="Q1919"/>
      <c r="W1919" s="28"/>
      <c r="AA1919"/>
    </row>
    <row r="1920" spans="1:27" x14ac:dyDescent="0.45">
      <c r="A1920" s="57">
        <v>1633</v>
      </c>
      <c r="B1920" t="s">
        <v>2992</v>
      </c>
      <c r="C1920" t="s">
        <v>2993</v>
      </c>
      <c r="D1920" s="12">
        <v>46313</v>
      </c>
      <c r="E1920" s="11">
        <v>10</v>
      </c>
      <c r="F1920" s="11" t="s">
        <v>7430</v>
      </c>
      <c r="G1920">
        <v>20260801</v>
      </c>
      <c r="H1920" s="12">
        <v>46388</v>
      </c>
      <c r="I1920" s="11" t="s">
        <v>63</v>
      </c>
      <c r="J1920" s="72">
        <v>30630578</v>
      </c>
      <c r="K1920" s="99">
        <f>_xlfn.XLOOKUP(_2__ROI_Daily_Update[[#This Row],[CSM id]],SHP!F:F,SHP!EE:EE,"-")</f>
        <v>0</v>
      </c>
      <c r="L1920" s="12"/>
      <c r="N1920" s="11"/>
      <c r="P1920"/>
      <c r="Q1920"/>
      <c r="W1920" s="28"/>
      <c r="AA1920"/>
    </row>
    <row r="1921" spans="1:27" x14ac:dyDescent="0.45">
      <c r="A1921" s="57">
        <v>1642</v>
      </c>
      <c r="B1921" t="s">
        <v>7011</v>
      </c>
      <c r="C1921" t="s">
        <v>7012</v>
      </c>
      <c r="D1921" s="12">
        <v>46313</v>
      </c>
      <c r="E1921" s="11">
        <v>21</v>
      </c>
      <c r="F1921" s="11" t="s">
        <v>7475</v>
      </c>
      <c r="G1921">
        <v>20260701</v>
      </c>
      <c r="I1921" s="11" t="s">
        <v>63</v>
      </c>
      <c r="J1921" s="72">
        <v>10623357</v>
      </c>
      <c r="K1921" s="99">
        <f>_xlfn.XLOOKUP(_2__ROI_Daily_Update[[#This Row],[CSM id]],SHP!F:F,SHP!EE:EE,"-")</f>
        <v>0</v>
      </c>
      <c r="L1921" s="12"/>
      <c r="N1921" s="11"/>
      <c r="P1921"/>
      <c r="Q1921"/>
      <c r="W1921" s="28"/>
      <c r="AA1921"/>
    </row>
    <row r="1922" spans="1:27" x14ac:dyDescent="0.45">
      <c r="A1922" s="57">
        <v>1633</v>
      </c>
      <c r="B1922" t="s">
        <v>2990</v>
      </c>
      <c r="C1922" t="s">
        <v>2991</v>
      </c>
      <c r="D1922" s="12">
        <v>46313</v>
      </c>
      <c r="E1922" s="11">
        <v>27</v>
      </c>
      <c r="F1922" s="11" t="s">
        <v>7453</v>
      </c>
      <c r="G1922">
        <v>20260601</v>
      </c>
      <c r="I1922" s="11" t="s">
        <v>63</v>
      </c>
      <c r="J1922" s="72">
        <v>30618562</v>
      </c>
      <c r="K1922" s="99">
        <f>_xlfn.XLOOKUP(_2__ROI_Daily_Update[[#This Row],[CSM id]],SHP!F:F,SHP!EE:EE,"-")</f>
        <v>0</v>
      </c>
      <c r="L1922" s="12"/>
      <c r="N1922" s="11"/>
      <c r="P1922"/>
      <c r="Q1922"/>
      <c r="W1922" s="28"/>
      <c r="AA1922"/>
    </row>
    <row r="1923" spans="1:27" x14ac:dyDescent="0.45">
      <c r="A1923" s="57">
        <v>1633</v>
      </c>
      <c r="B1923" t="s">
        <v>2990</v>
      </c>
      <c r="C1923" t="s">
        <v>2991</v>
      </c>
      <c r="D1923" s="12">
        <v>46313</v>
      </c>
      <c r="E1923" s="11">
        <v>27</v>
      </c>
      <c r="F1923" s="11" t="s">
        <v>7430</v>
      </c>
      <c r="G1923">
        <v>20260601</v>
      </c>
      <c r="I1923" s="11" t="s">
        <v>63</v>
      </c>
      <c r="J1923" s="72">
        <v>30618562</v>
      </c>
      <c r="K1923" s="99">
        <f>_xlfn.XLOOKUP(_2__ROI_Daily_Update[[#This Row],[CSM id]],SHP!F:F,SHP!EE:EE,"-")</f>
        <v>0</v>
      </c>
      <c r="L1923" s="12"/>
      <c r="N1923" s="11"/>
      <c r="P1923"/>
      <c r="Q1923"/>
      <c r="W1923" s="28"/>
      <c r="AA1923"/>
    </row>
    <row r="1924" spans="1:27" x14ac:dyDescent="0.45">
      <c r="A1924" s="57">
        <v>131</v>
      </c>
      <c r="B1924" t="s">
        <v>188</v>
      </c>
      <c r="C1924" t="s">
        <v>189</v>
      </c>
      <c r="D1924" s="12">
        <v>46313</v>
      </c>
      <c r="E1924" s="11">
        <v>40</v>
      </c>
      <c r="F1924" s="11" t="s">
        <v>7410</v>
      </c>
      <c r="G1924">
        <v>20230101</v>
      </c>
      <c r="I1924" s="11" t="s">
        <v>32</v>
      </c>
      <c r="J1924" s="72">
        <v>60532010</v>
      </c>
      <c r="K1924" s="99">
        <f>_xlfn.XLOOKUP(_2__ROI_Daily_Update[[#This Row],[CSM id]],SHP!F:F,SHP!EE:EE,"-")</f>
        <v>0</v>
      </c>
      <c r="L1924" s="12"/>
      <c r="N1924" s="11"/>
      <c r="P1924"/>
      <c r="Q1924"/>
      <c r="W1924" s="28"/>
      <c r="AA1924"/>
    </row>
    <row r="1925" spans="1:27" x14ac:dyDescent="0.45">
      <c r="A1925" s="57">
        <v>1642</v>
      </c>
      <c r="B1925" t="s">
        <v>3199</v>
      </c>
      <c r="C1925" t="s">
        <v>3200</v>
      </c>
      <c r="D1925" s="12">
        <v>46313</v>
      </c>
      <c r="E1925" s="11">
        <v>4</v>
      </c>
      <c r="F1925" s="11" t="s">
        <v>7425</v>
      </c>
      <c r="G1925">
        <v>20260701</v>
      </c>
      <c r="I1925" s="11" t="s">
        <v>63</v>
      </c>
      <c r="J1925" s="72">
        <v>10623461</v>
      </c>
      <c r="K1925" s="99">
        <f>_xlfn.XLOOKUP(_2__ROI_Daily_Update[[#This Row],[CSM id]],SHP!F:F,SHP!EE:EE,"-")</f>
        <v>0</v>
      </c>
      <c r="L1925" s="12"/>
      <c r="N1925" s="11"/>
      <c r="P1925"/>
      <c r="Q1925"/>
      <c r="W1925" s="28"/>
      <c r="AA1925"/>
    </row>
    <row r="1926" spans="1:27" x14ac:dyDescent="0.45">
      <c r="A1926" s="57">
        <v>131</v>
      </c>
      <c r="B1926" t="s">
        <v>176</v>
      </c>
      <c r="C1926" t="s">
        <v>177</v>
      </c>
      <c r="D1926" s="12">
        <v>46313</v>
      </c>
      <c r="E1926" s="11">
        <v>10</v>
      </c>
      <c r="F1926" s="11" t="s">
        <v>7430</v>
      </c>
      <c r="G1926">
        <v>20261001</v>
      </c>
      <c r="H1926" s="12">
        <v>46661</v>
      </c>
      <c r="I1926" s="11" t="s">
        <v>63</v>
      </c>
      <c r="J1926" s="72">
        <v>40638183</v>
      </c>
      <c r="K1926" s="99">
        <f>_xlfn.XLOOKUP(_2__ROI_Daily_Update[[#This Row],[CSM id]],SHP!F:F,SHP!EE:EE,"-")</f>
        <v>0</v>
      </c>
      <c r="L1926" s="12"/>
      <c r="N1926" s="11"/>
      <c r="P1926"/>
      <c r="Q1926"/>
      <c r="W1926" s="28"/>
      <c r="AA1926"/>
    </row>
    <row r="1927" spans="1:27" x14ac:dyDescent="0.45">
      <c r="A1927" s="57">
        <v>1633</v>
      </c>
      <c r="B1927" t="s">
        <v>5759</v>
      </c>
      <c r="C1927" t="s">
        <v>5760</v>
      </c>
      <c r="D1927" s="12">
        <v>46313</v>
      </c>
      <c r="E1927" s="11">
        <v>120</v>
      </c>
      <c r="F1927" s="11" t="s">
        <v>7400</v>
      </c>
      <c r="G1927">
        <v>20260101</v>
      </c>
      <c r="I1927" s="11" t="s">
        <v>63</v>
      </c>
      <c r="J1927" s="72">
        <v>20623267</v>
      </c>
      <c r="K1927" s="99">
        <f>_xlfn.XLOOKUP(_2__ROI_Daily_Update[[#This Row],[CSM id]],SHP!F:F,SHP!EE:EE,"-")</f>
        <v>0</v>
      </c>
      <c r="L1927" s="12"/>
      <c r="N1927" s="11"/>
      <c r="P1927"/>
      <c r="Q1927"/>
      <c r="W1927" s="28"/>
      <c r="AA1927"/>
    </row>
    <row r="1928" spans="1:27" x14ac:dyDescent="0.45">
      <c r="A1928" s="57">
        <v>1633</v>
      </c>
      <c r="B1928" t="s">
        <v>6590</v>
      </c>
      <c r="C1928" t="s">
        <v>6591</v>
      </c>
      <c r="D1928" s="12">
        <v>46313</v>
      </c>
      <c r="E1928" s="11">
        <v>6</v>
      </c>
      <c r="F1928" s="11" t="s">
        <v>7463</v>
      </c>
      <c r="G1928">
        <v>20260901</v>
      </c>
      <c r="H1928" s="12">
        <v>46478</v>
      </c>
      <c r="I1928" s="11" t="s">
        <v>63</v>
      </c>
      <c r="J1928" s="72">
        <v>20622951</v>
      </c>
      <c r="K1928" s="99">
        <f>_xlfn.XLOOKUP(_2__ROI_Daily_Update[[#This Row],[CSM id]],SHP!F:F,SHP!EE:EE,"-")</f>
        <v>0</v>
      </c>
      <c r="L1928" s="12"/>
      <c r="N1928" s="11"/>
      <c r="P1928"/>
      <c r="Q1928"/>
      <c r="W1928" s="28"/>
      <c r="AA1928"/>
    </row>
    <row r="1929" spans="1:27" x14ac:dyDescent="0.45">
      <c r="A1929" s="57">
        <v>1633</v>
      </c>
      <c r="B1929" t="s">
        <v>2984</v>
      </c>
      <c r="C1929" t="s">
        <v>2985</v>
      </c>
      <c r="D1929" s="12">
        <v>46313</v>
      </c>
      <c r="E1929" s="11">
        <v>8</v>
      </c>
      <c r="F1929" s="11" t="s">
        <v>7448</v>
      </c>
      <c r="G1929">
        <v>20260101</v>
      </c>
      <c r="I1929" s="11" t="s">
        <v>63</v>
      </c>
      <c r="J1929" s="72">
        <v>20611047</v>
      </c>
      <c r="K1929" s="99">
        <f>_xlfn.XLOOKUP(_2__ROI_Daily_Update[[#This Row],[CSM id]],SHP!F:F,SHP!EE:EE,"-")</f>
        <v>0</v>
      </c>
      <c r="L1929" s="12"/>
      <c r="N1929" s="11"/>
      <c r="P1929"/>
      <c r="Q1929"/>
      <c r="W1929" s="28"/>
      <c r="AA1929"/>
    </row>
    <row r="1930" spans="1:27" x14ac:dyDescent="0.45">
      <c r="A1930" s="57">
        <v>131</v>
      </c>
      <c r="B1930" t="s">
        <v>176</v>
      </c>
      <c r="C1930" t="s">
        <v>177</v>
      </c>
      <c r="D1930" s="12">
        <v>46313</v>
      </c>
      <c r="E1930" s="11">
        <v>12</v>
      </c>
      <c r="F1930" s="11" t="s">
        <v>7453</v>
      </c>
      <c r="G1930">
        <v>20261001</v>
      </c>
      <c r="H1930" s="12">
        <v>46661</v>
      </c>
      <c r="I1930" s="11" t="s">
        <v>63</v>
      </c>
      <c r="J1930" s="72">
        <v>40638183</v>
      </c>
      <c r="K1930" s="99">
        <f>_xlfn.XLOOKUP(_2__ROI_Daily_Update[[#This Row],[CSM id]],SHP!F:F,SHP!EE:EE,"-")</f>
        <v>0</v>
      </c>
      <c r="L1930" s="12"/>
      <c r="N1930" s="11"/>
      <c r="P1930"/>
      <c r="Q1930"/>
      <c r="W1930" s="28"/>
      <c r="AA1930"/>
    </row>
    <row r="1931" spans="1:27" x14ac:dyDescent="0.45">
      <c r="A1931" s="57">
        <v>1633</v>
      </c>
      <c r="B1931" t="s">
        <v>2982</v>
      </c>
      <c r="C1931" t="s">
        <v>2983</v>
      </c>
      <c r="D1931" s="12">
        <v>46313</v>
      </c>
      <c r="E1931" s="11">
        <v>40</v>
      </c>
      <c r="F1931" s="11" t="s">
        <v>6946</v>
      </c>
      <c r="G1931">
        <v>20251001</v>
      </c>
      <c r="I1931" s="11" t="s">
        <v>63</v>
      </c>
      <c r="J1931" s="72">
        <v>20567110</v>
      </c>
      <c r="K1931" s="99">
        <f>_xlfn.XLOOKUP(_2__ROI_Daily_Update[[#This Row],[CSM id]],SHP!F:F,SHP!EE:EE,"-")</f>
        <v>0</v>
      </c>
      <c r="L1931" s="12"/>
      <c r="N1931" s="11"/>
      <c r="P1931"/>
      <c r="Q1931"/>
      <c r="W1931" s="28"/>
      <c r="AA1931"/>
    </row>
    <row r="1932" spans="1:27" x14ac:dyDescent="0.45">
      <c r="A1932" s="57">
        <v>1633</v>
      </c>
      <c r="B1932" t="s">
        <v>5894</v>
      </c>
      <c r="C1932" t="s">
        <v>5895</v>
      </c>
      <c r="D1932" s="12">
        <v>46313</v>
      </c>
      <c r="E1932" s="11">
        <v>6</v>
      </c>
      <c r="F1932" s="11" t="s">
        <v>6946</v>
      </c>
      <c r="G1932">
        <v>20260801</v>
      </c>
      <c r="H1932" s="12">
        <v>46388</v>
      </c>
      <c r="I1932" s="11" t="s">
        <v>63</v>
      </c>
      <c r="J1932" s="72">
        <v>632951</v>
      </c>
      <c r="K1932" s="99">
        <f>_xlfn.XLOOKUP(_2__ROI_Daily_Update[[#This Row],[CSM id]],SHP!F:F,SHP!EE:EE,"-")</f>
        <v>0</v>
      </c>
      <c r="L1932" s="12"/>
      <c r="N1932" s="11"/>
      <c r="P1932"/>
      <c r="Q1932"/>
      <c r="W1932" s="28"/>
      <c r="AA1932"/>
    </row>
    <row r="1933" spans="1:27" x14ac:dyDescent="0.45">
      <c r="A1933" s="57">
        <v>1882</v>
      </c>
      <c r="B1933" t="s">
        <v>3739</v>
      </c>
      <c r="C1933" t="s">
        <v>3740</v>
      </c>
      <c r="D1933" s="12">
        <v>46313</v>
      </c>
      <c r="E1933" s="11">
        <v>360</v>
      </c>
      <c r="F1933" s="11" t="s">
        <v>7468</v>
      </c>
      <c r="G1933">
        <v>20240701</v>
      </c>
      <c r="I1933" s="11" t="s">
        <v>18</v>
      </c>
      <c r="J1933" s="72">
        <v>50572964</v>
      </c>
      <c r="K1933" s="99">
        <f>_xlfn.XLOOKUP(_2__ROI_Daily_Update[[#This Row],[CSM id]],SHP!F:F,SHP!EE:EE,"-")</f>
        <v>0</v>
      </c>
      <c r="L1933" s="12"/>
      <c r="N1933" s="11"/>
      <c r="P1933"/>
      <c r="Q1933"/>
      <c r="W1933" s="28"/>
      <c r="AA1933"/>
    </row>
    <row r="1934" spans="1:27" x14ac:dyDescent="0.45">
      <c r="A1934" s="57">
        <v>214</v>
      </c>
      <c r="B1934" t="s">
        <v>245</v>
      </c>
      <c r="C1934" t="s">
        <v>246</v>
      </c>
      <c r="D1934" s="12">
        <v>46313</v>
      </c>
      <c r="E1934" s="11">
        <v>135</v>
      </c>
      <c r="F1934" s="11" t="s">
        <v>7468</v>
      </c>
      <c r="G1934">
        <v>20210701</v>
      </c>
      <c r="I1934" s="11" t="s">
        <v>18</v>
      </c>
      <c r="J1934" s="72">
        <v>10483875</v>
      </c>
      <c r="K1934" s="99">
        <f>_xlfn.XLOOKUP(_2__ROI_Daily_Update[[#This Row],[CSM id]],SHP!F:F,SHP!EE:EE,"-")</f>
        <v>0</v>
      </c>
      <c r="L1934" s="12"/>
      <c r="N1934" s="11"/>
      <c r="P1934"/>
      <c r="Q1934"/>
      <c r="W1934" s="28"/>
      <c r="AA1934"/>
    </row>
    <row r="1935" spans="1:27" x14ac:dyDescent="0.45">
      <c r="A1935" s="57">
        <v>211</v>
      </c>
      <c r="B1935" t="s">
        <v>220</v>
      </c>
      <c r="C1935" t="s">
        <v>221</v>
      </c>
      <c r="D1935" s="12">
        <v>46313</v>
      </c>
      <c r="E1935" s="11">
        <v>30</v>
      </c>
      <c r="F1935" s="11" t="s">
        <v>7440</v>
      </c>
      <c r="G1935">
        <v>20170201</v>
      </c>
      <c r="I1935" s="11" t="s">
        <v>63</v>
      </c>
      <c r="J1935" s="72">
        <v>40340045</v>
      </c>
      <c r="K1935" s="99">
        <f>_xlfn.XLOOKUP(_2__ROI_Daily_Update[[#This Row],[CSM id]],SHP!F:F,SHP!EE:EE,"-")</f>
        <v>0</v>
      </c>
      <c r="L1935" s="12"/>
      <c r="N1935" s="11"/>
      <c r="P1935"/>
      <c r="Q1935"/>
      <c r="W1935" s="28"/>
      <c r="AA1935"/>
    </row>
    <row r="1936" spans="1:27" x14ac:dyDescent="0.45">
      <c r="A1936" s="57">
        <v>1633</v>
      </c>
      <c r="B1936" t="s">
        <v>2974</v>
      </c>
      <c r="C1936" t="s">
        <v>2975</v>
      </c>
      <c r="D1936" s="12">
        <v>46313</v>
      </c>
      <c r="E1936" s="11">
        <v>20</v>
      </c>
      <c r="F1936" s="11" t="s">
        <v>7400</v>
      </c>
      <c r="G1936">
        <v>20261001</v>
      </c>
      <c r="H1936" s="12">
        <v>46388</v>
      </c>
      <c r="I1936" s="11" t="s">
        <v>63</v>
      </c>
      <c r="J1936" s="72">
        <v>10623263</v>
      </c>
      <c r="K1936" s="99">
        <f>_xlfn.XLOOKUP(_2__ROI_Daily_Update[[#This Row],[CSM id]],SHP!F:F,SHP!EE:EE,"-")</f>
        <v>0</v>
      </c>
      <c r="L1936" s="12"/>
      <c r="N1936" s="11"/>
      <c r="P1936"/>
      <c r="Q1936"/>
      <c r="W1936" s="28"/>
      <c r="AA1936"/>
    </row>
    <row r="1937" spans="1:27" x14ac:dyDescent="0.45">
      <c r="A1937" s="57">
        <v>1642</v>
      </c>
      <c r="B1937" t="s">
        <v>3199</v>
      </c>
      <c r="C1937" t="s">
        <v>3200</v>
      </c>
      <c r="D1937" s="12">
        <v>46313</v>
      </c>
      <c r="E1937" s="11">
        <v>12</v>
      </c>
      <c r="F1937" s="11" t="s">
        <v>7448</v>
      </c>
      <c r="G1937">
        <v>20260701</v>
      </c>
      <c r="I1937" s="11" t="s">
        <v>63</v>
      </c>
      <c r="J1937" s="72">
        <v>10623461</v>
      </c>
      <c r="K1937" s="99">
        <f>_xlfn.XLOOKUP(_2__ROI_Daily_Update[[#This Row],[CSM id]],SHP!F:F,SHP!EE:EE,"-")</f>
        <v>0</v>
      </c>
      <c r="L1937" s="12"/>
      <c r="N1937" s="11"/>
      <c r="P1937"/>
      <c r="Q1937"/>
      <c r="W1937" s="28"/>
      <c r="AA1937"/>
    </row>
    <row r="1938" spans="1:27" x14ac:dyDescent="0.45">
      <c r="A1938" s="57">
        <v>131</v>
      </c>
      <c r="B1938" t="s">
        <v>72</v>
      </c>
      <c r="C1938" t="s">
        <v>73</v>
      </c>
      <c r="D1938" s="12">
        <v>46313</v>
      </c>
      <c r="E1938" s="11">
        <v>88</v>
      </c>
      <c r="F1938" s="11" t="s">
        <v>7463</v>
      </c>
      <c r="G1938">
        <v>20260701</v>
      </c>
      <c r="I1938" s="11" t="s">
        <v>63</v>
      </c>
      <c r="J1938" s="72">
        <v>50630332</v>
      </c>
      <c r="K1938" s="99">
        <f>_xlfn.XLOOKUP(_2__ROI_Daily_Update[[#This Row],[CSM id]],SHP!F:F,SHP!EE:EE,"-")</f>
        <v>0</v>
      </c>
      <c r="L1938" s="12"/>
      <c r="N1938" s="11"/>
      <c r="P1938"/>
      <c r="Q1938"/>
      <c r="W1938" s="28"/>
      <c r="AA1938"/>
    </row>
    <row r="1939" spans="1:27" x14ac:dyDescent="0.45">
      <c r="A1939" s="57">
        <v>211</v>
      </c>
      <c r="B1939" t="s">
        <v>5178</v>
      </c>
      <c r="C1939" t="s">
        <v>5179</v>
      </c>
      <c r="D1939" s="12">
        <v>46313</v>
      </c>
      <c r="E1939" s="11">
        <v>60</v>
      </c>
      <c r="F1939" s="11" t="s">
        <v>7415</v>
      </c>
      <c r="G1939">
        <v>20170201</v>
      </c>
      <c r="I1939" s="11" t="s">
        <v>63</v>
      </c>
      <c r="J1939" s="72">
        <v>20334620</v>
      </c>
      <c r="K1939" s="99">
        <f>_xlfn.XLOOKUP(_2__ROI_Daily_Update[[#This Row],[CSM id]],SHP!F:F,SHP!EE:EE,"-")</f>
        <v>0</v>
      </c>
      <c r="L1939" s="12"/>
      <c r="N1939" s="11"/>
      <c r="P1939"/>
      <c r="Q1939"/>
      <c r="W1939" s="28"/>
      <c r="AA1939"/>
    </row>
    <row r="1940" spans="1:27" x14ac:dyDescent="0.45">
      <c r="A1940" s="57">
        <v>1633</v>
      </c>
      <c r="B1940" t="s">
        <v>6889</v>
      </c>
      <c r="C1940" t="s">
        <v>6890</v>
      </c>
      <c r="D1940" s="12">
        <v>46313</v>
      </c>
      <c r="E1940" s="11">
        <v>45</v>
      </c>
      <c r="F1940" s="11" t="s">
        <v>7463</v>
      </c>
      <c r="G1940">
        <v>20260701</v>
      </c>
      <c r="I1940" s="11" t="s">
        <v>63</v>
      </c>
      <c r="J1940" s="72">
        <v>10637726</v>
      </c>
      <c r="K1940" s="99">
        <f>_xlfn.XLOOKUP(_2__ROI_Daily_Update[[#This Row],[CSM id]],SHP!F:F,SHP!EE:EE,"-")</f>
        <v>0</v>
      </c>
      <c r="L1940" s="12"/>
      <c r="N1940" s="11"/>
      <c r="P1940"/>
      <c r="Q1940"/>
      <c r="W1940" s="28"/>
      <c r="AA1940"/>
    </row>
    <row r="1941" spans="1:27" x14ac:dyDescent="0.45">
      <c r="A1941" s="57">
        <v>1633</v>
      </c>
      <c r="B1941" t="s">
        <v>6393</v>
      </c>
      <c r="C1941" t="s">
        <v>6394</v>
      </c>
      <c r="D1941" s="12">
        <v>46313</v>
      </c>
      <c r="E1941" s="11">
        <v>24</v>
      </c>
      <c r="F1941" s="11" t="s">
        <v>7453</v>
      </c>
      <c r="G1941">
        <v>20260701</v>
      </c>
      <c r="I1941" s="11" t="s">
        <v>63</v>
      </c>
      <c r="J1941" s="72">
        <v>10637745</v>
      </c>
      <c r="K1941" s="99">
        <f>_xlfn.XLOOKUP(_2__ROI_Daily_Update[[#This Row],[CSM id]],SHP!F:F,SHP!EE:EE,"-")</f>
        <v>0</v>
      </c>
      <c r="L1941" s="12"/>
      <c r="N1941" s="11"/>
      <c r="P1941"/>
      <c r="Q1941"/>
      <c r="W1941" s="28"/>
      <c r="AA1941"/>
    </row>
    <row r="1942" spans="1:27" x14ac:dyDescent="0.45">
      <c r="A1942" s="57">
        <v>1642</v>
      </c>
      <c r="B1942" t="s">
        <v>3199</v>
      </c>
      <c r="C1942" t="s">
        <v>3200</v>
      </c>
      <c r="D1942" s="12">
        <v>46313</v>
      </c>
      <c r="E1942" s="11">
        <v>8</v>
      </c>
      <c r="F1942" s="11" t="s">
        <v>7395</v>
      </c>
      <c r="G1942">
        <v>20260701</v>
      </c>
      <c r="I1942" s="11" t="s">
        <v>63</v>
      </c>
      <c r="J1942" s="72">
        <v>10623461</v>
      </c>
      <c r="K1942" s="99">
        <f>_xlfn.XLOOKUP(_2__ROI_Daily_Update[[#This Row],[CSM id]],SHP!F:F,SHP!EE:EE,"-")</f>
        <v>0</v>
      </c>
      <c r="L1942" s="12"/>
      <c r="N1942" s="11"/>
      <c r="P1942"/>
      <c r="Q1942"/>
      <c r="W1942" s="28"/>
      <c r="AA1942"/>
    </row>
    <row r="1943" spans="1:27" x14ac:dyDescent="0.45">
      <c r="A1943" s="57">
        <v>211</v>
      </c>
      <c r="B1943" t="s">
        <v>236</v>
      </c>
      <c r="C1943" t="s">
        <v>237</v>
      </c>
      <c r="D1943" s="12">
        <v>46313</v>
      </c>
      <c r="E1943" s="11">
        <v>27</v>
      </c>
      <c r="F1943" s="11" t="s">
        <v>7425</v>
      </c>
      <c r="G1943">
        <v>20241001</v>
      </c>
      <c r="I1943" s="11" t="s">
        <v>63</v>
      </c>
      <c r="J1943" s="72">
        <v>80574589</v>
      </c>
      <c r="K1943" s="99">
        <f>_xlfn.XLOOKUP(_2__ROI_Daily_Update[[#This Row],[CSM id]],SHP!F:F,SHP!EE:EE,"-")</f>
        <v>0</v>
      </c>
      <c r="L1943" s="12"/>
      <c r="N1943" s="11"/>
      <c r="P1943"/>
      <c r="Q1943"/>
      <c r="W1943" s="28"/>
      <c r="AA1943"/>
    </row>
    <row r="1944" spans="1:27" x14ac:dyDescent="0.45">
      <c r="A1944" s="57">
        <v>131</v>
      </c>
      <c r="B1944" t="s">
        <v>6133</v>
      </c>
      <c r="C1944" t="s">
        <v>6134</v>
      </c>
      <c r="D1944" s="12">
        <v>46313</v>
      </c>
      <c r="E1944" s="11">
        <v>4</v>
      </c>
      <c r="F1944" s="11" t="s">
        <v>7485</v>
      </c>
      <c r="G1944">
        <v>20140801</v>
      </c>
      <c r="I1944" s="11" t="s">
        <v>18</v>
      </c>
      <c r="J1944" s="72">
        <v>60215333</v>
      </c>
      <c r="K1944" s="99">
        <f>_xlfn.XLOOKUP(_2__ROI_Daily_Update[[#This Row],[CSM id]],SHP!F:F,SHP!EE:EE,"-")</f>
        <v>0</v>
      </c>
      <c r="L1944" s="12"/>
      <c r="N1944" s="11"/>
      <c r="P1944"/>
      <c r="Q1944"/>
      <c r="W1944" s="28"/>
      <c r="AA1944"/>
    </row>
    <row r="1945" spans="1:27" x14ac:dyDescent="0.45">
      <c r="A1945" s="57">
        <v>131</v>
      </c>
      <c r="B1945" t="s">
        <v>171</v>
      </c>
      <c r="C1945" t="s">
        <v>172</v>
      </c>
      <c r="D1945" s="12">
        <v>46313</v>
      </c>
      <c r="E1945" s="11">
        <v>14</v>
      </c>
      <c r="F1945" s="11" t="s">
        <v>7440</v>
      </c>
      <c r="G1945">
        <v>20260701</v>
      </c>
      <c r="I1945" s="11" t="s">
        <v>63</v>
      </c>
      <c r="J1945" s="72">
        <v>20627982</v>
      </c>
      <c r="K1945" s="99">
        <f>_xlfn.XLOOKUP(_2__ROI_Daily_Update[[#This Row],[CSM id]],SHP!F:F,SHP!EE:EE,"-")</f>
        <v>0</v>
      </c>
      <c r="L1945" s="12"/>
      <c r="N1945" s="11"/>
      <c r="P1945"/>
      <c r="Q1945"/>
      <c r="W1945" s="28"/>
      <c r="AA1945"/>
    </row>
    <row r="1946" spans="1:27" x14ac:dyDescent="0.45">
      <c r="A1946" s="57">
        <v>211</v>
      </c>
      <c r="B1946" t="s">
        <v>225</v>
      </c>
      <c r="C1946" t="s">
        <v>226</v>
      </c>
      <c r="D1946" s="12">
        <v>46313</v>
      </c>
      <c r="E1946" s="11">
        <v>12</v>
      </c>
      <c r="F1946" s="11" t="s">
        <v>6940</v>
      </c>
      <c r="G1946">
        <v>20170201</v>
      </c>
      <c r="I1946" s="11" t="s">
        <v>63</v>
      </c>
      <c r="J1946" s="72">
        <v>60333949</v>
      </c>
      <c r="K1946" s="99">
        <f>_xlfn.XLOOKUP(_2__ROI_Daily_Update[[#This Row],[CSM id]],SHP!F:F,SHP!EE:EE,"-")</f>
        <v>0</v>
      </c>
      <c r="L1946" s="12"/>
      <c r="N1946" s="11"/>
      <c r="P1946"/>
      <c r="Q1946"/>
      <c r="W1946" s="28"/>
      <c r="AA1946"/>
    </row>
    <row r="1947" spans="1:27" x14ac:dyDescent="0.45">
      <c r="A1947" s="57">
        <v>214</v>
      </c>
      <c r="B1947" t="s">
        <v>245</v>
      </c>
      <c r="C1947" t="s">
        <v>246</v>
      </c>
      <c r="D1947" s="12">
        <v>46313</v>
      </c>
      <c r="E1947" s="11">
        <v>27</v>
      </c>
      <c r="F1947" s="11" t="s">
        <v>7499</v>
      </c>
      <c r="G1947">
        <v>20210701</v>
      </c>
      <c r="I1947" s="11" t="s">
        <v>18</v>
      </c>
      <c r="J1947" s="72">
        <v>10483875</v>
      </c>
      <c r="K1947" s="99">
        <f>_xlfn.XLOOKUP(_2__ROI_Daily_Update[[#This Row],[CSM id]],SHP!F:F,SHP!EE:EE,"-")</f>
        <v>0</v>
      </c>
      <c r="L1947" s="12"/>
      <c r="N1947" s="11"/>
      <c r="P1947"/>
      <c r="Q1947"/>
      <c r="W1947" s="28"/>
      <c r="AA1947"/>
    </row>
    <row r="1948" spans="1:27" x14ac:dyDescent="0.45">
      <c r="A1948" s="57">
        <v>1633</v>
      </c>
      <c r="B1948" t="s">
        <v>6339</v>
      </c>
      <c r="C1948" t="s">
        <v>6340</v>
      </c>
      <c r="D1948" s="12">
        <v>46313</v>
      </c>
      <c r="E1948" s="11">
        <v>48</v>
      </c>
      <c r="F1948" s="11" t="s">
        <v>7448</v>
      </c>
      <c r="G1948">
        <v>20200201</v>
      </c>
      <c r="I1948" s="11" t="s">
        <v>63</v>
      </c>
      <c r="J1948" s="72">
        <v>50457775</v>
      </c>
      <c r="K1948" s="99">
        <f>_xlfn.XLOOKUP(_2__ROI_Daily_Update[[#This Row],[CSM id]],SHP!F:F,SHP!EE:EE,"-")</f>
        <v>0</v>
      </c>
      <c r="L1948" s="12"/>
      <c r="N1948" s="11"/>
      <c r="P1948"/>
      <c r="Q1948"/>
      <c r="W1948" s="28"/>
      <c r="AA1948"/>
    </row>
    <row r="1949" spans="1:27" x14ac:dyDescent="0.45">
      <c r="A1949" s="57">
        <v>131</v>
      </c>
      <c r="B1949" t="s">
        <v>141</v>
      </c>
      <c r="C1949" t="s">
        <v>142</v>
      </c>
      <c r="D1949" s="12">
        <v>46313</v>
      </c>
      <c r="E1949" s="11">
        <v>24</v>
      </c>
      <c r="F1949" s="11" t="s">
        <v>7463</v>
      </c>
      <c r="G1949">
        <v>20260701</v>
      </c>
      <c r="I1949" s="11" t="s">
        <v>63</v>
      </c>
      <c r="J1949" s="72">
        <v>70609004</v>
      </c>
      <c r="K1949" s="99">
        <f>_xlfn.XLOOKUP(_2__ROI_Daily_Update[[#This Row],[CSM id]],SHP!F:F,SHP!EE:EE,"-")</f>
        <v>0</v>
      </c>
      <c r="L1949" s="12"/>
      <c r="N1949" s="11"/>
      <c r="P1949"/>
      <c r="Q1949"/>
      <c r="W1949" s="28"/>
      <c r="AA1949"/>
    </row>
    <row r="1950" spans="1:27" x14ac:dyDescent="0.45">
      <c r="A1950" s="57">
        <v>1634</v>
      </c>
      <c r="B1950" t="s">
        <v>6001</v>
      </c>
      <c r="C1950" t="s">
        <v>6002</v>
      </c>
      <c r="D1950" s="12">
        <v>46313</v>
      </c>
      <c r="E1950" s="11">
        <v>32</v>
      </c>
      <c r="F1950" s="11" t="s">
        <v>7440</v>
      </c>
      <c r="G1950">
        <v>20251001</v>
      </c>
      <c r="I1950" s="11" t="s">
        <v>63</v>
      </c>
      <c r="J1950" s="72">
        <v>606061</v>
      </c>
      <c r="K1950" s="99">
        <f>_xlfn.XLOOKUP(_2__ROI_Daily_Update[[#This Row],[CSM id]],SHP!F:F,SHP!EE:EE,"-")</f>
        <v>0</v>
      </c>
      <c r="L1950" s="12"/>
      <c r="N1950" s="11"/>
      <c r="P1950"/>
      <c r="Q1950"/>
      <c r="W1950" s="28"/>
      <c r="AA1950"/>
    </row>
    <row r="1951" spans="1:27" x14ac:dyDescent="0.45">
      <c r="A1951" s="57">
        <v>131</v>
      </c>
      <c r="B1951" t="s">
        <v>5154</v>
      </c>
      <c r="C1951" t="s">
        <v>5155</v>
      </c>
      <c r="D1951" s="12">
        <v>46313</v>
      </c>
      <c r="E1951" s="11">
        <v>9</v>
      </c>
      <c r="F1951" s="11" t="s">
        <v>7420</v>
      </c>
      <c r="G1951">
        <v>20260401</v>
      </c>
      <c r="I1951" s="11" t="s">
        <v>63</v>
      </c>
      <c r="J1951" s="72">
        <v>90622090</v>
      </c>
      <c r="K1951" s="99">
        <f>_xlfn.XLOOKUP(_2__ROI_Daily_Update[[#This Row],[CSM id]],SHP!F:F,SHP!EE:EE,"-")</f>
        <v>0</v>
      </c>
      <c r="L1951" s="12"/>
      <c r="N1951" s="11"/>
      <c r="P1951"/>
      <c r="Q1951"/>
      <c r="W1951" s="28"/>
      <c r="AA1951"/>
    </row>
    <row r="1952" spans="1:27" x14ac:dyDescent="0.45">
      <c r="A1952" s="57">
        <v>1633</v>
      </c>
      <c r="B1952" t="s">
        <v>3024</v>
      </c>
      <c r="C1952" t="s">
        <v>3025</v>
      </c>
      <c r="D1952" s="12">
        <v>46313</v>
      </c>
      <c r="E1952" s="11">
        <v>45</v>
      </c>
      <c r="F1952" s="11" t="s">
        <v>7420</v>
      </c>
      <c r="G1952">
        <v>20260801</v>
      </c>
      <c r="H1952" s="12">
        <v>46388</v>
      </c>
      <c r="I1952" s="11" t="s">
        <v>63</v>
      </c>
      <c r="J1952" s="72">
        <v>90632305</v>
      </c>
      <c r="K1952" s="99">
        <f>_xlfn.XLOOKUP(_2__ROI_Daily_Update[[#This Row],[CSM id]],SHP!F:F,SHP!EE:EE,"-")</f>
        <v>0</v>
      </c>
      <c r="L1952" s="12"/>
      <c r="N1952" s="11"/>
      <c r="P1952"/>
      <c r="Q1952"/>
      <c r="W1952" s="28"/>
      <c r="AA1952"/>
    </row>
    <row r="1953" spans="1:27" x14ac:dyDescent="0.45">
      <c r="A1953" s="57">
        <v>1633</v>
      </c>
      <c r="B1953" t="s">
        <v>3022</v>
      </c>
      <c r="C1953" t="s">
        <v>3023</v>
      </c>
      <c r="D1953" s="12">
        <v>46313</v>
      </c>
      <c r="E1953" s="11">
        <v>32</v>
      </c>
      <c r="F1953" s="11" t="s">
        <v>7475</v>
      </c>
      <c r="G1953">
        <v>20251001</v>
      </c>
      <c r="I1953" s="11" t="s">
        <v>63</v>
      </c>
      <c r="J1953" s="72">
        <v>90610539</v>
      </c>
      <c r="K1953" s="99">
        <f>_xlfn.XLOOKUP(_2__ROI_Daily_Update[[#This Row],[CSM id]],SHP!F:F,SHP!EE:EE,"-")</f>
        <v>0</v>
      </c>
      <c r="L1953" s="12"/>
      <c r="N1953" s="11"/>
      <c r="P1953"/>
      <c r="Q1953"/>
      <c r="W1953" s="28"/>
      <c r="AA1953"/>
    </row>
    <row r="1954" spans="1:27" x14ac:dyDescent="0.45">
      <c r="A1954" s="57">
        <v>1633</v>
      </c>
      <c r="B1954" t="s">
        <v>3022</v>
      </c>
      <c r="C1954" t="s">
        <v>3023</v>
      </c>
      <c r="D1954" s="12">
        <v>46313</v>
      </c>
      <c r="E1954" s="11">
        <v>48</v>
      </c>
      <c r="F1954" s="11" t="s">
        <v>7425</v>
      </c>
      <c r="G1954">
        <v>20251001</v>
      </c>
      <c r="I1954" s="11" t="s">
        <v>63</v>
      </c>
      <c r="J1954" s="72">
        <v>90610539</v>
      </c>
      <c r="K1954" s="99">
        <f>_xlfn.XLOOKUP(_2__ROI_Daily_Update[[#This Row],[CSM id]],SHP!F:F,SHP!EE:EE,"-")</f>
        <v>0</v>
      </c>
      <c r="L1954" s="12"/>
      <c r="N1954" s="11"/>
      <c r="P1954"/>
      <c r="Q1954"/>
      <c r="W1954" s="28"/>
      <c r="AA1954"/>
    </row>
    <row r="1955" spans="1:27" x14ac:dyDescent="0.45">
      <c r="A1955" s="57">
        <v>1633</v>
      </c>
      <c r="B1955" t="s">
        <v>3020</v>
      </c>
      <c r="C1955" t="s">
        <v>3021</v>
      </c>
      <c r="D1955" s="12">
        <v>46313</v>
      </c>
      <c r="E1955" s="11">
        <v>30</v>
      </c>
      <c r="F1955" s="11" t="s">
        <v>7400</v>
      </c>
      <c r="G1955">
        <v>20241001</v>
      </c>
      <c r="I1955" s="11" t="s">
        <v>63</v>
      </c>
      <c r="J1955" s="72">
        <v>90592366</v>
      </c>
      <c r="K1955" s="99">
        <f>_xlfn.XLOOKUP(_2__ROI_Daily_Update[[#This Row],[CSM id]],SHP!F:F,SHP!EE:EE,"-")</f>
        <v>0</v>
      </c>
      <c r="L1955" s="12"/>
      <c r="N1955" s="11"/>
      <c r="P1955"/>
      <c r="Q1955"/>
      <c r="W1955" s="28"/>
      <c r="AA1955"/>
    </row>
    <row r="1956" spans="1:27" x14ac:dyDescent="0.45">
      <c r="A1956" s="57">
        <v>1633</v>
      </c>
      <c r="B1956" t="s">
        <v>3020</v>
      </c>
      <c r="C1956" t="s">
        <v>3021</v>
      </c>
      <c r="D1956" s="12">
        <v>46313</v>
      </c>
      <c r="E1956" s="11">
        <v>30</v>
      </c>
      <c r="F1956" s="11" t="s">
        <v>7430</v>
      </c>
      <c r="G1956">
        <v>20241001</v>
      </c>
      <c r="I1956" s="11" t="s">
        <v>63</v>
      </c>
      <c r="J1956" s="72">
        <v>90592366</v>
      </c>
      <c r="K1956" s="99">
        <f>_xlfn.XLOOKUP(_2__ROI_Daily_Update[[#This Row],[CSM id]],SHP!F:F,SHP!EE:EE,"-")</f>
        <v>0</v>
      </c>
      <c r="L1956" s="12"/>
      <c r="N1956" s="11"/>
      <c r="P1956"/>
      <c r="Q1956"/>
      <c r="W1956" s="28"/>
      <c r="AA1956"/>
    </row>
    <row r="1957" spans="1:27" x14ac:dyDescent="0.45">
      <c r="A1957" s="57">
        <v>1641</v>
      </c>
      <c r="B1957" t="s">
        <v>6227</v>
      </c>
      <c r="C1957" t="s">
        <v>6228</v>
      </c>
      <c r="D1957" s="12">
        <v>46313</v>
      </c>
      <c r="E1957" s="11">
        <v>864</v>
      </c>
      <c r="F1957" s="11" t="s">
        <v>7435</v>
      </c>
      <c r="G1957">
        <v>20240101</v>
      </c>
      <c r="I1957" s="11" t="s">
        <v>63</v>
      </c>
      <c r="J1957" s="72">
        <v>80556316</v>
      </c>
      <c r="K1957" s="99">
        <f>_xlfn.XLOOKUP(_2__ROI_Daily_Update[[#This Row],[CSM id]],SHP!F:F,SHP!EE:EE,"-")</f>
        <v>0</v>
      </c>
      <c r="L1957" s="12"/>
      <c r="N1957" s="11"/>
      <c r="P1957"/>
      <c r="Q1957"/>
      <c r="W1957" s="28"/>
      <c r="AA1957"/>
    </row>
    <row r="1958" spans="1:27" x14ac:dyDescent="0.45">
      <c r="A1958" s="57">
        <v>1641</v>
      </c>
      <c r="B1958" t="s">
        <v>3187</v>
      </c>
      <c r="C1958" t="s">
        <v>3188</v>
      </c>
      <c r="D1958" s="12">
        <v>46313</v>
      </c>
      <c r="E1958" s="11">
        <v>16</v>
      </c>
      <c r="F1958" s="11" t="s">
        <v>7410</v>
      </c>
      <c r="G1958">
        <v>20251001</v>
      </c>
      <c r="I1958" s="11" t="s">
        <v>63</v>
      </c>
      <c r="J1958" s="72">
        <v>80610083</v>
      </c>
      <c r="K1958" s="99">
        <f>_xlfn.XLOOKUP(_2__ROI_Daily_Update[[#This Row],[CSM id]],SHP!F:F,SHP!EE:EE,"-")</f>
        <v>0</v>
      </c>
      <c r="L1958" s="12"/>
      <c r="N1958" s="11"/>
      <c r="P1958"/>
      <c r="Q1958"/>
      <c r="W1958" s="28"/>
      <c r="AA1958"/>
    </row>
    <row r="1959" spans="1:27" x14ac:dyDescent="0.45">
      <c r="A1959" s="57">
        <v>1641</v>
      </c>
      <c r="B1959" t="s">
        <v>3189</v>
      </c>
      <c r="C1959" t="s">
        <v>3190</v>
      </c>
      <c r="D1959" s="12">
        <v>46313</v>
      </c>
      <c r="E1959" s="11">
        <v>11</v>
      </c>
      <c r="F1959" s="11" t="s">
        <v>7425</v>
      </c>
      <c r="G1959">
        <v>20260101</v>
      </c>
      <c r="I1959" s="11" t="s">
        <v>63</v>
      </c>
      <c r="J1959" s="72">
        <v>80611006</v>
      </c>
      <c r="K1959" s="99">
        <f>_xlfn.XLOOKUP(_2__ROI_Daily_Update[[#This Row],[CSM id]],SHP!F:F,SHP!EE:EE,"-")</f>
        <v>0</v>
      </c>
      <c r="L1959" s="12"/>
      <c r="N1959" s="11"/>
      <c r="P1959"/>
      <c r="Q1959"/>
      <c r="W1959" s="28"/>
      <c r="AA1959"/>
    </row>
    <row r="1960" spans="1:27" x14ac:dyDescent="0.45">
      <c r="A1960" s="57">
        <v>1882</v>
      </c>
      <c r="B1960" t="s">
        <v>3741</v>
      </c>
      <c r="C1960" t="s">
        <v>3742</v>
      </c>
      <c r="D1960" s="12">
        <v>46313</v>
      </c>
      <c r="E1960" s="11">
        <v>70</v>
      </c>
      <c r="F1960" s="11" t="s">
        <v>7440</v>
      </c>
      <c r="G1960">
        <v>20221001</v>
      </c>
      <c r="H1960" s="12">
        <v>46388</v>
      </c>
      <c r="I1960" s="11" t="s">
        <v>63</v>
      </c>
      <c r="J1960" s="72">
        <v>60527080</v>
      </c>
      <c r="K1960" s="99">
        <f>_xlfn.XLOOKUP(_2__ROI_Daily_Update[[#This Row],[CSM id]],SHP!F:F,SHP!EE:EE,"-")</f>
        <v>0</v>
      </c>
      <c r="L1960" s="12"/>
      <c r="N1960" s="11"/>
      <c r="P1960"/>
      <c r="Q1960"/>
      <c r="W1960" s="28"/>
      <c r="AA1960"/>
    </row>
    <row r="1961" spans="1:27" x14ac:dyDescent="0.45">
      <c r="A1961" s="57">
        <v>1641</v>
      </c>
      <c r="B1961" t="s">
        <v>3189</v>
      </c>
      <c r="C1961" t="s">
        <v>3190</v>
      </c>
      <c r="D1961" s="12">
        <v>46313</v>
      </c>
      <c r="E1961" s="11">
        <v>11</v>
      </c>
      <c r="F1961" s="11" t="s">
        <v>7458</v>
      </c>
      <c r="G1961">
        <v>20260101</v>
      </c>
      <c r="I1961" s="11" t="s">
        <v>63</v>
      </c>
      <c r="J1961" s="72">
        <v>80611006</v>
      </c>
      <c r="K1961" s="99">
        <f>_xlfn.XLOOKUP(_2__ROI_Daily_Update[[#This Row],[CSM id]],SHP!F:F,SHP!EE:EE,"-")</f>
        <v>0</v>
      </c>
      <c r="L1961" s="12"/>
      <c r="N1961" s="11"/>
      <c r="P1961"/>
      <c r="Q1961"/>
      <c r="W1961" s="28"/>
      <c r="AA1961"/>
    </row>
    <row r="1962" spans="1:27" x14ac:dyDescent="0.45">
      <c r="A1962" s="57">
        <v>1633</v>
      </c>
      <c r="B1962" t="s">
        <v>5368</v>
      </c>
      <c r="C1962" t="s">
        <v>5369</v>
      </c>
      <c r="D1962" s="12">
        <v>46313</v>
      </c>
      <c r="E1962" s="11">
        <v>36</v>
      </c>
      <c r="F1962" s="11" t="s">
        <v>7420</v>
      </c>
      <c r="G1962">
        <v>20260101</v>
      </c>
      <c r="I1962" s="11" t="s">
        <v>63</v>
      </c>
      <c r="J1962" s="72">
        <v>80611940</v>
      </c>
      <c r="K1962" s="99">
        <f>_xlfn.XLOOKUP(_2__ROI_Daily_Update[[#This Row],[CSM id]],SHP!F:F,SHP!EE:EE,"-")</f>
        <v>0</v>
      </c>
      <c r="L1962" s="12"/>
      <c r="N1962" s="11"/>
      <c r="P1962"/>
      <c r="Q1962"/>
      <c r="W1962" s="28"/>
      <c r="AA1962"/>
    </row>
    <row r="1963" spans="1:27" x14ac:dyDescent="0.45">
      <c r="A1963" s="57">
        <v>1633</v>
      </c>
      <c r="B1963" t="s">
        <v>6879</v>
      </c>
      <c r="C1963" t="s">
        <v>6880</v>
      </c>
      <c r="D1963" s="12">
        <v>46313</v>
      </c>
      <c r="E1963" s="11">
        <v>20</v>
      </c>
      <c r="F1963" s="11" t="s">
        <v>7463</v>
      </c>
      <c r="G1963">
        <v>20260701</v>
      </c>
      <c r="I1963" s="11" t="s">
        <v>63</v>
      </c>
      <c r="J1963" s="72">
        <v>70637728</v>
      </c>
      <c r="K1963" s="99">
        <f>_xlfn.XLOOKUP(_2__ROI_Daily_Update[[#This Row],[CSM id]],SHP!F:F,SHP!EE:EE,"-")</f>
        <v>0</v>
      </c>
      <c r="L1963" s="12"/>
      <c r="N1963" s="11"/>
      <c r="P1963"/>
      <c r="Q1963"/>
      <c r="W1963" s="28"/>
      <c r="AA1963"/>
    </row>
    <row r="1964" spans="1:27" x14ac:dyDescent="0.45">
      <c r="A1964" s="57">
        <v>1641</v>
      </c>
      <c r="B1964" t="s">
        <v>3191</v>
      </c>
      <c r="C1964" t="s">
        <v>3192</v>
      </c>
      <c r="D1964" s="12">
        <v>46313</v>
      </c>
      <c r="E1964" s="11">
        <v>264</v>
      </c>
      <c r="F1964" s="11" t="s">
        <v>6946</v>
      </c>
      <c r="G1964">
        <v>20160201</v>
      </c>
      <c r="I1964" s="11" t="s">
        <v>63</v>
      </c>
      <c r="J1964" s="72">
        <v>90300457</v>
      </c>
      <c r="K1964" s="99">
        <f>_xlfn.XLOOKUP(_2__ROI_Daily_Update[[#This Row],[CSM id]],SHP!F:F,SHP!EE:EE,"-")</f>
        <v>0</v>
      </c>
      <c r="L1964" s="12"/>
      <c r="N1964" s="11"/>
      <c r="P1964"/>
      <c r="Q1964"/>
      <c r="W1964" s="28"/>
      <c r="AA1964"/>
    </row>
    <row r="1965" spans="1:27" x14ac:dyDescent="0.45">
      <c r="A1965" s="57">
        <v>1633</v>
      </c>
      <c r="B1965" t="s">
        <v>3012</v>
      </c>
      <c r="C1965" t="s">
        <v>3013</v>
      </c>
      <c r="D1965" s="12">
        <v>46313</v>
      </c>
      <c r="E1965" s="11">
        <v>10</v>
      </c>
      <c r="F1965" s="11" t="s">
        <v>7440</v>
      </c>
      <c r="G1965">
        <v>20231001</v>
      </c>
      <c r="I1965" s="11" t="s">
        <v>63</v>
      </c>
      <c r="J1965" s="72">
        <v>70559551</v>
      </c>
      <c r="K1965" s="99">
        <f>_xlfn.XLOOKUP(_2__ROI_Daily_Update[[#This Row],[CSM id]],SHP!F:F,SHP!EE:EE,"-")</f>
        <v>0</v>
      </c>
      <c r="L1965" s="12"/>
      <c r="N1965" s="11"/>
      <c r="P1965"/>
      <c r="Q1965"/>
      <c r="W1965" s="28"/>
      <c r="AA1965"/>
    </row>
    <row r="1966" spans="1:27" x14ac:dyDescent="0.45">
      <c r="A1966" s="57">
        <v>1633</v>
      </c>
      <c r="B1966" t="s">
        <v>5586</v>
      </c>
      <c r="C1966" t="s">
        <v>5587</v>
      </c>
      <c r="D1966" s="12">
        <v>46313</v>
      </c>
      <c r="E1966" s="11">
        <v>40</v>
      </c>
      <c r="F1966" s="11" t="s">
        <v>7463</v>
      </c>
      <c r="G1966">
        <v>20260401</v>
      </c>
      <c r="I1966" s="11" t="s">
        <v>63</v>
      </c>
      <c r="J1966" s="72">
        <v>60623406</v>
      </c>
      <c r="K1966" s="99">
        <f>_xlfn.XLOOKUP(_2__ROI_Daily_Update[[#This Row],[CSM id]],SHP!F:F,SHP!EE:EE,"-")</f>
        <v>0</v>
      </c>
      <c r="L1966" s="12"/>
      <c r="N1966" s="11"/>
      <c r="P1966"/>
      <c r="Q1966"/>
      <c r="W1966" s="28"/>
      <c r="AA1966"/>
    </row>
    <row r="1967" spans="1:27" x14ac:dyDescent="0.45">
      <c r="A1967" s="57">
        <v>1641</v>
      </c>
      <c r="B1967" t="s">
        <v>5882</v>
      </c>
      <c r="C1967" t="s">
        <v>5883</v>
      </c>
      <c r="D1967" s="12">
        <v>46313</v>
      </c>
      <c r="E1967" s="11">
        <v>96</v>
      </c>
      <c r="F1967" s="11" t="s">
        <v>7448</v>
      </c>
      <c r="G1967">
        <v>20201001</v>
      </c>
      <c r="I1967" s="11" t="s">
        <v>63</v>
      </c>
      <c r="J1967" s="72">
        <v>90382844</v>
      </c>
      <c r="K1967" s="99">
        <f>_xlfn.XLOOKUP(_2__ROI_Daily_Update[[#This Row],[CSM id]],SHP!F:F,SHP!EE:EE,"-")</f>
        <v>0</v>
      </c>
      <c r="L1967" s="12"/>
      <c r="N1967" s="11"/>
      <c r="P1967"/>
      <c r="Q1967"/>
      <c r="W1967" s="28"/>
      <c r="AA1967"/>
    </row>
    <row r="1968" spans="1:27" x14ac:dyDescent="0.45">
      <c r="A1968" s="57">
        <v>1633</v>
      </c>
      <c r="B1968" t="s">
        <v>3002</v>
      </c>
      <c r="C1968" t="s">
        <v>3003</v>
      </c>
      <c r="D1968" s="12">
        <v>46313</v>
      </c>
      <c r="E1968" s="11">
        <v>18</v>
      </c>
      <c r="F1968" s="11" t="s">
        <v>7425</v>
      </c>
      <c r="G1968">
        <v>20251001</v>
      </c>
      <c r="I1968" s="11" t="s">
        <v>63</v>
      </c>
      <c r="J1968" s="72">
        <v>50610541</v>
      </c>
      <c r="K1968" s="99">
        <f>_xlfn.XLOOKUP(_2__ROI_Daily_Update[[#This Row],[CSM id]],SHP!F:F,SHP!EE:EE,"-")</f>
        <v>0</v>
      </c>
      <c r="L1968" s="12"/>
      <c r="N1968" s="11"/>
      <c r="P1968"/>
      <c r="Q1968"/>
      <c r="W1968" s="28"/>
      <c r="AA1968"/>
    </row>
    <row r="1969" spans="1:27" x14ac:dyDescent="0.45">
      <c r="A1969" s="57">
        <v>1633</v>
      </c>
      <c r="B1969" t="s">
        <v>3002</v>
      </c>
      <c r="C1969" t="s">
        <v>3003</v>
      </c>
      <c r="D1969" s="12">
        <v>46313</v>
      </c>
      <c r="E1969" s="11">
        <v>12</v>
      </c>
      <c r="F1969" s="11" t="s">
        <v>7475</v>
      </c>
      <c r="G1969">
        <v>20251001</v>
      </c>
      <c r="I1969" s="11" t="s">
        <v>63</v>
      </c>
      <c r="J1969" s="72">
        <v>50610541</v>
      </c>
      <c r="K1969" s="99">
        <f>_xlfn.XLOOKUP(_2__ROI_Daily_Update[[#This Row],[CSM id]],SHP!F:F,SHP!EE:EE,"-")</f>
        <v>0</v>
      </c>
      <c r="L1969" s="12"/>
      <c r="N1969" s="11"/>
      <c r="P1969"/>
      <c r="Q1969"/>
      <c r="W1969" s="28"/>
      <c r="AA1969"/>
    </row>
    <row r="1970" spans="1:27" x14ac:dyDescent="0.45">
      <c r="A1970" s="57">
        <v>1633</v>
      </c>
      <c r="B1970" t="s">
        <v>6039</v>
      </c>
      <c r="C1970" t="s">
        <v>6040</v>
      </c>
      <c r="D1970" s="12">
        <v>46313</v>
      </c>
      <c r="E1970" s="11">
        <v>12</v>
      </c>
      <c r="F1970" s="11" t="s">
        <v>6940</v>
      </c>
      <c r="G1970">
        <v>20260101</v>
      </c>
      <c r="I1970" s="11" t="s">
        <v>63</v>
      </c>
      <c r="J1970" s="72">
        <v>50611041</v>
      </c>
      <c r="K1970" s="99">
        <f>_xlfn.XLOOKUP(_2__ROI_Daily_Update[[#This Row],[CSM id]],SHP!F:F,SHP!EE:EE,"-")</f>
        <v>0</v>
      </c>
      <c r="L1970" s="12"/>
      <c r="N1970" s="11"/>
      <c r="P1970"/>
      <c r="Q1970"/>
      <c r="W1970" s="28"/>
      <c r="AA1970"/>
    </row>
    <row r="1971" spans="1:27" x14ac:dyDescent="0.45">
      <c r="A1971" s="57">
        <v>1633</v>
      </c>
      <c r="B1971" t="s">
        <v>5290</v>
      </c>
      <c r="C1971" t="s">
        <v>5291</v>
      </c>
      <c r="D1971" s="12">
        <v>46313</v>
      </c>
      <c r="E1971" s="11">
        <v>4</v>
      </c>
      <c r="F1971" s="11" t="s">
        <v>7420</v>
      </c>
      <c r="G1971">
        <v>20260601</v>
      </c>
      <c r="I1971" s="11" t="s">
        <v>63</v>
      </c>
      <c r="J1971" s="72">
        <v>50618561</v>
      </c>
      <c r="K1971" s="99">
        <f>_xlfn.XLOOKUP(_2__ROI_Daily_Update[[#This Row],[CSM id]],SHP!F:F,SHP!EE:EE,"-")</f>
        <v>0</v>
      </c>
      <c r="L1971" s="12"/>
      <c r="N1971" s="11"/>
      <c r="P1971"/>
      <c r="Q1971"/>
      <c r="W1971" s="28"/>
      <c r="AA1971"/>
    </row>
    <row r="1972" spans="1:27" x14ac:dyDescent="0.45">
      <c r="A1972" s="57">
        <v>1633</v>
      </c>
      <c r="B1972" t="s">
        <v>5290</v>
      </c>
      <c r="C1972" t="s">
        <v>5291</v>
      </c>
      <c r="D1972" s="12">
        <v>46313</v>
      </c>
      <c r="E1972" s="11">
        <v>4</v>
      </c>
      <c r="F1972" s="11" t="s">
        <v>6946</v>
      </c>
      <c r="G1972">
        <v>20260601</v>
      </c>
      <c r="I1972" s="11" t="s">
        <v>63</v>
      </c>
      <c r="J1972" s="72">
        <v>50618561</v>
      </c>
      <c r="K1972" s="99">
        <f>_xlfn.XLOOKUP(_2__ROI_Daily_Update[[#This Row],[CSM id]],SHP!F:F,SHP!EE:EE,"-")</f>
        <v>0</v>
      </c>
      <c r="L1972" s="12"/>
      <c r="N1972" s="11"/>
      <c r="P1972"/>
      <c r="Q1972"/>
      <c r="W1972" s="28"/>
      <c r="AA1972"/>
    </row>
    <row r="1973" spans="1:27" x14ac:dyDescent="0.45">
      <c r="A1973" s="57">
        <v>131</v>
      </c>
      <c r="B1973" t="s">
        <v>72</v>
      </c>
      <c r="C1973" t="s">
        <v>73</v>
      </c>
      <c r="D1973" s="12">
        <v>46313</v>
      </c>
      <c r="E1973" s="11">
        <v>88</v>
      </c>
      <c r="F1973" s="11" t="s">
        <v>7410</v>
      </c>
      <c r="G1973">
        <v>20260701</v>
      </c>
      <c r="I1973" s="11" t="s">
        <v>63</v>
      </c>
      <c r="J1973" s="72">
        <v>50630332</v>
      </c>
      <c r="K1973" s="99">
        <f>_xlfn.XLOOKUP(_2__ROI_Daily_Update[[#This Row],[CSM id]],SHP!F:F,SHP!EE:EE,"-")</f>
        <v>0</v>
      </c>
      <c r="L1973" s="12"/>
      <c r="N1973" s="11"/>
      <c r="P1973"/>
      <c r="Q1973"/>
      <c r="W1973" s="28"/>
      <c r="AA1973"/>
    </row>
    <row r="1974" spans="1:27" x14ac:dyDescent="0.45">
      <c r="A1974" s="57">
        <v>1633</v>
      </c>
      <c r="B1974" t="s">
        <v>6293</v>
      </c>
      <c r="C1974" t="s">
        <v>6294</v>
      </c>
      <c r="D1974" s="12">
        <v>46313</v>
      </c>
      <c r="E1974" s="11">
        <v>96</v>
      </c>
      <c r="F1974" s="11" t="s">
        <v>7435</v>
      </c>
      <c r="G1974">
        <v>20261001</v>
      </c>
      <c r="I1974" s="11" t="s">
        <v>63</v>
      </c>
      <c r="J1974" s="72">
        <v>50635184</v>
      </c>
      <c r="K1974" s="99">
        <f>_xlfn.XLOOKUP(_2__ROI_Daily_Update[[#This Row],[CSM id]],SHP!F:F,SHP!EE:EE,"-")</f>
        <v>0</v>
      </c>
      <c r="L1974" s="12"/>
      <c r="N1974" s="11"/>
      <c r="P1974"/>
      <c r="Q1974"/>
      <c r="W1974" s="28"/>
      <c r="AA1974"/>
    </row>
    <row r="1975" spans="1:27" x14ac:dyDescent="0.45">
      <c r="A1975" s="57">
        <v>131</v>
      </c>
      <c r="B1975" t="s">
        <v>141</v>
      </c>
      <c r="C1975" t="s">
        <v>142</v>
      </c>
      <c r="D1975" s="12">
        <v>46313</v>
      </c>
      <c r="E1975" s="11">
        <v>24</v>
      </c>
      <c r="F1975" s="11" t="s">
        <v>7410</v>
      </c>
      <c r="G1975">
        <v>20260701</v>
      </c>
      <c r="I1975" s="11" t="s">
        <v>63</v>
      </c>
      <c r="J1975" s="72">
        <v>70609004</v>
      </c>
      <c r="K1975" s="99">
        <f>_xlfn.XLOOKUP(_2__ROI_Daily_Update[[#This Row],[CSM id]],SHP!F:F,SHP!EE:EE,"-")</f>
        <v>0</v>
      </c>
      <c r="L1975" s="12"/>
      <c r="N1975" s="11"/>
      <c r="P1975"/>
      <c r="Q1975"/>
      <c r="W1975" s="28"/>
      <c r="AA1975"/>
    </row>
    <row r="1976" spans="1:27" x14ac:dyDescent="0.45">
      <c r="A1976" s="57">
        <v>131</v>
      </c>
      <c r="B1976" t="s">
        <v>141</v>
      </c>
      <c r="C1976" t="s">
        <v>142</v>
      </c>
      <c r="D1976" s="12">
        <v>46313</v>
      </c>
      <c r="E1976" s="11">
        <v>8</v>
      </c>
      <c r="F1976" s="11" t="s">
        <v>7430</v>
      </c>
      <c r="G1976">
        <v>20260701</v>
      </c>
      <c r="I1976" s="11" t="s">
        <v>63</v>
      </c>
      <c r="J1976" s="72">
        <v>70609004</v>
      </c>
      <c r="K1976" s="99">
        <f>_xlfn.XLOOKUP(_2__ROI_Daily_Update[[#This Row],[CSM id]],SHP!F:F,SHP!EE:EE,"-")</f>
        <v>0</v>
      </c>
      <c r="L1976" s="12"/>
      <c r="N1976" s="11"/>
      <c r="P1976"/>
      <c r="Q1976"/>
      <c r="W1976" s="28"/>
      <c r="AA1976"/>
    </row>
    <row r="1977" spans="1:27" x14ac:dyDescent="0.45">
      <c r="A1977" s="57">
        <v>131</v>
      </c>
      <c r="B1977" t="s">
        <v>5717</v>
      </c>
      <c r="C1977" t="s">
        <v>5718</v>
      </c>
      <c r="D1977" s="12">
        <v>46313</v>
      </c>
      <c r="E1977" s="11">
        <v>18</v>
      </c>
      <c r="F1977" s="11" t="s">
        <v>7400</v>
      </c>
      <c r="G1977">
        <v>20260801</v>
      </c>
      <c r="H1977" s="12">
        <v>46478</v>
      </c>
      <c r="I1977" s="11" t="s">
        <v>63</v>
      </c>
      <c r="J1977" s="72">
        <v>30628820</v>
      </c>
      <c r="K1977" s="99">
        <f>_xlfn.XLOOKUP(_2__ROI_Daily_Update[[#This Row],[CSM id]],SHP!F:F,SHP!EE:EE,"-")</f>
        <v>0</v>
      </c>
      <c r="L1977" s="12"/>
      <c r="N1977" s="11"/>
      <c r="P1977"/>
      <c r="Q1977"/>
      <c r="W1977" s="28"/>
      <c r="AA1977"/>
    </row>
    <row r="1978" spans="1:27" x14ac:dyDescent="0.45">
      <c r="A1978" s="57">
        <v>1633</v>
      </c>
      <c r="B1978" t="s">
        <v>6811</v>
      </c>
      <c r="C1978" t="s">
        <v>6812</v>
      </c>
      <c r="D1978" s="12">
        <v>46313</v>
      </c>
      <c r="E1978" s="11">
        <v>30</v>
      </c>
      <c r="F1978" s="11" t="s">
        <v>7463</v>
      </c>
      <c r="G1978">
        <v>20260401</v>
      </c>
      <c r="I1978" s="11" t="s">
        <v>63</v>
      </c>
      <c r="J1978" s="72">
        <v>50637606</v>
      </c>
      <c r="K1978" s="99">
        <f>_xlfn.XLOOKUP(_2__ROI_Daily_Update[[#This Row],[CSM id]],SHP!F:F,SHP!EE:EE,"-")</f>
        <v>0</v>
      </c>
      <c r="L1978" s="12"/>
      <c r="N1978" s="11"/>
      <c r="P1978"/>
      <c r="Q1978"/>
      <c r="W1978" s="28"/>
      <c r="AA1978"/>
    </row>
    <row r="1979" spans="1:27" x14ac:dyDescent="0.45">
      <c r="A1979" s="57">
        <v>1633</v>
      </c>
      <c r="B1979" t="s">
        <v>6345</v>
      </c>
      <c r="C1979" t="s">
        <v>6346</v>
      </c>
      <c r="D1979" s="12">
        <v>46313</v>
      </c>
      <c r="E1979" s="11">
        <v>120</v>
      </c>
      <c r="F1979" s="11" t="s">
        <v>7485</v>
      </c>
      <c r="G1979">
        <v>20190401</v>
      </c>
      <c r="I1979" s="11" t="s">
        <v>18</v>
      </c>
      <c r="J1979" s="72">
        <v>60442038</v>
      </c>
      <c r="K1979" s="99">
        <f>_xlfn.XLOOKUP(_2__ROI_Daily_Update[[#This Row],[CSM id]],SHP!F:F,SHP!EE:EE,"-")</f>
        <v>0</v>
      </c>
      <c r="L1979" s="12"/>
      <c r="N1979" s="11"/>
      <c r="P1979"/>
      <c r="Q1979"/>
      <c r="W1979" s="28"/>
      <c r="AA1979"/>
    </row>
    <row r="1980" spans="1:27" x14ac:dyDescent="0.45">
      <c r="A1980" s="57">
        <v>1633</v>
      </c>
      <c r="B1980" t="s">
        <v>5586</v>
      </c>
      <c r="C1980" t="s">
        <v>5587</v>
      </c>
      <c r="D1980" s="12">
        <v>46313</v>
      </c>
      <c r="E1980" s="11">
        <v>50</v>
      </c>
      <c r="F1980" s="11" t="s">
        <v>7410</v>
      </c>
      <c r="G1980">
        <v>20260401</v>
      </c>
      <c r="I1980" s="11" t="s">
        <v>63</v>
      </c>
      <c r="J1980" s="72">
        <v>60623406</v>
      </c>
      <c r="K1980" s="99">
        <f>_xlfn.XLOOKUP(_2__ROI_Daily_Update[[#This Row],[CSM id]],SHP!F:F,SHP!EE:EE,"-")</f>
        <v>0</v>
      </c>
      <c r="L1980" s="12"/>
      <c r="N1980" s="11"/>
      <c r="P1980"/>
      <c r="Q1980"/>
      <c r="W1980" s="28"/>
      <c r="AA1980"/>
    </row>
    <row r="1981" spans="1:27" x14ac:dyDescent="0.45">
      <c r="A1981" s="57">
        <v>1641</v>
      </c>
      <c r="B1981" t="s">
        <v>5882</v>
      </c>
      <c r="C1981" t="s">
        <v>5883</v>
      </c>
      <c r="D1981" s="12">
        <v>46313</v>
      </c>
      <c r="E1981" s="11">
        <v>96</v>
      </c>
      <c r="F1981" s="11" t="s">
        <v>6940</v>
      </c>
      <c r="G1981">
        <v>20201001</v>
      </c>
      <c r="I1981" s="11" t="s">
        <v>63</v>
      </c>
      <c r="J1981" s="72">
        <v>90382844</v>
      </c>
      <c r="K1981" s="99">
        <f>_xlfn.XLOOKUP(_2__ROI_Daily_Update[[#This Row],[CSM id]],SHP!F:F,SHP!EE:EE,"-")</f>
        <v>0</v>
      </c>
      <c r="L1981" s="12"/>
      <c r="N1981" s="11"/>
      <c r="P1981"/>
      <c r="Q1981"/>
      <c r="W1981" s="28"/>
      <c r="AA1981"/>
    </row>
    <row r="1982" spans="1:27" x14ac:dyDescent="0.45">
      <c r="A1982" s="57">
        <v>1634</v>
      </c>
      <c r="B1982" t="s">
        <v>3028</v>
      </c>
      <c r="C1982" t="s">
        <v>3029</v>
      </c>
      <c r="D1982" s="12">
        <v>46313</v>
      </c>
      <c r="E1982" s="11">
        <v>32</v>
      </c>
      <c r="F1982" s="11" t="s">
        <v>7410</v>
      </c>
      <c r="G1982">
        <v>20251001</v>
      </c>
      <c r="I1982" s="11" t="s">
        <v>63</v>
      </c>
      <c r="J1982" s="72">
        <v>606259</v>
      </c>
      <c r="K1982" s="99">
        <f>_xlfn.XLOOKUP(_2__ROI_Daily_Update[[#This Row],[CSM id]],SHP!F:F,SHP!EE:EE,"-")</f>
        <v>0</v>
      </c>
      <c r="L1982" s="12"/>
      <c r="N1982" s="11"/>
      <c r="P1982"/>
      <c r="Q1982"/>
      <c r="W1982" s="28"/>
      <c r="AA1982"/>
    </row>
    <row r="1983" spans="1:27" x14ac:dyDescent="0.45">
      <c r="A1983" s="57">
        <v>1633</v>
      </c>
      <c r="B1983" t="s">
        <v>2966</v>
      </c>
      <c r="C1983" t="s">
        <v>2967</v>
      </c>
      <c r="D1983" s="12">
        <v>46313</v>
      </c>
      <c r="E1983" s="11">
        <v>32</v>
      </c>
      <c r="F1983" s="11" t="s">
        <v>7435</v>
      </c>
      <c r="G1983">
        <v>20260101</v>
      </c>
      <c r="I1983" s="11" t="s">
        <v>63</v>
      </c>
      <c r="J1983" s="72">
        <v>611048</v>
      </c>
      <c r="K1983" s="99">
        <f>_xlfn.XLOOKUP(_2__ROI_Daily_Update[[#This Row],[CSM id]],SHP!F:F,SHP!EE:EE,"-")</f>
        <v>0</v>
      </c>
      <c r="L1983" s="12"/>
      <c r="N1983" s="11"/>
      <c r="P1983"/>
      <c r="Q1983"/>
      <c r="W1983" s="28"/>
      <c r="AA1983"/>
    </row>
    <row r="1984" spans="1:27" x14ac:dyDescent="0.45">
      <c r="A1984" s="57">
        <v>1633</v>
      </c>
      <c r="B1984" t="s">
        <v>5947</v>
      </c>
      <c r="C1984" t="s">
        <v>5948</v>
      </c>
      <c r="D1984" s="12">
        <v>46313</v>
      </c>
      <c r="E1984" s="11">
        <v>30</v>
      </c>
      <c r="F1984" s="11" t="s">
        <v>6946</v>
      </c>
      <c r="G1984">
        <v>20250201</v>
      </c>
      <c r="I1984" s="11" t="s">
        <v>63</v>
      </c>
      <c r="J1984" s="72">
        <v>583719</v>
      </c>
      <c r="K1984" s="99">
        <f>_xlfn.XLOOKUP(_2__ROI_Daily_Update[[#This Row],[CSM id]],SHP!F:F,SHP!EE:EE,"-")</f>
        <v>0</v>
      </c>
      <c r="L1984" s="12"/>
      <c r="N1984" s="11"/>
      <c r="P1984"/>
      <c r="Q1984"/>
      <c r="W1984" s="28"/>
      <c r="AA1984"/>
    </row>
    <row r="1985" spans="1:27" x14ac:dyDescent="0.45">
      <c r="A1985" s="57">
        <v>1624</v>
      </c>
      <c r="B1985" t="s">
        <v>2928</v>
      </c>
      <c r="C1985" t="s">
        <v>2929</v>
      </c>
      <c r="D1985" s="12">
        <v>46313</v>
      </c>
      <c r="E1985" s="11">
        <v>28</v>
      </c>
      <c r="F1985" s="11" t="s">
        <v>7453</v>
      </c>
      <c r="G1985">
        <v>20230101</v>
      </c>
      <c r="I1985" s="11" t="s">
        <v>63</v>
      </c>
      <c r="J1985" s="72">
        <v>70537168</v>
      </c>
      <c r="K1985" s="99">
        <f>_xlfn.XLOOKUP(_2__ROI_Daily_Update[[#This Row],[CSM id]],SHP!F:F,SHP!EE:EE,"-")</f>
        <v>0</v>
      </c>
      <c r="L1985" s="12"/>
      <c r="N1985" s="11"/>
      <c r="P1985"/>
      <c r="Q1985"/>
      <c r="W1985" s="28"/>
      <c r="AA1985"/>
    </row>
    <row r="1986" spans="1:27" x14ac:dyDescent="0.45">
      <c r="A1986" s="57">
        <v>215</v>
      </c>
      <c r="B1986" t="s">
        <v>285</v>
      </c>
      <c r="C1986" t="s">
        <v>286</v>
      </c>
      <c r="D1986" s="12">
        <v>46313</v>
      </c>
      <c r="E1986" s="11">
        <v>44</v>
      </c>
      <c r="F1986" s="11" t="s">
        <v>7499</v>
      </c>
      <c r="G1986">
        <v>20210701</v>
      </c>
      <c r="I1986" s="11" t="s">
        <v>18</v>
      </c>
      <c r="J1986" s="72">
        <v>60483873</v>
      </c>
      <c r="K1986" s="99">
        <f>_xlfn.XLOOKUP(_2__ROI_Daily_Update[[#This Row],[CSM id]],SHP!F:F,SHP!EE:EE,"-")</f>
        <v>0</v>
      </c>
      <c r="L1986" s="12"/>
      <c r="N1986" s="11"/>
      <c r="P1986"/>
      <c r="Q1986"/>
      <c r="W1986" s="28"/>
      <c r="AA1986"/>
    </row>
    <row r="1987" spans="1:27" x14ac:dyDescent="0.45">
      <c r="A1987" s="57">
        <v>1624</v>
      </c>
      <c r="B1987" t="s">
        <v>2926</v>
      </c>
      <c r="C1987" t="s">
        <v>2927</v>
      </c>
      <c r="D1987" s="12">
        <v>46313</v>
      </c>
      <c r="E1987" s="11">
        <v>16</v>
      </c>
      <c r="F1987" s="11" t="s">
        <v>7480</v>
      </c>
      <c r="G1987">
        <v>20160201</v>
      </c>
      <c r="I1987" s="11" t="s">
        <v>63</v>
      </c>
      <c r="J1987" s="72">
        <v>60294962</v>
      </c>
      <c r="K1987" s="99">
        <f>_xlfn.XLOOKUP(_2__ROI_Daily_Update[[#This Row],[CSM id]],SHP!F:F,SHP!EE:EE,"-")</f>
        <v>0</v>
      </c>
      <c r="L1987" s="12"/>
      <c r="N1987" s="11"/>
      <c r="P1987"/>
      <c r="Q1987"/>
      <c r="W1987" s="28"/>
      <c r="AA1987"/>
    </row>
    <row r="1988" spans="1:27" x14ac:dyDescent="0.45">
      <c r="A1988" s="57">
        <v>1642</v>
      </c>
      <c r="B1988" t="s">
        <v>6527</v>
      </c>
      <c r="C1988" t="s">
        <v>6528</v>
      </c>
      <c r="D1988" s="12">
        <v>46313</v>
      </c>
      <c r="E1988" s="11">
        <v>8</v>
      </c>
      <c r="F1988" s="11" t="s">
        <v>7475</v>
      </c>
      <c r="G1988">
        <v>20260701</v>
      </c>
      <c r="I1988" s="11" t="s">
        <v>63</v>
      </c>
      <c r="J1988" s="72">
        <v>30623865</v>
      </c>
      <c r="K1988" s="99">
        <f>_xlfn.XLOOKUP(_2__ROI_Daily_Update[[#This Row],[CSM id]],SHP!F:F,SHP!EE:EE,"-")</f>
        <v>0</v>
      </c>
      <c r="L1988" s="12"/>
      <c r="N1988" s="11"/>
      <c r="P1988"/>
      <c r="Q1988"/>
      <c r="W1988" s="28"/>
      <c r="AA1988"/>
    </row>
    <row r="1989" spans="1:27" x14ac:dyDescent="0.45">
      <c r="A1989" s="57">
        <v>1624</v>
      </c>
      <c r="B1989" t="s">
        <v>2926</v>
      </c>
      <c r="C1989" t="s">
        <v>2927</v>
      </c>
      <c r="D1989" s="12">
        <v>46313</v>
      </c>
      <c r="E1989" s="11">
        <v>8</v>
      </c>
      <c r="F1989" s="11" t="s">
        <v>7420</v>
      </c>
      <c r="G1989">
        <v>20160201</v>
      </c>
      <c r="I1989" s="11" t="s">
        <v>63</v>
      </c>
      <c r="J1989" s="72">
        <v>60294962</v>
      </c>
      <c r="K1989" s="99">
        <f>_xlfn.XLOOKUP(_2__ROI_Daily_Update[[#This Row],[CSM id]],SHP!F:F,SHP!EE:EE,"-")</f>
        <v>0</v>
      </c>
      <c r="L1989" s="12"/>
      <c r="N1989" s="11"/>
      <c r="P1989"/>
      <c r="Q1989"/>
      <c r="W1989" s="28"/>
      <c r="AA1989"/>
    </row>
    <row r="1990" spans="1:27" x14ac:dyDescent="0.45">
      <c r="A1990" s="57">
        <v>1624</v>
      </c>
      <c r="B1990" t="s">
        <v>5452</v>
      </c>
      <c r="C1990" t="s">
        <v>5453</v>
      </c>
      <c r="D1990" s="12">
        <v>46313</v>
      </c>
      <c r="E1990" s="11">
        <v>24</v>
      </c>
      <c r="F1990" s="11" t="s">
        <v>7410</v>
      </c>
      <c r="G1990">
        <v>20260701</v>
      </c>
      <c r="I1990" s="11" t="s">
        <v>63</v>
      </c>
      <c r="J1990" s="72">
        <v>20624356</v>
      </c>
      <c r="K1990" s="99">
        <f>_xlfn.XLOOKUP(_2__ROI_Daily_Update[[#This Row],[CSM id]],SHP!F:F,SHP!EE:EE,"-")</f>
        <v>0</v>
      </c>
      <c r="L1990" s="12"/>
      <c r="N1990" s="11"/>
      <c r="P1990"/>
      <c r="Q1990"/>
      <c r="W1990" s="28"/>
      <c r="AA1990"/>
    </row>
    <row r="1991" spans="1:27" x14ac:dyDescent="0.45">
      <c r="A1991" s="57">
        <v>1624</v>
      </c>
      <c r="B1991" t="s">
        <v>2924</v>
      </c>
      <c r="C1991" t="s">
        <v>2925</v>
      </c>
      <c r="D1991" s="12">
        <v>46313</v>
      </c>
      <c r="E1991" s="11">
        <v>18</v>
      </c>
      <c r="F1991" s="11" t="s">
        <v>7453</v>
      </c>
      <c r="G1991">
        <v>20261001</v>
      </c>
      <c r="I1991" s="11" t="s">
        <v>63</v>
      </c>
      <c r="J1991" s="72">
        <v>624357</v>
      </c>
      <c r="K1991" s="99">
        <f>_xlfn.XLOOKUP(_2__ROI_Daily_Update[[#This Row],[CSM id]],SHP!F:F,SHP!EE:EE,"-")</f>
        <v>0</v>
      </c>
      <c r="L1991" s="12"/>
      <c r="N1991" s="11"/>
      <c r="P1991"/>
      <c r="Q1991"/>
      <c r="W1991" s="28"/>
      <c r="AA1991"/>
    </row>
    <row r="1992" spans="1:27" x14ac:dyDescent="0.45">
      <c r="A1992" s="57">
        <v>1624</v>
      </c>
      <c r="B1992" t="s">
        <v>6005</v>
      </c>
      <c r="C1992" t="s">
        <v>6006</v>
      </c>
      <c r="D1992" s="12">
        <v>46313</v>
      </c>
      <c r="E1992" s="11">
        <v>12</v>
      </c>
      <c r="F1992" s="11" t="s">
        <v>7480</v>
      </c>
      <c r="G1992">
        <v>20260701</v>
      </c>
      <c r="I1992" s="11" t="s">
        <v>63</v>
      </c>
      <c r="J1992" s="72">
        <v>624036</v>
      </c>
      <c r="K1992" s="99">
        <f>_xlfn.XLOOKUP(_2__ROI_Daily_Update[[#This Row],[CSM id]],SHP!F:F,SHP!EE:EE,"-")</f>
        <v>0</v>
      </c>
      <c r="L1992" s="12"/>
      <c r="N1992" s="11"/>
      <c r="P1992"/>
      <c r="Q1992"/>
      <c r="W1992" s="28"/>
      <c r="AA1992"/>
    </row>
    <row r="1993" spans="1:27" x14ac:dyDescent="0.45">
      <c r="A1993" s="57">
        <v>1624</v>
      </c>
      <c r="B1993" t="s">
        <v>6005</v>
      </c>
      <c r="C1993" t="s">
        <v>6006</v>
      </c>
      <c r="D1993" s="12">
        <v>46313</v>
      </c>
      <c r="E1993" s="11">
        <v>6</v>
      </c>
      <c r="F1993" s="11" t="s">
        <v>7453</v>
      </c>
      <c r="G1993">
        <v>20260701</v>
      </c>
      <c r="I1993" s="11" t="s">
        <v>63</v>
      </c>
      <c r="J1993" s="72">
        <v>624036</v>
      </c>
      <c r="K1993" s="99">
        <f>_xlfn.XLOOKUP(_2__ROI_Daily_Update[[#This Row],[CSM id]],SHP!F:F,SHP!EE:EE,"-")</f>
        <v>0</v>
      </c>
      <c r="L1993" s="12"/>
      <c r="N1993" s="11"/>
      <c r="P1993"/>
      <c r="Q1993"/>
      <c r="W1993" s="28"/>
      <c r="AA1993"/>
    </row>
    <row r="1994" spans="1:27" x14ac:dyDescent="0.45">
      <c r="A1994" s="57">
        <v>1624</v>
      </c>
      <c r="B1994" t="s">
        <v>6005</v>
      </c>
      <c r="C1994" t="s">
        <v>6006</v>
      </c>
      <c r="D1994" s="12">
        <v>46313</v>
      </c>
      <c r="E1994" s="11">
        <v>6</v>
      </c>
      <c r="F1994" s="11" t="s">
        <v>6946</v>
      </c>
      <c r="G1994">
        <v>20260701</v>
      </c>
      <c r="I1994" s="11" t="s">
        <v>63</v>
      </c>
      <c r="J1994" s="72">
        <v>624036</v>
      </c>
      <c r="K1994" s="99">
        <f>_xlfn.XLOOKUP(_2__ROI_Daily_Update[[#This Row],[CSM id]],SHP!F:F,SHP!EE:EE,"-")</f>
        <v>0</v>
      </c>
      <c r="L1994" s="12"/>
      <c r="N1994" s="11"/>
      <c r="P1994"/>
      <c r="Q1994"/>
      <c r="W1994" s="28"/>
      <c r="AA1994"/>
    </row>
    <row r="1995" spans="1:27" x14ac:dyDescent="0.45">
      <c r="A1995" s="57">
        <v>1623</v>
      </c>
      <c r="B1995" t="s">
        <v>2922</v>
      </c>
      <c r="C1995" t="s">
        <v>2923</v>
      </c>
      <c r="D1995" s="12">
        <v>46313</v>
      </c>
      <c r="E1995" s="11">
        <v>60</v>
      </c>
      <c r="F1995" s="11" t="s">
        <v>7410</v>
      </c>
      <c r="G1995">
        <v>20260701</v>
      </c>
      <c r="I1995" s="11" t="s">
        <v>63</v>
      </c>
      <c r="J1995" s="72">
        <v>90630066</v>
      </c>
      <c r="K1995" s="99">
        <f>_xlfn.XLOOKUP(_2__ROI_Daily_Update[[#This Row],[CSM id]],SHP!F:F,SHP!EE:EE,"-")</f>
        <v>0</v>
      </c>
      <c r="L1995" s="12"/>
      <c r="N1995" s="11"/>
      <c r="P1995"/>
      <c r="Q1995"/>
      <c r="W1995" s="28"/>
      <c r="AA1995"/>
    </row>
    <row r="1996" spans="1:27" x14ac:dyDescent="0.45">
      <c r="A1996" s="57">
        <v>1623</v>
      </c>
      <c r="B1996" t="s">
        <v>7093</v>
      </c>
      <c r="C1996" t="s">
        <v>7094</v>
      </c>
      <c r="D1996" s="12">
        <v>46313</v>
      </c>
      <c r="E1996" s="11">
        <v>12</v>
      </c>
      <c r="F1996" s="11" t="s">
        <v>7480</v>
      </c>
      <c r="G1996">
        <v>20260401</v>
      </c>
      <c r="I1996" s="11" t="s">
        <v>63</v>
      </c>
      <c r="J1996" s="72">
        <v>90615235</v>
      </c>
      <c r="K1996" s="99">
        <f>_xlfn.XLOOKUP(_2__ROI_Daily_Update[[#This Row],[CSM id]],SHP!F:F,SHP!EE:EE,"-")</f>
        <v>0</v>
      </c>
      <c r="L1996" s="12"/>
      <c r="N1996" s="11"/>
      <c r="P1996"/>
      <c r="Q1996"/>
      <c r="W1996" s="28"/>
      <c r="AA1996"/>
    </row>
    <row r="1997" spans="1:27" x14ac:dyDescent="0.45">
      <c r="A1997" s="57">
        <v>215</v>
      </c>
      <c r="B1997" t="s">
        <v>263</v>
      </c>
      <c r="C1997" t="s">
        <v>264</v>
      </c>
      <c r="D1997" s="12">
        <v>46313</v>
      </c>
      <c r="E1997" s="11">
        <v>36</v>
      </c>
      <c r="F1997" s="11" t="s">
        <v>7400</v>
      </c>
      <c r="G1997">
        <v>20260701</v>
      </c>
      <c r="H1997" s="12">
        <v>46569</v>
      </c>
      <c r="I1997" s="11" t="s">
        <v>63</v>
      </c>
      <c r="J1997" s="72">
        <v>10621481</v>
      </c>
      <c r="K1997" s="99">
        <f>_xlfn.XLOOKUP(_2__ROI_Daily_Update[[#This Row],[CSM id]],SHP!F:F,SHP!EE:EE,"-")</f>
        <v>0</v>
      </c>
      <c r="L1997" s="12"/>
      <c r="N1997" s="11"/>
      <c r="P1997"/>
      <c r="Q1997"/>
      <c r="W1997" s="28"/>
      <c r="AA1997"/>
    </row>
    <row r="1998" spans="1:27" x14ac:dyDescent="0.45">
      <c r="A1998" s="57">
        <v>1623</v>
      </c>
      <c r="B1998" t="s">
        <v>6461</v>
      </c>
      <c r="C1998" t="s">
        <v>6462</v>
      </c>
      <c r="D1998" s="12">
        <v>46313</v>
      </c>
      <c r="E1998" s="11">
        <v>24</v>
      </c>
      <c r="F1998" s="11" t="s">
        <v>7453</v>
      </c>
      <c r="G1998">
        <v>20261001</v>
      </c>
      <c r="H1998" s="12">
        <v>46388</v>
      </c>
      <c r="I1998" s="11" t="s">
        <v>63</v>
      </c>
      <c r="J1998" s="72">
        <v>70636385</v>
      </c>
      <c r="K1998" s="99">
        <f>_xlfn.XLOOKUP(_2__ROI_Daily_Update[[#This Row],[CSM id]],SHP!F:F,SHP!EE:EE,"-")</f>
        <v>0</v>
      </c>
      <c r="L1998" s="12"/>
      <c r="N1998" s="11"/>
      <c r="P1998"/>
      <c r="Q1998"/>
      <c r="W1998" s="28"/>
      <c r="AA1998"/>
    </row>
    <row r="1999" spans="1:27" x14ac:dyDescent="0.45">
      <c r="A1999" s="57">
        <v>1623</v>
      </c>
      <c r="B1999" t="s">
        <v>6833</v>
      </c>
      <c r="C1999" t="s">
        <v>6834</v>
      </c>
      <c r="D1999" s="12">
        <v>46313</v>
      </c>
      <c r="E1999" s="11">
        <v>35</v>
      </c>
      <c r="F1999" s="11" t="s">
        <v>7463</v>
      </c>
      <c r="G1999">
        <v>20260701</v>
      </c>
      <c r="I1999" s="11" t="s">
        <v>63</v>
      </c>
      <c r="J1999" s="72">
        <v>70630048</v>
      </c>
      <c r="K1999" s="99">
        <f>_xlfn.XLOOKUP(_2__ROI_Daily_Update[[#This Row],[CSM id]],SHP!F:F,SHP!EE:EE,"-")</f>
        <v>0</v>
      </c>
      <c r="L1999" s="12"/>
      <c r="N1999" s="11"/>
      <c r="P1999"/>
      <c r="Q1999"/>
      <c r="W1999" s="28"/>
      <c r="AA1999"/>
    </row>
    <row r="2000" spans="1:27" x14ac:dyDescent="0.45">
      <c r="A2000" s="57">
        <v>1623</v>
      </c>
      <c r="B2000" t="s">
        <v>2920</v>
      </c>
      <c r="C2000" t="s">
        <v>2921</v>
      </c>
      <c r="D2000" s="12">
        <v>46313</v>
      </c>
      <c r="E2000" s="11">
        <v>192</v>
      </c>
      <c r="F2000" s="11" t="s">
        <v>7430</v>
      </c>
      <c r="G2000">
        <v>20260101</v>
      </c>
      <c r="I2000" s="11" t="s">
        <v>63</v>
      </c>
      <c r="J2000" s="72">
        <v>70610743</v>
      </c>
      <c r="K2000" s="99">
        <f>_xlfn.XLOOKUP(_2__ROI_Daily_Update[[#This Row],[CSM id]],SHP!F:F,SHP!EE:EE,"-")</f>
        <v>0</v>
      </c>
      <c r="L2000" s="12"/>
      <c r="N2000" s="11"/>
      <c r="P2000"/>
      <c r="Q2000"/>
      <c r="W2000" s="28"/>
      <c r="AA2000"/>
    </row>
    <row r="2001" spans="1:27" x14ac:dyDescent="0.45">
      <c r="A2001" s="57">
        <v>1623</v>
      </c>
      <c r="B2001" t="s">
        <v>6155</v>
      </c>
      <c r="C2001" t="s">
        <v>6156</v>
      </c>
      <c r="D2001" s="12">
        <v>46313</v>
      </c>
      <c r="E2001" s="11">
        <v>12</v>
      </c>
      <c r="F2001" s="11" t="s">
        <v>7440</v>
      </c>
      <c r="G2001">
        <v>20261001</v>
      </c>
      <c r="H2001" s="12">
        <v>46388</v>
      </c>
      <c r="I2001" s="11" t="s">
        <v>63</v>
      </c>
      <c r="J2001" s="72">
        <v>60636381</v>
      </c>
      <c r="K2001" s="99">
        <f>_xlfn.XLOOKUP(_2__ROI_Daily_Update[[#This Row],[CSM id]],SHP!F:F,SHP!EE:EE,"-")</f>
        <v>0</v>
      </c>
      <c r="L2001" s="12"/>
      <c r="N2001" s="11"/>
      <c r="P2001"/>
      <c r="Q2001"/>
      <c r="W2001" s="28"/>
      <c r="AA2001"/>
    </row>
    <row r="2002" spans="1:27" x14ac:dyDescent="0.45">
      <c r="A2002" s="57">
        <v>1623</v>
      </c>
      <c r="B2002" t="s">
        <v>5945</v>
      </c>
      <c r="C2002" t="s">
        <v>5946</v>
      </c>
      <c r="D2002" s="12">
        <v>46313</v>
      </c>
      <c r="E2002" s="11">
        <v>14</v>
      </c>
      <c r="F2002" s="11" t="s">
        <v>6946</v>
      </c>
      <c r="G2002">
        <v>20260401</v>
      </c>
      <c r="I2002" s="11" t="s">
        <v>63</v>
      </c>
      <c r="J2002" s="72">
        <v>615230</v>
      </c>
      <c r="K2002" s="99">
        <f>_xlfn.XLOOKUP(_2__ROI_Daily_Update[[#This Row],[CSM id]],SHP!F:F,SHP!EE:EE,"-")</f>
        <v>0</v>
      </c>
      <c r="L2002" s="12"/>
      <c r="N2002" s="11"/>
      <c r="P2002"/>
      <c r="Q2002"/>
      <c r="W2002" s="28"/>
      <c r="AA2002"/>
    </row>
    <row r="2003" spans="1:27" x14ac:dyDescent="0.45">
      <c r="A2003" s="57">
        <v>1623</v>
      </c>
      <c r="B2003" t="s">
        <v>6519</v>
      </c>
      <c r="C2003" t="s">
        <v>6520</v>
      </c>
      <c r="D2003" s="12">
        <v>46313</v>
      </c>
      <c r="E2003" s="11">
        <v>6</v>
      </c>
      <c r="F2003" s="11" t="s">
        <v>7453</v>
      </c>
      <c r="G2003">
        <v>20260401</v>
      </c>
      <c r="I2003" s="11" t="s">
        <v>63</v>
      </c>
      <c r="J2003" s="72">
        <v>615273</v>
      </c>
      <c r="K2003" s="99">
        <f>_xlfn.XLOOKUP(_2__ROI_Daily_Update[[#This Row],[CSM id]],SHP!F:F,SHP!EE:EE,"-")</f>
        <v>0</v>
      </c>
      <c r="L2003" s="12"/>
      <c r="N2003" s="11"/>
      <c r="P2003"/>
      <c r="Q2003"/>
      <c r="W2003" s="28"/>
      <c r="AA2003"/>
    </row>
    <row r="2004" spans="1:27" x14ac:dyDescent="0.45">
      <c r="A2004" s="57">
        <v>1623</v>
      </c>
      <c r="B2004" t="s">
        <v>6287</v>
      </c>
      <c r="C2004" t="s">
        <v>6288</v>
      </c>
      <c r="D2004" s="12">
        <v>46313</v>
      </c>
      <c r="E2004" s="11">
        <v>16</v>
      </c>
      <c r="F2004" s="11" t="s">
        <v>7453</v>
      </c>
      <c r="G2004">
        <v>20250701</v>
      </c>
      <c r="H2004" s="12">
        <v>46569</v>
      </c>
      <c r="I2004" s="11" t="s">
        <v>63</v>
      </c>
      <c r="J2004" s="72">
        <v>10600884</v>
      </c>
      <c r="K2004" s="99">
        <f>_xlfn.XLOOKUP(_2__ROI_Daily_Update[[#This Row],[CSM id]],SHP!F:F,SHP!EE:EE,"-")</f>
        <v>0</v>
      </c>
      <c r="L2004" s="12"/>
      <c r="N2004" s="11"/>
      <c r="P2004"/>
      <c r="Q2004"/>
      <c r="W2004" s="28"/>
      <c r="AA2004"/>
    </row>
    <row r="2005" spans="1:27" x14ac:dyDescent="0.45">
      <c r="A2005" s="57">
        <v>1623</v>
      </c>
      <c r="B2005" t="s">
        <v>2913</v>
      </c>
      <c r="C2005" t="s">
        <v>6798</v>
      </c>
      <c r="D2005" s="12">
        <v>46313</v>
      </c>
      <c r="E2005" s="11">
        <v>44</v>
      </c>
      <c r="F2005" s="11" t="s">
        <v>7453</v>
      </c>
      <c r="G2005">
        <v>20260701</v>
      </c>
      <c r="I2005" s="11" t="s">
        <v>63</v>
      </c>
      <c r="J2005" s="72">
        <v>10630065</v>
      </c>
      <c r="K2005" s="99">
        <f>_xlfn.XLOOKUP(_2__ROI_Daily_Update[[#This Row],[CSM id]],SHP!F:F,SHP!EE:EE,"-")</f>
        <v>0</v>
      </c>
      <c r="L2005" s="12"/>
      <c r="N2005" s="11"/>
      <c r="P2005"/>
      <c r="Q2005"/>
      <c r="W2005" s="28"/>
      <c r="AA2005"/>
    </row>
    <row r="2006" spans="1:27" x14ac:dyDescent="0.45">
      <c r="A2006" s="57">
        <v>1623</v>
      </c>
      <c r="B2006" t="s">
        <v>6319</v>
      </c>
      <c r="C2006" t="s">
        <v>6320</v>
      </c>
      <c r="D2006" s="12">
        <v>46313</v>
      </c>
      <c r="E2006" s="11">
        <v>18</v>
      </c>
      <c r="F2006" s="11" t="s">
        <v>7453</v>
      </c>
      <c r="G2006">
        <v>20250701</v>
      </c>
      <c r="I2006" s="11" t="s">
        <v>63</v>
      </c>
      <c r="J2006" s="72">
        <v>20600888</v>
      </c>
      <c r="K2006" s="99">
        <f>_xlfn.XLOOKUP(_2__ROI_Daily_Update[[#This Row],[CSM id]],SHP!F:F,SHP!EE:EE,"-")</f>
        <v>0</v>
      </c>
      <c r="L2006" s="12"/>
      <c r="N2006" s="11"/>
      <c r="P2006"/>
      <c r="Q2006"/>
      <c r="W2006" s="28"/>
      <c r="AA2006"/>
    </row>
    <row r="2007" spans="1:27" x14ac:dyDescent="0.45">
      <c r="A2007" s="57">
        <v>215</v>
      </c>
      <c r="B2007" t="s">
        <v>287</v>
      </c>
      <c r="C2007" t="s">
        <v>288</v>
      </c>
      <c r="D2007" s="12">
        <v>46313</v>
      </c>
      <c r="E2007" s="11">
        <v>18</v>
      </c>
      <c r="F2007" s="11" t="s">
        <v>7485</v>
      </c>
      <c r="G2007">
        <v>20211001</v>
      </c>
      <c r="I2007" s="11" t="s">
        <v>18</v>
      </c>
      <c r="J2007" s="72">
        <v>60487814</v>
      </c>
      <c r="K2007" s="99">
        <f>_xlfn.XLOOKUP(_2__ROI_Daily_Update[[#This Row],[CSM id]],SHP!F:F,SHP!EE:EE,"-")</f>
        <v>0</v>
      </c>
      <c r="L2007" s="12"/>
      <c r="N2007" s="11"/>
      <c r="P2007"/>
      <c r="Q2007"/>
      <c r="W2007" s="28"/>
      <c r="AA2007"/>
    </row>
    <row r="2008" spans="1:27" x14ac:dyDescent="0.45">
      <c r="A2008" s="57">
        <v>215</v>
      </c>
      <c r="B2008" t="s">
        <v>285</v>
      </c>
      <c r="C2008" t="s">
        <v>286</v>
      </c>
      <c r="D2008" s="12">
        <v>46313</v>
      </c>
      <c r="E2008" s="11">
        <v>44</v>
      </c>
      <c r="F2008" s="11" t="s">
        <v>7485</v>
      </c>
      <c r="G2008">
        <v>20210701</v>
      </c>
      <c r="I2008" s="11" t="s">
        <v>18</v>
      </c>
      <c r="J2008" s="72">
        <v>60483873</v>
      </c>
      <c r="K2008" s="99">
        <f>_xlfn.XLOOKUP(_2__ROI_Daily_Update[[#This Row],[CSM id]],SHP!F:F,SHP!EE:EE,"-")</f>
        <v>0</v>
      </c>
      <c r="L2008" s="12"/>
      <c r="N2008" s="11"/>
      <c r="P2008"/>
      <c r="Q2008"/>
      <c r="W2008" s="28"/>
      <c r="AA2008"/>
    </row>
    <row r="2009" spans="1:27" x14ac:dyDescent="0.45">
      <c r="A2009" s="57">
        <v>1623</v>
      </c>
      <c r="B2009" t="s">
        <v>2914</v>
      </c>
      <c r="C2009" t="s">
        <v>2915</v>
      </c>
      <c r="D2009" s="12">
        <v>46313</v>
      </c>
      <c r="E2009" s="11">
        <v>8</v>
      </c>
      <c r="F2009" s="11" t="s">
        <v>7410</v>
      </c>
      <c r="G2009">
        <v>20260101</v>
      </c>
      <c r="I2009" s="11" t="s">
        <v>63</v>
      </c>
      <c r="J2009" s="72">
        <v>20610608</v>
      </c>
      <c r="K2009" s="99">
        <f>_xlfn.XLOOKUP(_2__ROI_Daily_Update[[#This Row],[CSM id]],SHP!F:F,SHP!EE:EE,"-")</f>
        <v>0</v>
      </c>
      <c r="L2009" s="12"/>
      <c r="N2009" s="11"/>
      <c r="P2009"/>
      <c r="Q2009"/>
      <c r="W2009" s="28"/>
      <c r="AA2009"/>
    </row>
    <row r="2010" spans="1:27" x14ac:dyDescent="0.45">
      <c r="A2010" s="57">
        <v>1623</v>
      </c>
      <c r="B2010" t="s">
        <v>6463</v>
      </c>
      <c r="C2010" t="s">
        <v>6464</v>
      </c>
      <c r="D2010" s="12">
        <v>46313</v>
      </c>
      <c r="E2010" s="11">
        <v>25</v>
      </c>
      <c r="F2010" s="11" t="s">
        <v>7453</v>
      </c>
      <c r="G2010">
        <v>20261001</v>
      </c>
      <c r="H2010" s="12">
        <v>46388</v>
      </c>
      <c r="I2010" s="11" t="s">
        <v>63</v>
      </c>
      <c r="J2010" s="72">
        <v>20636378</v>
      </c>
      <c r="K2010" s="99">
        <f>_xlfn.XLOOKUP(_2__ROI_Daily_Update[[#This Row],[CSM id]],SHP!F:F,SHP!EE:EE,"-")</f>
        <v>0</v>
      </c>
      <c r="L2010" s="12"/>
      <c r="N2010" s="11"/>
      <c r="P2010"/>
      <c r="Q2010"/>
      <c r="W2010" s="28"/>
      <c r="AA2010"/>
    </row>
    <row r="2011" spans="1:27" x14ac:dyDescent="0.45">
      <c r="A2011" s="57">
        <v>1623</v>
      </c>
      <c r="B2011" t="s">
        <v>5356</v>
      </c>
      <c r="C2011" t="s">
        <v>5357</v>
      </c>
      <c r="D2011" s="12">
        <v>46313</v>
      </c>
      <c r="E2011" s="11">
        <v>14</v>
      </c>
      <c r="F2011" s="11" t="s">
        <v>7420</v>
      </c>
      <c r="G2011">
        <v>20260801</v>
      </c>
      <c r="H2011" s="12">
        <v>46388</v>
      </c>
      <c r="I2011" s="11" t="s">
        <v>63</v>
      </c>
      <c r="J2011" s="72">
        <v>30631219</v>
      </c>
      <c r="K2011" s="99">
        <f>_xlfn.XLOOKUP(_2__ROI_Daily_Update[[#This Row],[CSM id]],SHP!F:F,SHP!EE:EE,"-")</f>
        <v>0</v>
      </c>
      <c r="L2011" s="12"/>
      <c r="N2011" s="11"/>
      <c r="P2011"/>
      <c r="Q2011"/>
      <c r="W2011" s="28"/>
      <c r="AA2011"/>
    </row>
    <row r="2012" spans="1:27" x14ac:dyDescent="0.45">
      <c r="A2012" s="57">
        <v>1623</v>
      </c>
      <c r="B2012" t="s">
        <v>6570</v>
      </c>
      <c r="C2012" t="s">
        <v>6571</v>
      </c>
      <c r="D2012" s="12">
        <v>46313</v>
      </c>
      <c r="E2012" s="11">
        <v>16</v>
      </c>
      <c r="F2012" s="11" t="s">
        <v>7463</v>
      </c>
      <c r="G2012">
        <v>20260401</v>
      </c>
      <c r="I2012" s="11" t="s">
        <v>63</v>
      </c>
      <c r="J2012" s="72">
        <v>50615336</v>
      </c>
      <c r="K2012" s="99">
        <f>_xlfn.XLOOKUP(_2__ROI_Daily_Update[[#This Row],[CSM id]],SHP!F:F,SHP!EE:EE,"-")</f>
        <v>0</v>
      </c>
      <c r="L2012" s="12"/>
      <c r="N2012" s="11"/>
      <c r="P2012"/>
      <c r="Q2012"/>
      <c r="W2012" s="28"/>
      <c r="AA2012"/>
    </row>
    <row r="2013" spans="1:27" x14ac:dyDescent="0.45">
      <c r="A2013" s="57">
        <v>1623</v>
      </c>
      <c r="B2013" t="s">
        <v>5176</v>
      </c>
      <c r="C2013" t="s">
        <v>5177</v>
      </c>
      <c r="D2013" s="12">
        <v>46313</v>
      </c>
      <c r="E2013" s="11">
        <v>12</v>
      </c>
      <c r="F2013" s="11" t="s">
        <v>7420</v>
      </c>
      <c r="G2013">
        <v>20260401</v>
      </c>
      <c r="I2013" s="11" t="s">
        <v>63</v>
      </c>
      <c r="J2013" s="72">
        <v>60615227</v>
      </c>
      <c r="K2013" s="99">
        <f>_xlfn.XLOOKUP(_2__ROI_Daily_Update[[#This Row],[CSM id]],SHP!F:F,SHP!EE:EE,"-")</f>
        <v>0</v>
      </c>
      <c r="L2013" s="12"/>
      <c r="N2013" s="11"/>
      <c r="P2013"/>
      <c r="Q2013"/>
      <c r="W2013" s="28"/>
      <c r="AA2013"/>
    </row>
    <row r="2014" spans="1:27" x14ac:dyDescent="0.45">
      <c r="A2014" s="57">
        <v>1623</v>
      </c>
      <c r="B2014" t="s">
        <v>5176</v>
      </c>
      <c r="C2014" t="s">
        <v>5177</v>
      </c>
      <c r="D2014" s="12">
        <v>46313</v>
      </c>
      <c r="E2014" s="11">
        <v>24</v>
      </c>
      <c r="F2014" s="11" t="s">
        <v>7480</v>
      </c>
      <c r="G2014">
        <v>20260401</v>
      </c>
      <c r="I2014" s="11" t="s">
        <v>63</v>
      </c>
      <c r="J2014" s="72">
        <v>60615227</v>
      </c>
      <c r="K2014" s="99">
        <f>_xlfn.XLOOKUP(_2__ROI_Daily_Update[[#This Row],[CSM id]],SHP!F:F,SHP!EE:EE,"-")</f>
        <v>0</v>
      </c>
      <c r="L2014" s="12"/>
      <c r="N2014" s="11"/>
      <c r="P2014"/>
      <c r="Q2014"/>
      <c r="W2014" s="28"/>
      <c r="AA2014"/>
    </row>
    <row r="2015" spans="1:27" x14ac:dyDescent="0.45">
      <c r="A2015" s="57">
        <v>1623</v>
      </c>
      <c r="B2015" t="s">
        <v>2918</v>
      </c>
      <c r="C2015" t="s">
        <v>2919</v>
      </c>
      <c r="D2015" s="12">
        <v>46313</v>
      </c>
      <c r="E2015" s="11">
        <v>6</v>
      </c>
      <c r="F2015" s="11" t="s">
        <v>7485</v>
      </c>
      <c r="G2015">
        <v>20260401</v>
      </c>
      <c r="I2015" s="11" t="s">
        <v>18</v>
      </c>
      <c r="J2015" s="72">
        <v>60615246</v>
      </c>
      <c r="K2015" s="99">
        <f>_xlfn.XLOOKUP(_2__ROI_Daily_Update[[#This Row],[CSM id]],SHP!F:F,SHP!EE:EE,"-")</f>
        <v>0</v>
      </c>
      <c r="L2015" s="12"/>
      <c r="N2015" s="11"/>
      <c r="P2015"/>
      <c r="Q2015"/>
      <c r="W2015" s="28"/>
      <c r="AA2015"/>
    </row>
    <row r="2016" spans="1:27" x14ac:dyDescent="0.45">
      <c r="A2016" s="57">
        <v>1623</v>
      </c>
      <c r="B2016" t="s">
        <v>2916</v>
      </c>
      <c r="C2016" t="s">
        <v>2917</v>
      </c>
      <c r="D2016" s="12">
        <v>46313</v>
      </c>
      <c r="E2016" s="11">
        <v>8</v>
      </c>
      <c r="F2016" s="11" t="s">
        <v>7440</v>
      </c>
      <c r="G2016">
        <v>20260701</v>
      </c>
      <c r="I2016" s="11" t="s">
        <v>63</v>
      </c>
      <c r="J2016" s="72">
        <v>20626398</v>
      </c>
      <c r="K2016" s="99">
        <f>_xlfn.XLOOKUP(_2__ROI_Daily_Update[[#This Row],[CSM id]],SHP!F:F,SHP!EE:EE,"-")</f>
        <v>0</v>
      </c>
      <c r="L2016" s="12"/>
      <c r="N2016" s="11"/>
      <c r="P2016"/>
      <c r="Q2016"/>
      <c r="W2016" s="28"/>
      <c r="AA2016"/>
    </row>
    <row r="2017" spans="1:27" x14ac:dyDescent="0.45">
      <c r="A2017" s="57">
        <v>1633</v>
      </c>
      <c r="B2017" t="s">
        <v>5947</v>
      </c>
      <c r="C2017" t="s">
        <v>5948</v>
      </c>
      <c r="D2017" s="12">
        <v>46313</v>
      </c>
      <c r="E2017" s="11">
        <v>60</v>
      </c>
      <c r="F2017" s="11" t="s">
        <v>7480</v>
      </c>
      <c r="G2017">
        <v>20250201</v>
      </c>
      <c r="I2017" s="11" t="s">
        <v>63</v>
      </c>
      <c r="J2017" s="72">
        <v>583719</v>
      </c>
      <c r="K2017" s="99">
        <f>_xlfn.XLOOKUP(_2__ROI_Daily_Update[[#This Row],[CSM id]],SHP!F:F,SHP!EE:EE,"-")</f>
        <v>0</v>
      </c>
      <c r="L2017" s="12"/>
      <c r="N2017" s="11"/>
      <c r="P2017"/>
      <c r="Q2017"/>
      <c r="W2017" s="28"/>
      <c r="AA2017"/>
    </row>
    <row r="2018" spans="1:27" x14ac:dyDescent="0.45">
      <c r="A2018" s="57">
        <v>1624</v>
      </c>
      <c r="B2018" t="s">
        <v>6837</v>
      </c>
      <c r="C2018" t="s">
        <v>6838</v>
      </c>
      <c r="D2018" s="12">
        <v>46313</v>
      </c>
      <c r="E2018" s="11">
        <v>15</v>
      </c>
      <c r="F2018" s="11" t="s">
        <v>7463</v>
      </c>
      <c r="G2018">
        <v>20211001</v>
      </c>
      <c r="I2018" s="11" t="s">
        <v>63</v>
      </c>
      <c r="J2018" s="72">
        <v>90486648</v>
      </c>
      <c r="K2018" s="99">
        <f>_xlfn.XLOOKUP(_2__ROI_Daily_Update[[#This Row],[CSM id]],SHP!F:F,SHP!EE:EE,"-")</f>
        <v>0</v>
      </c>
      <c r="L2018" s="12"/>
      <c r="N2018" s="11"/>
      <c r="P2018"/>
      <c r="Q2018"/>
      <c r="W2018" s="28"/>
      <c r="AA2018"/>
    </row>
    <row r="2019" spans="1:27" x14ac:dyDescent="0.45">
      <c r="A2019" s="57">
        <v>1624</v>
      </c>
      <c r="B2019" t="s">
        <v>2930</v>
      </c>
      <c r="C2019" t="s">
        <v>2931</v>
      </c>
      <c r="D2019" s="12">
        <v>46313</v>
      </c>
      <c r="E2019" s="11">
        <v>18</v>
      </c>
      <c r="F2019" s="11" t="s">
        <v>7410</v>
      </c>
      <c r="G2019">
        <v>20240201</v>
      </c>
      <c r="I2019" s="11" t="s">
        <v>63</v>
      </c>
      <c r="J2019" s="72">
        <v>90567022</v>
      </c>
      <c r="K2019" s="99">
        <f>_xlfn.XLOOKUP(_2__ROI_Daily_Update[[#This Row],[CSM id]],SHP!F:F,SHP!EE:EE,"-")</f>
        <v>0</v>
      </c>
      <c r="L2019" s="12"/>
      <c r="N2019" s="11"/>
      <c r="P2019"/>
      <c r="Q2019"/>
      <c r="W2019" s="28"/>
      <c r="AA2019"/>
    </row>
    <row r="2020" spans="1:27" x14ac:dyDescent="0.45">
      <c r="A2020" s="57">
        <v>1632</v>
      </c>
      <c r="B2020" t="s">
        <v>6471</v>
      </c>
      <c r="C2020" t="s">
        <v>6472</v>
      </c>
      <c r="D2020" s="12">
        <v>46313</v>
      </c>
      <c r="E2020" s="11">
        <v>35</v>
      </c>
      <c r="F2020" s="11" t="s">
        <v>7453</v>
      </c>
      <c r="G2020">
        <v>20260101</v>
      </c>
      <c r="I2020" s="11" t="s">
        <v>63</v>
      </c>
      <c r="J2020" s="72">
        <v>90612816</v>
      </c>
      <c r="K2020" s="99">
        <f>_xlfn.XLOOKUP(_2__ROI_Daily_Update[[#This Row],[CSM id]],SHP!F:F,SHP!EE:EE,"-")</f>
        <v>0</v>
      </c>
      <c r="L2020" s="12"/>
      <c r="N2020" s="11"/>
      <c r="P2020"/>
      <c r="Q2020"/>
      <c r="W2020" s="28"/>
      <c r="AA2020"/>
    </row>
    <row r="2021" spans="1:27" x14ac:dyDescent="0.45">
      <c r="A2021" s="57">
        <v>1632</v>
      </c>
      <c r="B2021" t="s">
        <v>6387</v>
      </c>
      <c r="C2021" t="s">
        <v>6388</v>
      </c>
      <c r="D2021" s="12">
        <v>46313</v>
      </c>
      <c r="E2021" s="11">
        <v>30</v>
      </c>
      <c r="F2021" s="11" t="s">
        <v>7453</v>
      </c>
      <c r="G2021">
        <v>20260401</v>
      </c>
      <c r="I2021" s="11" t="s">
        <v>63</v>
      </c>
      <c r="J2021" s="72">
        <v>90612779</v>
      </c>
      <c r="K2021" s="99">
        <f>_xlfn.XLOOKUP(_2__ROI_Daily_Update[[#This Row],[CSM id]],SHP!F:F,SHP!EE:EE,"-")</f>
        <v>0</v>
      </c>
      <c r="L2021" s="12"/>
      <c r="N2021" s="11"/>
      <c r="P2021"/>
      <c r="Q2021"/>
      <c r="W2021" s="28"/>
      <c r="AA2021"/>
    </row>
    <row r="2022" spans="1:27" x14ac:dyDescent="0.45">
      <c r="A2022" s="57">
        <v>1882</v>
      </c>
      <c r="B2022" t="s">
        <v>3737</v>
      </c>
      <c r="C2022" t="s">
        <v>3738</v>
      </c>
      <c r="D2022" s="12">
        <v>46313</v>
      </c>
      <c r="E2022" s="11">
        <v>24</v>
      </c>
      <c r="F2022" s="11" t="s">
        <v>7420</v>
      </c>
      <c r="G2022">
        <v>20240101</v>
      </c>
      <c r="H2022" s="12">
        <v>46388</v>
      </c>
      <c r="I2022" s="11" t="s">
        <v>63</v>
      </c>
      <c r="J2022" s="72">
        <v>40567618</v>
      </c>
      <c r="K2022" s="99">
        <f>_xlfn.XLOOKUP(_2__ROI_Daily_Update[[#This Row],[CSM id]],SHP!F:F,SHP!EE:EE,"-")</f>
        <v>0</v>
      </c>
      <c r="L2022" s="12"/>
      <c r="N2022" s="11"/>
      <c r="P2022"/>
      <c r="Q2022"/>
      <c r="W2022" s="28"/>
      <c r="AA2022"/>
    </row>
    <row r="2023" spans="1:27" x14ac:dyDescent="0.45">
      <c r="A2023" s="57">
        <v>1632</v>
      </c>
      <c r="B2023" t="s">
        <v>5362</v>
      </c>
      <c r="C2023" t="s">
        <v>5363</v>
      </c>
      <c r="D2023" s="12">
        <v>46313</v>
      </c>
      <c r="E2023" s="11">
        <v>18</v>
      </c>
      <c r="F2023" s="11" t="s">
        <v>6946</v>
      </c>
      <c r="G2023">
        <v>20260401</v>
      </c>
      <c r="I2023" s="11" t="s">
        <v>63</v>
      </c>
      <c r="J2023" s="72">
        <v>20612787</v>
      </c>
      <c r="K2023" s="99">
        <f>_xlfn.XLOOKUP(_2__ROI_Daily_Update[[#This Row],[CSM id]],SHP!F:F,SHP!EE:EE,"-")</f>
        <v>0</v>
      </c>
      <c r="L2023" s="12"/>
      <c r="N2023" s="11"/>
      <c r="P2023"/>
      <c r="Q2023"/>
      <c r="W2023" s="28"/>
      <c r="AA2023"/>
    </row>
    <row r="2024" spans="1:27" x14ac:dyDescent="0.45">
      <c r="A2024" s="57">
        <v>1632</v>
      </c>
      <c r="B2024" t="s">
        <v>5362</v>
      </c>
      <c r="C2024" t="s">
        <v>5363</v>
      </c>
      <c r="D2024" s="12">
        <v>46313</v>
      </c>
      <c r="E2024" s="11">
        <v>9</v>
      </c>
      <c r="F2024" s="11" t="s">
        <v>7420</v>
      </c>
      <c r="G2024">
        <v>20260401</v>
      </c>
      <c r="I2024" s="11" t="s">
        <v>63</v>
      </c>
      <c r="J2024" s="72">
        <v>20612787</v>
      </c>
      <c r="K2024" s="99">
        <f>_xlfn.XLOOKUP(_2__ROI_Daily_Update[[#This Row],[CSM id]],SHP!F:F,SHP!EE:EE,"-")</f>
        <v>0</v>
      </c>
      <c r="L2024" s="12"/>
      <c r="N2024" s="11"/>
      <c r="P2024"/>
      <c r="Q2024"/>
      <c r="W2024" s="28"/>
      <c r="AA2024"/>
    </row>
    <row r="2025" spans="1:27" x14ac:dyDescent="0.45">
      <c r="A2025" s="57">
        <v>1632</v>
      </c>
      <c r="B2025" t="s">
        <v>6313</v>
      </c>
      <c r="C2025" t="s">
        <v>6314</v>
      </c>
      <c r="D2025" s="12">
        <v>46313</v>
      </c>
      <c r="E2025" s="11">
        <v>384</v>
      </c>
      <c r="F2025" s="11" t="s">
        <v>7453</v>
      </c>
      <c r="G2025">
        <v>20210401</v>
      </c>
      <c r="I2025" s="11" t="s">
        <v>63</v>
      </c>
      <c r="J2025" s="72">
        <v>20493256</v>
      </c>
      <c r="K2025" s="99">
        <f>_xlfn.XLOOKUP(_2__ROI_Daily_Update[[#This Row],[CSM id]],SHP!F:F,SHP!EE:EE,"-")</f>
        <v>0</v>
      </c>
      <c r="L2025" s="12"/>
      <c r="N2025" s="11"/>
      <c r="P2025"/>
      <c r="Q2025"/>
      <c r="W2025" s="28"/>
      <c r="AA2025"/>
    </row>
    <row r="2026" spans="1:27" x14ac:dyDescent="0.45">
      <c r="A2026" s="57">
        <v>1632</v>
      </c>
      <c r="B2026" t="s">
        <v>2958</v>
      </c>
      <c r="C2026" t="s">
        <v>2959</v>
      </c>
      <c r="D2026" s="12">
        <v>46313</v>
      </c>
      <c r="E2026" s="11">
        <v>20</v>
      </c>
      <c r="F2026" s="11" t="s">
        <v>7453</v>
      </c>
      <c r="G2026">
        <v>20260701</v>
      </c>
      <c r="I2026" s="11" t="s">
        <v>63</v>
      </c>
      <c r="J2026" s="72">
        <v>10623989</v>
      </c>
      <c r="K2026" s="99">
        <f>_xlfn.XLOOKUP(_2__ROI_Daily_Update[[#This Row],[CSM id]],SHP!F:F,SHP!EE:EE,"-")</f>
        <v>0</v>
      </c>
      <c r="L2026" s="12"/>
      <c r="N2026" s="11"/>
      <c r="P2026"/>
      <c r="Q2026"/>
      <c r="W2026" s="28"/>
      <c r="AA2026"/>
    </row>
    <row r="2027" spans="1:27" x14ac:dyDescent="0.45">
      <c r="A2027" s="57">
        <v>1632</v>
      </c>
      <c r="B2027" t="s">
        <v>2958</v>
      </c>
      <c r="C2027" t="s">
        <v>2959</v>
      </c>
      <c r="D2027" s="12">
        <v>46313</v>
      </c>
      <c r="E2027" s="11">
        <v>20</v>
      </c>
      <c r="F2027" s="11" t="s">
        <v>6946</v>
      </c>
      <c r="G2027">
        <v>20260701</v>
      </c>
      <c r="I2027" s="11" t="s">
        <v>63</v>
      </c>
      <c r="J2027" s="72">
        <v>10623989</v>
      </c>
      <c r="K2027" s="99">
        <f>_xlfn.XLOOKUP(_2__ROI_Daily_Update[[#This Row],[CSM id]],SHP!F:F,SHP!EE:EE,"-")</f>
        <v>0</v>
      </c>
      <c r="L2027" s="12"/>
      <c r="N2027" s="11"/>
      <c r="P2027"/>
      <c r="Q2027"/>
      <c r="W2027" s="28"/>
      <c r="AA2027"/>
    </row>
    <row r="2028" spans="1:27" x14ac:dyDescent="0.45">
      <c r="A2028" s="57">
        <v>1631</v>
      </c>
      <c r="B2028" t="s">
        <v>6427</v>
      </c>
      <c r="C2028" t="s">
        <v>6428</v>
      </c>
      <c r="D2028" s="12">
        <v>46313</v>
      </c>
      <c r="E2028" s="11">
        <v>12</v>
      </c>
      <c r="F2028" s="11" t="s">
        <v>7453</v>
      </c>
      <c r="G2028">
        <v>20261001</v>
      </c>
      <c r="H2028" s="12">
        <v>46388</v>
      </c>
      <c r="I2028" s="11" t="s">
        <v>63</v>
      </c>
      <c r="J2028" s="72">
        <v>90633847</v>
      </c>
      <c r="K2028" s="99">
        <f>_xlfn.XLOOKUP(_2__ROI_Daily_Update[[#This Row],[CSM id]],SHP!F:F,SHP!EE:EE,"-")</f>
        <v>0</v>
      </c>
      <c r="L2028" s="12"/>
      <c r="N2028" s="11"/>
      <c r="P2028"/>
      <c r="Q2028"/>
      <c r="W2028" s="28"/>
      <c r="AA2028"/>
    </row>
    <row r="2029" spans="1:27" x14ac:dyDescent="0.45">
      <c r="A2029" s="57">
        <v>1631</v>
      </c>
      <c r="B2029" t="s">
        <v>6383</v>
      </c>
      <c r="C2029" t="s">
        <v>6384</v>
      </c>
      <c r="D2029" s="12">
        <v>46313</v>
      </c>
      <c r="E2029" s="11">
        <v>90</v>
      </c>
      <c r="F2029" s="11" t="s">
        <v>7453</v>
      </c>
      <c r="G2029">
        <v>20261001</v>
      </c>
      <c r="H2029" s="12">
        <v>46388</v>
      </c>
      <c r="I2029" s="11" t="s">
        <v>63</v>
      </c>
      <c r="J2029" s="72">
        <v>80635413</v>
      </c>
      <c r="K2029" s="99">
        <f>_xlfn.XLOOKUP(_2__ROI_Daily_Update[[#This Row],[CSM id]],SHP!F:F,SHP!EE:EE,"-")</f>
        <v>0</v>
      </c>
      <c r="L2029" s="12"/>
      <c r="N2029" s="11"/>
      <c r="P2029"/>
      <c r="Q2029"/>
      <c r="W2029" s="28"/>
      <c r="AA2029"/>
    </row>
    <row r="2030" spans="1:27" x14ac:dyDescent="0.45">
      <c r="A2030" s="57">
        <v>1631</v>
      </c>
      <c r="B2030" t="s">
        <v>2954</v>
      </c>
      <c r="C2030" t="s">
        <v>2955</v>
      </c>
      <c r="D2030" s="12">
        <v>46313</v>
      </c>
      <c r="E2030" s="11">
        <v>60</v>
      </c>
      <c r="F2030" s="11" t="s">
        <v>6940</v>
      </c>
      <c r="G2030">
        <v>20261001</v>
      </c>
      <c r="I2030" s="11" t="s">
        <v>63</v>
      </c>
      <c r="J2030" s="72">
        <v>80634456</v>
      </c>
      <c r="K2030" s="99">
        <f>_xlfn.XLOOKUP(_2__ROI_Daily_Update[[#This Row],[CSM id]],SHP!F:F,SHP!EE:EE,"-")</f>
        <v>0</v>
      </c>
      <c r="L2030" s="12"/>
      <c r="N2030" s="11"/>
      <c r="P2030"/>
      <c r="Q2030"/>
      <c r="W2030" s="28"/>
      <c r="AA2030"/>
    </row>
    <row r="2031" spans="1:27" x14ac:dyDescent="0.45">
      <c r="A2031" s="57">
        <v>1631</v>
      </c>
      <c r="B2031" t="s">
        <v>6841</v>
      </c>
      <c r="C2031" t="s">
        <v>6842</v>
      </c>
      <c r="D2031" s="12">
        <v>46313</v>
      </c>
      <c r="E2031" s="11">
        <v>27</v>
      </c>
      <c r="F2031" s="11" t="s">
        <v>7463</v>
      </c>
      <c r="G2031">
        <v>20250701</v>
      </c>
      <c r="I2031" s="11" t="s">
        <v>63</v>
      </c>
      <c r="J2031" s="72">
        <v>80607033</v>
      </c>
      <c r="K2031" s="99">
        <f>_xlfn.XLOOKUP(_2__ROI_Daily_Update[[#This Row],[CSM id]],SHP!F:F,SHP!EE:EE,"-")</f>
        <v>0</v>
      </c>
      <c r="L2031" s="12"/>
      <c r="N2031" s="11"/>
      <c r="P2031"/>
      <c r="Q2031"/>
      <c r="W2031" s="28"/>
      <c r="AA2031"/>
    </row>
    <row r="2032" spans="1:27" x14ac:dyDescent="0.45">
      <c r="A2032" s="57">
        <v>1631</v>
      </c>
      <c r="B2032" t="s">
        <v>2952</v>
      </c>
      <c r="C2032" t="s">
        <v>2953</v>
      </c>
      <c r="D2032" s="12">
        <v>46313</v>
      </c>
      <c r="E2032" s="11">
        <v>16</v>
      </c>
      <c r="F2032" s="11" t="s">
        <v>7430</v>
      </c>
      <c r="G2032">
        <v>20261001</v>
      </c>
      <c r="H2032" s="12">
        <v>46388</v>
      </c>
      <c r="I2032" s="11" t="s">
        <v>63</v>
      </c>
      <c r="J2032" s="72">
        <v>50634269</v>
      </c>
      <c r="K2032" s="99">
        <f>_xlfn.XLOOKUP(_2__ROI_Daily_Update[[#This Row],[CSM id]],SHP!F:F,SHP!EE:EE,"-")</f>
        <v>0</v>
      </c>
      <c r="L2032" s="12"/>
      <c r="N2032" s="11"/>
      <c r="P2032"/>
      <c r="Q2032"/>
      <c r="W2032" s="28"/>
      <c r="AA2032"/>
    </row>
    <row r="2033" spans="1:27" x14ac:dyDescent="0.45">
      <c r="A2033" s="57">
        <v>1631</v>
      </c>
      <c r="B2033" t="s">
        <v>2950</v>
      </c>
      <c r="C2033" t="s">
        <v>2951</v>
      </c>
      <c r="D2033" s="12">
        <v>46313</v>
      </c>
      <c r="E2033" s="11">
        <v>6</v>
      </c>
      <c r="F2033" s="11" t="s">
        <v>7420</v>
      </c>
      <c r="G2033">
        <v>20260701</v>
      </c>
      <c r="I2033" s="11" t="s">
        <v>63</v>
      </c>
      <c r="J2033" s="72">
        <v>40633519</v>
      </c>
      <c r="K2033" s="99">
        <f>_xlfn.XLOOKUP(_2__ROI_Daily_Update[[#This Row],[CSM id]],SHP!F:F,SHP!EE:EE,"-")</f>
        <v>0</v>
      </c>
      <c r="L2033" s="12"/>
      <c r="N2033" s="11"/>
      <c r="P2033"/>
      <c r="Q2033"/>
      <c r="W2033" s="28"/>
      <c r="AA2033"/>
    </row>
    <row r="2034" spans="1:27" x14ac:dyDescent="0.45">
      <c r="A2034" s="57">
        <v>1642</v>
      </c>
      <c r="B2034" t="s">
        <v>3201</v>
      </c>
      <c r="C2034" t="s">
        <v>3202</v>
      </c>
      <c r="D2034" s="12">
        <v>46313</v>
      </c>
      <c r="E2034" s="11">
        <v>15</v>
      </c>
      <c r="F2034" s="11" t="s">
        <v>7415</v>
      </c>
      <c r="G2034">
        <v>20250701</v>
      </c>
      <c r="I2034" s="11" t="s">
        <v>63</v>
      </c>
      <c r="J2034" s="72">
        <v>20601963</v>
      </c>
      <c r="K2034" s="99">
        <f>_xlfn.XLOOKUP(_2__ROI_Daily_Update[[#This Row],[CSM id]],SHP!F:F,SHP!EE:EE,"-")</f>
        <v>0</v>
      </c>
      <c r="L2034" s="12"/>
      <c r="N2034" s="11"/>
      <c r="P2034"/>
      <c r="Q2034"/>
      <c r="W2034" s="28"/>
      <c r="AA2034"/>
    </row>
    <row r="2035" spans="1:27" x14ac:dyDescent="0.45">
      <c r="A2035" s="57">
        <v>1631</v>
      </c>
      <c r="B2035" t="s">
        <v>2946</v>
      </c>
      <c r="C2035" t="s">
        <v>2947</v>
      </c>
      <c r="D2035" s="12">
        <v>46313</v>
      </c>
      <c r="E2035" s="11">
        <v>80</v>
      </c>
      <c r="F2035" s="11" t="s">
        <v>7480</v>
      </c>
      <c r="G2035">
        <v>20261001</v>
      </c>
      <c r="I2035" s="11" t="s">
        <v>63</v>
      </c>
      <c r="J2035" s="72">
        <v>30638150</v>
      </c>
      <c r="K2035" s="99">
        <f>_xlfn.XLOOKUP(_2__ROI_Daily_Update[[#This Row],[CSM id]],SHP!F:F,SHP!EE:EE,"-")</f>
        <v>0</v>
      </c>
      <c r="L2035" s="12"/>
      <c r="N2035" s="11"/>
      <c r="P2035"/>
      <c r="Q2035"/>
      <c r="W2035" s="28"/>
      <c r="AA2035"/>
    </row>
    <row r="2036" spans="1:27" x14ac:dyDescent="0.45">
      <c r="A2036" s="57">
        <v>1631</v>
      </c>
      <c r="B2036" t="s">
        <v>2946</v>
      </c>
      <c r="C2036" t="s">
        <v>2947</v>
      </c>
      <c r="D2036" s="12">
        <v>46313</v>
      </c>
      <c r="E2036" s="11">
        <v>40</v>
      </c>
      <c r="F2036" s="11" t="s">
        <v>7440</v>
      </c>
      <c r="G2036">
        <v>20261001</v>
      </c>
      <c r="I2036" s="11" t="s">
        <v>63</v>
      </c>
      <c r="J2036" s="72">
        <v>30638150</v>
      </c>
      <c r="K2036" s="99">
        <f>_xlfn.XLOOKUP(_2__ROI_Daily_Update[[#This Row],[CSM id]],SHP!F:F,SHP!EE:EE,"-")</f>
        <v>0</v>
      </c>
      <c r="L2036" s="12"/>
      <c r="N2036" s="11"/>
      <c r="P2036"/>
      <c r="Q2036"/>
      <c r="W2036" s="28"/>
      <c r="AA2036"/>
    </row>
    <row r="2037" spans="1:27" x14ac:dyDescent="0.45">
      <c r="A2037" s="57">
        <v>215</v>
      </c>
      <c r="B2037" t="s">
        <v>285</v>
      </c>
      <c r="C2037" t="s">
        <v>286</v>
      </c>
      <c r="D2037" s="12">
        <v>46313</v>
      </c>
      <c r="E2037" s="11">
        <v>88</v>
      </c>
      <c r="F2037" s="11" t="s">
        <v>7468</v>
      </c>
      <c r="G2037">
        <v>20210701</v>
      </c>
      <c r="I2037" s="11" t="s">
        <v>18</v>
      </c>
      <c r="J2037" s="72">
        <v>60483873</v>
      </c>
      <c r="K2037" s="99">
        <f>_xlfn.XLOOKUP(_2__ROI_Daily_Update[[#This Row],[CSM id]],SHP!F:F,SHP!EE:EE,"-")</f>
        <v>0</v>
      </c>
      <c r="L2037" s="12"/>
      <c r="N2037" s="11"/>
      <c r="P2037"/>
      <c r="Q2037"/>
      <c r="W2037" s="28"/>
      <c r="AA2037"/>
    </row>
    <row r="2038" spans="1:27" x14ac:dyDescent="0.45">
      <c r="A2038" s="57">
        <v>1624</v>
      </c>
      <c r="B2038" t="s">
        <v>2932</v>
      </c>
      <c r="C2038" t="s">
        <v>2933</v>
      </c>
      <c r="D2038" s="12">
        <v>46313</v>
      </c>
      <c r="E2038" s="11">
        <v>56</v>
      </c>
      <c r="F2038" s="11" t="s">
        <v>7440</v>
      </c>
      <c r="G2038">
        <v>20260401</v>
      </c>
      <c r="I2038" s="11" t="s">
        <v>63</v>
      </c>
      <c r="J2038" s="72">
        <v>90621726</v>
      </c>
      <c r="K2038" s="99">
        <f>_xlfn.XLOOKUP(_2__ROI_Daily_Update[[#This Row],[CSM id]],SHP!F:F,SHP!EE:EE,"-")</f>
        <v>0</v>
      </c>
      <c r="L2038" s="12"/>
      <c r="N2038" s="11"/>
      <c r="P2038"/>
      <c r="Q2038"/>
      <c r="W2038" s="28"/>
      <c r="AA2038"/>
    </row>
    <row r="2039" spans="1:27" x14ac:dyDescent="0.45">
      <c r="A2039" s="57">
        <v>1642</v>
      </c>
      <c r="B2039" t="s">
        <v>6527</v>
      </c>
      <c r="C2039" t="s">
        <v>6528</v>
      </c>
      <c r="D2039" s="12">
        <v>46313</v>
      </c>
      <c r="E2039" s="11">
        <v>8</v>
      </c>
      <c r="F2039" s="11" t="s">
        <v>7448</v>
      </c>
      <c r="G2039">
        <v>20260701</v>
      </c>
      <c r="I2039" s="11" t="s">
        <v>63</v>
      </c>
      <c r="J2039" s="72">
        <v>30623865</v>
      </c>
      <c r="K2039" s="99">
        <f>_xlfn.XLOOKUP(_2__ROI_Daily_Update[[#This Row],[CSM id]],SHP!F:F,SHP!EE:EE,"-")</f>
        <v>0</v>
      </c>
      <c r="L2039" s="12"/>
      <c r="N2039" s="11"/>
      <c r="P2039"/>
      <c r="Q2039"/>
      <c r="W2039" s="28"/>
      <c r="AA2039"/>
    </row>
    <row r="2040" spans="1:27" x14ac:dyDescent="0.45">
      <c r="A2040" s="57">
        <v>1631</v>
      </c>
      <c r="B2040" t="s">
        <v>2936</v>
      </c>
      <c r="C2040" t="s">
        <v>2937</v>
      </c>
      <c r="D2040" s="12">
        <v>46313</v>
      </c>
      <c r="E2040" s="11">
        <v>21</v>
      </c>
      <c r="F2040" s="11" t="s">
        <v>7453</v>
      </c>
      <c r="G2040">
        <v>20260801</v>
      </c>
      <c r="H2040" s="12">
        <v>46388</v>
      </c>
      <c r="I2040" s="11" t="s">
        <v>63</v>
      </c>
      <c r="J2040" s="72">
        <v>630056</v>
      </c>
      <c r="K2040" s="99">
        <f>_xlfn.XLOOKUP(_2__ROI_Daily_Update[[#This Row],[CSM id]],SHP!F:F,SHP!EE:EE,"-")</f>
        <v>0</v>
      </c>
      <c r="L2040" s="12"/>
      <c r="N2040" s="11"/>
      <c r="P2040"/>
      <c r="Q2040"/>
      <c r="W2040" s="28"/>
      <c r="AA2040"/>
    </row>
    <row r="2041" spans="1:27" x14ac:dyDescent="0.45">
      <c r="A2041" s="57">
        <v>1882</v>
      </c>
      <c r="B2041" t="s">
        <v>3735</v>
      </c>
      <c r="C2041" t="s">
        <v>3736</v>
      </c>
      <c r="D2041" s="12">
        <v>46313</v>
      </c>
      <c r="E2041" s="11">
        <v>50</v>
      </c>
      <c r="F2041" s="11" t="s">
        <v>7440</v>
      </c>
      <c r="G2041">
        <v>20221001</v>
      </c>
      <c r="I2041" s="11" t="s">
        <v>63</v>
      </c>
      <c r="J2041" s="72">
        <v>40527095</v>
      </c>
      <c r="K2041" s="99">
        <f>_xlfn.XLOOKUP(_2__ROI_Daily_Update[[#This Row],[CSM id]],SHP!F:F,SHP!EE:EE,"-")</f>
        <v>0</v>
      </c>
      <c r="L2041" s="12"/>
      <c r="N2041" s="11"/>
      <c r="P2041"/>
      <c r="Q2041"/>
      <c r="W2041" s="28"/>
      <c r="AA2041"/>
    </row>
    <row r="2042" spans="1:27" x14ac:dyDescent="0.45">
      <c r="A2042" s="57">
        <v>1631</v>
      </c>
      <c r="B2042" t="s">
        <v>2938</v>
      </c>
      <c r="C2042" t="s">
        <v>2939</v>
      </c>
      <c r="D2042" s="12">
        <v>46313</v>
      </c>
      <c r="E2042" s="11">
        <v>18</v>
      </c>
      <c r="F2042" s="11" t="s">
        <v>7420</v>
      </c>
      <c r="G2042">
        <v>20170801</v>
      </c>
      <c r="I2042" s="11" t="s">
        <v>63</v>
      </c>
      <c r="J2042" s="72">
        <v>10342135</v>
      </c>
      <c r="K2042" s="99">
        <f>_xlfn.XLOOKUP(_2__ROI_Daily_Update[[#This Row],[CSM id]],SHP!F:F,SHP!EE:EE,"-")</f>
        <v>0</v>
      </c>
      <c r="L2042" s="12"/>
      <c r="N2042" s="11"/>
      <c r="P2042"/>
      <c r="Q2042"/>
      <c r="W2042" s="28"/>
      <c r="AA2042"/>
    </row>
    <row r="2043" spans="1:27" x14ac:dyDescent="0.45">
      <c r="A2043" s="57">
        <v>1624</v>
      </c>
      <c r="B2043" t="s">
        <v>6839</v>
      </c>
      <c r="C2043" t="s">
        <v>6840</v>
      </c>
      <c r="D2043" s="12">
        <v>46313</v>
      </c>
      <c r="E2043" s="11">
        <v>14</v>
      </c>
      <c r="F2043" s="11" t="s">
        <v>7463</v>
      </c>
      <c r="G2043">
        <v>20211001</v>
      </c>
      <c r="I2043" s="11" t="s">
        <v>63</v>
      </c>
      <c r="J2043" s="72">
        <v>90486653</v>
      </c>
      <c r="K2043" s="99">
        <f>_xlfn.XLOOKUP(_2__ROI_Daily_Update[[#This Row],[CSM id]],SHP!F:F,SHP!EE:EE,"-")</f>
        <v>0</v>
      </c>
      <c r="L2043" s="12"/>
      <c r="N2043" s="11"/>
      <c r="P2043"/>
      <c r="Q2043"/>
      <c r="W2043" s="28"/>
      <c r="AA2043"/>
    </row>
    <row r="2044" spans="1:27" x14ac:dyDescent="0.45">
      <c r="A2044" s="57">
        <v>1631</v>
      </c>
      <c r="B2044" t="s">
        <v>6799</v>
      </c>
      <c r="C2044" t="s">
        <v>6800</v>
      </c>
      <c r="D2044" s="12">
        <v>46313</v>
      </c>
      <c r="E2044" s="11">
        <v>48</v>
      </c>
      <c r="F2044" s="11" t="s">
        <v>7463</v>
      </c>
      <c r="G2044">
        <v>20220401</v>
      </c>
      <c r="I2044" s="11" t="s">
        <v>63</v>
      </c>
      <c r="J2044" s="72">
        <v>10524550</v>
      </c>
      <c r="K2044" s="99">
        <f>_xlfn.XLOOKUP(_2__ROI_Daily_Update[[#This Row],[CSM id]],SHP!F:F,SHP!EE:EE,"-")</f>
        <v>0</v>
      </c>
      <c r="L2044" s="12"/>
      <c r="N2044" s="11"/>
      <c r="P2044"/>
      <c r="Q2044"/>
      <c r="W2044" s="28"/>
      <c r="AA2044"/>
    </row>
    <row r="2045" spans="1:27" x14ac:dyDescent="0.45">
      <c r="A2045" s="57">
        <v>1631</v>
      </c>
      <c r="B2045" t="s">
        <v>2944</v>
      </c>
      <c r="C2045" t="s">
        <v>2945</v>
      </c>
      <c r="D2045" s="12">
        <v>46313</v>
      </c>
      <c r="E2045" s="11">
        <v>10</v>
      </c>
      <c r="F2045" s="11" t="s">
        <v>7410</v>
      </c>
      <c r="G2045">
        <v>20240701</v>
      </c>
      <c r="I2045" s="11" t="s">
        <v>63</v>
      </c>
      <c r="J2045" s="72">
        <v>20575011</v>
      </c>
      <c r="K2045" s="99">
        <f>_xlfn.XLOOKUP(_2__ROI_Daily_Update[[#This Row],[CSM id]],SHP!F:F,SHP!EE:EE,"-")</f>
        <v>0</v>
      </c>
      <c r="L2045" s="12"/>
      <c r="N2045" s="11"/>
      <c r="P2045"/>
      <c r="Q2045"/>
      <c r="W2045" s="28"/>
      <c r="AA2045"/>
    </row>
    <row r="2046" spans="1:27" x14ac:dyDescent="0.45">
      <c r="A2046" s="57">
        <v>1631</v>
      </c>
      <c r="B2046" t="s">
        <v>2944</v>
      </c>
      <c r="C2046" t="s">
        <v>2945</v>
      </c>
      <c r="D2046" s="12">
        <v>46313</v>
      </c>
      <c r="E2046" s="11">
        <v>10</v>
      </c>
      <c r="F2046" s="11" t="s">
        <v>7480</v>
      </c>
      <c r="G2046">
        <v>20240701</v>
      </c>
      <c r="I2046" s="11" t="s">
        <v>63</v>
      </c>
      <c r="J2046" s="72">
        <v>20575011</v>
      </c>
      <c r="K2046" s="99">
        <f>_xlfn.XLOOKUP(_2__ROI_Daily_Update[[#This Row],[CSM id]],SHP!F:F,SHP!EE:EE,"-")</f>
        <v>0</v>
      </c>
      <c r="L2046" s="12"/>
      <c r="N2046" s="11"/>
      <c r="P2046"/>
      <c r="Q2046"/>
      <c r="W2046" s="28"/>
      <c r="AA2046"/>
    </row>
    <row r="2047" spans="1:27" x14ac:dyDescent="0.45">
      <c r="A2047" s="57">
        <v>1631</v>
      </c>
      <c r="B2047" t="s">
        <v>5596</v>
      </c>
      <c r="C2047" t="s">
        <v>5597</v>
      </c>
      <c r="D2047" s="12">
        <v>46313</v>
      </c>
      <c r="E2047" s="11">
        <v>54</v>
      </c>
      <c r="F2047" s="11" t="s">
        <v>7410</v>
      </c>
      <c r="G2047">
        <v>20250701</v>
      </c>
      <c r="I2047" s="11" t="s">
        <v>63</v>
      </c>
      <c r="J2047" s="72">
        <v>20607031</v>
      </c>
      <c r="K2047" s="99">
        <f>_xlfn.XLOOKUP(_2__ROI_Daily_Update[[#This Row],[CSM id]],SHP!F:F,SHP!EE:EE,"-")</f>
        <v>0</v>
      </c>
      <c r="L2047" s="12"/>
      <c r="N2047" s="11"/>
      <c r="P2047"/>
      <c r="Q2047"/>
      <c r="W2047" s="28"/>
      <c r="AA2047"/>
    </row>
    <row r="2048" spans="1:27" x14ac:dyDescent="0.45">
      <c r="A2048" s="57">
        <v>1631</v>
      </c>
      <c r="B2048" t="s">
        <v>6477</v>
      </c>
      <c r="C2048" t="s">
        <v>6478</v>
      </c>
      <c r="D2048" s="12">
        <v>46313</v>
      </c>
      <c r="E2048" s="11">
        <v>72</v>
      </c>
      <c r="F2048" s="11" t="s">
        <v>7453</v>
      </c>
      <c r="G2048">
        <v>20261001</v>
      </c>
      <c r="H2048" s="12">
        <v>46388</v>
      </c>
      <c r="I2048" s="11" t="s">
        <v>63</v>
      </c>
      <c r="J2048" s="72">
        <v>20638607</v>
      </c>
      <c r="K2048" s="99">
        <f>_xlfn.XLOOKUP(_2__ROI_Daily_Update[[#This Row],[CSM id]],SHP!F:F,SHP!EE:EE,"-")</f>
        <v>0</v>
      </c>
      <c r="L2048" s="12"/>
      <c r="N2048" s="11"/>
      <c r="P2048"/>
      <c r="Q2048"/>
      <c r="W2048" s="28"/>
      <c r="AA2048"/>
    </row>
    <row r="2049" spans="1:27" x14ac:dyDescent="0.45">
      <c r="A2049" s="57">
        <v>1631</v>
      </c>
      <c r="B2049" t="s">
        <v>7103</v>
      </c>
      <c r="C2049" t="s">
        <v>7104</v>
      </c>
      <c r="D2049" s="12">
        <v>46313</v>
      </c>
      <c r="E2049" s="11">
        <v>42</v>
      </c>
      <c r="F2049" s="11" t="s">
        <v>7475</v>
      </c>
      <c r="G2049">
        <v>20261001</v>
      </c>
      <c r="I2049" s="11" t="s">
        <v>63</v>
      </c>
      <c r="J2049" s="72">
        <v>30634454</v>
      </c>
      <c r="K2049" s="99">
        <f>_xlfn.XLOOKUP(_2__ROI_Daily_Update[[#This Row],[CSM id]],SHP!F:F,SHP!EE:EE,"-")</f>
        <v>0</v>
      </c>
      <c r="L2049" s="12"/>
      <c r="N2049" s="11"/>
      <c r="P2049"/>
      <c r="Q2049"/>
      <c r="W2049" s="28"/>
      <c r="AA2049"/>
    </row>
    <row r="2050" spans="1:27" x14ac:dyDescent="0.45">
      <c r="A2050" s="57">
        <v>1631</v>
      </c>
      <c r="B2050" t="s">
        <v>2946</v>
      </c>
      <c r="C2050" t="s">
        <v>2947</v>
      </c>
      <c r="D2050" s="12">
        <v>46313</v>
      </c>
      <c r="E2050" s="11">
        <v>40</v>
      </c>
      <c r="F2050" s="11" t="s">
        <v>7430</v>
      </c>
      <c r="G2050">
        <v>20261001</v>
      </c>
      <c r="I2050" s="11" t="s">
        <v>63</v>
      </c>
      <c r="J2050" s="72">
        <v>30638150</v>
      </c>
      <c r="K2050" s="99">
        <f>_xlfn.XLOOKUP(_2__ROI_Daily_Update[[#This Row],[CSM id]],SHP!F:F,SHP!EE:EE,"-")</f>
        <v>0</v>
      </c>
      <c r="L2050" s="12"/>
      <c r="N2050" s="11"/>
      <c r="P2050"/>
      <c r="Q2050"/>
      <c r="W2050" s="28"/>
      <c r="AA2050"/>
    </row>
    <row r="2051" spans="1:27" x14ac:dyDescent="0.45">
      <c r="A2051" s="57">
        <v>1631</v>
      </c>
      <c r="B2051" t="s">
        <v>5620</v>
      </c>
      <c r="C2051" t="s">
        <v>5621</v>
      </c>
      <c r="D2051" s="12">
        <v>46313</v>
      </c>
      <c r="E2051" s="11">
        <v>30</v>
      </c>
      <c r="F2051" s="11" t="s">
        <v>7410</v>
      </c>
      <c r="G2051">
        <v>20251001</v>
      </c>
      <c r="I2051" s="11" t="s">
        <v>63</v>
      </c>
      <c r="J2051" s="72">
        <v>10609083</v>
      </c>
      <c r="K2051" s="99">
        <f>_xlfn.XLOOKUP(_2__ROI_Daily_Update[[#This Row],[CSM id]],SHP!F:F,SHP!EE:EE,"-")</f>
        <v>0</v>
      </c>
      <c r="L2051" s="12"/>
      <c r="N2051" s="11"/>
      <c r="P2051"/>
      <c r="Q2051"/>
      <c r="W2051" s="28"/>
      <c r="AA2051"/>
    </row>
    <row r="2052" spans="1:27" x14ac:dyDescent="0.45">
      <c r="A2052" s="57">
        <v>1623</v>
      </c>
      <c r="B2052" t="s">
        <v>2909</v>
      </c>
      <c r="C2052" t="s">
        <v>2910</v>
      </c>
      <c r="D2052" s="12">
        <v>46313</v>
      </c>
      <c r="E2052" s="11">
        <v>15</v>
      </c>
      <c r="F2052" s="11" t="s">
        <v>7430</v>
      </c>
      <c r="G2052">
        <v>20260101</v>
      </c>
      <c r="I2052" s="11" t="s">
        <v>63</v>
      </c>
      <c r="J2052" s="72">
        <v>610746</v>
      </c>
      <c r="K2052" s="99">
        <f>_xlfn.XLOOKUP(_2__ROI_Daily_Update[[#This Row],[CSM id]],SHP!F:F,SHP!EE:EE,"-")</f>
        <v>0</v>
      </c>
      <c r="L2052" s="12"/>
      <c r="N2052" s="11"/>
      <c r="P2052"/>
      <c r="Q2052"/>
      <c r="W2052" s="28"/>
      <c r="AA2052"/>
    </row>
    <row r="2053" spans="1:27" x14ac:dyDescent="0.45">
      <c r="A2053" s="57">
        <v>1634</v>
      </c>
      <c r="B2053" t="s">
        <v>7111</v>
      </c>
      <c r="C2053" t="s">
        <v>7112</v>
      </c>
      <c r="D2053" s="12">
        <v>46313</v>
      </c>
      <c r="E2053" s="11">
        <v>40</v>
      </c>
      <c r="F2053" s="11" t="s">
        <v>7480</v>
      </c>
      <c r="G2053">
        <v>20260401</v>
      </c>
      <c r="I2053" s="11" t="s">
        <v>63</v>
      </c>
      <c r="J2053" s="72">
        <v>614971</v>
      </c>
      <c r="K2053" s="99">
        <f>_xlfn.XLOOKUP(_2__ROI_Daily_Update[[#This Row],[CSM id]],SHP!F:F,SHP!EE:EE,"-")</f>
        <v>0</v>
      </c>
      <c r="L2053" s="12"/>
      <c r="N2053" s="11"/>
      <c r="P2053"/>
      <c r="Q2053"/>
      <c r="W2053" s="28"/>
      <c r="AA2053"/>
    </row>
    <row r="2054" spans="1:27" x14ac:dyDescent="0.45">
      <c r="A2054" s="57">
        <v>1634</v>
      </c>
      <c r="B2054" t="s">
        <v>3030</v>
      </c>
      <c r="C2054" t="s">
        <v>3031</v>
      </c>
      <c r="D2054" s="12">
        <v>46313</v>
      </c>
      <c r="E2054" s="11">
        <v>144</v>
      </c>
      <c r="F2054" s="11" t="s">
        <v>7463</v>
      </c>
      <c r="G2054">
        <v>20251001</v>
      </c>
      <c r="I2054" s="11" t="s">
        <v>63</v>
      </c>
      <c r="J2054" s="72">
        <v>10606046</v>
      </c>
      <c r="K2054" s="99">
        <f>_xlfn.XLOOKUP(_2__ROI_Daily_Update[[#This Row],[CSM id]],SHP!F:F,SHP!EE:EE,"-")</f>
        <v>0</v>
      </c>
      <c r="L2054" s="12"/>
      <c r="N2054" s="11"/>
      <c r="P2054"/>
      <c r="Q2054"/>
      <c r="W2054" s="28"/>
      <c r="AA2054"/>
    </row>
    <row r="2055" spans="1:27" x14ac:dyDescent="0.45">
      <c r="A2055" s="57">
        <v>1641</v>
      </c>
      <c r="B2055" t="s">
        <v>5878</v>
      </c>
      <c r="C2055" t="s">
        <v>5879</v>
      </c>
      <c r="D2055" s="12">
        <v>46313</v>
      </c>
      <c r="E2055" s="11">
        <v>48</v>
      </c>
      <c r="F2055" s="11" t="s">
        <v>7485</v>
      </c>
      <c r="G2055">
        <v>20160201</v>
      </c>
      <c r="I2055" s="11" t="s">
        <v>18</v>
      </c>
      <c r="J2055" s="72">
        <v>10297963</v>
      </c>
      <c r="K2055" s="99">
        <f>_xlfn.XLOOKUP(_2__ROI_Daily_Update[[#This Row],[CSM id]],SHP!F:F,SHP!EE:EE,"-")</f>
        <v>0</v>
      </c>
      <c r="L2055" s="12"/>
      <c r="N2055" s="11"/>
      <c r="P2055"/>
      <c r="Q2055"/>
      <c r="W2055" s="28"/>
      <c r="AA2055"/>
    </row>
    <row r="2056" spans="1:27" x14ac:dyDescent="0.45">
      <c r="A2056" s="57">
        <v>1641</v>
      </c>
      <c r="B2056" t="s">
        <v>5878</v>
      </c>
      <c r="C2056" t="s">
        <v>5879</v>
      </c>
      <c r="D2056" s="12">
        <v>46313</v>
      </c>
      <c r="E2056" s="11">
        <v>48</v>
      </c>
      <c r="F2056" s="11" t="s">
        <v>7468</v>
      </c>
      <c r="G2056">
        <v>20160201</v>
      </c>
      <c r="I2056" s="11" t="s">
        <v>18</v>
      </c>
      <c r="J2056" s="72">
        <v>10297963</v>
      </c>
      <c r="K2056" s="99">
        <f>_xlfn.XLOOKUP(_2__ROI_Daily_Update[[#This Row],[CSM id]],SHP!F:F,SHP!EE:EE,"-")</f>
        <v>0</v>
      </c>
      <c r="L2056" s="12"/>
      <c r="N2056" s="11"/>
      <c r="P2056"/>
      <c r="Q2056"/>
      <c r="W2056" s="28"/>
      <c r="AA2056"/>
    </row>
    <row r="2057" spans="1:27" x14ac:dyDescent="0.45">
      <c r="A2057" s="57">
        <v>1641</v>
      </c>
      <c r="B2057" t="s">
        <v>3127</v>
      </c>
      <c r="C2057" t="s">
        <v>3128</v>
      </c>
      <c r="D2057" s="12">
        <v>46313</v>
      </c>
      <c r="E2057" s="11">
        <v>96</v>
      </c>
      <c r="F2057" s="11" t="s">
        <v>7420</v>
      </c>
      <c r="G2057">
        <v>20160201</v>
      </c>
      <c r="I2057" s="11" t="s">
        <v>63</v>
      </c>
      <c r="J2057" s="72">
        <v>10297430</v>
      </c>
      <c r="K2057" s="99">
        <f>_xlfn.XLOOKUP(_2__ROI_Daily_Update[[#This Row],[CSM id]],SHP!F:F,SHP!EE:EE,"-")</f>
        <v>0</v>
      </c>
      <c r="L2057" s="12"/>
      <c r="N2057" s="11"/>
      <c r="P2057"/>
      <c r="Q2057"/>
      <c r="W2057" s="28"/>
      <c r="AA2057"/>
    </row>
    <row r="2058" spans="1:27" x14ac:dyDescent="0.45">
      <c r="A2058" s="57">
        <v>1641</v>
      </c>
      <c r="B2058" t="s">
        <v>3125</v>
      </c>
      <c r="C2058" t="s">
        <v>3126</v>
      </c>
      <c r="D2058" s="12">
        <v>46313</v>
      </c>
      <c r="E2058" s="11">
        <v>16</v>
      </c>
      <c r="F2058" s="11" t="s">
        <v>7440</v>
      </c>
      <c r="G2058">
        <v>20251001</v>
      </c>
      <c r="I2058" s="11" t="s">
        <v>63</v>
      </c>
      <c r="J2058" s="72">
        <v>610082</v>
      </c>
      <c r="K2058" s="99">
        <f>_xlfn.XLOOKUP(_2__ROI_Daily_Update[[#This Row],[CSM id]],SHP!F:F,SHP!EE:EE,"-")</f>
        <v>0</v>
      </c>
      <c r="L2058" s="12"/>
      <c r="N2058" s="11"/>
      <c r="P2058"/>
      <c r="Q2058"/>
      <c r="W2058" s="28"/>
      <c r="AA2058"/>
    </row>
    <row r="2059" spans="1:27" x14ac:dyDescent="0.45">
      <c r="A2059" s="57">
        <v>1641</v>
      </c>
      <c r="B2059" t="s">
        <v>3123</v>
      </c>
      <c r="C2059" t="s">
        <v>3124</v>
      </c>
      <c r="D2059" s="12">
        <v>46313</v>
      </c>
      <c r="E2059" s="11">
        <v>36</v>
      </c>
      <c r="F2059" s="11" t="s">
        <v>7453</v>
      </c>
      <c r="G2059">
        <v>20251001</v>
      </c>
      <c r="I2059" s="11" t="s">
        <v>63</v>
      </c>
      <c r="J2059" s="72">
        <v>594336</v>
      </c>
      <c r="K2059" s="99">
        <f>_xlfn.XLOOKUP(_2__ROI_Daily_Update[[#This Row],[CSM id]],SHP!F:F,SHP!EE:EE,"-")</f>
        <v>0</v>
      </c>
      <c r="L2059" s="12"/>
      <c r="N2059" s="11"/>
      <c r="P2059"/>
      <c r="Q2059"/>
      <c r="W2059" s="28"/>
      <c r="AA2059"/>
    </row>
    <row r="2060" spans="1:27" x14ac:dyDescent="0.45">
      <c r="A2060" s="57">
        <v>1641</v>
      </c>
      <c r="B2060" t="s">
        <v>5765</v>
      </c>
      <c r="C2060" t="s">
        <v>5766</v>
      </c>
      <c r="D2060" s="12">
        <v>46313</v>
      </c>
      <c r="E2060" s="11">
        <v>20</v>
      </c>
      <c r="F2060" s="11" t="s">
        <v>7400</v>
      </c>
      <c r="G2060">
        <v>20240401</v>
      </c>
      <c r="I2060" s="11" t="s">
        <v>63</v>
      </c>
      <c r="J2060" s="72">
        <v>550115</v>
      </c>
      <c r="K2060" s="99">
        <f>_xlfn.XLOOKUP(_2__ROI_Daily_Update[[#This Row],[CSM id]],SHP!F:F,SHP!EE:EE,"-")</f>
        <v>0</v>
      </c>
      <c r="L2060" s="12"/>
      <c r="N2060" s="11"/>
      <c r="P2060"/>
      <c r="Q2060"/>
      <c r="W2060" s="28"/>
      <c r="AA2060"/>
    </row>
    <row r="2061" spans="1:27" x14ac:dyDescent="0.45">
      <c r="A2061" s="57">
        <v>125</v>
      </c>
      <c r="B2061" t="s">
        <v>74</v>
      </c>
      <c r="C2061" t="s">
        <v>75</v>
      </c>
      <c r="D2061" s="12">
        <v>46313</v>
      </c>
      <c r="E2061" s="11">
        <v>12</v>
      </c>
      <c r="F2061" s="11" t="s">
        <v>6946</v>
      </c>
      <c r="G2061">
        <v>20260701</v>
      </c>
      <c r="I2061" s="11" t="s">
        <v>63</v>
      </c>
      <c r="J2061" s="72">
        <v>20624926</v>
      </c>
      <c r="K2061" s="99">
        <f>_xlfn.XLOOKUP(_2__ROI_Daily_Update[[#This Row],[CSM id]],SHP!F:F,SHP!EE:EE,"-")</f>
        <v>0</v>
      </c>
      <c r="L2061" s="12"/>
      <c r="N2061" s="11"/>
      <c r="P2061"/>
      <c r="Q2061"/>
      <c r="W2061" s="28"/>
      <c r="AA2061"/>
    </row>
    <row r="2062" spans="1:27" x14ac:dyDescent="0.45">
      <c r="A2062" s="57">
        <v>125</v>
      </c>
      <c r="B2062" t="s">
        <v>74</v>
      </c>
      <c r="C2062" t="s">
        <v>75</v>
      </c>
      <c r="D2062" s="12">
        <v>46313</v>
      </c>
      <c r="E2062" s="11">
        <v>6</v>
      </c>
      <c r="F2062" s="11" t="s">
        <v>7400</v>
      </c>
      <c r="G2062">
        <v>20260701</v>
      </c>
      <c r="I2062" s="11" t="s">
        <v>63</v>
      </c>
      <c r="J2062" s="72">
        <v>20624926</v>
      </c>
      <c r="K2062" s="99">
        <f>_xlfn.XLOOKUP(_2__ROI_Daily_Update[[#This Row],[CSM id]],SHP!F:F,SHP!EE:EE,"-")</f>
        <v>0</v>
      </c>
      <c r="L2062" s="12"/>
      <c r="N2062" s="11"/>
      <c r="P2062"/>
      <c r="Q2062"/>
      <c r="W2062" s="28"/>
      <c r="AA2062"/>
    </row>
    <row r="2063" spans="1:27" x14ac:dyDescent="0.45">
      <c r="A2063" s="57">
        <v>1641</v>
      </c>
      <c r="B2063" t="s">
        <v>3121</v>
      </c>
      <c r="C2063" t="s">
        <v>3122</v>
      </c>
      <c r="D2063" s="12">
        <v>46313</v>
      </c>
      <c r="E2063" s="11">
        <v>80</v>
      </c>
      <c r="F2063" s="11" t="s">
        <v>7480</v>
      </c>
      <c r="G2063">
        <v>20240401</v>
      </c>
      <c r="I2063" s="11" t="s">
        <v>63</v>
      </c>
      <c r="J2063" s="72">
        <v>550040</v>
      </c>
      <c r="K2063" s="99">
        <f>_xlfn.XLOOKUP(_2__ROI_Daily_Update[[#This Row],[CSM id]],SHP!F:F,SHP!EE:EE,"-")</f>
        <v>0</v>
      </c>
      <c r="L2063" s="12"/>
      <c r="N2063" s="11"/>
      <c r="P2063"/>
      <c r="Q2063"/>
      <c r="W2063" s="28"/>
      <c r="AA2063"/>
    </row>
    <row r="2064" spans="1:27" x14ac:dyDescent="0.45">
      <c r="A2064" s="57">
        <v>125</v>
      </c>
      <c r="B2064" t="s">
        <v>74</v>
      </c>
      <c r="C2064" t="s">
        <v>75</v>
      </c>
      <c r="D2064" s="12">
        <v>46313</v>
      </c>
      <c r="E2064" s="11">
        <v>18</v>
      </c>
      <c r="F2064" s="11" t="s">
        <v>7410</v>
      </c>
      <c r="G2064">
        <v>20260701</v>
      </c>
      <c r="I2064" s="11" t="s">
        <v>63</v>
      </c>
      <c r="J2064" s="72">
        <v>20624926</v>
      </c>
      <c r="K2064" s="99">
        <f>_xlfn.XLOOKUP(_2__ROI_Daily_Update[[#This Row],[CSM id]],SHP!F:F,SHP!EE:EE,"-")</f>
        <v>0</v>
      </c>
      <c r="L2064" s="12"/>
      <c r="N2064" s="11"/>
      <c r="P2064"/>
      <c r="Q2064"/>
      <c r="W2064" s="28"/>
      <c r="AA2064"/>
    </row>
    <row r="2065" spans="1:27" x14ac:dyDescent="0.45">
      <c r="A2065" s="57">
        <v>1641</v>
      </c>
      <c r="B2065" t="s">
        <v>7113</v>
      </c>
      <c r="C2065" t="s">
        <v>7114</v>
      </c>
      <c r="D2065" s="12">
        <v>46313</v>
      </c>
      <c r="E2065" s="11">
        <v>40</v>
      </c>
      <c r="F2065" s="11" t="s">
        <v>7480</v>
      </c>
      <c r="G2065">
        <v>20240401</v>
      </c>
      <c r="I2065" s="11" t="s">
        <v>63</v>
      </c>
      <c r="J2065" s="72">
        <v>550035</v>
      </c>
      <c r="K2065" s="99">
        <f>_xlfn.XLOOKUP(_2__ROI_Daily_Update[[#This Row],[CSM id]],SHP!F:F,SHP!EE:EE,"-")</f>
        <v>0</v>
      </c>
      <c r="L2065" s="12"/>
      <c r="N2065" s="11"/>
      <c r="P2065"/>
      <c r="Q2065"/>
      <c r="W2065" s="28"/>
      <c r="AA2065"/>
    </row>
    <row r="2066" spans="1:27" x14ac:dyDescent="0.45">
      <c r="A2066" s="57">
        <v>1641</v>
      </c>
      <c r="B2066" t="s">
        <v>3119</v>
      </c>
      <c r="C2066" t="s">
        <v>3120</v>
      </c>
      <c r="D2066" s="12">
        <v>46313</v>
      </c>
      <c r="E2066" s="11">
        <v>32</v>
      </c>
      <c r="F2066" s="11" t="s">
        <v>7453</v>
      </c>
      <c r="G2066">
        <v>20190401</v>
      </c>
      <c r="I2066" s="11" t="s">
        <v>63</v>
      </c>
      <c r="J2066" s="72">
        <v>427291</v>
      </c>
      <c r="K2066" s="99">
        <f>_xlfn.XLOOKUP(_2__ROI_Daily_Update[[#This Row],[CSM id]],SHP!F:F,SHP!EE:EE,"-")</f>
        <v>0</v>
      </c>
      <c r="L2066" s="12"/>
      <c r="N2066" s="11"/>
      <c r="P2066"/>
      <c r="Q2066"/>
      <c r="W2066" s="28"/>
      <c r="AA2066"/>
    </row>
    <row r="2067" spans="1:27" x14ac:dyDescent="0.45">
      <c r="A2067" s="57">
        <v>1641</v>
      </c>
      <c r="B2067" t="s">
        <v>3119</v>
      </c>
      <c r="C2067" t="s">
        <v>3120</v>
      </c>
      <c r="D2067" s="12">
        <v>46313</v>
      </c>
      <c r="E2067" s="11">
        <v>48</v>
      </c>
      <c r="F2067" s="11" t="s">
        <v>7430</v>
      </c>
      <c r="G2067">
        <v>20190401</v>
      </c>
      <c r="I2067" s="11" t="s">
        <v>63</v>
      </c>
      <c r="J2067" s="72">
        <v>427291</v>
      </c>
      <c r="K2067" s="99">
        <f>_xlfn.XLOOKUP(_2__ROI_Daily_Update[[#This Row],[CSM id]],SHP!F:F,SHP!EE:EE,"-")</f>
        <v>0</v>
      </c>
      <c r="L2067" s="12"/>
      <c r="N2067" s="11"/>
      <c r="P2067"/>
      <c r="Q2067"/>
      <c r="W2067" s="28"/>
      <c r="AA2067"/>
    </row>
    <row r="2068" spans="1:27" x14ac:dyDescent="0.45">
      <c r="A2068" s="57">
        <v>1882</v>
      </c>
      <c r="B2068" t="s">
        <v>3743</v>
      </c>
      <c r="C2068" t="s">
        <v>3744</v>
      </c>
      <c r="D2068" s="12">
        <v>46313</v>
      </c>
      <c r="E2068" s="11">
        <v>504</v>
      </c>
      <c r="F2068" s="11" t="s">
        <v>7499</v>
      </c>
      <c r="G2068">
        <v>20140801</v>
      </c>
      <c r="I2068" s="11" t="s">
        <v>18</v>
      </c>
      <c r="J2068" s="72">
        <v>70147758</v>
      </c>
      <c r="K2068" s="99">
        <f>_xlfn.XLOOKUP(_2__ROI_Daily_Update[[#This Row],[CSM id]],SHP!F:F,SHP!EE:EE,"-")</f>
        <v>0</v>
      </c>
      <c r="L2068" s="12"/>
      <c r="N2068" s="11"/>
      <c r="P2068"/>
      <c r="Q2068"/>
      <c r="W2068" s="28"/>
      <c r="AA2068"/>
    </row>
    <row r="2069" spans="1:27" x14ac:dyDescent="0.45">
      <c r="A2069" s="57">
        <v>1641</v>
      </c>
      <c r="B2069" t="s">
        <v>3115</v>
      </c>
      <c r="C2069" t="s">
        <v>3116</v>
      </c>
      <c r="D2069" s="12">
        <v>46313</v>
      </c>
      <c r="E2069" s="11">
        <v>54</v>
      </c>
      <c r="F2069" s="11" t="s">
        <v>7420</v>
      </c>
      <c r="G2069">
        <v>20170801</v>
      </c>
      <c r="H2069" s="12">
        <v>46388</v>
      </c>
      <c r="I2069" s="11" t="s">
        <v>63</v>
      </c>
      <c r="J2069" s="72">
        <v>286762</v>
      </c>
      <c r="K2069" s="99">
        <f>_xlfn.XLOOKUP(_2__ROI_Daily_Update[[#This Row],[CSM id]],SHP!F:F,SHP!EE:EE,"-")</f>
        <v>0</v>
      </c>
      <c r="L2069" s="12"/>
      <c r="N2069" s="11"/>
      <c r="P2069"/>
      <c r="Q2069"/>
      <c r="W2069" s="28"/>
      <c r="AA2069"/>
    </row>
    <row r="2070" spans="1:27" x14ac:dyDescent="0.45">
      <c r="A2070" s="57">
        <v>1641</v>
      </c>
      <c r="B2070" t="s">
        <v>3115</v>
      </c>
      <c r="C2070" t="s">
        <v>3116</v>
      </c>
      <c r="D2070" s="12">
        <v>46313</v>
      </c>
      <c r="E2070" s="11">
        <v>18</v>
      </c>
      <c r="F2070" s="11" t="s">
        <v>7430</v>
      </c>
      <c r="G2070">
        <v>20170801</v>
      </c>
      <c r="H2070" s="12">
        <v>46388</v>
      </c>
      <c r="I2070" s="11" t="s">
        <v>63</v>
      </c>
      <c r="J2070" s="72">
        <v>286762</v>
      </c>
      <c r="K2070" s="99">
        <f>_xlfn.XLOOKUP(_2__ROI_Daily_Update[[#This Row],[CSM id]],SHP!F:F,SHP!EE:EE,"-")</f>
        <v>0</v>
      </c>
      <c r="L2070" s="12"/>
      <c r="N2070" s="11"/>
      <c r="P2070"/>
      <c r="Q2070"/>
      <c r="W2070" s="28"/>
      <c r="AA2070"/>
    </row>
    <row r="2071" spans="1:27" x14ac:dyDescent="0.45">
      <c r="A2071" s="57">
        <v>1637</v>
      </c>
      <c r="B2071" t="s">
        <v>6411</v>
      </c>
      <c r="C2071" t="s">
        <v>6412</v>
      </c>
      <c r="D2071" s="12">
        <v>46313</v>
      </c>
      <c r="E2071" s="11">
        <v>132</v>
      </c>
      <c r="F2071" s="11" t="s">
        <v>7453</v>
      </c>
      <c r="G2071">
        <v>20261001</v>
      </c>
      <c r="H2071" s="12">
        <v>46388</v>
      </c>
      <c r="I2071" s="11" t="s">
        <v>63</v>
      </c>
      <c r="J2071" s="72">
        <v>90633395</v>
      </c>
      <c r="K2071" s="99">
        <f>_xlfn.XLOOKUP(_2__ROI_Daily_Update[[#This Row],[CSM id]],SHP!F:F,SHP!EE:EE,"-")</f>
        <v>0</v>
      </c>
      <c r="L2071" s="12"/>
      <c r="N2071" s="11"/>
      <c r="P2071"/>
      <c r="Q2071"/>
      <c r="W2071" s="28"/>
      <c r="AA2071"/>
    </row>
    <row r="2072" spans="1:27" x14ac:dyDescent="0.45">
      <c r="A2072" s="57">
        <v>1637</v>
      </c>
      <c r="B2072" t="s">
        <v>6445</v>
      </c>
      <c r="C2072" t="s">
        <v>6446</v>
      </c>
      <c r="D2072" s="12">
        <v>46313</v>
      </c>
      <c r="E2072" s="11">
        <v>144</v>
      </c>
      <c r="F2072" s="11" t="s">
        <v>7453</v>
      </c>
      <c r="G2072">
        <v>20261001</v>
      </c>
      <c r="H2072" s="12">
        <v>46388</v>
      </c>
      <c r="I2072" s="11" t="s">
        <v>63</v>
      </c>
      <c r="J2072" s="72">
        <v>30640346</v>
      </c>
      <c r="K2072" s="99">
        <f>_xlfn.XLOOKUP(_2__ROI_Daily_Update[[#This Row],[CSM id]],SHP!F:F,SHP!EE:EE,"-")</f>
        <v>0</v>
      </c>
      <c r="L2072" s="12"/>
      <c r="N2072" s="11"/>
      <c r="P2072"/>
      <c r="Q2072"/>
      <c r="W2072" s="28"/>
      <c r="AA2072"/>
    </row>
    <row r="2073" spans="1:27" x14ac:dyDescent="0.45">
      <c r="A2073" s="57">
        <v>1637</v>
      </c>
      <c r="B2073" t="s">
        <v>7079</v>
      </c>
      <c r="C2073" t="s">
        <v>7080</v>
      </c>
      <c r="D2073" s="12">
        <v>46313</v>
      </c>
      <c r="E2073" s="11">
        <v>20</v>
      </c>
      <c r="F2073" s="11" t="s">
        <v>7480</v>
      </c>
      <c r="G2073">
        <v>20261001</v>
      </c>
      <c r="H2073" s="12">
        <v>46388</v>
      </c>
      <c r="I2073" s="11" t="s">
        <v>63</v>
      </c>
      <c r="J2073" s="72">
        <v>30640351</v>
      </c>
      <c r="K2073" s="99">
        <f>_xlfn.XLOOKUP(_2__ROI_Daily_Update[[#This Row],[CSM id]],SHP!F:F,SHP!EE:EE,"-")</f>
        <v>0</v>
      </c>
      <c r="L2073" s="12"/>
      <c r="N2073" s="11"/>
      <c r="P2073"/>
      <c r="Q2073"/>
      <c r="W2073" s="28"/>
      <c r="AA2073"/>
    </row>
    <row r="2074" spans="1:27" x14ac:dyDescent="0.45">
      <c r="A2074" s="57">
        <v>1637</v>
      </c>
      <c r="B2074" t="s">
        <v>6163</v>
      </c>
      <c r="C2074" t="s">
        <v>6164</v>
      </c>
      <c r="D2074" s="12">
        <v>46313</v>
      </c>
      <c r="E2074" s="11">
        <v>120</v>
      </c>
      <c r="F2074" s="11" t="s">
        <v>7440</v>
      </c>
      <c r="G2074">
        <v>20261001</v>
      </c>
      <c r="H2074" s="12">
        <v>46388</v>
      </c>
      <c r="I2074" s="11" t="s">
        <v>63</v>
      </c>
      <c r="J2074" s="72">
        <v>40635429</v>
      </c>
      <c r="K2074" s="99">
        <f>_xlfn.XLOOKUP(_2__ROI_Daily_Update[[#This Row],[CSM id]],SHP!F:F,SHP!EE:EE,"-")</f>
        <v>0</v>
      </c>
      <c r="L2074" s="12"/>
      <c r="N2074" s="11"/>
      <c r="P2074"/>
      <c r="Q2074"/>
      <c r="W2074" s="28"/>
      <c r="AA2074"/>
    </row>
    <row r="2075" spans="1:27" x14ac:dyDescent="0.45">
      <c r="A2075" s="57">
        <v>1637</v>
      </c>
      <c r="B2075" t="s">
        <v>3107</v>
      </c>
      <c r="C2075" t="s">
        <v>3108</v>
      </c>
      <c r="D2075" s="12">
        <v>46313</v>
      </c>
      <c r="E2075" s="11">
        <v>480</v>
      </c>
      <c r="F2075" s="11" t="s">
        <v>6946</v>
      </c>
      <c r="G2075">
        <v>20261001</v>
      </c>
      <c r="H2075" s="12">
        <v>46388</v>
      </c>
      <c r="I2075" s="11" t="s">
        <v>63</v>
      </c>
      <c r="J2075" s="72">
        <v>50633397</v>
      </c>
      <c r="K2075" s="99">
        <f>_xlfn.XLOOKUP(_2__ROI_Daily_Update[[#This Row],[CSM id]],SHP!F:F,SHP!EE:EE,"-")</f>
        <v>0</v>
      </c>
      <c r="L2075" s="12"/>
      <c r="N2075" s="11"/>
      <c r="P2075"/>
      <c r="Q2075"/>
      <c r="W2075" s="28"/>
      <c r="AA2075"/>
    </row>
    <row r="2076" spans="1:27" x14ac:dyDescent="0.45">
      <c r="A2076" s="57">
        <v>1637</v>
      </c>
      <c r="B2076" t="s">
        <v>5987</v>
      </c>
      <c r="C2076" t="s">
        <v>5988</v>
      </c>
      <c r="D2076" s="12">
        <v>46313</v>
      </c>
      <c r="E2076" s="11">
        <v>96</v>
      </c>
      <c r="F2076" s="11" t="s">
        <v>6946</v>
      </c>
      <c r="G2076">
        <v>20261001</v>
      </c>
      <c r="H2076" s="12">
        <v>46388</v>
      </c>
      <c r="I2076" s="11" t="s">
        <v>63</v>
      </c>
      <c r="J2076" s="72">
        <v>50637220</v>
      </c>
      <c r="K2076" s="99">
        <f>_xlfn.XLOOKUP(_2__ROI_Daily_Update[[#This Row],[CSM id]],SHP!F:F,SHP!EE:EE,"-")</f>
        <v>0</v>
      </c>
      <c r="L2076" s="12"/>
      <c r="N2076" s="11"/>
      <c r="P2076"/>
      <c r="Q2076"/>
      <c r="W2076" s="28"/>
      <c r="AA2076"/>
    </row>
    <row r="2077" spans="1:27" x14ac:dyDescent="0.45">
      <c r="A2077" s="57">
        <v>1637</v>
      </c>
      <c r="B2077" t="s">
        <v>3109</v>
      </c>
      <c r="C2077" t="s">
        <v>3110</v>
      </c>
      <c r="D2077" s="12">
        <v>46313</v>
      </c>
      <c r="E2077" s="11">
        <v>40</v>
      </c>
      <c r="F2077" s="11" t="s">
        <v>7410</v>
      </c>
      <c r="G2077">
        <v>20261001</v>
      </c>
      <c r="H2077" s="12">
        <v>46388</v>
      </c>
      <c r="I2077" s="11" t="s">
        <v>63</v>
      </c>
      <c r="J2077" s="72">
        <v>60633429</v>
      </c>
      <c r="K2077" s="99">
        <f>_xlfn.XLOOKUP(_2__ROI_Daily_Update[[#This Row],[CSM id]],SHP!F:F,SHP!EE:EE,"-")</f>
        <v>0</v>
      </c>
      <c r="L2077" s="12"/>
      <c r="N2077" s="11"/>
      <c r="P2077"/>
      <c r="Q2077"/>
      <c r="W2077" s="28"/>
      <c r="AA2077"/>
    </row>
    <row r="2078" spans="1:27" x14ac:dyDescent="0.45">
      <c r="A2078" s="57">
        <v>125</v>
      </c>
      <c r="B2078" t="s">
        <v>74</v>
      </c>
      <c r="C2078" t="s">
        <v>75</v>
      </c>
      <c r="D2078" s="12">
        <v>46313</v>
      </c>
      <c r="E2078" s="11">
        <v>12</v>
      </c>
      <c r="F2078" s="11" t="s">
        <v>7420</v>
      </c>
      <c r="G2078">
        <v>20260701</v>
      </c>
      <c r="I2078" s="11" t="s">
        <v>63</v>
      </c>
      <c r="J2078" s="72">
        <v>20624926</v>
      </c>
      <c r="K2078" s="99">
        <f>_xlfn.XLOOKUP(_2__ROI_Daily_Update[[#This Row],[CSM id]],SHP!F:F,SHP!EE:EE,"-")</f>
        <v>0</v>
      </c>
      <c r="L2078" s="12"/>
      <c r="N2078" s="11"/>
      <c r="P2078"/>
      <c r="Q2078"/>
      <c r="W2078" s="28"/>
      <c r="AA2078"/>
    </row>
    <row r="2079" spans="1:27" x14ac:dyDescent="0.45">
      <c r="A2079" s="57">
        <v>1637</v>
      </c>
      <c r="B2079" t="s">
        <v>3109</v>
      </c>
      <c r="C2079" t="s">
        <v>3110</v>
      </c>
      <c r="D2079" s="12">
        <v>46313</v>
      </c>
      <c r="E2079" s="11">
        <v>240</v>
      </c>
      <c r="F2079" s="11" t="s">
        <v>6946</v>
      </c>
      <c r="G2079">
        <v>20261001</v>
      </c>
      <c r="H2079" s="12">
        <v>46388</v>
      </c>
      <c r="I2079" s="11" t="s">
        <v>63</v>
      </c>
      <c r="J2079" s="72">
        <v>60633429</v>
      </c>
      <c r="K2079" s="99">
        <f>_xlfn.XLOOKUP(_2__ROI_Daily_Update[[#This Row],[CSM id]],SHP!F:F,SHP!EE:EE,"-")</f>
        <v>0</v>
      </c>
      <c r="L2079" s="12"/>
      <c r="N2079" s="11"/>
      <c r="P2079"/>
      <c r="Q2079"/>
      <c r="W2079" s="28"/>
      <c r="AA2079"/>
    </row>
    <row r="2080" spans="1:27" x14ac:dyDescent="0.45">
      <c r="A2080" s="57">
        <v>1637</v>
      </c>
      <c r="B2080" t="s">
        <v>5989</v>
      </c>
      <c r="C2080" t="s">
        <v>5990</v>
      </c>
      <c r="D2080" s="12">
        <v>46313</v>
      </c>
      <c r="E2080" s="11">
        <v>140</v>
      </c>
      <c r="F2080" s="11" t="s">
        <v>7475</v>
      </c>
      <c r="G2080">
        <v>20261001</v>
      </c>
      <c r="H2080" s="12">
        <v>46388</v>
      </c>
      <c r="I2080" s="11" t="s">
        <v>63</v>
      </c>
      <c r="J2080" s="72">
        <v>60636692</v>
      </c>
      <c r="K2080" s="99">
        <f>_xlfn.XLOOKUP(_2__ROI_Daily_Update[[#This Row],[CSM id]],SHP!F:F,SHP!EE:EE,"-")</f>
        <v>0</v>
      </c>
      <c r="L2080" s="12"/>
      <c r="N2080" s="11"/>
      <c r="P2080"/>
      <c r="Q2080"/>
      <c r="W2080" s="28"/>
      <c r="AA2080"/>
    </row>
    <row r="2081" spans="1:27" x14ac:dyDescent="0.45">
      <c r="A2081" s="57">
        <v>1637</v>
      </c>
      <c r="B2081" t="s">
        <v>6161</v>
      </c>
      <c r="C2081" t="s">
        <v>6162</v>
      </c>
      <c r="D2081" s="12">
        <v>46313</v>
      </c>
      <c r="E2081" s="11">
        <v>858</v>
      </c>
      <c r="F2081" s="11" t="s">
        <v>7435</v>
      </c>
      <c r="G2081">
        <v>20261001</v>
      </c>
      <c r="H2081" s="12">
        <v>46388</v>
      </c>
      <c r="I2081" s="11" t="s">
        <v>63</v>
      </c>
      <c r="J2081" s="72">
        <v>60637031</v>
      </c>
      <c r="K2081" s="99">
        <f>_xlfn.XLOOKUP(_2__ROI_Daily_Update[[#This Row],[CSM id]],SHP!F:F,SHP!EE:EE,"-")</f>
        <v>0</v>
      </c>
      <c r="L2081" s="12"/>
      <c r="N2081" s="11"/>
      <c r="P2081"/>
      <c r="Q2081"/>
      <c r="W2081" s="28"/>
      <c r="AA2081"/>
    </row>
    <row r="2082" spans="1:27" x14ac:dyDescent="0.45">
      <c r="A2082" s="57">
        <v>1637</v>
      </c>
      <c r="B2082" t="s">
        <v>6405</v>
      </c>
      <c r="C2082" t="s">
        <v>6406</v>
      </c>
      <c r="D2082" s="12">
        <v>46313</v>
      </c>
      <c r="E2082" s="11">
        <v>40</v>
      </c>
      <c r="F2082" s="11" t="s">
        <v>7453</v>
      </c>
      <c r="G2082">
        <v>20261001</v>
      </c>
      <c r="H2082" s="12">
        <v>46388</v>
      </c>
      <c r="I2082" s="11" t="s">
        <v>63</v>
      </c>
      <c r="J2082" s="72">
        <v>60637093</v>
      </c>
      <c r="K2082" s="99">
        <f>_xlfn.XLOOKUP(_2__ROI_Daily_Update[[#This Row],[CSM id]],SHP!F:F,SHP!EE:EE,"-")</f>
        <v>0</v>
      </c>
      <c r="L2082" s="12"/>
      <c r="N2082" s="11"/>
      <c r="P2082"/>
      <c r="Q2082"/>
      <c r="W2082" s="28"/>
      <c r="AA2082"/>
    </row>
    <row r="2083" spans="1:27" x14ac:dyDescent="0.45">
      <c r="A2083" s="57">
        <v>1637</v>
      </c>
      <c r="B2083" t="s">
        <v>6419</v>
      </c>
      <c r="C2083" t="s">
        <v>6420</v>
      </c>
      <c r="D2083" s="12">
        <v>46313</v>
      </c>
      <c r="E2083" s="11">
        <v>120</v>
      </c>
      <c r="F2083" s="11" t="s">
        <v>7453</v>
      </c>
      <c r="G2083">
        <v>20261001</v>
      </c>
      <c r="H2083" s="12">
        <v>46388</v>
      </c>
      <c r="I2083" s="11" t="s">
        <v>63</v>
      </c>
      <c r="J2083" s="72">
        <v>70633358</v>
      </c>
      <c r="K2083" s="99">
        <f>_xlfn.XLOOKUP(_2__ROI_Daily_Update[[#This Row],[CSM id]],SHP!F:F,SHP!EE:EE,"-")</f>
        <v>0</v>
      </c>
      <c r="L2083" s="12"/>
      <c r="N2083" s="11"/>
      <c r="P2083"/>
      <c r="Q2083"/>
      <c r="W2083" s="28"/>
      <c r="AA2083"/>
    </row>
    <row r="2084" spans="1:27" x14ac:dyDescent="0.45">
      <c r="A2084" s="57">
        <v>1637</v>
      </c>
      <c r="B2084" t="s">
        <v>3111</v>
      </c>
      <c r="C2084" t="s">
        <v>3112</v>
      </c>
      <c r="D2084" s="12">
        <v>46313</v>
      </c>
      <c r="E2084" s="11">
        <v>48</v>
      </c>
      <c r="F2084" s="11" t="s">
        <v>7410</v>
      </c>
      <c r="G2084">
        <v>20261001</v>
      </c>
      <c r="H2084" s="12">
        <v>46388</v>
      </c>
      <c r="I2084" s="11" t="s">
        <v>63</v>
      </c>
      <c r="J2084" s="72">
        <v>70633363</v>
      </c>
      <c r="K2084" s="99">
        <f>_xlfn.XLOOKUP(_2__ROI_Daily_Update[[#This Row],[CSM id]],SHP!F:F,SHP!EE:EE,"-")</f>
        <v>0</v>
      </c>
      <c r="L2084" s="12"/>
      <c r="N2084" s="11"/>
      <c r="P2084"/>
      <c r="Q2084"/>
      <c r="W2084" s="28"/>
      <c r="AA2084"/>
    </row>
    <row r="2085" spans="1:27" x14ac:dyDescent="0.45">
      <c r="A2085" s="57">
        <v>1637</v>
      </c>
      <c r="B2085" t="s">
        <v>3113</v>
      </c>
      <c r="C2085" t="s">
        <v>3114</v>
      </c>
      <c r="D2085" s="12">
        <v>46313</v>
      </c>
      <c r="E2085" s="11">
        <v>250</v>
      </c>
      <c r="F2085" s="11" t="s">
        <v>7453</v>
      </c>
      <c r="G2085">
        <v>20261001</v>
      </c>
      <c r="H2085" s="12">
        <v>46388</v>
      </c>
      <c r="I2085" s="11" t="s">
        <v>63</v>
      </c>
      <c r="J2085" s="72">
        <v>80637327</v>
      </c>
      <c r="K2085" s="99">
        <f>_xlfn.XLOOKUP(_2__ROI_Daily_Update[[#This Row],[CSM id]],SHP!F:F,SHP!EE:EE,"-")</f>
        <v>0</v>
      </c>
      <c r="L2085" s="12"/>
      <c r="N2085" s="11"/>
      <c r="P2085"/>
      <c r="Q2085"/>
      <c r="W2085" s="28"/>
      <c r="AA2085"/>
    </row>
    <row r="2086" spans="1:27" x14ac:dyDescent="0.45">
      <c r="A2086" s="57">
        <v>1637</v>
      </c>
      <c r="B2086" t="s">
        <v>5989</v>
      </c>
      <c r="C2086" t="s">
        <v>5990</v>
      </c>
      <c r="D2086" s="12">
        <v>46313</v>
      </c>
      <c r="E2086" s="11">
        <v>270</v>
      </c>
      <c r="F2086" s="11" t="s">
        <v>6940</v>
      </c>
      <c r="G2086">
        <v>20261001</v>
      </c>
      <c r="H2086" s="12">
        <v>46388</v>
      </c>
      <c r="I2086" s="11" t="s">
        <v>63</v>
      </c>
      <c r="J2086" s="72">
        <v>60636692</v>
      </c>
      <c r="K2086" s="99">
        <f>_xlfn.XLOOKUP(_2__ROI_Daily_Update[[#This Row],[CSM id]],SHP!F:F,SHP!EE:EE,"-")</f>
        <v>0</v>
      </c>
      <c r="L2086" s="12"/>
      <c r="N2086" s="11"/>
      <c r="P2086"/>
      <c r="Q2086"/>
      <c r="W2086" s="28"/>
      <c r="AA2086"/>
    </row>
    <row r="2087" spans="1:27" x14ac:dyDescent="0.45">
      <c r="A2087" s="57">
        <v>1637</v>
      </c>
      <c r="B2087" t="s">
        <v>5755</v>
      </c>
      <c r="C2087" t="s">
        <v>5756</v>
      </c>
      <c r="D2087" s="12">
        <v>46313</v>
      </c>
      <c r="E2087" s="11">
        <v>70</v>
      </c>
      <c r="F2087" s="11" t="s">
        <v>7400</v>
      </c>
      <c r="G2087">
        <v>20261001</v>
      </c>
      <c r="H2087" s="12">
        <v>46388</v>
      </c>
      <c r="I2087" s="11" t="s">
        <v>63</v>
      </c>
      <c r="J2087" s="72">
        <v>20637349</v>
      </c>
      <c r="K2087" s="99">
        <f>_xlfn.XLOOKUP(_2__ROI_Daily_Update[[#This Row],[CSM id]],SHP!F:F,SHP!EE:EE,"-")</f>
        <v>0</v>
      </c>
      <c r="L2087" s="12"/>
      <c r="N2087" s="11"/>
      <c r="P2087"/>
      <c r="Q2087"/>
      <c r="W2087" s="28"/>
      <c r="AA2087"/>
    </row>
    <row r="2088" spans="1:27" x14ac:dyDescent="0.45">
      <c r="A2088" s="57">
        <v>1641</v>
      </c>
      <c r="B2088" t="s">
        <v>3129</v>
      </c>
      <c r="C2088" t="s">
        <v>3130</v>
      </c>
      <c r="D2088" s="12">
        <v>46313</v>
      </c>
      <c r="E2088" s="11">
        <v>32</v>
      </c>
      <c r="F2088" s="11" t="s">
        <v>7430</v>
      </c>
      <c r="G2088">
        <v>20180201</v>
      </c>
      <c r="I2088" s="11" t="s">
        <v>63</v>
      </c>
      <c r="J2088" s="72">
        <v>10387119</v>
      </c>
      <c r="K2088" s="99">
        <f>_xlfn.XLOOKUP(_2__ROI_Daily_Update[[#This Row],[CSM id]],SHP!F:F,SHP!EE:EE,"-")</f>
        <v>0</v>
      </c>
      <c r="L2088" s="12"/>
      <c r="N2088" s="11"/>
      <c r="P2088"/>
      <c r="Q2088"/>
      <c r="W2088" s="28"/>
      <c r="AA2088"/>
    </row>
    <row r="2089" spans="1:27" x14ac:dyDescent="0.45">
      <c r="A2089" s="57">
        <v>1641</v>
      </c>
      <c r="B2089" t="s">
        <v>3133</v>
      </c>
      <c r="C2089" t="s">
        <v>3134</v>
      </c>
      <c r="D2089" s="12">
        <v>46313</v>
      </c>
      <c r="E2089" s="11">
        <v>8</v>
      </c>
      <c r="F2089" s="11" t="s">
        <v>7410</v>
      </c>
      <c r="G2089">
        <v>20251001</v>
      </c>
      <c r="I2089" s="11" t="s">
        <v>63</v>
      </c>
      <c r="J2089" s="72">
        <v>10594331</v>
      </c>
      <c r="K2089" s="99">
        <f>_xlfn.XLOOKUP(_2__ROI_Daily_Update[[#This Row],[CSM id]],SHP!F:F,SHP!EE:EE,"-")</f>
        <v>0</v>
      </c>
      <c r="L2089" s="12"/>
      <c r="N2089" s="11"/>
      <c r="P2089"/>
      <c r="Q2089"/>
      <c r="W2089" s="28"/>
      <c r="AA2089"/>
    </row>
    <row r="2090" spans="1:27" x14ac:dyDescent="0.45">
      <c r="A2090" s="57">
        <v>1641</v>
      </c>
      <c r="B2090" t="s">
        <v>3171</v>
      </c>
      <c r="C2090" t="s">
        <v>3172</v>
      </c>
      <c r="D2090" s="12">
        <v>46313</v>
      </c>
      <c r="E2090" s="11">
        <v>10</v>
      </c>
      <c r="F2090" s="11" t="s">
        <v>7425</v>
      </c>
      <c r="G2090">
        <v>20260101</v>
      </c>
      <c r="I2090" s="11" t="s">
        <v>63</v>
      </c>
      <c r="J2090" s="72">
        <v>60611007</v>
      </c>
      <c r="K2090" s="99">
        <f>_xlfn.XLOOKUP(_2__ROI_Daily_Update[[#This Row],[CSM id]],SHP!F:F,SHP!EE:EE,"-")</f>
        <v>0</v>
      </c>
      <c r="L2090" s="12"/>
      <c r="N2090" s="11"/>
      <c r="P2090"/>
      <c r="Q2090"/>
      <c r="W2090" s="28"/>
      <c r="AA2090"/>
    </row>
    <row r="2091" spans="1:27" x14ac:dyDescent="0.45">
      <c r="A2091" s="57">
        <v>1641</v>
      </c>
      <c r="B2091" t="s">
        <v>5919</v>
      </c>
      <c r="C2091" t="s">
        <v>5920</v>
      </c>
      <c r="D2091" s="12">
        <v>46313</v>
      </c>
      <c r="E2091" s="11">
        <v>20</v>
      </c>
      <c r="F2091" s="11" t="s">
        <v>7468</v>
      </c>
      <c r="G2091">
        <v>20240401</v>
      </c>
      <c r="I2091" s="11" t="s">
        <v>18</v>
      </c>
      <c r="J2091" s="72">
        <v>60550103</v>
      </c>
      <c r="K2091" s="99">
        <f>_xlfn.XLOOKUP(_2__ROI_Daily_Update[[#This Row],[CSM id]],SHP!F:F,SHP!EE:EE,"-")</f>
        <v>0</v>
      </c>
      <c r="L2091" s="12"/>
      <c r="N2091" s="11"/>
      <c r="P2091"/>
      <c r="Q2091"/>
      <c r="W2091" s="28"/>
      <c r="AA2091"/>
    </row>
    <row r="2092" spans="1:27" x14ac:dyDescent="0.45">
      <c r="A2092" s="57">
        <v>1641</v>
      </c>
      <c r="B2092" t="s">
        <v>3169</v>
      </c>
      <c r="C2092" t="s">
        <v>3170</v>
      </c>
      <c r="D2092" s="12">
        <v>46313</v>
      </c>
      <c r="E2092" s="11">
        <v>22</v>
      </c>
      <c r="F2092" s="11" t="s">
        <v>7410</v>
      </c>
      <c r="G2092">
        <v>20240401</v>
      </c>
      <c r="I2092" s="11" t="s">
        <v>63</v>
      </c>
      <c r="J2092" s="72">
        <v>60550042</v>
      </c>
      <c r="K2092" s="99">
        <f>_xlfn.XLOOKUP(_2__ROI_Daily_Update[[#This Row],[CSM id]],SHP!F:F,SHP!EE:EE,"-")</f>
        <v>0</v>
      </c>
      <c r="L2092" s="12"/>
      <c r="N2092" s="11"/>
      <c r="P2092"/>
      <c r="Q2092"/>
      <c r="W2092" s="28"/>
      <c r="AA2092"/>
    </row>
    <row r="2093" spans="1:27" x14ac:dyDescent="0.45">
      <c r="A2093" s="57">
        <v>113</v>
      </c>
      <c r="B2093" t="s">
        <v>91</v>
      </c>
      <c r="C2093" t="s">
        <v>92</v>
      </c>
      <c r="D2093" s="12">
        <v>46313</v>
      </c>
      <c r="E2093" s="11">
        <v>2</v>
      </c>
      <c r="F2093" s="11" t="s">
        <v>7468</v>
      </c>
      <c r="G2093">
        <v>20241001</v>
      </c>
      <c r="H2093" s="12">
        <v>46569</v>
      </c>
      <c r="I2093" s="11" t="s">
        <v>32</v>
      </c>
      <c r="J2093" s="72">
        <v>60355762</v>
      </c>
      <c r="K2093" s="99">
        <f>_xlfn.XLOOKUP(_2__ROI_Daily_Update[[#This Row],[CSM id]],SHP!F:F,SHP!EE:EE,"-")</f>
        <v>0</v>
      </c>
      <c r="L2093" s="12"/>
      <c r="N2093" s="11"/>
      <c r="P2093"/>
      <c r="Q2093"/>
      <c r="W2093" s="28"/>
      <c r="AA2093"/>
    </row>
    <row r="2094" spans="1:27" x14ac:dyDescent="0.45">
      <c r="A2094" s="57">
        <v>1641</v>
      </c>
      <c r="B2094" t="s">
        <v>6309</v>
      </c>
      <c r="C2094" t="s">
        <v>6310</v>
      </c>
      <c r="D2094" s="12">
        <v>46313</v>
      </c>
      <c r="E2094" s="11">
        <v>30</v>
      </c>
      <c r="F2094" s="11" t="s">
        <v>7453</v>
      </c>
      <c r="G2094">
        <v>20190401</v>
      </c>
      <c r="I2094" s="11" t="s">
        <v>63</v>
      </c>
      <c r="J2094" s="72">
        <v>60427306</v>
      </c>
      <c r="K2094" s="99">
        <f>_xlfn.XLOOKUP(_2__ROI_Daily_Update[[#This Row],[CSM id]],SHP!F:F,SHP!EE:EE,"-")</f>
        <v>0</v>
      </c>
      <c r="L2094" s="12"/>
      <c r="N2094" s="11"/>
      <c r="P2094"/>
      <c r="Q2094"/>
      <c r="W2094" s="28"/>
      <c r="AA2094"/>
    </row>
    <row r="2095" spans="1:27" x14ac:dyDescent="0.45">
      <c r="A2095" s="57">
        <v>1641</v>
      </c>
      <c r="B2095" t="s">
        <v>3175</v>
      </c>
      <c r="C2095" t="s">
        <v>3176</v>
      </c>
      <c r="D2095" s="12">
        <v>46313</v>
      </c>
      <c r="E2095" s="11">
        <v>20</v>
      </c>
      <c r="F2095" s="11" t="s">
        <v>7420</v>
      </c>
      <c r="G2095">
        <v>20240401</v>
      </c>
      <c r="I2095" s="11" t="s">
        <v>63</v>
      </c>
      <c r="J2095" s="72">
        <v>70550027</v>
      </c>
      <c r="K2095" s="99">
        <f>_xlfn.XLOOKUP(_2__ROI_Daily_Update[[#This Row],[CSM id]],SHP!F:F,SHP!EE:EE,"-")</f>
        <v>0</v>
      </c>
      <c r="L2095" s="12"/>
      <c r="N2095" s="11"/>
      <c r="P2095"/>
      <c r="Q2095"/>
      <c r="W2095" s="28"/>
      <c r="AA2095"/>
    </row>
    <row r="2096" spans="1:27" x14ac:dyDescent="0.45">
      <c r="A2096" s="57">
        <v>1641</v>
      </c>
      <c r="B2096" t="s">
        <v>3163</v>
      </c>
      <c r="C2096" t="s">
        <v>3164</v>
      </c>
      <c r="D2096" s="12">
        <v>46313</v>
      </c>
      <c r="E2096" s="11">
        <v>128</v>
      </c>
      <c r="F2096" s="11" t="s">
        <v>7430</v>
      </c>
      <c r="G2096">
        <v>20190401</v>
      </c>
      <c r="I2096" s="11" t="s">
        <v>63</v>
      </c>
      <c r="J2096" s="72">
        <v>60427269</v>
      </c>
      <c r="K2096" s="99">
        <f>_xlfn.XLOOKUP(_2__ROI_Daily_Update[[#This Row],[CSM id]],SHP!F:F,SHP!EE:EE,"-")</f>
        <v>0</v>
      </c>
      <c r="L2096" s="12"/>
      <c r="N2096" s="11"/>
      <c r="P2096"/>
      <c r="Q2096"/>
      <c r="W2096" s="28"/>
      <c r="AA2096"/>
    </row>
    <row r="2097" spans="1:27" x14ac:dyDescent="0.45">
      <c r="A2097" s="57">
        <v>1641</v>
      </c>
      <c r="B2097" t="s">
        <v>3177</v>
      </c>
      <c r="C2097" t="s">
        <v>3178</v>
      </c>
      <c r="D2097" s="12">
        <v>46313</v>
      </c>
      <c r="E2097" s="11">
        <v>40</v>
      </c>
      <c r="F2097" s="11" t="s">
        <v>7420</v>
      </c>
      <c r="G2097">
        <v>20240401</v>
      </c>
      <c r="I2097" s="11" t="s">
        <v>63</v>
      </c>
      <c r="J2097" s="72">
        <v>70550032</v>
      </c>
      <c r="K2097" s="99">
        <f>_xlfn.XLOOKUP(_2__ROI_Daily_Update[[#This Row],[CSM id]],SHP!F:F,SHP!EE:EE,"-")</f>
        <v>0</v>
      </c>
      <c r="L2097" s="12"/>
      <c r="N2097" s="11"/>
      <c r="P2097"/>
      <c r="Q2097"/>
      <c r="W2097" s="28"/>
      <c r="AA2097"/>
    </row>
    <row r="2098" spans="1:27" x14ac:dyDescent="0.45">
      <c r="A2098" s="57">
        <v>1641</v>
      </c>
      <c r="B2098" t="s">
        <v>3161</v>
      </c>
      <c r="C2098" t="s">
        <v>3162</v>
      </c>
      <c r="D2098" s="12">
        <v>46313</v>
      </c>
      <c r="E2098" s="11">
        <v>18</v>
      </c>
      <c r="F2098" s="11" t="s">
        <v>7400</v>
      </c>
      <c r="G2098">
        <v>20210701</v>
      </c>
      <c r="I2098" s="11" t="s">
        <v>63</v>
      </c>
      <c r="J2098" s="72">
        <v>60335854</v>
      </c>
      <c r="K2098" s="99">
        <f>_xlfn.XLOOKUP(_2__ROI_Daily_Update[[#This Row],[CSM id]],SHP!F:F,SHP!EE:EE,"-")</f>
        <v>0</v>
      </c>
      <c r="L2098" s="12"/>
      <c r="N2098" s="11"/>
      <c r="P2098"/>
      <c r="Q2098"/>
      <c r="W2098" s="28"/>
      <c r="AA2098"/>
    </row>
    <row r="2099" spans="1:27" x14ac:dyDescent="0.45">
      <c r="A2099" s="57">
        <v>113</v>
      </c>
      <c r="B2099" t="s">
        <v>87</v>
      </c>
      <c r="C2099" t="s">
        <v>88</v>
      </c>
      <c r="D2099" s="12">
        <v>46313</v>
      </c>
      <c r="E2099" s="11">
        <v>12</v>
      </c>
      <c r="F2099" s="11" t="s">
        <v>7468</v>
      </c>
      <c r="G2099">
        <v>20140801</v>
      </c>
      <c r="I2099" s="11" t="s">
        <v>32</v>
      </c>
      <c r="J2099" s="72">
        <v>20160714</v>
      </c>
      <c r="K2099" s="99">
        <f>_xlfn.XLOOKUP(_2__ROI_Daily_Update[[#This Row],[CSM id]],SHP!F:F,SHP!EE:EE,"-")</f>
        <v>0</v>
      </c>
      <c r="L2099" s="12"/>
      <c r="N2099" s="11"/>
      <c r="P2099"/>
      <c r="Q2099"/>
      <c r="W2099" s="28"/>
      <c r="AA2099"/>
    </row>
    <row r="2100" spans="1:27" x14ac:dyDescent="0.45">
      <c r="A2100" s="57">
        <v>1641</v>
      </c>
      <c r="B2100" t="s">
        <v>6473</v>
      </c>
      <c r="C2100" t="s">
        <v>6474</v>
      </c>
      <c r="D2100" s="12">
        <v>46313</v>
      </c>
      <c r="E2100" s="11">
        <v>32</v>
      </c>
      <c r="F2100" s="11" t="s">
        <v>7453</v>
      </c>
      <c r="G2100">
        <v>20210701</v>
      </c>
      <c r="I2100" s="11" t="s">
        <v>63</v>
      </c>
      <c r="J2100" s="72">
        <v>60314309</v>
      </c>
      <c r="K2100" s="99">
        <f>_xlfn.XLOOKUP(_2__ROI_Daily_Update[[#This Row],[CSM id]],SHP!F:F,SHP!EE:EE,"-")</f>
        <v>0</v>
      </c>
      <c r="L2100" s="12"/>
      <c r="N2100" s="11"/>
      <c r="P2100"/>
      <c r="Q2100"/>
      <c r="W2100" s="28"/>
      <c r="AA2100"/>
    </row>
    <row r="2101" spans="1:27" x14ac:dyDescent="0.45">
      <c r="A2101" s="57">
        <v>1641</v>
      </c>
      <c r="B2101" t="s">
        <v>3159</v>
      </c>
      <c r="C2101" t="s">
        <v>3160</v>
      </c>
      <c r="D2101" s="12">
        <v>46313</v>
      </c>
      <c r="E2101" s="11">
        <v>20</v>
      </c>
      <c r="F2101" s="11" t="s">
        <v>7468</v>
      </c>
      <c r="G2101">
        <v>20240401</v>
      </c>
      <c r="I2101" s="11" t="s">
        <v>18</v>
      </c>
      <c r="J2101" s="72">
        <v>50553710</v>
      </c>
      <c r="K2101" s="99">
        <f>_xlfn.XLOOKUP(_2__ROI_Daily_Update[[#This Row],[CSM id]],SHP!F:F,SHP!EE:EE,"-")</f>
        <v>0</v>
      </c>
      <c r="L2101" s="12"/>
      <c r="N2101" s="11"/>
      <c r="P2101"/>
      <c r="Q2101"/>
      <c r="W2101" s="28"/>
      <c r="AA2101"/>
    </row>
    <row r="2102" spans="1:27" x14ac:dyDescent="0.45">
      <c r="A2102" s="57">
        <v>1641</v>
      </c>
      <c r="B2102" t="s">
        <v>3157</v>
      </c>
      <c r="C2102" t="s">
        <v>3158</v>
      </c>
      <c r="D2102" s="12">
        <v>46313</v>
      </c>
      <c r="E2102" s="11">
        <v>22</v>
      </c>
      <c r="F2102" s="11" t="s">
        <v>6946</v>
      </c>
      <c r="G2102">
        <v>20240401</v>
      </c>
      <c r="I2102" s="11" t="s">
        <v>63</v>
      </c>
      <c r="J2102" s="72">
        <v>50550047</v>
      </c>
      <c r="K2102" s="99">
        <f>_xlfn.XLOOKUP(_2__ROI_Daily_Update[[#This Row],[CSM id]],SHP!F:F,SHP!EE:EE,"-")</f>
        <v>0</v>
      </c>
      <c r="L2102" s="12"/>
      <c r="N2102" s="11"/>
      <c r="P2102"/>
      <c r="Q2102"/>
      <c r="W2102" s="28"/>
      <c r="AA2102"/>
    </row>
    <row r="2103" spans="1:27" x14ac:dyDescent="0.45">
      <c r="A2103" s="57">
        <v>1641</v>
      </c>
      <c r="B2103" t="s">
        <v>3157</v>
      </c>
      <c r="C2103" t="s">
        <v>3158</v>
      </c>
      <c r="D2103" s="12">
        <v>46313</v>
      </c>
      <c r="E2103" s="11">
        <v>22</v>
      </c>
      <c r="F2103" s="11" t="s">
        <v>7420</v>
      </c>
      <c r="G2103">
        <v>20240401</v>
      </c>
      <c r="I2103" s="11" t="s">
        <v>63</v>
      </c>
      <c r="J2103" s="72">
        <v>50550047</v>
      </c>
      <c r="K2103" s="99">
        <f>_xlfn.XLOOKUP(_2__ROI_Daily_Update[[#This Row],[CSM id]],SHP!F:F,SHP!EE:EE,"-")</f>
        <v>0</v>
      </c>
      <c r="L2103" s="12"/>
      <c r="N2103" s="11"/>
      <c r="P2103"/>
      <c r="Q2103"/>
      <c r="W2103" s="28"/>
      <c r="AA2103"/>
    </row>
    <row r="2104" spans="1:27" x14ac:dyDescent="0.45">
      <c r="A2104" s="57">
        <v>9542</v>
      </c>
      <c r="B2104" t="s">
        <v>5839</v>
      </c>
      <c r="C2104" t="s">
        <v>5840</v>
      </c>
      <c r="D2104" s="12">
        <v>46313</v>
      </c>
      <c r="E2104" s="11">
        <v>360</v>
      </c>
      <c r="F2104" s="11" t="s">
        <v>7468</v>
      </c>
      <c r="G2104">
        <v>20190801</v>
      </c>
      <c r="I2104" s="11" t="s">
        <v>18</v>
      </c>
      <c r="J2104" s="72">
        <v>40409313</v>
      </c>
      <c r="K2104" s="99">
        <f>_xlfn.XLOOKUP(_2__ROI_Daily_Update[[#This Row],[CSM id]],SHP!F:F,SHP!EE:EE,"-")</f>
        <v>0</v>
      </c>
      <c r="L2104" s="12"/>
      <c r="N2104" s="11"/>
      <c r="P2104"/>
      <c r="Q2104"/>
      <c r="W2104" s="28"/>
      <c r="AA2104"/>
    </row>
    <row r="2105" spans="1:27" x14ac:dyDescent="0.45">
      <c r="A2105" s="57">
        <v>1641</v>
      </c>
      <c r="B2105" t="s">
        <v>5416</v>
      </c>
      <c r="C2105" t="s">
        <v>5417</v>
      </c>
      <c r="D2105" s="12">
        <v>46313</v>
      </c>
      <c r="E2105" s="11">
        <v>30</v>
      </c>
      <c r="F2105" s="11" t="s">
        <v>7410</v>
      </c>
      <c r="G2105">
        <v>20180201</v>
      </c>
      <c r="I2105" s="11" t="s">
        <v>63</v>
      </c>
      <c r="J2105" s="72">
        <v>50387141</v>
      </c>
      <c r="K2105" s="99">
        <f>_xlfn.XLOOKUP(_2__ROI_Daily_Update[[#This Row],[CSM id]],SHP!F:F,SHP!EE:EE,"-")</f>
        <v>0</v>
      </c>
      <c r="L2105" s="12"/>
      <c r="N2105" s="11"/>
      <c r="P2105"/>
      <c r="Q2105"/>
      <c r="W2105" s="28"/>
      <c r="AA2105"/>
    </row>
    <row r="2106" spans="1:27" x14ac:dyDescent="0.45">
      <c r="A2106" s="57">
        <v>1641</v>
      </c>
      <c r="B2106" t="s">
        <v>3151</v>
      </c>
      <c r="C2106" t="s">
        <v>3152</v>
      </c>
      <c r="D2106" s="12">
        <v>46313</v>
      </c>
      <c r="E2106" s="11">
        <v>80</v>
      </c>
      <c r="F2106" s="11" t="s">
        <v>7499</v>
      </c>
      <c r="G2106">
        <v>20240401</v>
      </c>
      <c r="I2106" s="11" t="s">
        <v>18</v>
      </c>
      <c r="J2106" s="72">
        <v>40550095</v>
      </c>
      <c r="K2106" s="99">
        <f>_xlfn.XLOOKUP(_2__ROI_Daily_Update[[#This Row],[CSM id]],SHP!F:F,SHP!EE:EE,"-")</f>
        <v>0</v>
      </c>
      <c r="L2106" s="12"/>
      <c r="N2106" s="11"/>
      <c r="P2106"/>
      <c r="Q2106"/>
      <c r="W2106" s="28"/>
      <c r="AA2106"/>
    </row>
    <row r="2107" spans="1:27" x14ac:dyDescent="0.45">
      <c r="A2107" s="57">
        <v>1641</v>
      </c>
      <c r="B2107" t="s">
        <v>3133</v>
      </c>
      <c r="C2107" t="s">
        <v>3134</v>
      </c>
      <c r="D2107" s="12">
        <v>46313</v>
      </c>
      <c r="E2107" s="11">
        <v>8</v>
      </c>
      <c r="F2107" s="11" t="s">
        <v>7453</v>
      </c>
      <c r="G2107">
        <v>20251001</v>
      </c>
      <c r="I2107" s="11" t="s">
        <v>63</v>
      </c>
      <c r="J2107" s="72">
        <v>10594331</v>
      </c>
      <c r="K2107" s="99">
        <f>_xlfn.XLOOKUP(_2__ROI_Daily_Update[[#This Row],[CSM id]],SHP!F:F,SHP!EE:EE,"-")</f>
        <v>0</v>
      </c>
      <c r="L2107" s="12"/>
      <c r="N2107" s="11"/>
      <c r="P2107"/>
      <c r="Q2107"/>
      <c r="W2107" s="28"/>
      <c r="AA2107"/>
    </row>
    <row r="2108" spans="1:27" x14ac:dyDescent="0.45">
      <c r="A2108" s="57">
        <v>1641</v>
      </c>
      <c r="B2108" t="s">
        <v>5578</v>
      </c>
      <c r="C2108" t="s">
        <v>5579</v>
      </c>
      <c r="D2108" s="12">
        <v>46313</v>
      </c>
      <c r="E2108" s="11">
        <v>896</v>
      </c>
      <c r="F2108" s="11" t="s">
        <v>7410</v>
      </c>
      <c r="G2108">
        <v>20160201</v>
      </c>
      <c r="I2108" s="11" t="s">
        <v>63</v>
      </c>
      <c r="J2108" s="72">
        <v>80297422</v>
      </c>
      <c r="K2108" s="99">
        <f>_xlfn.XLOOKUP(_2__ROI_Daily_Update[[#This Row],[CSM id]],SHP!F:F,SHP!EE:EE,"-")</f>
        <v>0</v>
      </c>
      <c r="L2108" s="12"/>
      <c r="N2108" s="11"/>
      <c r="P2108"/>
      <c r="Q2108"/>
      <c r="W2108" s="28"/>
      <c r="AA2108"/>
    </row>
    <row r="2109" spans="1:27" x14ac:dyDescent="0.45">
      <c r="A2109" s="57">
        <v>1641</v>
      </c>
      <c r="B2109" t="s">
        <v>3137</v>
      </c>
      <c r="C2109" t="s">
        <v>3138</v>
      </c>
      <c r="D2109" s="12">
        <v>46313</v>
      </c>
      <c r="E2109" s="11">
        <v>48</v>
      </c>
      <c r="F2109" s="11" t="s">
        <v>6946</v>
      </c>
      <c r="G2109">
        <v>20190401</v>
      </c>
      <c r="I2109" s="11" t="s">
        <v>63</v>
      </c>
      <c r="J2109" s="72">
        <v>20427285</v>
      </c>
      <c r="K2109" s="99">
        <f>_xlfn.XLOOKUP(_2__ROI_Daily_Update[[#This Row],[CSM id]],SHP!F:F,SHP!EE:EE,"-")</f>
        <v>0</v>
      </c>
      <c r="L2109" s="12"/>
      <c r="N2109" s="11"/>
      <c r="P2109"/>
      <c r="Q2109"/>
      <c r="W2109" s="28"/>
      <c r="AA2109"/>
    </row>
    <row r="2110" spans="1:27" x14ac:dyDescent="0.45">
      <c r="A2110" s="57">
        <v>1641</v>
      </c>
      <c r="B2110" t="s">
        <v>6983</v>
      </c>
      <c r="C2110" t="s">
        <v>6984</v>
      </c>
      <c r="D2110" s="12">
        <v>46313</v>
      </c>
      <c r="E2110" s="11">
        <v>40</v>
      </c>
      <c r="F2110" s="11" t="s">
        <v>7480</v>
      </c>
      <c r="G2110">
        <v>20240401</v>
      </c>
      <c r="I2110" s="11" t="s">
        <v>63</v>
      </c>
      <c r="J2110" s="72">
        <v>20550039</v>
      </c>
      <c r="K2110" s="99">
        <f>_xlfn.XLOOKUP(_2__ROI_Daily_Update[[#This Row],[CSM id]],SHP!F:F,SHP!EE:EE,"-")</f>
        <v>0</v>
      </c>
      <c r="L2110" s="12"/>
      <c r="N2110" s="11"/>
      <c r="P2110"/>
      <c r="Q2110"/>
      <c r="W2110" s="28"/>
      <c r="AA2110"/>
    </row>
    <row r="2111" spans="1:27" x14ac:dyDescent="0.45">
      <c r="A2111" s="57">
        <v>1641</v>
      </c>
      <c r="B2111" t="s">
        <v>3141</v>
      </c>
      <c r="C2111" t="s">
        <v>3142</v>
      </c>
      <c r="D2111" s="12">
        <v>46313</v>
      </c>
      <c r="E2111" s="11">
        <v>20</v>
      </c>
      <c r="F2111" s="11" t="s">
        <v>7468</v>
      </c>
      <c r="G2111">
        <v>20240401</v>
      </c>
      <c r="I2111" s="11" t="s">
        <v>18</v>
      </c>
      <c r="J2111" s="72">
        <v>30550109</v>
      </c>
      <c r="K2111" s="99">
        <f>_xlfn.XLOOKUP(_2__ROI_Daily_Update[[#This Row],[CSM id]],SHP!F:F,SHP!EE:EE,"-")</f>
        <v>0</v>
      </c>
      <c r="L2111" s="12"/>
      <c r="N2111" s="11"/>
      <c r="P2111"/>
      <c r="Q2111"/>
      <c r="W2111" s="28"/>
      <c r="AA2111"/>
    </row>
    <row r="2112" spans="1:27" x14ac:dyDescent="0.45">
      <c r="A2112" s="57">
        <v>1641</v>
      </c>
      <c r="B2112" t="s">
        <v>3177</v>
      </c>
      <c r="C2112" t="s">
        <v>3178</v>
      </c>
      <c r="D2112" s="12">
        <v>46313</v>
      </c>
      <c r="E2112" s="11">
        <v>60</v>
      </c>
      <c r="F2112" s="11" t="s">
        <v>7463</v>
      </c>
      <c r="G2112">
        <v>20240401</v>
      </c>
      <c r="I2112" s="11" t="s">
        <v>63</v>
      </c>
      <c r="J2112" s="72">
        <v>70550032</v>
      </c>
      <c r="K2112" s="99">
        <f>_xlfn.XLOOKUP(_2__ROI_Daily_Update[[#This Row],[CSM id]],SHP!F:F,SHP!EE:EE,"-")</f>
        <v>0</v>
      </c>
      <c r="L2112" s="12"/>
      <c r="N2112" s="11"/>
      <c r="P2112"/>
      <c r="Q2112"/>
      <c r="W2112" s="28"/>
      <c r="AA2112"/>
    </row>
    <row r="2113" spans="1:27" x14ac:dyDescent="0.45">
      <c r="A2113" s="57">
        <v>1641</v>
      </c>
      <c r="B2113" t="s">
        <v>3131</v>
      </c>
      <c r="C2113" t="s">
        <v>3132</v>
      </c>
      <c r="D2113" s="12">
        <v>46313</v>
      </c>
      <c r="E2113" s="11">
        <v>60</v>
      </c>
      <c r="F2113" s="11" t="s">
        <v>7453</v>
      </c>
      <c r="G2113">
        <v>20240401</v>
      </c>
      <c r="I2113" s="11" t="s">
        <v>63</v>
      </c>
      <c r="J2113" s="72">
        <v>10553726</v>
      </c>
      <c r="K2113" s="99">
        <f>_xlfn.XLOOKUP(_2__ROI_Daily_Update[[#This Row],[CSM id]],SHP!F:F,SHP!EE:EE,"-")</f>
        <v>0</v>
      </c>
      <c r="L2113" s="12"/>
      <c r="N2113" s="11"/>
      <c r="P2113"/>
      <c r="Q2113"/>
      <c r="W2113" s="28"/>
      <c r="AA2113"/>
    </row>
    <row r="2114" spans="1:27" x14ac:dyDescent="0.45">
      <c r="A2114" s="57">
        <v>1641</v>
      </c>
      <c r="B2114" t="s">
        <v>6479</v>
      </c>
      <c r="C2114" t="s">
        <v>6480</v>
      </c>
      <c r="D2114" s="12">
        <v>46313</v>
      </c>
      <c r="E2114" s="11">
        <v>13</v>
      </c>
      <c r="F2114" s="11" t="s">
        <v>7453</v>
      </c>
      <c r="G2114">
        <v>20240401</v>
      </c>
      <c r="I2114" s="11" t="s">
        <v>63</v>
      </c>
      <c r="J2114" s="72">
        <v>30553589</v>
      </c>
      <c r="K2114" s="99">
        <f>_xlfn.XLOOKUP(_2__ROI_Daily_Update[[#This Row],[CSM id]],SHP!F:F,SHP!EE:EE,"-")</f>
        <v>0</v>
      </c>
      <c r="L2114" s="12"/>
      <c r="N2114" s="11"/>
      <c r="P2114"/>
      <c r="Q2114"/>
      <c r="W2114" s="28"/>
      <c r="AA2114"/>
    </row>
    <row r="2115" spans="1:27" x14ac:dyDescent="0.45">
      <c r="A2115" s="57">
        <v>1641</v>
      </c>
      <c r="B2115" t="s">
        <v>3143</v>
      </c>
      <c r="C2115" t="s">
        <v>3144</v>
      </c>
      <c r="D2115" s="12">
        <v>46313</v>
      </c>
      <c r="E2115" s="11">
        <v>20</v>
      </c>
      <c r="F2115" s="11" t="s">
        <v>7463</v>
      </c>
      <c r="G2115">
        <v>20240701</v>
      </c>
      <c r="I2115" s="11" t="s">
        <v>63</v>
      </c>
      <c r="J2115" s="72">
        <v>30566389</v>
      </c>
      <c r="K2115" s="99">
        <f>_xlfn.XLOOKUP(_2__ROI_Daily_Update[[#This Row],[CSM id]],SHP!F:F,SHP!EE:EE,"-")</f>
        <v>0</v>
      </c>
      <c r="L2115" s="12"/>
      <c r="N2115" s="11"/>
      <c r="P2115"/>
      <c r="Q2115"/>
      <c r="W2115" s="28"/>
      <c r="AA2115"/>
    </row>
    <row r="2116" spans="1:27" x14ac:dyDescent="0.45">
      <c r="A2116" s="57">
        <v>1641</v>
      </c>
      <c r="B2116" t="s">
        <v>3145</v>
      </c>
      <c r="C2116" t="s">
        <v>3146</v>
      </c>
      <c r="D2116" s="12">
        <v>46313</v>
      </c>
      <c r="E2116" s="11">
        <v>22</v>
      </c>
      <c r="F2116" s="11" t="s">
        <v>7420</v>
      </c>
      <c r="G2116">
        <v>20240701</v>
      </c>
      <c r="I2116" s="11" t="s">
        <v>63</v>
      </c>
      <c r="J2116" s="72">
        <v>30566394</v>
      </c>
      <c r="K2116" s="99">
        <f>_xlfn.XLOOKUP(_2__ROI_Daily_Update[[#This Row],[CSM id]],SHP!F:F,SHP!EE:EE,"-")</f>
        <v>0</v>
      </c>
      <c r="L2116" s="12"/>
      <c r="N2116" s="11"/>
      <c r="P2116"/>
      <c r="Q2116"/>
      <c r="W2116" s="28"/>
      <c r="AA2116"/>
    </row>
    <row r="2117" spans="1:27" x14ac:dyDescent="0.45">
      <c r="A2117" s="57">
        <v>1882</v>
      </c>
      <c r="B2117" t="s">
        <v>3747</v>
      </c>
      <c r="C2117" t="s">
        <v>3748</v>
      </c>
      <c r="D2117" s="12">
        <v>46313</v>
      </c>
      <c r="E2117" s="11">
        <v>32</v>
      </c>
      <c r="F2117" s="11" t="s">
        <v>7468</v>
      </c>
      <c r="G2117">
        <v>20240101</v>
      </c>
      <c r="H2117" s="12">
        <v>46478</v>
      </c>
      <c r="I2117" s="11" t="s">
        <v>18</v>
      </c>
      <c r="J2117" s="72">
        <v>70567631</v>
      </c>
      <c r="K2117" s="99">
        <f>_xlfn.XLOOKUP(_2__ROI_Daily_Update[[#This Row],[CSM id]],SHP!F:F,SHP!EE:EE,"-")</f>
        <v>0</v>
      </c>
      <c r="L2117" s="12"/>
      <c r="N2117" s="11"/>
      <c r="P2117"/>
      <c r="Q2117"/>
      <c r="W2117" s="28"/>
      <c r="AA2117"/>
    </row>
    <row r="2118" spans="1:27" x14ac:dyDescent="0.45">
      <c r="A2118" s="57">
        <v>1641</v>
      </c>
      <c r="B2118" t="s">
        <v>3147</v>
      </c>
      <c r="C2118" t="s">
        <v>3148</v>
      </c>
      <c r="D2118" s="12">
        <v>46313</v>
      </c>
      <c r="E2118" s="11">
        <v>18</v>
      </c>
      <c r="F2118" s="11" t="s">
        <v>6946</v>
      </c>
      <c r="G2118">
        <v>20210701</v>
      </c>
      <c r="I2118" s="11" t="s">
        <v>63</v>
      </c>
      <c r="J2118" s="72">
        <v>40314305</v>
      </c>
      <c r="K2118" s="99">
        <f>_xlfn.XLOOKUP(_2__ROI_Daily_Update[[#This Row],[CSM id]],SHP!F:F,SHP!EE:EE,"-")</f>
        <v>0</v>
      </c>
      <c r="L2118" s="12"/>
      <c r="N2118" s="11"/>
      <c r="P2118"/>
      <c r="Q2118"/>
      <c r="W2118" s="28"/>
      <c r="AA2118"/>
    </row>
    <row r="2119" spans="1:27" x14ac:dyDescent="0.45">
      <c r="A2119" s="57">
        <v>1641</v>
      </c>
      <c r="B2119" t="s">
        <v>3147</v>
      </c>
      <c r="C2119" t="s">
        <v>3148</v>
      </c>
      <c r="D2119" s="12">
        <v>46313</v>
      </c>
      <c r="E2119" s="11">
        <v>36</v>
      </c>
      <c r="F2119" s="11" t="s">
        <v>7463</v>
      </c>
      <c r="G2119">
        <v>20210701</v>
      </c>
      <c r="I2119" s="11" t="s">
        <v>63</v>
      </c>
      <c r="J2119" s="72">
        <v>40314305</v>
      </c>
      <c r="K2119" s="99">
        <f>_xlfn.XLOOKUP(_2__ROI_Daily_Update[[#This Row],[CSM id]],SHP!F:F,SHP!EE:EE,"-")</f>
        <v>0</v>
      </c>
      <c r="L2119" s="12"/>
      <c r="N2119" s="11"/>
      <c r="P2119"/>
      <c r="Q2119"/>
      <c r="W2119" s="28"/>
      <c r="AA2119"/>
    </row>
    <row r="2120" spans="1:27" x14ac:dyDescent="0.45">
      <c r="A2120" s="57">
        <v>1641</v>
      </c>
      <c r="B2120" t="s">
        <v>3149</v>
      </c>
      <c r="C2120" t="s">
        <v>3150</v>
      </c>
      <c r="D2120" s="12">
        <v>46313</v>
      </c>
      <c r="E2120" s="11">
        <v>64</v>
      </c>
      <c r="F2120" s="11" t="s">
        <v>7440</v>
      </c>
      <c r="G2120">
        <v>20180201</v>
      </c>
      <c r="I2120" s="11" t="s">
        <v>63</v>
      </c>
      <c r="J2120" s="72">
        <v>40387127</v>
      </c>
      <c r="K2120" s="99">
        <f>_xlfn.XLOOKUP(_2__ROI_Daily_Update[[#This Row],[CSM id]],SHP!F:F,SHP!EE:EE,"-")</f>
        <v>0</v>
      </c>
      <c r="L2120" s="12"/>
      <c r="N2120" s="11"/>
      <c r="P2120"/>
      <c r="Q2120"/>
      <c r="W2120" s="28"/>
      <c r="AA2120"/>
    </row>
    <row r="2121" spans="1:27" x14ac:dyDescent="0.45">
      <c r="A2121" s="57">
        <v>1641</v>
      </c>
      <c r="B2121" t="s">
        <v>3143</v>
      </c>
      <c r="C2121" t="s">
        <v>3144</v>
      </c>
      <c r="D2121" s="12">
        <v>46313</v>
      </c>
      <c r="E2121" s="11">
        <v>20</v>
      </c>
      <c r="F2121" s="11" t="s">
        <v>7420</v>
      </c>
      <c r="G2121">
        <v>20240701</v>
      </c>
      <c r="I2121" s="11" t="s">
        <v>63</v>
      </c>
      <c r="J2121" s="72">
        <v>30566389</v>
      </c>
      <c r="K2121" s="99">
        <f>_xlfn.XLOOKUP(_2__ROI_Daily_Update[[#This Row],[CSM id]],SHP!F:F,SHP!EE:EE,"-")</f>
        <v>0</v>
      </c>
      <c r="L2121" s="12"/>
      <c r="N2121" s="11"/>
      <c r="P2121"/>
      <c r="Q2121"/>
      <c r="W2121" s="28"/>
      <c r="AA2121"/>
    </row>
    <row r="2122" spans="1:27" x14ac:dyDescent="0.45">
      <c r="A2122" s="57">
        <v>1634</v>
      </c>
      <c r="B2122" t="s">
        <v>3030</v>
      </c>
      <c r="C2122" t="s">
        <v>3031</v>
      </c>
      <c r="D2122" s="12">
        <v>46313</v>
      </c>
      <c r="E2122" s="11">
        <v>72</v>
      </c>
      <c r="F2122" s="11" t="s">
        <v>7430</v>
      </c>
      <c r="G2122">
        <v>20251001</v>
      </c>
      <c r="I2122" s="11" t="s">
        <v>63</v>
      </c>
      <c r="J2122" s="72">
        <v>10606046</v>
      </c>
      <c r="K2122" s="99">
        <f>_xlfn.XLOOKUP(_2__ROI_Daily_Update[[#This Row],[CSM id]],SHP!F:F,SHP!EE:EE,"-")</f>
        <v>0</v>
      </c>
      <c r="L2122" s="12"/>
      <c r="N2122" s="11"/>
      <c r="P2122"/>
      <c r="Q2122"/>
      <c r="W2122" s="28"/>
      <c r="AA2122"/>
    </row>
    <row r="2123" spans="1:27" x14ac:dyDescent="0.45">
      <c r="A2123" s="57">
        <v>1637</v>
      </c>
      <c r="B2123" t="s">
        <v>5995</v>
      </c>
      <c r="C2123" t="s">
        <v>5996</v>
      </c>
      <c r="D2123" s="12">
        <v>46313</v>
      </c>
      <c r="E2123" s="11">
        <v>320</v>
      </c>
      <c r="F2123" s="11" t="s">
        <v>6940</v>
      </c>
      <c r="G2123">
        <v>20261001</v>
      </c>
      <c r="H2123" s="12">
        <v>46388</v>
      </c>
      <c r="I2123" s="11" t="s">
        <v>63</v>
      </c>
      <c r="J2123" s="72">
        <v>10637222</v>
      </c>
      <c r="K2123" s="99">
        <f>_xlfn.XLOOKUP(_2__ROI_Daily_Update[[#This Row],[CSM id]],SHP!F:F,SHP!EE:EE,"-")</f>
        <v>0</v>
      </c>
      <c r="L2123" s="12"/>
      <c r="N2123" s="11"/>
      <c r="P2123"/>
      <c r="Q2123"/>
      <c r="W2123" s="28"/>
      <c r="AA2123"/>
    </row>
    <row r="2124" spans="1:27" x14ac:dyDescent="0.45">
      <c r="A2124" s="57">
        <v>1637</v>
      </c>
      <c r="B2124" t="s">
        <v>5985</v>
      </c>
      <c r="C2124" t="s">
        <v>5986</v>
      </c>
      <c r="D2124" s="12">
        <v>46313</v>
      </c>
      <c r="E2124" s="11">
        <v>216</v>
      </c>
      <c r="F2124" s="11" t="s">
        <v>6940</v>
      </c>
      <c r="G2124">
        <v>20261001</v>
      </c>
      <c r="H2124" s="12">
        <v>46388</v>
      </c>
      <c r="I2124" s="11" t="s">
        <v>63</v>
      </c>
      <c r="J2124" s="72">
        <v>10637095</v>
      </c>
      <c r="K2124" s="99">
        <f>_xlfn.XLOOKUP(_2__ROI_Daily_Update[[#This Row],[CSM id]],SHP!F:F,SHP!EE:EE,"-")</f>
        <v>0</v>
      </c>
      <c r="L2124" s="12"/>
      <c r="N2124" s="11"/>
      <c r="P2124"/>
      <c r="Q2124"/>
      <c r="W2124" s="28"/>
      <c r="AA2124"/>
    </row>
    <row r="2125" spans="1:27" x14ac:dyDescent="0.45">
      <c r="A2125" s="57">
        <v>1634</v>
      </c>
      <c r="B2125" t="s">
        <v>3067</v>
      </c>
      <c r="C2125" t="s">
        <v>3068</v>
      </c>
      <c r="D2125" s="12">
        <v>46313</v>
      </c>
      <c r="E2125" s="11">
        <v>108</v>
      </c>
      <c r="F2125" s="11" t="s">
        <v>7440</v>
      </c>
      <c r="G2125">
        <v>20251001</v>
      </c>
      <c r="I2125" s="11" t="s">
        <v>63</v>
      </c>
      <c r="J2125" s="72">
        <v>90606085</v>
      </c>
      <c r="K2125" s="99">
        <f>_xlfn.XLOOKUP(_2__ROI_Daily_Update[[#This Row],[CSM id]],SHP!F:F,SHP!EE:EE,"-")</f>
        <v>0</v>
      </c>
      <c r="L2125" s="12"/>
      <c r="N2125" s="11"/>
      <c r="P2125"/>
      <c r="Q2125"/>
      <c r="W2125" s="28"/>
      <c r="AA2125"/>
    </row>
    <row r="2126" spans="1:27" x14ac:dyDescent="0.45">
      <c r="A2126" s="57">
        <v>1634</v>
      </c>
      <c r="B2126" t="s">
        <v>3067</v>
      </c>
      <c r="C2126" t="s">
        <v>3068</v>
      </c>
      <c r="D2126" s="12">
        <v>46313</v>
      </c>
      <c r="E2126" s="11">
        <v>108</v>
      </c>
      <c r="F2126" s="11" t="s">
        <v>7430</v>
      </c>
      <c r="G2126">
        <v>20251001</v>
      </c>
      <c r="I2126" s="11" t="s">
        <v>63</v>
      </c>
      <c r="J2126" s="72">
        <v>90606085</v>
      </c>
      <c r="K2126" s="99">
        <f>_xlfn.XLOOKUP(_2__ROI_Daily_Update[[#This Row],[CSM id]],SHP!F:F,SHP!EE:EE,"-")</f>
        <v>0</v>
      </c>
      <c r="L2126" s="12"/>
      <c r="N2126" s="11"/>
      <c r="P2126"/>
      <c r="Q2126"/>
      <c r="W2126" s="28"/>
      <c r="AA2126"/>
    </row>
    <row r="2127" spans="1:27" x14ac:dyDescent="0.45">
      <c r="A2127" s="57">
        <v>1634</v>
      </c>
      <c r="B2127" t="s">
        <v>7099</v>
      </c>
      <c r="C2127" t="s">
        <v>7100</v>
      </c>
      <c r="D2127" s="12">
        <v>46313</v>
      </c>
      <c r="E2127" s="11">
        <v>60</v>
      </c>
      <c r="F2127" s="11" t="s">
        <v>7480</v>
      </c>
      <c r="G2127">
        <v>20180801</v>
      </c>
      <c r="I2127" s="11" t="s">
        <v>63</v>
      </c>
      <c r="J2127" s="72">
        <v>90409768</v>
      </c>
      <c r="K2127" s="99">
        <f>_xlfn.XLOOKUP(_2__ROI_Daily_Update[[#This Row],[CSM id]],SHP!F:F,SHP!EE:EE,"-")</f>
        <v>0</v>
      </c>
      <c r="L2127" s="12"/>
      <c r="N2127" s="11"/>
      <c r="P2127"/>
      <c r="Q2127"/>
      <c r="W2127" s="28"/>
      <c r="AA2127"/>
    </row>
    <row r="2128" spans="1:27" x14ac:dyDescent="0.45">
      <c r="A2128" s="57">
        <v>1634</v>
      </c>
      <c r="B2128" t="s">
        <v>3065</v>
      </c>
      <c r="C2128" t="s">
        <v>3066</v>
      </c>
      <c r="D2128" s="12">
        <v>46313</v>
      </c>
      <c r="E2128" s="11">
        <v>30</v>
      </c>
      <c r="F2128" s="11" t="s">
        <v>6946</v>
      </c>
      <c r="G2128">
        <v>20261001</v>
      </c>
      <c r="H2128" s="12">
        <v>46388</v>
      </c>
      <c r="I2128" s="11" t="s">
        <v>63</v>
      </c>
      <c r="J2128" s="72">
        <v>80637332</v>
      </c>
      <c r="K2128" s="99">
        <f>_xlfn.XLOOKUP(_2__ROI_Daily_Update[[#This Row],[CSM id]],SHP!F:F,SHP!EE:EE,"-")</f>
        <v>0</v>
      </c>
      <c r="L2128" s="12"/>
      <c r="N2128" s="11"/>
      <c r="P2128"/>
      <c r="Q2128"/>
      <c r="W2128" s="28"/>
      <c r="AA2128"/>
    </row>
    <row r="2129" spans="1:27" x14ac:dyDescent="0.45">
      <c r="A2129" s="57">
        <v>1634</v>
      </c>
      <c r="B2129" t="s">
        <v>5610</v>
      </c>
      <c r="C2129" t="s">
        <v>5611</v>
      </c>
      <c r="D2129" s="12">
        <v>46313</v>
      </c>
      <c r="E2129" s="11">
        <v>36</v>
      </c>
      <c r="F2129" s="11" t="s">
        <v>7410</v>
      </c>
      <c r="G2129">
        <v>20260401</v>
      </c>
      <c r="I2129" s="11" t="s">
        <v>63</v>
      </c>
      <c r="J2129" s="72">
        <v>80614972</v>
      </c>
      <c r="K2129" s="99">
        <f>_xlfn.XLOOKUP(_2__ROI_Daily_Update[[#This Row],[CSM id]],SHP!F:F,SHP!EE:EE,"-")</f>
        <v>0</v>
      </c>
      <c r="L2129" s="12"/>
      <c r="N2129" s="11"/>
      <c r="P2129"/>
      <c r="Q2129"/>
      <c r="W2129" s="28"/>
      <c r="AA2129"/>
    </row>
    <row r="2130" spans="1:27" x14ac:dyDescent="0.45">
      <c r="A2130" s="57">
        <v>1634</v>
      </c>
      <c r="B2130" t="s">
        <v>3063</v>
      </c>
      <c r="C2130" t="s">
        <v>3064</v>
      </c>
      <c r="D2130" s="12">
        <v>46313</v>
      </c>
      <c r="E2130" s="11">
        <v>46</v>
      </c>
      <c r="F2130" s="11" t="s">
        <v>7410</v>
      </c>
      <c r="G2130">
        <v>20251001</v>
      </c>
      <c r="I2130" s="11" t="s">
        <v>63</v>
      </c>
      <c r="J2130" s="72">
        <v>80608004</v>
      </c>
      <c r="K2130" s="99">
        <f>_xlfn.XLOOKUP(_2__ROI_Daily_Update[[#This Row],[CSM id]],SHP!F:F,SHP!EE:EE,"-")</f>
        <v>0</v>
      </c>
      <c r="L2130" s="12"/>
      <c r="N2130" s="11"/>
      <c r="P2130"/>
      <c r="Q2130"/>
      <c r="W2130" s="28"/>
      <c r="AA2130"/>
    </row>
    <row r="2131" spans="1:27" x14ac:dyDescent="0.45">
      <c r="A2131" s="57">
        <v>1634</v>
      </c>
      <c r="B2131" t="s">
        <v>6435</v>
      </c>
      <c r="C2131" t="s">
        <v>6436</v>
      </c>
      <c r="D2131" s="12">
        <v>46313</v>
      </c>
      <c r="E2131" s="11">
        <v>32</v>
      </c>
      <c r="F2131" s="11" t="s">
        <v>7453</v>
      </c>
      <c r="G2131">
        <v>20261001</v>
      </c>
      <c r="H2131" s="12">
        <v>46388</v>
      </c>
      <c r="I2131" s="11" t="s">
        <v>63</v>
      </c>
      <c r="J2131" s="72">
        <v>70636516</v>
      </c>
      <c r="K2131" s="99">
        <f>_xlfn.XLOOKUP(_2__ROI_Daily_Update[[#This Row],[CSM id]],SHP!F:F,SHP!EE:EE,"-")</f>
        <v>0</v>
      </c>
      <c r="L2131" s="12"/>
      <c r="N2131" s="11"/>
      <c r="P2131"/>
      <c r="Q2131"/>
      <c r="W2131" s="28"/>
      <c r="AA2131"/>
    </row>
    <row r="2132" spans="1:27" x14ac:dyDescent="0.45">
      <c r="A2132" s="57">
        <v>1634</v>
      </c>
      <c r="B2132" t="s">
        <v>3061</v>
      </c>
      <c r="C2132" t="s">
        <v>3062</v>
      </c>
      <c r="D2132" s="12">
        <v>46313</v>
      </c>
      <c r="E2132" s="11">
        <v>40</v>
      </c>
      <c r="F2132" s="11" t="s">
        <v>7453</v>
      </c>
      <c r="G2132">
        <v>20251001</v>
      </c>
      <c r="I2132" s="11" t="s">
        <v>63</v>
      </c>
      <c r="J2132" s="72">
        <v>70606067</v>
      </c>
      <c r="K2132" s="99">
        <f>_xlfn.XLOOKUP(_2__ROI_Daily_Update[[#This Row],[CSM id]],SHP!F:F,SHP!EE:EE,"-")</f>
        <v>0</v>
      </c>
      <c r="L2132" s="12"/>
      <c r="N2132" s="11"/>
      <c r="P2132"/>
      <c r="Q2132"/>
      <c r="W2132" s="28"/>
      <c r="AA2132"/>
    </row>
    <row r="2133" spans="1:27" x14ac:dyDescent="0.45">
      <c r="A2133" s="57">
        <v>1634</v>
      </c>
      <c r="B2133" t="s">
        <v>3061</v>
      </c>
      <c r="C2133" t="s">
        <v>3062</v>
      </c>
      <c r="D2133" s="12">
        <v>46313</v>
      </c>
      <c r="E2133" s="11">
        <v>40</v>
      </c>
      <c r="F2133" s="11" t="s">
        <v>7430</v>
      </c>
      <c r="G2133">
        <v>20251001</v>
      </c>
      <c r="I2133" s="11" t="s">
        <v>63</v>
      </c>
      <c r="J2133" s="72">
        <v>70606067</v>
      </c>
      <c r="K2133" s="99">
        <f>_xlfn.XLOOKUP(_2__ROI_Daily_Update[[#This Row],[CSM id]],SHP!F:F,SHP!EE:EE,"-")</f>
        <v>0</v>
      </c>
      <c r="L2133" s="12"/>
      <c r="N2133" s="11"/>
      <c r="P2133"/>
      <c r="Q2133"/>
      <c r="W2133" s="28"/>
      <c r="AA2133"/>
    </row>
    <row r="2134" spans="1:27" x14ac:dyDescent="0.45">
      <c r="A2134" s="57">
        <v>1634</v>
      </c>
      <c r="B2134" t="s">
        <v>6221</v>
      </c>
      <c r="C2134" t="s">
        <v>6222</v>
      </c>
      <c r="D2134" s="12">
        <v>46313</v>
      </c>
      <c r="E2134" s="11">
        <v>32</v>
      </c>
      <c r="F2134" s="11" t="s">
        <v>7440</v>
      </c>
      <c r="G2134">
        <v>20261001</v>
      </c>
      <c r="H2134" s="12">
        <v>46388</v>
      </c>
      <c r="I2134" s="11" t="s">
        <v>63</v>
      </c>
      <c r="J2134" s="72">
        <v>60636512</v>
      </c>
      <c r="K2134" s="99">
        <f>_xlfn.XLOOKUP(_2__ROI_Daily_Update[[#This Row],[CSM id]],SHP!F:F,SHP!EE:EE,"-")</f>
        <v>0</v>
      </c>
      <c r="L2134" s="12"/>
      <c r="N2134" s="11"/>
      <c r="P2134"/>
      <c r="Q2134"/>
      <c r="W2134" s="28"/>
      <c r="AA2134"/>
    </row>
    <row r="2135" spans="1:27" x14ac:dyDescent="0.45">
      <c r="A2135" s="57">
        <v>1634</v>
      </c>
      <c r="B2135" t="s">
        <v>5420</v>
      </c>
      <c r="C2135" t="s">
        <v>5421</v>
      </c>
      <c r="D2135" s="12">
        <v>46313</v>
      </c>
      <c r="E2135" s="11">
        <v>48</v>
      </c>
      <c r="F2135" s="11" t="s">
        <v>7410</v>
      </c>
      <c r="G2135">
        <v>20260701</v>
      </c>
      <c r="I2135" s="11" t="s">
        <v>63</v>
      </c>
      <c r="J2135" s="72">
        <v>60630336</v>
      </c>
      <c r="K2135" s="99">
        <f>_xlfn.XLOOKUP(_2__ROI_Daily_Update[[#This Row],[CSM id]],SHP!F:F,SHP!EE:EE,"-")</f>
        <v>0</v>
      </c>
      <c r="L2135" s="12"/>
      <c r="N2135" s="11"/>
      <c r="P2135"/>
      <c r="Q2135"/>
      <c r="W2135" s="28"/>
      <c r="AA2135"/>
    </row>
    <row r="2136" spans="1:27" x14ac:dyDescent="0.45">
      <c r="A2136" s="57">
        <v>1634</v>
      </c>
      <c r="B2136" t="s">
        <v>3057</v>
      </c>
      <c r="C2136" t="s">
        <v>3058</v>
      </c>
      <c r="D2136" s="12">
        <v>46313</v>
      </c>
      <c r="E2136" s="11">
        <v>24</v>
      </c>
      <c r="F2136" s="11" t="s">
        <v>7410</v>
      </c>
      <c r="G2136">
        <v>20251001</v>
      </c>
      <c r="I2136" s="11" t="s">
        <v>63</v>
      </c>
      <c r="J2136" s="72">
        <v>60606261</v>
      </c>
      <c r="K2136" s="99">
        <f>_xlfn.XLOOKUP(_2__ROI_Daily_Update[[#This Row],[CSM id]],SHP!F:F,SHP!EE:EE,"-")</f>
        <v>0</v>
      </c>
      <c r="L2136" s="12"/>
      <c r="N2136" s="11"/>
      <c r="P2136"/>
      <c r="Q2136"/>
      <c r="W2136" s="28"/>
      <c r="AA2136"/>
    </row>
    <row r="2137" spans="1:27" x14ac:dyDescent="0.45">
      <c r="A2137" s="57">
        <v>1634</v>
      </c>
      <c r="B2137" t="s">
        <v>3055</v>
      </c>
      <c r="C2137" t="s">
        <v>3056</v>
      </c>
      <c r="D2137" s="12">
        <v>46313</v>
      </c>
      <c r="E2137" s="11">
        <v>48</v>
      </c>
      <c r="F2137" s="11" t="s">
        <v>7463</v>
      </c>
      <c r="G2137">
        <v>20251001</v>
      </c>
      <c r="I2137" s="11" t="s">
        <v>63</v>
      </c>
      <c r="J2137" s="72">
        <v>60606039</v>
      </c>
      <c r="K2137" s="99">
        <f>_xlfn.XLOOKUP(_2__ROI_Daily_Update[[#This Row],[CSM id]],SHP!F:F,SHP!EE:EE,"-")</f>
        <v>0</v>
      </c>
      <c r="L2137" s="12"/>
      <c r="N2137" s="11"/>
      <c r="P2137"/>
      <c r="Q2137"/>
      <c r="W2137" s="28"/>
      <c r="AA2137"/>
    </row>
    <row r="2138" spans="1:27" x14ac:dyDescent="0.45">
      <c r="A2138" s="57">
        <v>1634</v>
      </c>
      <c r="B2138" t="s">
        <v>3053</v>
      </c>
      <c r="C2138" t="s">
        <v>3054</v>
      </c>
      <c r="D2138" s="12">
        <v>46313</v>
      </c>
      <c r="E2138" s="11">
        <v>108</v>
      </c>
      <c r="F2138" s="11" t="s">
        <v>7430</v>
      </c>
      <c r="G2138">
        <v>20251001</v>
      </c>
      <c r="I2138" s="11" t="s">
        <v>63</v>
      </c>
      <c r="J2138" s="72">
        <v>60605983</v>
      </c>
      <c r="K2138" s="99">
        <f>_xlfn.XLOOKUP(_2__ROI_Daily_Update[[#This Row],[CSM id]],SHP!F:F,SHP!EE:EE,"-")</f>
        <v>0</v>
      </c>
      <c r="L2138" s="12"/>
      <c r="N2138" s="11"/>
      <c r="P2138"/>
      <c r="Q2138"/>
      <c r="W2138" s="28"/>
      <c r="AA2138"/>
    </row>
    <row r="2139" spans="1:27" x14ac:dyDescent="0.45">
      <c r="A2139" s="57">
        <v>1634</v>
      </c>
      <c r="B2139" t="s">
        <v>3051</v>
      </c>
      <c r="C2139" t="s">
        <v>3052</v>
      </c>
      <c r="D2139" s="12">
        <v>46313</v>
      </c>
      <c r="E2139" s="11">
        <v>64</v>
      </c>
      <c r="F2139" s="11" t="s">
        <v>7463</v>
      </c>
      <c r="G2139">
        <v>20250701</v>
      </c>
      <c r="I2139" s="11" t="s">
        <v>63</v>
      </c>
      <c r="J2139" s="72">
        <v>60560121</v>
      </c>
      <c r="K2139" s="99">
        <f>_xlfn.XLOOKUP(_2__ROI_Daily_Update[[#This Row],[CSM id]],SHP!F:F,SHP!EE:EE,"-")</f>
        <v>0</v>
      </c>
      <c r="L2139" s="12"/>
      <c r="N2139" s="11"/>
      <c r="P2139"/>
      <c r="Q2139"/>
      <c r="W2139" s="28"/>
      <c r="AA2139"/>
    </row>
    <row r="2140" spans="1:27" x14ac:dyDescent="0.45">
      <c r="A2140" s="57">
        <v>1641</v>
      </c>
      <c r="B2140" t="s">
        <v>3183</v>
      </c>
      <c r="C2140" t="s">
        <v>3184</v>
      </c>
      <c r="D2140" s="12">
        <v>46313</v>
      </c>
      <c r="E2140" s="11">
        <v>96</v>
      </c>
      <c r="F2140" s="11" t="s">
        <v>7485</v>
      </c>
      <c r="G2140">
        <v>20160201</v>
      </c>
      <c r="I2140" s="11" t="s">
        <v>18</v>
      </c>
      <c r="J2140" s="72">
        <v>80300472</v>
      </c>
      <c r="K2140" s="99">
        <f>_xlfn.XLOOKUP(_2__ROI_Daily_Update[[#This Row],[CSM id]],SHP!F:F,SHP!EE:EE,"-")</f>
        <v>0</v>
      </c>
      <c r="L2140" s="12"/>
      <c r="N2140" s="11"/>
      <c r="P2140"/>
      <c r="Q2140"/>
      <c r="W2140" s="28"/>
      <c r="AA2140"/>
    </row>
    <row r="2141" spans="1:27" x14ac:dyDescent="0.45">
      <c r="A2141" s="57">
        <v>125</v>
      </c>
      <c r="B2141" t="s">
        <v>106</v>
      </c>
      <c r="C2141" t="s">
        <v>107</v>
      </c>
      <c r="D2141" s="12">
        <v>46313</v>
      </c>
      <c r="E2141" s="11">
        <v>2</v>
      </c>
      <c r="F2141" s="11" t="s">
        <v>7499</v>
      </c>
      <c r="G2141">
        <v>20261001</v>
      </c>
      <c r="I2141" s="11" t="s">
        <v>18</v>
      </c>
      <c r="J2141" s="72">
        <v>10628944</v>
      </c>
      <c r="K2141" s="99">
        <f>_xlfn.XLOOKUP(_2__ROI_Daily_Update[[#This Row],[CSM id]],SHP!F:F,SHP!EE:EE,"-")</f>
        <v>0</v>
      </c>
      <c r="L2141" s="12"/>
      <c r="N2141" s="11"/>
      <c r="P2141"/>
      <c r="Q2141"/>
      <c r="W2141" s="28"/>
      <c r="AA2141"/>
    </row>
    <row r="2142" spans="1:27" x14ac:dyDescent="0.45">
      <c r="A2142" s="57">
        <v>1634</v>
      </c>
      <c r="B2142" t="s">
        <v>5602</v>
      </c>
      <c r="C2142" t="s">
        <v>5603</v>
      </c>
      <c r="D2142" s="12">
        <v>46313</v>
      </c>
      <c r="E2142" s="11">
        <v>30</v>
      </c>
      <c r="F2142" s="11" t="s">
        <v>7410</v>
      </c>
      <c r="G2142">
        <v>20261001</v>
      </c>
      <c r="I2142" s="11" t="s">
        <v>63</v>
      </c>
      <c r="J2142" s="72">
        <v>10637670</v>
      </c>
      <c r="K2142" s="99">
        <f>_xlfn.XLOOKUP(_2__ROI_Daily_Update[[#This Row],[CSM id]],SHP!F:F,SHP!EE:EE,"-")</f>
        <v>0</v>
      </c>
      <c r="L2142" s="12"/>
      <c r="N2142" s="11"/>
      <c r="P2142"/>
      <c r="Q2142"/>
      <c r="W2142" s="28"/>
      <c r="AA2142"/>
    </row>
    <row r="2143" spans="1:27" x14ac:dyDescent="0.45">
      <c r="A2143" s="57">
        <v>126</v>
      </c>
      <c r="B2143" t="s">
        <v>145</v>
      </c>
      <c r="C2143" t="s">
        <v>146</v>
      </c>
      <c r="D2143" s="12">
        <v>46313</v>
      </c>
      <c r="E2143" s="11">
        <v>15</v>
      </c>
      <c r="F2143" s="11" t="s">
        <v>7430</v>
      </c>
      <c r="G2143">
        <v>20260701</v>
      </c>
      <c r="I2143" s="11" t="s">
        <v>63</v>
      </c>
      <c r="J2143" s="72">
        <v>60625429</v>
      </c>
      <c r="K2143" s="99">
        <f>_xlfn.XLOOKUP(_2__ROI_Daily_Update[[#This Row],[CSM id]],SHP!F:F,SHP!EE:EE,"-")</f>
        <v>0</v>
      </c>
      <c r="L2143" s="12"/>
      <c r="N2143" s="11"/>
      <c r="P2143"/>
      <c r="Q2143"/>
      <c r="W2143" s="28"/>
      <c r="AA2143"/>
    </row>
    <row r="2144" spans="1:27" x14ac:dyDescent="0.45">
      <c r="A2144" s="57">
        <v>1634</v>
      </c>
      <c r="B2144" t="s">
        <v>3033</v>
      </c>
      <c r="C2144" t="s">
        <v>3034</v>
      </c>
      <c r="D2144" s="12">
        <v>46313</v>
      </c>
      <c r="E2144" s="11">
        <v>128</v>
      </c>
      <c r="F2144" s="11" t="s">
        <v>7430</v>
      </c>
      <c r="G2144">
        <v>20251001</v>
      </c>
      <c r="I2144" s="11" t="s">
        <v>63</v>
      </c>
      <c r="J2144" s="72">
        <v>20606055</v>
      </c>
      <c r="K2144" s="99">
        <f>_xlfn.XLOOKUP(_2__ROI_Daily_Update[[#This Row],[CSM id]],SHP!F:F,SHP!EE:EE,"-")</f>
        <v>0</v>
      </c>
      <c r="L2144" s="12"/>
      <c r="N2144" s="11"/>
      <c r="P2144"/>
      <c r="Q2144"/>
      <c r="W2144" s="28"/>
      <c r="AA2144"/>
    </row>
    <row r="2145" spans="1:27" x14ac:dyDescent="0.45">
      <c r="A2145" s="57">
        <v>126</v>
      </c>
      <c r="B2145" t="s">
        <v>143</v>
      </c>
      <c r="C2145" t="s">
        <v>144</v>
      </c>
      <c r="D2145" s="12">
        <v>46313</v>
      </c>
      <c r="E2145" s="11">
        <v>16</v>
      </c>
      <c r="F2145" s="11" t="s">
        <v>7430</v>
      </c>
      <c r="G2145">
        <v>20260701</v>
      </c>
      <c r="I2145" s="11" t="s">
        <v>63</v>
      </c>
      <c r="J2145" s="72">
        <v>20624969</v>
      </c>
      <c r="K2145" s="99">
        <f>_xlfn.XLOOKUP(_2__ROI_Daily_Update[[#This Row],[CSM id]],SHP!F:F,SHP!EE:EE,"-")</f>
        <v>0</v>
      </c>
      <c r="L2145" s="12"/>
      <c r="N2145" s="11"/>
      <c r="P2145"/>
      <c r="Q2145"/>
      <c r="W2145" s="28"/>
      <c r="AA2145"/>
    </row>
    <row r="2146" spans="1:27" x14ac:dyDescent="0.45">
      <c r="A2146" s="57">
        <v>1634</v>
      </c>
      <c r="B2146" t="s">
        <v>6437</v>
      </c>
      <c r="C2146" t="s">
        <v>6438</v>
      </c>
      <c r="D2146" s="12">
        <v>46313</v>
      </c>
      <c r="E2146" s="11">
        <v>72</v>
      </c>
      <c r="F2146" s="11" t="s">
        <v>7453</v>
      </c>
      <c r="G2146">
        <v>20261001</v>
      </c>
      <c r="H2146" s="12">
        <v>46388</v>
      </c>
      <c r="I2146" s="11" t="s">
        <v>63</v>
      </c>
      <c r="J2146" s="72">
        <v>20636590</v>
      </c>
      <c r="K2146" s="99">
        <f>_xlfn.XLOOKUP(_2__ROI_Daily_Update[[#This Row],[CSM id]],SHP!F:F,SHP!EE:EE,"-")</f>
        <v>0</v>
      </c>
      <c r="L2146" s="12"/>
      <c r="N2146" s="11"/>
      <c r="P2146"/>
      <c r="Q2146"/>
      <c r="W2146" s="28"/>
      <c r="AA2146"/>
    </row>
    <row r="2147" spans="1:27" x14ac:dyDescent="0.45">
      <c r="A2147" s="57">
        <v>1634</v>
      </c>
      <c r="B2147" t="s">
        <v>3037</v>
      </c>
      <c r="C2147" t="s">
        <v>3038</v>
      </c>
      <c r="D2147" s="12">
        <v>46313</v>
      </c>
      <c r="E2147" s="11">
        <v>24</v>
      </c>
      <c r="F2147" s="11" t="s">
        <v>7453</v>
      </c>
      <c r="G2147">
        <v>20251001</v>
      </c>
      <c r="I2147" s="11" t="s">
        <v>63</v>
      </c>
      <c r="J2147" s="72">
        <v>30606291</v>
      </c>
      <c r="K2147" s="99">
        <f>_xlfn.XLOOKUP(_2__ROI_Daily_Update[[#This Row],[CSM id]],SHP!F:F,SHP!EE:EE,"-")</f>
        <v>0</v>
      </c>
      <c r="L2147" s="12"/>
      <c r="N2147" s="11"/>
      <c r="P2147"/>
      <c r="Q2147"/>
      <c r="W2147" s="28"/>
      <c r="AA2147"/>
    </row>
    <row r="2148" spans="1:27" x14ac:dyDescent="0.45">
      <c r="A2148" s="57">
        <v>1634</v>
      </c>
      <c r="B2148" t="s">
        <v>6953</v>
      </c>
      <c r="C2148" t="s">
        <v>6954</v>
      </c>
      <c r="D2148" s="12">
        <v>46313</v>
      </c>
      <c r="E2148" s="11">
        <v>54</v>
      </c>
      <c r="F2148" s="11" t="s">
        <v>7463</v>
      </c>
      <c r="G2148">
        <v>20261001</v>
      </c>
      <c r="H2148" s="12">
        <v>46388</v>
      </c>
      <c r="I2148" s="11" t="s">
        <v>63</v>
      </c>
      <c r="J2148" s="72">
        <v>90636596</v>
      </c>
      <c r="K2148" s="99">
        <f>_xlfn.XLOOKUP(_2__ROI_Daily_Update[[#This Row],[CSM id]],SHP!F:F,SHP!EE:EE,"-")</f>
        <v>0</v>
      </c>
      <c r="L2148" s="12"/>
      <c r="N2148" s="11"/>
      <c r="P2148"/>
      <c r="Q2148"/>
      <c r="W2148" s="28"/>
      <c r="AA2148"/>
    </row>
    <row r="2149" spans="1:27" x14ac:dyDescent="0.45">
      <c r="A2149" s="57">
        <v>1641</v>
      </c>
      <c r="B2149" t="s">
        <v>6225</v>
      </c>
      <c r="C2149" t="s">
        <v>6226</v>
      </c>
      <c r="D2149" s="12">
        <v>46313</v>
      </c>
      <c r="E2149" s="11">
        <v>60</v>
      </c>
      <c r="F2149" s="11" t="s">
        <v>7440</v>
      </c>
      <c r="G2149">
        <v>20240401</v>
      </c>
      <c r="I2149" s="11" t="s">
        <v>63</v>
      </c>
      <c r="J2149" s="72">
        <v>80553723</v>
      </c>
      <c r="K2149" s="99">
        <f>_xlfn.XLOOKUP(_2__ROI_Daily_Update[[#This Row],[CSM id]],SHP!F:F,SHP!EE:EE,"-")</f>
        <v>0</v>
      </c>
      <c r="L2149" s="12"/>
      <c r="N2149" s="11"/>
      <c r="P2149"/>
      <c r="Q2149"/>
      <c r="W2149" s="28"/>
      <c r="AA2149"/>
    </row>
    <row r="2150" spans="1:27" x14ac:dyDescent="0.45">
      <c r="A2150" s="57">
        <v>1634</v>
      </c>
      <c r="B2150" t="s">
        <v>5843</v>
      </c>
      <c r="C2150" t="s">
        <v>5844</v>
      </c>
      <c r="D2150" s="12">
        <v>46313</v>
      </c>
      <c r="E2150" s="11">
        <v>104</v>
      </c>
      <c r="F2150" s="11" t="s">
        <v>7400</v>
      </c>
      <c r="G2150">
        <v>20241001</v>
      </c>
      <c r="I2150" s="11" t="s">
        <v>63</v>
      </c>
      <c r="J2150" s="72">
        <v>40587174</v>
      </c>
      <c r="K2150" s="99">
        <f>_xlfn.XLOOKUP(_2__ROI_Daily_Update[[#This Row],[CSM id]],SHP!F:F,SHP!EE:EE,"-")</f>
        <v>0</v>
      </c>
      <c r="L2150" s="12"/>
      <c r="N2150" s="11"/>
      <c r="P2150"/>
      <c r="Q2150"/>
      <c r="W2150" s="28"/>
      <c r="AA2150"/>
    </row>
    <row r="2151" spans="1:27" x14ac:dyDescent="0.45">
      <c r="A2151" s="57">
        <v>1634</v>
      </c>
      <c r="B2151" t="s">
        <v>3043</v>
      </c>
      <c r="C2151" t="s">
        <v>3044</v>
      </c>
      <c r="D2151" s="12">
        <v>46313</v>
      </c>
      <c r="E2151" s="11">
        <v>108</v>
      </c>
      <c r="F2151" s="11" t="s">
        <v>7430</v>
      </c>
      <c r="G2151">
        <v>20251001</v>
      </c>
      <c r="I2151" s="11" t="s">
        <v>63</v>
      </c>
      <c r="J2151" s="72">
        <v>40606059</v>
      </c>
      <c r="K2151" s="99">
        <f>_xlfn.XLOOKUP(_2__ROI_Daily_Update[[#This Row],[CSM id]],SHP!F:F,SHP!EE:EE,"-")</f>
        <v>0</v>
      </c>
      <c r="L2151" s="12"/>
      <c r="N2151" s="11"/>
      <c r="P2151"/>
      <c r="Q2151"/>
      <c r="W2151" s="28"/>
      <c r="AA2151"/>
    </row>
    <row r="2152" spans="1:27" x14ac:dyDescent="0.45">
      <c r="A2152" s="57">
        <v>1634</v>
      </c>
      <c r="B2152" t="s">
        <v>5943</v>
      </c>
      <c r="C2152" t="s">
        <v>5944</v>
      </c>
      <c r="D2152" s="12">
        <v>46313</v>
      </c>
      <c r="E2152" s="11">
        <v>36</v>
      </c>
      <c r="F2152" s="11" t="s">
        <v>6946</v>
      </c>
      <c r="G2152">
        <v>20251001</v>
      </c>
      <c r="I2152" s="11" t="s">
        <v>63</v>
      </c>
      <c r="J2152" s="72">
        <v>40606083</v>
      </c>
      <c r="K2152" s="99">
        <f>_xlfn.XLOOKUP(_2__ROI_Daily_Update[[#This Row],[CSM id]],SHP!F:F,SHP!EE:EE,"-")</f>
        <v>0</v>
      </c>
      <c r="L2152" s="12"/>
      <c r="N2152" s="11"/>
      <c r="P2152"/>
      <c r="Q2152"/>
      <c r="W2152" s="28"/>
      <c r="AA2152"/>
    </row>
    <row r="2153" spans="1:27" x14ac:dyDescent="0.45">
      <c r="A2153" s="57">
        <v>1641</v>
      </c>
      <c r="B2153" t="s">
        <v>3183</v>
      </c>
      <c r="C2153" t="s">
        <v>3184</v>
      </c>
      <c r="D2153" s="12">
        <v>46313</v>
      </c>
      <c r="E2153" s="11">
        <v>48</v>
      </c>
      <c r="F2153" s="11" t="s">
        <v>7499</v>
      </c>
      <c r="G2153">
        <v>20160201</v>
      </c>
      <c r="I2153" s="11" t="s">
        <v>18</v>
      </c>
      <c r="J2153" s="72">
        <v>80300472</v>
      </c>
      <c r="K2153" s="99">
        <f>_xlfn.XLOOKUP(_2__ROI_Daily_Update[[#This Row],[CSM id]],SHP!F:F,SHP!EE:EE,"-")</f>
        <v>0</v>
      </c>
      <c r="L2153" s="12"/>
      <c r="N2153" s="11"/>
      <c r="P2153"/>
      <c r="Q2153"/>
      <c r="W2153" s="28"/>
      <c r="AA2153"/>
    </row>
    <row r="2154" spans="1:27" x14ac:dyDescent="0.45">
      <c r="A2154" s="57">
        <v>1634</v>
      </c>
      <c r="B2154" t="s">
        <v>6574</v>
      </c>
      <c r="C2154" t="s">
        <v>6575</v>
      </c>
      <c r="D2154" s="12">
        <v>46313</v>
      </c>
      <c r="E2154" s="11">
        <v>48</v>
      </c>
      <c r="F2154" s="11" t="s">
        <v>7463</v>
      </c>
      <c r="G2154">
        <v>20251001</v>
      </c>
      <c r="I2154" s="11" t="s">
        <v>63</v>
      </c>
      <c r="J2154" s="72">
        <v>50606087</v>
      </c>
      <c r="K2154" s="99">
        <f>_xlfn.XLOOKUP(_2__ROI_Daily_Update[[#This Row],[CSM id]],SHP!F:F,SHP!EE:EE,"-")</f>
        <v>0</v>
      </c>
      <c r="L2154" s="12"/>
      <c r="N2154" s="11"/>
      <c r="P2154"/>
      <c r="Q2154"/>
      <c r="W2154" s="28"/>
      <c r="AA2154"/>
    </row>
    <row r="2155" spans="1:27" x14ac:dyDescent="0.45">
      <c r="A2155" s="57">
        <v>1634</v>
      </c>
      <c r="B2155" t="s">
        <v>6003</v>
      </c>
      <c r="C2155" t="s">
        <v>6004</v>
      </c>
      <c r="D2155" s="12">
        <v>46313</v>
      </c>
      <c r="E2155" s="11">
        <v>60</v>
      </c>
      <c r="F2155" s="11" t="s">
        <v>6946</v>
      </c>
      <c r="G2155">
        <v>20260801</v>
      </c>
      <c r="H2155" s="12">
        <v>46388</v>
      </c>
      <c r="I2155" s="11" t="s">
        <v>63</v>
      </c>
      <c r="J2155" s="72">
        <v>50631280</v>
      </c>
      <c r="K2155" s="99">
        <f>_xlfn.XLOOKUP(_2__ROI_Daily_Update[[#This Row],[CSM id]],SHP!F:F,SHP!EE:EE,"-")</f>
        <v>0</v>
      </c>
      <c r="L2155" s="12"/>
      <c r="N2155" s="11"/>
      <c r="P2155"/>
      <c r="Q2155"/>
      <c r="W2155" s="28"/>
      <c r="AA2155"/>
    </row>
    <row r="2156" spans="1:27" x14ac:dyDescent="0.45">
      <c r="A2156" s="57">
        <v>1634</v>
      </c>
      <c r="B2156" t="s">
        <v>5162</v>
      </c>
      <c r="C2156" t="s">
        <v>5163</v>
      </c>
      <c r="D2156" s="12">
        <v>46313</v>
      </c>
      <c r="E2156" s="11">
        <v>40</v>
      </c>
      <c r="F2156" s="11" t="s">
        <v>7430</v>
      </c>
      <c r="G2156">
        <v>20260401</v>
      </c>
      <c r="I2156" s="11" t="s">
        <v>63</v>
      </c>
      <c r="J2156" s="72">
        <v>30614955</v>
      </c>
      <c r="K2156" s="99">
        <f>_xlfn.XLOOKUP(_2__ROI_Daily_Update[[#This Row],[CSM id]],SHP!F:F,SHP!EE:EE,"-")</f>
        <v>0</v>
      </c>
      <c r="L2156" s="12"/>
      <c r="N2156" s="11"/>
      <c r="P2156"/>
      <c r="Q2156"/>
      <c r="W2156" s="28"/>
      <c r="AA2156"/>
    </row>
    <row r="2157" spans="1:27" x14ac:dyDescent="0.45">
      <c r="A2157" s="57">
        <v>1637</v>
      </c>
      <c r="B2157" t="s">
        <v>5985</v>
      </c>
      <c r="C2157" t="s">
        <v>5986</v>
      </c>
      <c r="D2157" s="12">
        <v>46313</v>
      </c>
      <c r="E2157" s="11">
        <v>96</v>
      </c>
      <c r="F2157" s="11" t="s">
        <v>7435</v>
      </c>
      <c r="G2157">
        <v>20261001</v>
      </c>
      <c r="H2157" s="12">
        <v>46388</v>
      </c>
      <c r="I2157" s="11" t="s">
        <v>63</v>
      </c>
      <c r="J2157" s="72">
        <v>10637095</v>
      </c>
      <c r="K2157" s="99">
        <f>_xlfn.XLOOKUP(_2__ROI_Daily_Update[[#This Row],[CSM id]],SHP!F:F,SHP!EE:EE,"-")</f>
        <v>0</v>
      </c>
      <c r="L2157" s="12"/>
      <c r="N2157" s="11"/>
      <c r="P2157"/>
      <c r="Q2157"/>
      <c r="W2157" s="28"/>
      <c r="AA2157"/>
    </row>
    <row r="2158" spans="1:27" x14ac:dyDescent="0.45">
      <c r="A2158" s="57">
        <v>125</v>
      </c>
      <c r="B2158" t="s">
        <v>106</v>
      </c>
      <c r="C2158" t="s">
        <v>107</v>
      </c>
      <c r="D2158" s="12">
        <v>46313</v>
      </c>
      <c r="E2158" s="11">
        <v>2</v>
      </c>
      <c r="F2158" s="11" t="s">
        <v>7468</v>
      </c>
      <c r="G2158">
        <v>20261001</v>
      </c>
      <c r="I2158" s="11" t="s">
        <v>18</v>
      </c>
      <c r="J2158" s="72">
        <v>10628944</v>
      </c>
      <c r="K2158" s="99">
        <f>_xlfn.XLOOKUP(_2__ROI_Daily_Update[[#This Row],[CSM id]],SHP!F:F,SHP!EE:EE,"-")</f>
        <v>0</v>
      </c>
      <c r="L2158" s="12"/>
      <c r="N2158" s="11"/>
      <c r="P2158"/>
      <c r="Q2158"/>
      <c r="W2158" s="28"/>
      <c r="AA2158"/>
    </row>
    <row r="2159" spans="1:27" x14ac:dyDescent="0.45">
      <c r="A2159" s="57">
        <v>1635</v>
      </c>
      <c r="B2159" t="s">
        <v>3071</v>
      </c>
      <c r="C2159" t="s">
        <v>3072</v>
      </c>
      <c r="D2159" s="12">
        <v>46313</v>
      </c>
      <c r="E2159" s="11">
        <v>320</v>
      </c>
      <c r="F2159" s="11" t="s">
        <v>7395</v>
      </c>
      <c r="G2159">
        <v>20251001</v>
      </c>
      <c r="I2159" s="11" t="s">
        <v>63</v>
      </c>
      <c r="J2159" s="72">
        <v>609597</v>
      </c>
      <c r="K2159" s="99">
        <f>_xlfn.XLOOKUP(_2__ROI_Daily_Update[[#This Row],[CSM id]],SHP!F:F,SHP!EE:EE,"-")</f>
        <v>0</v>
      </c>
      <c r="L2159" s="12"/>
      <c r="N2159" s="11"/>
      <c r="P2159"/>
      <c r="Q2159"/>
      <c r="W2159" s="28"/>
      <c r="AA2159"/>
    </row>
    <row r="2160" spans="1:27" x14ac:dyDescent="0.45">
      <c r="A2160" s="57">
        <v>1637</v>
      </c>
      <c r="B2160" t="s">
        <v>6451</v>
      </c>
      <c r="C2160" t="s">
        <v>6452</v>
      </c>
      <c r="D2160" s="12">
        <v>46313</v>
      </c>
      <c r="E2160" s="11">
        <v>80</v>
      </c>
      <c r="F2160" s="11" t="s">
        <v>7453</v>
      </c>
      <c r="G2160">
        <v>20261001</v>
      </c>
      <c r="H2160" s="12">
        <v>46388</v>
      </c>
      <c r="I2160" s="11" t="s">
        <v>63</v>
      </c>
      <c r="J2160" s="72">
        <v>10636883</v>
      </c>
      <c r="K2160" s="99">
        <f>_xlfn.XLOOKUP(_2__ROI_Daily_Update[[#This Row],[CSM id]],SHP!F:F,SHP!EE:EE,"-")</f>
        <v>0</v>
      </c>
      <c r="L2160" s="12"/>
      <c r="N2160" s="11"/>
      <c r="P2160"/>
      <c r="Q2160"/>
      <c r="W2160" s="28"/>
      <c r="AA2160"/>
    </row>
    <row r="2161" spans="1:27" x14ac:dyDescent="0.45">
      <c r="A2161" s="57">
        <v>1641</v>
      </c>
      <c r="B2161" t="s">
        <v>5574</v>
      </c>
      <c r="C2161" t="s">
        <v>5575</v>
      </c>
      <c r="D2161" s="12">
        <v>46313</v>
      </c>
      <c r="E2161" s="11">
        <v>896</v>
      </c>
      <c r="F2161" s="11" t="s">
        <v>7410</v>
      </c>
      <c r="G2161">
        <v>20160201</v>
      </c>
      <c r="I2161" s="11" t="s">
        <v>63</v>
      </c>
      <c r="J2161" s="72">
        <v>80300448</v>
      </c>
      <c r="K2161" s="99">
        <f>_xlfn.XLOOKUP(_2__ROI_Daily_Update[[#This Row],[CSM id]],SHP!F:F,SHP!EE:EE,"-")</f>
        <v>0</v>
      </c>
      <c r="L2161" s="12"/>
      <c r="N2161" s="11"/>
      <c r="P2161"/>
      <c r="Q2161"/>
      <c r="W2161" s="28"/>
      <c r="AA2161"/>
    </row>
    <row r="2162" spans="1:27" x14ac:dyDescent="0.45">
      <c r="A2162" s="57">
        <v>1637</v>
      </c>
      <c r="B2162" t="s">
        <v>3105</v>
      </c>
      <c r="C2162" t="s">
        <v>3106</v>
      </c>
      <c r="D2162" s="12">
        <v>46313</v>
      </c>
      <c r="E2162" s="11">
        <v>216</v>
      </c>
      <c r="F2162" s="11" t="s">
        <v>6946</v>
      </c>
      <c r="G2162">
        <v>20261001</v>
      </c>
      <c r="H2162" s="12">
        <v>46388</v>
      </c>
      <c r="I2162" s="11" t="s">
        <v>63</v>
      </c>
      <c r="J2162" s="72">
        <v>10635322</v>
      </c>
      <c r="K2162" s="99">
        <f>_xlfn.XLOOKUP(_2__ROI_Daily_Update[[#This Row],[CSM id]],SHP!F:F,SHP!EE:EE,"-")</f>
        <v>0</v>
      </c>
      <c r="L2162" s="12"/>
      <c r="N2162" s="11"/>
      <c r="P2162"/>
      <c r="Q2162"/>
      <c r="W2162" s="28"/>
      <c r="AA2162"/>
    </row>
    <row r="2163" spans="1:27" x14ac:dyDescent="0.45">
      <c r="A2163" s="57">
        <v>1637</v>
      </c>
      <c r="B2163" t="s">
        <v>3103</v>
      </c>
      <c r="C2163" t="s">
        <v>3104</v>
      </c>
      <c r="D2163" s="12">
        <v>46313</v>
      </c>
      <c r="E2163" s="11">
        <v>45</v>
      </c>
      <c r="F2163" s="11" t="s">
        <v>7410</v>
      </c>
      <c r="G2163">
        <v>20261001</v>
      </c>
      <c r="H2163" s="12">
        <v>46388</v>
      </c>
      <c r="I2163" s="11" t="s">
        <v>63</v>
      </c>
      <c r="J2163" s="72">
        <v>10633403</v>
      </c>
      <c r="K2163" s="99">
        <f>_xlfn.XLOOKUP(_2__ROI_Daily_Update[[#This Row],[CSM id]],SHP!F:F,SHP!EE:EE,"-")</f>
        <v>0</v>
      </c>
      <c r="L2163" s="12"/>
      <c r="N2163" s="11"/>
      <c r="P2163"/>
      <c r="Q2163"/>
      <c r="W2163" s="28"/>
      <c r="AA2163"/>
    </row>
    <row r="2164" spans="1:27" x14ac:dyDescent="0.45">
      <c r="A2164" s="57">
        <v>1637</v>
      </c>
      <c r="B2164" t="s">
        <v>6431</v>
      </c>
      <c r="C2164" t="s">
        <v>6432</v>
      </c>
      <c r="D2164" s="12">
        <v>46313</v>
      </c>
      <c r="E2164" s="11">
        <v>84</v>
      </c>
      <c r="F2164" s="11" t="s">
        <v>7453</v>
      </c>
      <c r="G2164">
        <v>20261001</v>
      </c>
      <c r="H2164" s="12">
        <v>46388</v>
      </c>
      <c r="I2164" s="11" t="s">
        <v>63</v>
      </c>
      <c r="J2164" s="72">
        <v>10633399</v>
      </c>
      <c r="K2164" s="99">
        <f>_xlfn.XLOOKUP(_2__ROI_Daily_Update[[#This Row],[CSM id]],SHP!F:F,SHP!EE:EE,"-")</f>
        <v>0</v>
      </c>
      <c r="L2164" s="12"/>
      <c r="N2164" s="11"/>
      <c r="P2164"/>
      <c r="Q2164"/>
      <c r="W2164" s="28"/>
      <c r="AA2164"/>
    </row>
    <row r="2165" spans="1:27" x14ac:dyDescent="0.45">
      <c r="A2165" s="57">
        <v>125</v>
      </c>
      <c r="B2165" t="s">
        <v>130</v>
      </c>
      <c r="C2165" t="s">
        <v>131</v>
      </c>
      <c r="D2165" s="12">
        <v>46313</v>
      </c>
      <c r="E2165" s="11">
        <v>20</v>
      </c>
      <c r="F2165" s="11" t="s">
        <v>7468</v>
      </c>
      <c r="G2165">
        <v>20180401</v>
      </c>
      <c r="H2165" s="12">
        <v>46569</v>
      </c>
      <c r="I2165" s="11" t="s">
        <v>18</v>
      </c>
      <c r="J2165" s="72">
        <v>90395144</v>
      </c>
      <c r="K2165" s="99">
        <f>_xlfn.XLOOKUP(_2__ROI_Daily_Update[[#This Row],[CSM id]],SHP!F:F,SHP!EE:EE,"-")</f>
        <v>0</v>
      </c>
      <c r="L2165" s="12"/>
      <c r="N2165" s="11"/>
      <c r="P2165"/>
      <c r="Q2165"/>
      <c r="W2165" s="28"/>
      <c r="AA2165"/>
    </row>
    <row r="2166" spans="1:27" x14ac:dyDescent="0.45">
      <c r="A2166" s="57">
        <v>125</v>
      </c>
      <c r="B2166" t="s">
        <v>111</v>
      </c>
      <c r="C2166" t="s">
        <v>112</v>
      </c>
      <c r="D2166" s="12">
        <v>46313</v>
      </c>
      <c r="E2166" s="11">
        <v>26</v>
      </c>
      <c r="F2166" s="11" t="s">
        <v>7480</v>
      </c>
      <c r="G2166">
        <v>20260701</v>
      </c>
      <c r="I2166" s="11" t="s">
        <v>63</v>
      </c>
      <c r="J2166" s="72">
        <v>20625407</v>
      </c>
      <c r="K2166" s="99">
        <f>_xlfn.XLOOKUP(_2__ROI_Daily_Update[[#This Row],[CSM id]],SHP!F:F,SHP!EE:EE,"-")</f>
        <v>0</v>
      </c>
      <c r="L2166" s="12"/>
      <c r="N2166" s="11"/>
      <c r="P2166"/>
      <c r="Q2166"/>
      <c r="W2166" s="28"/>
      <c r="AA2166"/>
    </row>
    <row r="2167" spans="1:27" x14ac:dyDescent="0.45">
      <c r="A2167" s="57">
        <v>125</v>
      </c>
      <c r="B2167" t="s">
        <v>132</v>
      </c>
      <c r="C2167" t="s">
        <v>133</v>
      </c>
      <c r="D2167" s="12">
        <v>46313</v>
      </c>
      <c r="E2167" s="11">
        <v>14</v>
      </c>
      <c r="F2167" s="11" t="s">
        <v>7400</v>
      </c>
      <c r="G2167">
        <v>20210401</v>
      </c>
      <c r="I2167" s="11" t="s">
        <v>32</v>
      </c>
      <c r="J2167" s="72">
        <v>90486059</v>
      </c>
      <c r="K2167" s="99">
        <f>_xlfn.XLOOKUP(_2__ROI_Daily_Update[[#This Row],[CSM id]],SHP!F:F,SHP!EE:EE,"-")</f>
        <v>0</v>
      </c>
      <c r="L2167" s="12"/>
      <c r="N2167" s="11"/>
      <c r="P2167"/>
      <c r="Q2167"/>
      <c r="W2167" s="28"/>
      <c r="AA2167"/>
    </row>
    <row r="2168" spans="1:27" x14ac:dyDescent="0.45">
      <c r="A2168" s="57">
        <v>1636</v>
      </c>
      <c r="B2168" t="s">
        <v>5977</v>
      </c>
      <c r="C2168" t="s">
        <v>5978</v>
      </c>
      <c r="D2168" s="12">
        <v>46313</v>
      </c>
      <c r="E2168" s="11">
        <v>360</v>
      </c>
      <c r="F2168" s="11" t="s">
        <v>7475</v>
      </c>
      <c r="G2168">
        <v>20261001</v>
      </c>
      <c r="H2168" s="12">
        <v>46478</v>
      </c>
      <c r="I2168" s="11" t="s">
        <v>63</v>
      </c>
      <c r="J2168" s="72">
        <v>10632253</v>
      </c>
      <c r="K2168" s="99">
        <f>_xlfn.XLOOKUP(_2__ROI_Daily_Update[[#This Row],[CSM id]],SHP!F:F,SHP!EE:EE,"-")</f>
        <v>0</v>
      </c>
      <c r="L2168" s="12"/>
      <c r="N2168" s="11"/>
      <c r="P2168"/>
      <c r="Q2168"/>
      <c r="W2168" s="28"/>
      <c r="AA2168"/>
    </row>
    <row r="2169" spans="1:27" x14ac:dyDescent="0.45">
      <c r="A2169" s="57">
        <v>1636</v>
      </c>
      <c r="B2169" t="s">
        <v>5977</v>
      </c>
      <c r="C2169" t="s">
        <v>5978</v>
      </c>
      <c r="D2169" s="12">
        <v>46313</v>
      </c>
      <c r="E2169" s="11">
        <v>840</v>
      </c>
      <c r="F2169" s="11" t="s">
        <v>6940</v>
      </c>
      <c r="G2169">
        <v>20261001</v>
      </c>
      <c r="H2169" s="12">
        <v>46478</v>
      </c>
      <c r="I2169" s="11" t="s">
        <v>63</v>
      </c>
      <c r="J2169" s="72">
        <v>10632253</v>
      </c>
      <c r="K2169" s="99">
        <f>_xlfn.XLOOKUP(_2__ROI_Daily_Update[[#This Row],[CSM id]],SHP!F:F,SHP!EE:EE,"-")</f>
        <v>0</v>
      </c>
      <c r="L2169" s="12"/>
      <c r="N2169" s="11"/>
      <c r="P2169"/>
      <c r="Q2169"/>
      <c r="W2169" s="28"/>
      <c r="AA2169"/>
    </row>
    <row r="2170" spans="1:27" x14ac:dyDescent="0.45">
      <c r="A2170" s="57">
        <v>1635</v>
      </c>
      <c r="B2170" t="s">
        <v>6865</v>
      </c>
      <c r="C2170" t="s">
        <v>6866</v>
      </c>
      <c r="D2170" s="12">
        <v>46313</v>
      </c>
      <c r="E2170" s="11">
        <v>1400</v>
      </c>
      <c r="F2170" s="11" t="s">
        <v>7463</v>
      </c>
      <c r="G2170">
        <v>20260401</v>
      </c>
      <c r="I2170" s="11" t="s">
        <v>63</v>
      </c>
      <c r="J2170" s="72">
        <v>90619139</v>
      </c>
      <c r="K2170" s="99">
        <f>_xlfn.XLOOKUP(_2__ROI_Daily_Update[[#This Row],[CSM id]],SHP!F:F,SHP!EE:EE,"-")</f>
        <v>0</v>
      </c>
      <c r="L2170" s="12"/>
      <c r="N2170" s="11"/>
      <c r="P2170"/>
      <c r="Q2170"/>
      <c r="W2170" s="28"/>
      <c r="AA2170"/>
    </row>
    <row r="2171" spans="1:27" x14ac:dyDescent="0.45">
      <c r="A2171" s="57">
        <v>1641</v>
      </c>
      <c r="B2171" t="s">
        <v>3181</v>
      </c>
      <c r="C2171" t="s">
        <v>3182</v>
      </c>
      <c r="D2171" s="12">
        <v>46313</v>
      </c>
      <c r="E2171" s="11">
        <v>96</v>
      </c>
      <c r="F2171" s="11" t="s">
        <v>7430</v>
      </c>
      <c r="G2171">
        <v>20160201</v>
      </c>
      <c r="I2171" s="11" t="s">
        <v>63</v>
      </c>
      <c r="J2171" s="72">
        <v>80300467</v>
      </c>
      <c r="K2171" s="99">
        <f>_xlfn.XLOOKUP(_2__ROI_Daily_Update[[#This Row],[CSM id]],SHP!F:F,SHP!EE:EE,"-")</f>
        <v>0</v>
      </c>
      <c r="L2171" s="12"/>
      <c r="N2171" s="11"/>
      <c r="P2171"/>
      <c r="Q2171"/>
      <c r="W2171" s="28"/>
      <c r="AA2171"/>
    </row>
    <row r="2172" spans="1:27" x14ac:dyDescent="0.45">
      <c r="A2172" s="57">
        <v>1635</v>
      </c>
      <c r="B2172" t="s">
        <v>6389</v>
      </c>
      <c r="C2172" t="s">
        <v>6390</v>
      </c>
      <c r="D2172" s="12">
        <v>46313</v>
      </c>
      <c r="E2172" s="11">
        <v>12</v>
      </c>
      <c r="F2172" s="11" t="s">
        <v>7448</v>
      </c>
      <c r="G2172">
        <v>20260401</v>
      </c>
      <c r="H2172" s="12">
        <v>46569</v>
      </c>
      <c r="I2172" s="11" t="s">
        <v>63</v>
      </c>
      <c r="J2172" s="72">
        <v>80620336</v>
      </c>
      <c r="K2172" s="99">
        <f>_xlfn.XLOOKUP(_2__ROI_Daily_Update[[#This Row],[CSM id]],SHP!F:F,SHP!EE:EE,"-")</f>
        <v>0</v>
      </c>
      <c r="L2172" s="12"/>
      <c r="N2172" s="11"/>
      <c r="P2172"/>
      <c r="Q2172"/>
      <c r="W2172" s="28"/>
      <c r="AA2172"/>
    </row>
    <row r="2173" spans="1:27" x14ac:dyDescent="0.45">
      <c r="A2173" s="57">
        <v>1635</v>
      </c>
      <c r="B2173" t="s">
        <v>5975</v>
      </c>
      <c r="C2173" t="s">
        <v>5976</v>
      </c>
      <c r="D2173" s="12">
        <v>46313</v>
      </c>
      <c r="E2173" s="11">
        <v>24</v>
      </c>
      <c r="F2173" s="11" t="s">
        <v>6940</v>
      </c>
      <c r="G2173">
        <v>20261001</v>
      </c>
      <c r="I2173" s="11" t="s">
        <v>63</v>
      </c>
      <c r="J2173" s="72">
        <v>80611577</v>
      </c>
      <c r="K2173" s="99">
        <f>_xlfn.XLOOKUP(_2__ROI_Daily_Update[[#This Row],[CSM id]],SHP!F:F,SHP!EE:EE,"-")</f>
        <v>0</v>
      </c>
      <c r="L2173" s="12"/>
      <c r="N2173" s="11"/>
      <c r="P2173"/>
      <c r="Q2173"/>
      <c r="W2173" s="28"/>
      <c r="AA2173"/>
    </row>
    <row r="2174" spans="1:27" x14ac:dyDescent="0.45">
      <c r="A2174" s="57">
        <v>125</v>
      </c>
      <c r="B2174" t="s">
        <v>132</v>
      </c>
      <c r="C2174" t="s">
        <v>133</v>
      </c>
      <c r="D2174" s="12">
        <v>46313</v>
      </c>
      <c r="E2174" s="11">
        <v>14</v>
      </c>
      <c r="F2174" s="11" t="s">
        <v>7440</v>
      </c>
      <c r="G2174">
        <v>20210401</v>
      </c>
      <c r="I2174" s="11" t="s">
        <v>32</v>
      </c>
      <c r="J2174" s="72">
        <v>90486059</v>
      </c>
      <c r="K2174" s="99">
        <f>_xlfn.XLOOKUP(_2__ROI_Daily_Update[[#This Row],[CSM id]],SHP!F:F,SHP!EE:EE,"-")</f>
        <v>0</v>
      </c>
      <c r="L2174" s="12"/>
      <c r="N2174" s="11"/>
      <c r="P2174"/>
      <c r="Q2174"/>
      <c r="W2174" s="28"/>
      <c r="AA2174"/>
    </row>
    <row r="2175" spans="1:27" x14ac:dyDescent="0.45">
      <c r="A2175" s="57">
        <v>1635</v>
      </c>
      <c r="B2175" t="s">
        <v>6749</v>
      </c>
      <c r="C2175" t="s">
        <v>6750</v>
      </c>
      <c r="D2175" s="12">
        <v>46313</v>
      </c>
      <c r="E2175" s="11">
        <v>48</v>
      </c>
      <c r="F2175" s="11" t="s">
        <v>7463</v>
      </c>
      <c r="G2175">
        <v>20260401</v>
      </c>
      <c r="I2175" s="11" t="s">
        <v>63</v>
      </c>
      <c r="J2175" s="72">
        <v>80608462</v>
      </c>
      <c r="K2175" s="99">
        <f>_xlfn.XLOOKUP(_2__ROI_Daily_Update[[#This Row],[CSM id]],SHP!F:F,SHP!EE:EE,"-")</f>
        <v>0</v>
      </c>
      <c r="L2175" s="12"/>
      <c r="N2175" s="11"/>
      <c r="P2175"/>
      <c r="Q2175"/>
      <c r="W2175" s="28"/>
      <c r="AA2175"/>
    </row>
    <row r="2176" spans="1:27" x14ac:dyDescent="0.45">
      <c r="A2176" s="57">
        <v>1641</v>
      </c>
      <c r="B2176" t="s">
        <v>3181</v>
      </c>
      <c r="C2176" t="s">
        <v>3182</v>
      </c>
      <c r="D2176" s="12">
        <v>46313</v>
      </c>
      <c r="E2176" s="11">
        <v>96</v>
      </c>
      <c r="F2176" s="11" t="s">
        <v>6946</v>
      </c>
      <c r="G2176">
        <v>20160201</v>
      </c>
      <c r="I2176" s="11" t="s">
        <v>63</v>
      </c>
      <c r="J2176" s="72">
        <v>80300467</v>
      </c>
      <c r="K2176" s="99">
        <f>_xlfn.XLOOKUP(_2__ROI_Daily_Update[[#This Row],[CSM id]],SHP!F:F,SHP!EE:EE,"-")</f>
        <v>0</v>
      </c>
      <c r="L2176" s="12"/>
      <c r="N2176" s="11"/>
      <c r="P2176"/>
      <c r="Q2176"/>
      <c r="W2176" s="28"/>
      <c r="AA2176"/>
    </row>
    <row r="2177" spans="1:27" x14ac:dyDescent="0.45">
      <c r="A2177" s="57">
        <v>1635</v>
      </c>
      <c r="B2177" t="s">
        <v>3071</v>
      </c>
      <c r="C2177" t="s">
        <v>3072</v>
      </c>
      <c r="D2177" s="12">
        <v>46313</v>
      </c>
      <c r="E2177" s="11">
        <v>320</v>
      </c>
      <c r="F2177" s="11" t="s">
        <v>7475</v>
      </c>
      <c r="G2177">
        <v>20251001</v>
      </c>
      <c r="I2177" s="11" t="s">
        <v>63</v>
      </c>
      <c r="J2177" s="72">
        <v>609597</v>
      </c>
      <c r="K2177" s="99">
        <f>_xlfn.XLOOKUP(_2__ROI_Daily_Update[[#This Row],[CSM id]],SHP!F:F,SHP!EE:EE,"-")</f>
        <v>0</v>
      </c>
      <c r="L2177" s="12"/>
      <c r="N2177" s="11"/>
      <c r="P2177"/>
      <c r="Q2177"/>
      <c r="W2177" s="28"/>
      <c r="AA2177"/>
    </row>
    <row r="2178" spans="1:27" x14ac:dyDescent="0.45">
      <c r="A2178" s="57">
        <v>1635</v>
      </c>
      <c r="B2178" t="s">
        <v>6741</v>
      </c>
      <c r="C2178" t="s">
        <v>6742</v>
      </c>
      <c r="D2178" s="12">
        <v>46313</v>
      </c>
      <c r="E2178" s="11">
        <v>504</v>
      </c>
      <c r="F2178" s="11" t="s">
        <v>7463</v>
      </c>
      <c r="G2178">
        <v>20260401</v>
      </c>
      <c r="I2178" s="11" t="s">
        <v>63</v>
      </c>
      <c r="J2178" s="72">
        <v>20608399</v>
      </c>
      <c r="K2178" s="99">
        <f>_xlfn.XLOOKUP(_2__ROI_Daily_Update[[#This Row],[CSM id]],SHP!F:F,SHP!EE:EE,"-")</f>
        <v>0</v>
      </c>
      <c r="L2178" s="12"/>
      <c r="N2178" s="11"/>
      <c r="P2178"/>
      <c r="Q2178"/>
      <c r="W2178" s="28"/>
      <c r="AA2178"/>
    </row>
    <row r="2179" spans="1:27" x14ac:dyDescent="0.45">
      <c r="A2179" s="57">
        <v>1635</v>
      </c>
      <c r="B2179" t="s">
        <v>3073</v>
      </c>
      <c r="C2179" t="s">
        <v>3074</v>
      </c>
      <c r="D2179" s="12">
        <v>46313</v>
      </c>
      <c r="E2179" s="11">
        <v>1440</v>
      </c>
      <c r="F2179" s="11" t="s">
        <v>7425</v>
      </c>
      <c r="G2179">
        <v>20251001</v>
      </c>
      <c r="I2179" s="11" t="s">
        <v>63</v>
      </c>
      <c r="J2179" s="72">
        <v>20609600</v>
      </c>
      <c r="K2179" s="99">
        <f>_xlfn.XLOOKUP(_2__ROI_Daily_Update[[#This Row],[CSM id]],SHP!F:F,SHP!EE:EE,"-")</f>
        <v>0</v>
      </c>
      <c r="L2179" s="12"/>
      <c r="N2179" s="11"/>
      <c r="P2179"/>
      <c r="Q2179"/>
      <c r="W2179" s="28"/>
      <c r="AA2179"/>
    </row>
    <row r="2180" spans="1:27" x14ac:dyDescent="0.45">
      <c r="A2180" s="57">
        <v>1641</v>
      </c>
      <c r="B2180" t="s">
        <v>3183</v>
      </c>
      <c r="C2180" t="s">
        <v>3184</v>
      </c>
      <c r="D2180" s="12">
        <v>46313</v>
      </c>
      <c r="E2180" s="11">
        <v>48</v>
      </c>
      <c r="F2180" s="11" t="s">
        <v>7468</v>
      </c>
      <c r="G2180">
        <v>20160201</v>
      </c>
      <c r="I2180" s="11" t="s">
        <v>18</v>
      </c>
      <c r="J2180" s="72">
        <v>80300472</v>
      </c>
      <c r="K2180" s="99">
        <f>_xlfn.XLOOKUP(_2__ROI_Daily_Update[[#This Row],[CSM id]],SHP!F:F,SHP!EE:EE,"-")</f>
        <v>0</v>
      </c>
      <c r="L2180" s="12"/>
      <c r="N2180" s="11"/>
      <c r="P2180"/>
      <c r="Q2180"/>
      <c r="W2180" s="28"/>
      <c r="AA2180"/>
    </row>
    <row r="2181" spans="1:27" x14ac:dyDescent="0.45">
      <c r="A2181" s="57">
        <v>1635</v>
      </c>
      <c r="B2181" t="s">
        <v>5300</v>
      </c>
      <c r="C2181" t="s">
        <v>5301</v>
      </c>
      <c r="D2181" s="12">
        <v>46313</v>
      </c>
      <c r="E2181" s="11">
        <v>2380</v>
      </c>
      <c r="F2181" s="11" t="s">
        <v>7420</v>
      </c>
      <c r="G2181">
        <v>20260401</v>
      </c>
      <c r="I2181" s="11" t="s">
        <v>63</v>
      </c>
      <c r="J2181" s="72">
        <v>30608742</v>
      </c>
      <c r="K2181" s="99">
        <f>_xlfn.XLOOKUP(_2__ROI_Daily_Update[[#This Row],[CSM id]],SHP!F:F,SHP!EE:EE,"-")</f>
        <v>0</v>
      </c>
      <c r="L2181" s="12"/>
      <c r="N2181" s="11"/>
      <c r="P2181"/>
      <c r="Q2181"/>
      <c r="W2181" s="28"/>
      <c r="AA2181"/>
    </row>
    <row r="2182" spans="1:27" x14ac:dyDescent="0.45">
      <c r="A2182" s="57">
        <v>1635</v>
      </c>
      <c r="B2182" t="s">
        <v>6743</v>
      </c>
      <c r="C2182" t="s">
        <v>6744</v>
      </c>
      <c r="D2182" s="12">
        <v>46313</v>
      </c>
      <c r="E2182" s="11">
        <v>630</v>
      </c>
      <c r="F2182" s="11" t="s">
        <v>7463</v>
      </c>
      <c r="G2182">
        <v>20260401</v>
      </c>
      <c r="I2182" s="11" t="s">
        <v>63</v>
      </c>
      <c r="J2182" s="72">
        <v>40608690</v>
      </c>
      <c r="K2182" s="99">
        <f>_xlfn.XLOOKUP(_2__ROI_Daily_Update[[#This Row],[CSM id]],SHP!F:F,SHP!EE:EE,"-")</f>
        <v>0</v>
      </c>
      <c r="L2182" s="12"/>
      <c r="N2182" s="11"/>
      <c r="P2182"/>
      <c r="Q2182"/>
      <c r="W2182" s="28"/>
      <c r="AA2182"/>
    </row>
    <row r="2183" spans="1:27" x14ac:dyDescent="0.45">
      <c r="A2183" s="57">
        <v>1635</v>
      </c>
      <c r="B2183" t="s">
        <v>3069</v>
      </c>
      <c r="C2183" t="s">
        <v>3070</v>
      </c>
      <c r="D2183" s="12">
        <v>46313</v>
      </c>
      <c r="E2183" s="11">
        <v>48</v>
      </c>
      <c r="F2183" s="11" t="s">
        <v>7410</v>
      </c>
      <c r="G2183">
        <v>20260401</v>
      </c>
      <c r="I2183" s="11" t="s">
        <v>63</v>
      </c>
      <c r="J2183" s="72">
        <v>608442</v>
      </c>
      <c r="K2183" s="99">
        <f>_xlfn.XLOOKUP(_2__ROI_Daily_Update[[#This Row],[CSM id]],SHP!F:F,SHP!EE:EE,"-")</f>
        <v>0</v>
      </c>
      <c r="L2183" s="12"/>
      <c r="N2183" s="11"/>
      <c r="P2183"/>
      <c r="Q2183"/>
      <c r="W2183" s="28"/>
      <c r="AA2183"/>
    </row>
    <row r="2184" spans="1:27" x14ac:dyDescent="0.45">
      <c r="A2184" s="57">
        <v>125</v>
      </c>
      <c r="B2184" t="s">
        <v>126</v>
      </c>
      <c r="C2184" t="s">
        <v>127</v>
      </c>
      <c r="D2184" s="12">
        <v>46313</v>
      </c>
      <c r="E2184" s="11">
        <v>3</v>
      </c>
      <c r="F2184" s="11" t="s">
        <v>7400</v>
      </c>
      <c r="G2184">
        <v>20250401</v>
      </c>
      <c r="I2184" s="11" t="s">
        <v>32</v>
      </c>
      <c r="J2184" s="72">
        <v>80594752</v>
      </c>
      <c r="K2184" s="99">
        <f>_xlfn.XLOOKUP(_2__ROI_Daily_Update[[#This Row],[CSM id]],SHP!F:F,SHP!EE:EE,"-")</f>
        <v>0</v>
      </c>
      <c r="L2184" s="12"/>
      <c r="N2184" s="11"/>
      <c r="P2184"/>
      <c r="Q2184"/>
      <c r="W2184" s="28"/>
      <c r="AA2184"/>
    </row>
    <row r="2185" spans="1:27" x14ac:dyDescent="0.45">
      <c r="A2185" s="57">
        <v>1635</v>
      </c>
      <c r="B2185" t="s">
        <v>5200</v>
      </c>
      <c r="C2185" t="s">
        <v>5201</v>
      </c>
      <c r="D2185" s="12">
        <v>46313</v>
      </c>
      <c r="E2185" s="11">
        <v>12</v>
      </c>
      <c r="F2185" s="11" t="s">
        <v>7395</v>
      </c>
      <c r="G2185">
        <v>20260701</v>
      </c>
      <c r="I2185" s="11" t="s">
        <v>63</v>
      </c>
      <c r="J2185" s="72">
        <v>50614285</v>
      </c>
      <c r="K2185" s="99">
        <f>_xlfn.XLOOKUP(_2__ROI_Daily_Update[[#This Row],[CSM id]],SHP!F:F,SHP!EE:EE,"-")</f>
        <v>0</v>
      </c>
      <c r="L2185" s="12"/>
      <c r="N2185" s="11"/>
      <c r="P2185"/>
      <c r="Q2185"/>
      <c r="W2185" s="28"/>
      <c r="AA2185"/>
    </row>
    <row r="2186" spans="1:27" x14ac:dyDescent="0.45">
      <c r="A2186" s="57">
        <v>125</v>
      </c>
      <c r="B2186" t="s">
        <v>113</v>
      </c>
      <c r="C2186" t="s">
        <v>114</v>
      </c>
      <c r="D2186" s="12">
        <v>46313</v>
      </c>
      <c r="E2186" s="11">
        <v>28</v>
      </c>
      <c r="F2186" s="11" t="s">
        <v>7410</v>
      </c>
      <c r="G2186">
        <v>20260701</v>
      </c>
      <c r="I2186" s="11" t="s">
        <v>63</v>
      </c>
      <c r="J2186" s="72">
        <v>20625539</v>
      </c>
      <c r="K2186" s="99">
        <f>_xlfn.XLOOKUP(_2__ROI_Daily_Update[[#This Row],[CSM id]],SHP!F:F,SHP!EE:EE,"-")</f>
        <v>0</v>
      </c>
      <c r="L2186" s="12"/>
      <c r="N2186" s="11"/>
      <c r="P2186"/>
      <c r="Q2186"/>
      <c r="W2186" s="28"/>
      <c r="AA2186"/>
    </row>
    <row r="2187" spans="1:27" x14ac:dyDescent="0.45">
      <c r="A2187" s="57">
        <v>1635</v>
      </c>
      <c r="B2187" t="s">
        <v>6745</v>
      </c>
      <c r="C2187" t="s">
        <v>6746</v>
      </c>
      <c r="D2187" s="12">
        <v>46313</v>
      </c>
      <c r="E2187" s="11">
        <v>630</v>
      </c>
      <c r="F2187" s="11" t="s">
        <v>7463</v>
      </c>
      <c r="G2187">
        <v>20260401</v>
      </c>
      <c r="I2187" s="11" t="s">
        <v>63</v>
      </c>
      <c r="J2187" s="72">
        <v>60608694</v>
      </c>
      <c r="K2187" s="99">
        <f>_xlfn.XLOOKUP(_2__ROI_Daily_Update[[#This Row],[CSM id]],SHP!F:F,SHP!EE:EE,"-")</f>
        <v>0</v>
      </c>
      <c r="L2187" s="12"/>
      <c r="N2187" s="11"/>
      <c r="P2187"/>
      <c r="Q2187"/>
      <c r="W2187" s="28"/>
      <c r="AA2187"/>
    </row>
    <row r="2188" spans="1:27" x14ac:dyDescent="0.45">
      <c r="A2188" s="57">
        <v>1635</v>
      </c>
      <c r="B2188" t="s">
        <v>3081</v>
      </c>
      <c r="C2188" t="s">
        <v>3082</v>
      </c>
      <c r="D2188" s="12">
        <v>46313</v>
      </c>
      <c r="E2188" s="11">
        <v>12</v>
      </c>
      <c r="F2188" s="11" t="s">
        <v>7425</v>
      </c>
      <c r="G2188">
        <v>20260701</v>
      </c>
      <c r="H2188" s="12">
        <v>46569</v>
      </c>
      <c r="I2188" s="11" t="s">
        <v>63</v>
      </c>
      <c r="J2188" s="72">
        <v>60614280</v>
      </c>
      <c r="K2188" s="99">
        <f>_xlfn.XLOOKUP(_2__ROI_Daily_Update[[#This Row],[CSM id]],SHP!F:F,SHP!EE:EE,"-")</f>
        <v>0</v>
      </c>
      <c r="L2188" s="12"/>
      <c r="N2188" s="11"/>
      <c r="P2188"/>
      <c r="Q2188"/>
      <c r="W2188" s="28"/>
      <c r="AA2188"/>
    </row>
    <row r="2189" spans="1:27" x14ac:dyDescent="0.45">
      <c r="A2189" s="57">
        <v>1635</v>
      </c>
      <c r="B2189" t="s">
        <v>3081</v>
      </c>
      <c r="C2189" t="s">
        <v>3082</v>
      </c>
      <c r="D2189" s="12">
        <v>46313</v>
      </c>
      <c r="E2189" s="11">
        <v>24</v>
      </c>
      <c r="F2189" s="11" t="s">
        <v>7448</v>
      </c>
      <c r="G2189">
        <v>20260701</v>
      </c>
      <c r="H2189" s="12">
        <v>46569</v>
      </c>
      <c r="I2189" s="11" t="s">
        <v>63</v>
      </c>
      <c r="J2189" s="72">
        <v>60614280</v>
      </c>
      <c r="K2189" s="99">
        <f>_xlfn.XLOOKUP(_2__ROI_Daily_Update[[#This Row],[CSM id]],SHP!F:F,SHP!EE:EE,"-")</f>
        <v>0</v>
      </c>
      <c r="L2189" s="12"/>
      <c r="N2189" s="11"/>
      <c r="P2189"/>
      <c r="Q2189"/>
      <c r="W2189" s="28"/>
      <c r="AA2189"/>
    </row>
    <row r="2190" spans="1:27" x14ac:dyDescent="0.45">
      <c r="A2190" s="57">
        <v>1635</v>
      </c>
      <c r="B2190" t="s">
        <v>3083</v>
      </c>
      <c r="C2190" t="s">
        <v>3084</v>
      </c>
      <c r="D2190" s="12">
        <v>46313</v>
      </c>
      <c r="E2190" s="11">
        <v>48</v>
      </c>
      <c r="F2190" s="11" t="s">
        <v>7400</v>
      </c>
      <c r="G2190">
        <v>20260401</v>
      </c>
      <c r="I2190" s="11" t="s">
        <v>63</v>
      </c>
      <c r="J2190" s="72">
        <v>80608438</v>
      </c>
      <c r="K2190" s="99">
        <f>_xlfn.XLOOKUP(_2__ROI_Daily_Update[[#This Row],[CSM id]],SHP!F:F,SHP!EE:EE,"-")</f>
        <v>0</v>
      </c>
      <c r="L2190" s="12"/>
      <c r="N2190" s="11"/>
      <c r="P2190"/>
      <c r="Q2190"/>
      <c r="W2190" s="28"/>
      <c r="AA2190"/>
    </row>
    <row r="2191" spans="1:27" x14ac:dyDescent="0.45">
      <c r="A2191" s="57">
        <v>1635</v>
      </c>
      <c r="B2191" t="s">
        <v>3077</v>
      </c>
      <c r="C2191" t="s">
        <v>3078</v>
      </c>
      <c r="D2191" s="12">
        <v>46313</v>
      </c>
      <c r="E2191" s="11">
        <v>6</v>
      </c>
      <c r="F2191" s="11" t="s">
        <v>7448</v>
      </c>
      <c r="G2191">
        <v>20261001</v>
      </c>
      <c r="I2191" s="11" t="s">
        <v>63</v>
      </c>
      <c r="J2191" s="72">
        <v>40611584</v>
      </c>
      <c r="K2191" s="99">
        <f>_xlfn.XLOOKUP(_2__ROI_Daily_Update[[#This Row],[CSM id]],SHP!F:F,SHP!EE:EE,"-")</f>
        <v>0</v>
      </c>
      <c r="L2191" s="12"/>
      <c r="N2191" s="11"/>
      <c r="P2191"/>
      <c r="Q2191"/>
      <c r="W2191" s="28"/>
      <c r="AA2191"/>
    </row>
    <row r="2192" spans="1:27" x14ac:dyDescent="0.45">
      <c r="A2192" s="57">
        <v>612</v>
      </c>
      <c r="B2192" t="s">
        <v>364</v>
      </c>
      <c r="C2192" t="s">
        <v>365</v>
      </c>
      <c r="D2192" s="12">
        <v>46313</v>
      </c>
      <c r="E2192" s="11">
        <v>40</v>
      </c>
      <c r="F2192" s="11" t="s">
        <v>7499</v>
      </c>
      <c r="G2192">
        <v>20160401</v>
      </c>
      <c r="I2192" s="11" t="s">
        <v>18</v>
      </c>
      <c r="J2192" s="72">
        <v>20307867</v>
      </c>
      <c r="K2192" s="99">
        <f>_xlfn.XLOOKUP(_2__ROI_Daily_Update[[#This Row],[CSM id]],SHP!F:F,SHP!EE:EE,"-")</f>
        <v>0</v>
      </c>
      <c r="L2192" s="12"/>
      <c r="N2192" s="11"/>
      <c r="P2192"/>
      <c r="Q2192"/>
      <c r="W2192" s="28"/>
      <c r="AA2192"/>
    </row>
    <row r="2193" spans="1:27" x14ac:dyDescent="0.45">
      <c r="A2193" s="57">
        <v>1642</v>
      </c>
      <c r="B2193" t="s">
        <v>6875</v>
      </c>
      <c r="C2193" t="s">
        <v>6876</v>
      </c>
      <c r="D2193" s="12">
        <v>46313</v>
      </c>
      <c r="E2193" s="11">
        <v>16</v>
      </c>
      <c r="F2193" s="11" t="s">
        <v>7458</v>
      </c>
      <c r="G2193">
        <v>20250701</v>
      </c>
      <c r="I2193" s="11" t="s">
        <v>63</v>
      </c>
      <c r="J2193" s="72">
        <v>40601995</v>
      </c>
      <c r="K2193" s="99">
        <f>_xlfn.XLOOKUP(_2__ROI_Daily_Update[[#This Row],[CSM id]],SHP!F:F,SHP!EE:EE,"-")</f>
        <v>0</v>
      </c>
      <c r="L2193" s="12"/>
      <c r="N2193" s="11"/>
      <c r="P2193"/>
      <c r="Q2193"/>
      <c r="W2193" s="28"/>
      <c r="AA2193"/>
    </row>
    <row r="2194" spans="1:27" x14ac:dyDescent="0.45">
      <c r="A2194" s="57">
        <v>1642</v>
      </c>
      <c r="B2194" t="s">
        <v>3203</v>
      </c>
      <c r="C2194" t="s">
        <v>3204</v>
      </c>
      <c r="D2194" s="12">
        <v>46313</v>
      </c>
      <c r="E2194" s="11">
        <v>5</v>
      </c>
      <c r="F2194" s="11" t="s">
        <v>7415</v>
      </c>
      <c r="G2194">
        <v>20260701</v>
      </c>
      <c r="I2194" s="11" t="s">
        <v>63</v>
      </c>
      <c r="J2194" s="72">
        <v>40623474</v>
      </c>
      <c r="K2194" s="99">
        <f>_xlfn.XLOOKUP(_2__ROI_Daily_Update[[#This Row],[CSM id]],SHP!F:F,SHP!EE:EE,"-")</f>
        <v>0</v>
      </c>
      <c r="L2194" s="12"/>
      <c r="N2194" s="11"/>
      <c r="P2194"/>
      <c r="Q2194"/>
      <c r="W2194" s="28"/>
      <c r="AA2194"/>
    </row>
    <row r="2195" spans="1:27" x14ac:dyDescent="0.45">
      <c r="A2195" s="57">
        <v>1645</v>
      </c>
      <c r="B2195" t="s">
        <v>3283</v>
      </c>
      <c r="C2195" t="s">
        <v>3284</v>
      </c>
      <c r="D2195" s="12">
        <v>46313</v>
      </c>
      <c r="E2195" s="11">
        <v>80</v>
      </c>
      <c r="F2195" s="11" t="s">
        <v>7400</v>
      </c>
      <c r="G2195">
        <v>20160201</v>
      </c>
      <c r="I2195" s="11" t="s">
        <v>32</v>
      </c>
      <c r="J2195" s="72">
        <v>80306921</v>
      </c>
      <c r="K2195" s="99">
        <f>_xlfn.XLOOKUP(_2__ROI_Daily_Update[[#This Row],[CSM id]],SHP!F:F,SHP!EE:EE,"-")</f>
        <v>0</v>
      </c>
      <c r="L2195" s="12"/>
      <c r="N2195" s="11"/>
      <c r="P2195"/>
      <c r="Q2195"/>
      <c r="W2195" s="28"/>
      <c r="AA2195"/>
    </row>
    <row r="2196" spans="1:27" x14ac:dyDescent="0.45">
      <c r="A2196" s="57">
        <v>1521</v>
      </c>
      <c r="B2196" t="s">
        <v>2674</v>
      </c>
      <c r="C2196" t="s">
        <v>2675</v>
      </c>
      <c r="D2196" s="12">
        <v>46313</v>
      </c>
      <c r="E2196" s="11">
        <v>55</v>
      </c>
      <c r="F2196" s="11" t="s">
        <v>7492</v>
      </c>
      <c r="G2196">
        <v>20140801</v>
      </c>
      <c r="H2196" s="12">
        <v>46569</v>
      </c>
      <c r="I2196" s="11" t="s">
        <v>18</v>
      </c>
      <c r="J2196" s="72">
        <v>20137846</v>
      </c>
      <c r="K2196" s="99">
        <f>_xlfn.XLOOKUP(_2__ROI_Daily_Update[[#This Row],[CSM id]],SHP!F:F,SHP!EE:EE,"-")</f>
        <v>0</v>
      </c>
      <c r="L2196" s="12"/>
      <c r="N2196" s="11"/>
      <c r="P2196"/>
      <c r="Q2196"/>
      <c r="W2196" s="28"/>
      <c r="AA2196"/>
    </row>
    <row r="2197" spans="1:27" x14ac:dyDescent="0.45">
      <c r="A2197" s="57">
        <v>1645</v>
      </c>
      <c r="B2197" t="s">
        <v>3283</v>
      </c>
      <c r="C2197" t="s">
        <v>3284</v>
      </c>
      <c r="D2197" s="12">
        <v>46313</v>
      </c>
      <c r="E2197" s="11">
        <v>80</v>
      </c>
      <c r="F2197" s="11" t="s">
        <v>7440</v>
      </c>
      <c r="G2197">
        <v>20160201</v>
      </c>
      <c r="I2197" s="11" t="s">
        <v>32</v>
      </c>
      <c r="J2197" s="72">
        <v>80306921</v>
      </c>
      <c r="K2197" s="99">
        <f>_xlfn.XLOOKUP(_2__ROI_Daily_Update[[#This Row],[CSM id]],SHP!F:F,SHP!EE:EE,"-")</f>
        <v>0</v>
      </c>
      <c r="L2197" s="12"/>
      <c r="N2197" s="11"/>
      <c r="P2197"/>
      <c r="Q2197"/>
      <c r="W2197" s="28"/>
      <c r="AA2197"/>
    </row>
    <row r="2198" spans="1:27" x14ac:dyDescent="0.45">
      <c r="A2198" s="57">
        <v>361</v>
      </c>
      <c r="B2198" t="s">
        <v>368</v>
      </c>
      <c r="C2198" t="s">
        <v>369</v>
      </c>
      <c r="D2198" s="12">
        <v>46313</v>
      </c>
      <c r="E2198" s="11">
        <v>36</v>
      </c>
      <c r="F2198" s="11" t="s">
        <v>7485</v>
      </c>
      <c r="G2198">
        <v>20210201</v>
      </c>
      <c r="I2198" s="11" t="s">
        <v>18</v>
      </c>
      <c r="J2198" s="72">
        <v>80485102</v>
      </c>
      <c r="K2198" s="99">
        <f>_xlfn.XLOOKUP(_2__ROI_Daily_Update[[#This Row],[CSM id]],SHP!F:F,SHP!EE:EE,"-")</f>
        <v>0</v>
      </c>
      <c r="L2198" s="12"/>
      <c r="N2198" s="11"/>
      <c r="P2198"/>
      <c r="Q2198"/>
      <c r="W2198" s="28"/>
      <c r="AA2198"/>
    </row>
    <row r="2199" spans="1:27" x14ac:dyDescent="0.45">
      <c r="A2199" s="57">
        <v>361</v>
      </c>
      <c r="B2199" t="s">
        <v>194</v>
      </c>
      <c r="C2199" t="s">
        <v>195</v>
      </c>
      <c r="D2199" s="12">
        <v>46313</v>
      </c>
      <c r="E2199" s="11">
        <v>36</v>
      </c>
      <c r="F2199" s="11" t="s">
        <v>6946</v>
      </c>
      <c r="G2199">
        <v>20260701</v>
      </c>
      <c r="H2199" s="12">
        <v>46569</v>
      </c>
      <c r="I2199" s="11" t="s">
        <v>63</v>
      </c>
      <c r="J2199" s="72">
        <v>20619859</v>
      </c>
      <c r="K2199" s="99">
        <f>_xlfn.XLOOKUP(_2__ROI_Daily_Update[[#This Row],[CSM id]],SHP!F:F,SHP!EE:EE,"-")</f>
        <v>0</v>
      </c>
      <c r="L2199" s="12"/>
      <c r="N2199" s="11"/>
      <c r="P2199"/>
      <c r="Q2199"/>
      <c r="W2199" s="28"/>
      <c r="AA2199"/>
    </row>
    <row r="2200" spans="1:27" x14ac:dyDescent="0.45">
      <c r="A2200" s="57">
        <v>361</v>
      </c>
      <c r="B2200" t="s">
        <v>194</v>
      </c>
      <c r="C2200" t="s">
        <v>195</v>
      </c>
      <c r="D2200" s="12">
        <v>46313</v>
      </c>
      <c r="E2200" s="11">
        <v>36</v>
      </c>
      <c r="F2200" s="11" t="s">
        <v>7410</v>
      </c>
      <c r="G2200">
        <v>20260701</v>
      </c>
      <c r="H2200" s="12">
        <v>46569</v>
      </c>
      <c r="I2200" s="11" t="s">
        <v>63</v>
      </c>
      <c r="J2200" s="72">
        <v>20619859</v>
      </c>
      <c r="K2200" s="99">
        <f>_xlfn.XLOOKUP(_2__ROI_Daily_Update[[#This Row],[CSM id]],SHP!F:F,SHP!EE:EE,"-")</f>
        <v>0</v>
      </c>
      <c r="L2200" s="12"/>
      <c r="N2200" s="11"/>
      <c r="P2200"/>
      <c r="Q2200"/>
      <c r="W2200" s="28"/>
      <c r="AA2200"/>
    </row>
    <row r="2201" spans="1:27" x14ac:dyDescent="0.45">
      <c r="A2201" s="57">
        <v>1645</v>
      </c>
      <c r="B2201" t="s">
        <v>3285</v>
      </c>
      <c r="C2201" t="s">
        <v>3286</v>
      </c>
      <c r="D2201" s="12">
        <v>46313</v>
      </c>
      <c r="E2201" s="11">
        <v>14</v>
      </c>
      <c r="F2201" s="11" t="s">
        <v>7430</v>
      </c>
      <c r="G2201">
        <v>20250101</v>
      </c>
      <c r="I2201" s="11" t="s">
        <v>63</v>
      </c>
      <c r="J2201" s="72">
        <v>80591598</v>
      </c>
      <c r="K2201" s="99">
        <f>_xlfn.XLOOKUP(_2__ROI_Daily_Update[[#This Row],[CSM id]],SHP!F:F,SHP!EE:EE,"-")</f>
        <v>0</v>
      </c>
      <c r="L2201" s="12"/>
      <c r="N2201" s="11"/>
      <c r="P2201"/>
      <c r="Q2201"/>
      <c r="W2201" s="28"/>
      <c r="AA2201"/>
    </row>
    <row r="2202" spans="1:27" x14ac:dyDescent="0.45">
      <c r="A2202" s="57">
        <v>1645</v>
      </c>
      <c r="B2202" t="s">
        <v>6049</v>
      </c>
      <c r="C2202" t="s">
        <v>6050</v>
      </c>
      <c r="D2202" s="12">
        <v>46313</v>
      </c>
      <c r="E2202" s="11">
        <v>23</v>
      </c>
      <c r="F2202" s="11" t="s">
        <v>7440</v>
      </c>
      <c r="G2202">
        <v>20260701</v>
      </c>
      <c r="I2202" s="11" t="s">
        <v>63</v>
      </c>
      <c r="J2202" s="72">
        <v>80633937</v>
      </c>
      <c r="K2202" s="99">
        <f>_xlfn.XLOOKUP(_2__ROI_Daily_Update[[#This Row],[CSM id]],SHP!F:F,SHP!EE:EE,"-")</f>
        <v>0</v>
      </c>
      <c r="L2202" s="12"/>
      <c r="N2202" s="11"/>
      <c r="P2202"/>
      <c r="Q2202"/>
      <c r="W2202" s="28"/>
      <c r="AA2202"/>
    </row>
    <row r="2203" spans="1:27" x14ac:dyDescent="0.45">
      <c r="A2203" s="57">
        <v>1645</v>
      </c>
      <c r="B2203" t="s">
        <v>3287</v>
      </c>
      <c r="C2203" t="s">
        <v>3288</v>
      </c>
      <c r="D2203" s="12">
        <v>46313</v>
      </c>
      <c r="E2203" s="11">
        <v>30</v>
      </c>
      <c r="F2203" s="11" t="s">
        <v>7400</v>
      </c>
      <c r="G2203">
        <v>20140801</v>
      </c>
      <c r="I2203" s="11" t="s">
        <v>63</v>
      </c>
      <c r="J2203" s="72">
        <v>90182190</v>
      </c>
      <c r="K2203" s="99">
        <f>_xlfn.XLOOKUP(_2__ROI_Daily_Update[[#This Row],[CSM id]],SHP!F:F,SHP!EE:EE,"-")</f>
        <v>0</v>
      </c>
      <c r="L2203" s="12"/>
      <c r="N2203" s="11"/>
      <c r="P2203"/>
      <c r="Q2203"/>
      <c r="W2203" s="28"/>
      <c r="AA2203"/>
    </row>
    <row r="2204" spans="1:27" x14ac:dyDescent="0.45">
      <c r="A2204" s="57">
        <v>1512</v>
      </c>
      <c r="B2204" t="s">
        <v>2662</v>
      </c>
      <c r="C2204" t="s">
        <v>2663</v>
      </c>
      <c r="D2204" s="12">
        <v>46313</v>
      </c>
      <c r="E2204" s="11">
        <v>108</v>
      </c>
      <c r="F2204" s="11" t="s">
        <v>7492</v>
      </c>
      <c r="G2204">
        <v>20160401</v>
      </c>
      <c r="I2204" s="11" t="s">
        <v>18</v>
      </c>
      <c r="J2204" s="72">
        <v>80289238</v>
      </c>
      <c r="K2204" s="99">
        <f>_xlfn.XLOOKUP(_2__ROI_Daily_Update[[#This Row],[CSM id]],SHP!F:F,SHP!EE:EE,"-")</f>
        <v>0</v>
      </c>
      <c r="L2204" s="12"/>
      <c r="N2204" s="11"/>
      <c r="P2204"/>
      <c r="Q2204"/>
      <c r="W2204" s="28"/>
      <c r="AA2204"/>
    </row>
    <row r="2205" spans="1:27" x14ac:dyDescent="0.45">
      <c r="A2205" s="57">
        <v>361</v>
      </c>
      <c r="B2205" t="s">
        <v>194</v>
      </c>
      <c r="C2205" t="s">
        <v>195</v>
      </c>
      <c r="D2205" s="12">
        <v>46313</v>
      </c>
      <c r="E2205" s="11">
        <v>36</v>
      </c>
      <c r="F2205" s="11" t="s">
        <v>7463</v>
      </c>
      <c r="G2205">
        <v>20260701</v>
      </c>
      <c r="H2205" s="12">
        <v>46569</v>
      </c>
      <c r="I2205" s="11" t="s">
        <v>63</v>
      </c>
      <c r="J2205" s="72">
        <v>20619859</v>
      </c>
      <c r="K2205" s="99">
        <f>_xlfn.XLOOKUP(_2__ROI_Daily_Update[[#This Row],[CSM id]],SHP!F:F,SHP!EE:EE,"-")</f>
        <v>0</v>
      </c>
      <c r="L2205" s="12"/>
      <c r="N2205" s="11"/>
      <c r="P2205"/>
      <c r="Q2205"/>
      <c r="W2205" s="28"/>
      <c r="AA2205"/>
    </row>
    <row r="2206" spans="1:27" x14ac:dyDescent="0.45">
      <c r="A2206" s="57">
        <v>1645</v>
      </c>
      <c r="B2206" t="s">
        <v>3289</v>
      </c>
      <c r="C2206" t="s">
        <v>3290</v>
      </c>
      <c r="D2206" s="12">
        <v>46313</v>
      </c>
      <c r="E2206" s="11">
        <v>13</v>
      </c>
      <c r="F2206" s="11" t="s">
        <v>7468</v>
      </c>
      <c r="G2206">
        <v>20170401</v>
      </c>
      <c r="I2206" s="11" t="s">
        <v>18</v>
      </c>
      <c r="J2206" s="72">
        <v>90320318</v>
      </c>
      <c r="K2206" s="99">
        <f>_xlfn.XLOOKUP(_2__ROI_Daily_Update[[#This Row],[CSM id]],SHP!F:F,SHP!EE:EE,"-")</f>
        <v>0</v>
      </c>
      <c r="L2206" s="12"/>
      <c r="N2206" s="11"/>
      <c r="P2206"/>
      <c r="Q2206"/>
      <c r="W2206" s="28"/>
      <c r="AA2206"/>
    </row>
    <row r="2207" spans="1:27" x14ac:dyDescent="0.45">
      <c r="A2207" s="57">
        <v>361</v>
      </c>
      <c r="B2207" t="s">
        <v>416</v>
      </c>
      <c r="C2207" t="s">
        <v>417</v>
      </c>
      <c r="D2207" s="12">
        <v>46313</v>
      </c>
      <c r="E2207" s="11">
        <v>42</v>
      </c>
      <c r="F2207" s="11" t="s">
        <v>7468</v>
      </c>
      <c r="G2207">
        <v>20210601</v>
      </c>
      <c r="I2207" s="11" t="s">
        <v>18</v>
      </c>
      <c r="J2207" s="72">
        <v>70500527</v>
      </c>
      <c r="K2207" s="99">
        <f>_xlfn.XLOOKUP(_2__ROI_Daily_Update[[#This Row],[CSM id]],SHP!F:F,SHP!EE:EE,"-")</f>
        <v>0</v>
      </c>
      <c r="L2207" s="12"/>
      <c r="N2207" s="11"/>
      <c r="P2207"/>
      <c r="Q2207"/>
      <c r="W2207" s="28"/>
      <c r="AA2207"/>
    </row>
    <row r="2208" spans="1:27" x14ac:dyDescent="0.45">
      <c r="A2208" s="57">
        <v>1711</v>
      </c>
      <c r="B2208" t="s">
        <v>5552</v>
      </c>
      <c r="C2208" t="s">
        <v>5553</v>
      </c>
      <c r="D2208" s="12">
        <v>46313</v>
      </c>
      <c r="E2208" s="11">
        <v>17</v>
      </c>
      <c r="F2208" s="11" t="s">
        <v>7410</v>
      </c>
      <c r="G2208">
        <v>20250101</v>
      </c>
      <c r="I2208" s="11" t="s">
        <v>63</v>
      </c>
      <c r="J2208" s="72">
        <v>575564</v>
      </c>
      <c r="K2208" s="99">
        <f>_xlfn.XLOOKUP(_2__ROI_Daily_Update[[#This Row],[CSM id]],SHP!F:F,SHP!EE:EE,"-")</f>
        <v>0</v>
      </c>
      <c r="L2208" s="12"/>
      <c r="N2208" s="11"/>
      <c r="P2208"/>
      <c r="Q2208"/>
      <c r="W2208" s="28"/>
      <c r="AA2208"/>
    </row>
    <row r="2209" spans="1:27" x14ac:dyDescent="0.45">
      <c r="A2209" s="57">
        <v>1712</v>
      </c>
      <c r="B2209" t="s">
        <v>5274</v>
      </c>
      <c r="C2209" t="s">
        <v>5275</v>
      </c>
      <c r="D2209" s="12">
        <v>46313</v>
      </c>
      <c r="E2209" s="11">
        <v>4</v>
      </c>
      <c r="F2209" s="11" t="s">
        <v>7415</v>
      </c>
      <c r="G2209">
        <v>20260101</v>
      </c>
      <c r="I2209" s="11" t="s">
        <v>63</v>
      </c>
      <c r="J2209" s="72">
        <v>597071</v>
      </c>
      <c r="K2209" s="99">
        <f>_xlfn.XLOOKUP(_2__ROI_Daily_Update[[#This Row],[CSM id]],SHP!F:F,SHP!EE:EE,"-")</f>
        <v>0</v>
      </c>
      <c r="L2209" s="12"/>
      <c r="N2209" s="11"/>
      <c r="P2209"/>
      <c r="Q2209"/>
      <c r="W2209" s="28"/>
      <c r="AA2209"/>
    </row>
    <row r="2210" spans="1:27" x14ac:dyDescent="0.45">
      <c r="A2210" s="57">
        <v>1714</v>
      </c>
      <c r="B2210" t="s">
        <v>3295</v>
      </c>
      <c r="C2210" t="s">
        <v>3296</v>
      </c>
      <c r="D2210" s="12">
        <v>46313</v>
      </c>
      <c r="E2210" s="11">
        <v>68</v>
      </c>
      <c r="F2210" s="11" t="s">
        <v>7485</v>
      </c>
      <c r="G2210">
        <v>20190201</v>
      </c>
      <c r="I2210" s="11" t="s">
        <v>18</v>
      </c>
      <c r="J2210" s="72">
        <v>10428327</v>
      </c>
      <c r="K2210" s="99">
        <f>_xlfn.XLOOKUP(_2__ROI_Daily_Update[[#This Row],[CSM id]],SHP!F:F,SHP!EE:EE,"-")</f>
        <v>0</v>
      </c>
      <c r="L2210" s="12"/>
      <c r="N2210" s="11"/>
      <c r="P2210"/>
      <c r="Q2210"/>
      <c r="W2210" s="28"/>
      <c r="AA2210"/>
    </row>
    <row r="2211" spans="1:27" x14ac:dyDescent="0.45">
      <c r="A2211" s="57">
        <v>1512</v>
      </c>
      <c r="B2211" t="s">
        <v>2654</v>
      </c>
      <c r="C2211" t="s">
        <v>2655</v>
      </c>
      <c r="D2211" s="12">
        <v>46313</v>
      </c>
      <c r="E2211" s="11">
        <v>168</v>
      </c>
      <c r="F2211" s="11" t="s">
        <v>7492</v>
      </c>
      <c r="G2211">
        <v>20141201</v>
      </c>
      <c r="I2211" s="11" t="s">
        <v>18</v>
      </c>
      <c r="J2211" s="72">
        <v>40179699</v>
      </c>
      <c r="K2211" s="99">
        <f>_xlfn.XLOOKUP(_2__ROI_Daily_Update[[#This Row],[CSM id]],SHP!F:F,SHP!EE:EE,"-")</f>
        <v>0</v>
      </c>
      <c r="L2211" s="12"/>
      <c r="N2211" s="11"/>
      <c r="P2211"/>
      <c r="Q2211"/>
      <c r="W2211" s="28"/>
      <c r="AA2211"/>
    </row>
    <row r="2212" spans="1:27" x14ac:dyDescent="0.45">
      <c r="A2212" s="57">
        <v>371</v>
      </c>
      <c r="B2212" t="s">
        <v>370</v>
      </c>
      <c r="C2212" t="s">
        <v>371</v>
      </c>
      <c r="D2212" s="12">
        <v>46313</v>
      </c>
      <c r="E2212" s="11">
        <v>3</v>
      </c>
      <c r="F2212" s="11" t="s">
        <v>7480</v>
      </c>
      <c r="G2212">
        <v>20221001</v>
      </c>
      <c r="I2212" s="11" t="s">
        <v>63</v>
      </c>
      <c r="J2212" s="72">
        <v>522033</v>
      </c>
      <c r="K2212" s="99">
        <f>_xlfn.XLOOKUP(_2__ROI_Daily_Update[[#This Row],[CSM id]],SHP!F:F,SHP!EE:EE,"-")</f>
        <v>0</v>
      </c>
      <c r="L2212" s="12"/>
      <c r="N2212" s="11"/>
      <c r="P2212"/>
      <c r="Q2212"/>
      <c r="W2212" s="28"/>
      <c r="AA2212"/>
    </row>
    <row r="2213" spans="1:27" x14ac:dyDescent="0.45">
      <c r="A2213" s="57">
        <v>1718</v>
      </c>
      <c r="B2213" t="s">
        <v>5276</v>
      </c>
      <c r="C2213" t="s">
        <v>5277</v>
      </c>
      <c r="D2213" s="12">
        <v>46313</v>
      </c>
      <c r="E2213" s="11">
        <v>120</v>
      </c>
      <c r="F2213" s="11" t="s">
        <v>7415</v>
      </c>
      <c r="G2213">
        <v>20210201</v>
      </c>
      <c r="I2213" s="11" t="s">
        <v>63</v>
      </c>
      <c r="J2213" s="72">
        <v>30494142</v>
      </c>
      <c r="K2213" s="99">
        <f>_xlfn.XLOOKUP(_2__ROI_Daily_Update[[#This Row],[CSM id]],SHP!F:F,SHP!EE:EE,"-")</f>
        <v>0</v>
      </c>
      <c r="L2213" s="12"/>
      <c r="N2213" s="11"/>
      <c r="P2213"/>
      <c r="Q2213"/>
      <c r="W2213" s="28"/>
      <c r="AA2213"/>
    </row>
    <row r="2214" spans="1:27" x14ac:dyDescent="0.45">
      <c r="A2214" s="57">
        <v>371</v>
      </c>
      <c r="B2214" t="s">
        <v>370</v>
      </c>
      <c r="C2214" t="s">
        <v>371</v>
      </c>
      <c r="D2214" s="12">
        <v>46313</v>
      </c>
      <c r="E2214" s="11">
        <v>3</v>
      </c>
      <c r="F2214" s="11" t="s">
        <v>6946</v>
      </c>
      <c r="G2214">
        <v>20221001</v>
      </c>
      <c r="I2214" s="11" t="s">
        <v>63</v>
      </c>
      <c r="J2214" s="72">
        <v>522033</v>
      </c>
      <c r="K2214" s="99">
        <f>_xlfn.XLOOKUP(_2__ROI_Daily_Update[[#This Row],[CSM id]],SHP!F:F,SHP!EE:EE,"-")</f>
        <v>0</v>
      </c>
      <c r="L2214" s="12"/>
      <c r="N2214" s="11"/>
      <c r="P2214"/>
      <c r="Q2214"/>
      <c r="W2214" s="28"/>
      <c r="AA2214"/>
    </row>
    <row r="2215" spans="1:27" x14ac:dyDescent="0.45">
      <c r="A2215" s="57">
        <v>1512</v>
      </c>
      <c r="B2215" t="s">
        <v>2644</v>
      </c>
      <c r="C2215" t="s">
        <v>2645</v>
      </c>
      <c r="D2215" s="12">
        <v>46313</v>
      </c>
      <c r="E2215" s="11">
        <v>495</v>
      </c>
      <c r="F2215" s="11" t="s">
        <v>7492</v>
      </c>
      <c r="G2215">
        <v>20190401</v>
      </c>
      <c r="I2215" s="11" t="s">
        <v>18</v>
      </c>
      <c r="J2215" s="72">
        <v>439393</v>
      </c>
      <c r="K2215" s="99">
        <f>_xlfn.XLOOKUP(_2__ROI_Daily_Update[[#This Row],[CSM id]],SHP!F:F,SHP!EE:EE,"-")</f>
        <v>0</v>
      </c>
      <c r="L2215" s="12"/>
      <c r="N2215" s="11"/>
      <c r="P2215"/>
      <c r="Q2215"/>
      <c r="W2215" s="28"/>
      <c r="AA2215"/>
    </row>
    <row r="2216" spans="1:27" x14ac:dyDescent="0.45">
      <c r="A2216" s="57">
        <v>1715</v>
      </c>
      <c r="B2216" t="s">
        <v>6137</v>
      </c>
      <c r="C2216" t="s">
        <v>6138</v>
      </c>
      <c r="D2216" s="12">
        <v>46313</v>
      </c>
      <c r="E2216" s="11">
        <v>20</v>
      </c>
      <c r="F2216" s="11" t="s">
        <v>7435</v>
      </c>
      <c r="G2216">
        <v>20190401</v>
      </c>
      <c r="I2216" s="11" t="s">
        <v>63</v>
      </c>
      <c r="J2216" s="72">
        <v>411426</v>
      </c>
      <c r="K2216" s="99">
        <f>_xlfn.XLOOKUP(_2__ROI_Daily_Update[[#This Row],[CSM id]],SHP!F:F,SHP!EE:EE,"-")</f>
        <v>0</v>
      </c>
      <c r="L2216" s="12"/>
      <c r="N2216" s="11"/>
      <c r="P2216"/>
      <c r="Q2216"/>
      <c r="W2216" s="28"/>
      <c r="AA2216"/>
    </row>
    <row r="2217" spans="1:27" x14ac:dyDescent="0.45">
      <c r="A2217" s="57">
        <v>371</v>
      </c>
      <c r="B2217" t="s">
        <v>5462</v>
      </c>
      <c r="C2217" t="s">
        <v>5463</v>
      </c>
      <c r="D2217" s="12">
        <v>46313</v>
      </c>
      <c r="E2217" s="11">
        <v>10</v>
      </c>
      <c r="F2217" s="11" t="s">
        <v>7410</v>
      </c>
      <c r="G2217">
        <v>20261001</v>
      </c>
      <c r="I2217" s="11" t="s">
        <v>63</v>
      </c>
      <c r="J2217" s="72">
        <v>60498389</v>
      </c>
      <c r="K2217" s="99">
        <f>_xlfn.XLOOKUP(_2__ROI_Daily_Update[[#This Row],[CSM id]],SHP!F:F,SHP!EE:EE,"-")</f>
        <v>0</v>
      </c>
      <c r="L2217" s="12"/>
      <c r="N2217" s="11"/>
      <c r="P2217"/>
      <c r="Q2217"/>
      <c r="W2217" s="28"/>
      <c r="AA2217"/>
    </row>
    <row r="2218" spans="1:27" x14ac:dyDescent="0.45">
      <c r="A2218" s="57">
        <v>1852</v>
      </c>
      <c r="B2218" t="s">
        <v>3701</v>
      </c>
      <c r="C2218" t="s">
        <v>3702</v>
      </c>
      <c r="D2218" s="12">
        <v>46313</v>
      </c>
      <c r="E2218" s="11">
        <v>21</v>
      </c>
      <c r="F2218" s="11" t="s">
        <v>7499</v>
      </c>
      <c r="G2218">
        <v>20240101</v>
      </c>
      <c r="I2218" s="11" t="s">
        <v>18</v>
      </c>
      <c r="J2218" s="72">
        <v>60559981</v>
      </c>
      <c r="K2218" s="99">
        <f>_xlfn.XLOOKUP(_2__ROI_Daily_Update[[#This Row],[CSM id]],SHP!F:F,SHP!EE:EE,"-")</f>
        <v>0</v>
      </c>
      <c r="L2218" s="12"/>
      <c r="N2218" s="11"/>
      <c r="P2218"/>
      <c r="Q2218"/>
      <c r="W2218" s="28"/>
      <c r="AA2218"/>
    </row>
    <row r="2219" spans="1:27" x14ac:dyDescent="0.45">
      <c r="A2219" s="57">
        <v>1715</v>
      </c>
      <c r="B2219" t="s">
        <v>6985</v>
      </c>
      <c r="C2219" t="s">
        <v>6986</v>
      </c>
      <c r="D2219" s="12">
        <v>46313</v>
      </c>
      <c r="E2219" s="11">
        <v>50</v>
      </c>
      <c r="F2219" s="11" t="s">
        <v>7499</v>
      </c>
      <c r="G2219">
        <v>20141201</v>
      </c>
      <c r="I2219" s="11" t="s">
        <v>18</v>
      </c>
      <c r="J2219" s="72">
        <v>165128</v>
      </c>
      <c r="K2219" s="99">
        <f>_xlfn.XLOOKUP(_2__ROI_Daily_Update[[#This Row],[CSM id]],SHP!F:F,SHP!EE:EE,"-")</f>
        <v>0</v>
      </c>
      <c r="L2219" s="12"/>
      <c r="N2219" s="11"/>
      <c r="P2219"/>
      <c r="Q2219"/>
      <c r="W2219" s="28"/>
      <c r="AA2219"/>
    </row>
    <row r="2220" spans="1:27" x14ac:dyDescent="0.45">
      <c r="A2220" s="57">
        <v>361</v>
      </c>
      <c r="B2220" t="s">
        <v>414</v>
      </c>
      <c r="C2220" t="s">
        <v>415</v>
      </c>
      <c r="D2220" s="12">
        <v>46313</v>
      </c>
      <c r="E2220" s="11">
        <v>40</v>
      </c>
      <c r="F2220" s="11" t="s">
        <v>7453</v>
      </c>
      <c r="G2220">
        <v>20230701</v>
      </c>
      <c r="I2220" s="11" t="s">
        <v>63</v>
      </c>
      <c r="J2220" s="72">
        <v>60564015</v>
      </c>
      <c r="K2220" s="99">
        <f>_xlfn.XLOOKUP(_2__ROI_Daily_Update[[#This Row],[CSM id]],SHP!F:F,SHP!EE:EE,"-")</f>
        <v>0</v>
      </c>
      <c r="L2220" s="12"/>
      <c r="N2220" s="11"/>
      <c r="P2220"/>
      <c r="Q2220"/>
      <c r="W2220" s="28"/>
      <c r="AA2220"/>
    </row>
    <row r="2221" spans="1:27" x14ac:dyDescent="0.45">
      <c r="A2221" s="57">
        <v>361</v>
      </c>
      <c r="B2221" t="s">
        <v>412</v>
      </c>
      <c r="C2221" t="s">
        <v>413</v>
      </c>
      <c r="D2221" s="12">
        <v>46313</v>
      </c>
      <c r="E2221" s="11">
        <v>18</v>
      </c>
      <c r="F2221" s="11" t="s">
        <v>7463</v>
      </c>
      <c r="G2221">
        <v>20260701</v>
      </c>
      <c r="H2221" s="12">
        <v>46388</v>
      </c>
      <c r="I2221" s="11" t="s">
        <v>63</v>
      </c>
      <c r="J2221" s="72">
        <v>40636424</v>
      </c>
      <c r="K2221" s="99">
        <f>_xlfn.XLOOKUP(_2__ROI_Daily_Update[[#This Row],[CSM id]],SHP!F:F,SHP!EE:EE,"-")</f>
        <v>0</v>
      </c>
      <c r="L2221" s="12"/>
      <c r="N2221" s="11"/>
      <c r="P2221"/>
      <c r="Q2221"/>
      <c r="W2221" s="28"/>
      <c r="AA2221"/>
    </row>
    <row r="2222" spans="1:27" x14ac:dyDescent="0.45">
      <c r="A2222" s="57">
        <v>1714</v>
      </c>
      <c r="B2222" t="s">
        <v>3297</v>
      </c>
      <c r="C2222" t="s">
        <v>3298</v>
      </c>
      <c r="D2222" s="12">
        <v>46313</v>
      </c>
      <c r="E2222" s="11">
        <v>10</v>
      </c>
      <c r="F2222" s="11" t="s">
        <v>7499</v>
      </c>
      <c r="G2222">
        <v>20250101</v>
      </c>
      <c r="I2222" s="11" t="s">
        <v>18</v>
      </c>
      <c r="J2222" s="72">
        <v>30584185</v>
      </c>
      <c r="K2222" s="99">
        <f>_xlfn.XLOOKUP(_2__ROI_Daily_Update[[#This Row],[CSM id]],SHP!F:F,SHP!EE:EE,"-")</f>
        <v>0</v>
      </c>
      <c r="L2222" s="12"/>
      <c r="N2222" s="11"/>
      <c r="P2222"/>
      <c r="Q2222"/>
      <c r="W2222" s="28"/>
      <c r="AA2222"/>
    </row>
    <row r="2223" spans="1:27" x14ac:dyDescent="0.45">
      <c r="A2223" s="57">
        <v>1512</v>
      </c>
      <c r="B2223" t="s">
        <v>2650</v>
      </c>
      <c r="C2223" t="s">
        <v>2651</v>
      </c>
      <c r="D2223" s="12">
        <v>46313</v>
      </c>
      <c r="E2223" s="11">
        <v>126</v>
      </c>
      <c r="F2223" s="11" t="s">
        <v>7492</v>
      </c>
      <c r="G2223">
        <v>20141201</v>
      </c>
      <c r="I2223" s="11" t="s">
        <v>18</v>
      </c>
      <c r="J2223" s="72">
        <v>30166051</v>
      </c>
      <c r="K2223" s="99">
        <f>_xlfn.XLOOKUP(_2__ROI_Daily_Update[[#This Row],[CSM id]],SHP!F:F,SHP!EE:EE,"-")</f>
        <v>0</v>
      </c>
      <c r="L2223" s="12"/>
      <c r="N2223" s="11"/>
      <c r="P2223"/>
      <c r="Q2223"/>
      <c r="W2223" s="28"/>
      <c r="AA2223"/>
    </row>
    <row r="2224" spans="1:27" x14ac:dyDescent="0.45">
      <c r="A2224" s="57">
        <v>361</v>
      </c>
      <c r="B2224" t="s">
        <v>412</v>
      </c>
      <c r="C2224" t="s">
        <v>413</v>
      </c>
      <c r="D2224" s="12">
        <v>46313</v>
      </c>
      <c r="E2224" s="11">
        <v>18</v>
      </c>
      <c r="F2224" s="11" t="s">
        <v>7400</v>
      </c>
      <c r="G2224">
        <v>20260701</v>
      </c>
      <c r="H2224" s="12">
        <v>46388</v>
      </c>
      <c r="I2224" s="11" t="s">
        <v>63</v>
      </c>
      <c r="J2224" s="72">
        <v>40636424</v>
      </c>
      <c r="K2224" s="99">
        <f>_xlfn.XLOOKUP(_2__ROI_Daily_Update[[#This Row],[CSM id]],SHP!F:F,SHP!EE:EE,"-")</f>
        <v>0</v>
      </c>
      <c r="L2224" s="12"/>
      <c r="N2224" s="11"/>
      <c r="P2224"/>
      <c r="Q2224"/>
      <c r="W2224" s="28"/>
      <c r="AA2224"/>
    </row>
    <row r="2225" spans="1:27" x14ac:dyDescent="0.45">
      <c r="A2225" s="57">
        <v>1714</v>
      </c>
      <c r="B2225" t="s">
        <v>3297</v>
      </c>
      <c r="C2225" t="s">
        <v>3298</v>
      </c>
      <c r="D2225" s="12">
        <v>46313</v>
      </c>
      <c r="E2225" s="11">
        <v>10</v>
      </c>
      <c r="F2225" s="11" t="s">
        <v>7485</v>
      </c>
      <c r="G2225">
        <v>20250101</v>
      </c>
      <c r="I2225" s="11" t="s">
        <v>18</v>
      </c>
      <c r="J2225" s="72">
        <v>30584185</v>
      </c>
      <c r="K2225" s="99">
        <f>_xlfn.XLOOKUP(_2__ROI_Daily_Update[[#This Row],[CSM id]],SHP!F:F,SHP!EE:EE,"-")</f>
        <v>0</v>
      </c>
      <c r="L2225" s="12"/>
      <c r="N2225" s="11"/>
      <c r="P2225"/>
      <c r="Q2225"/>
      <c r="W2225" s="28"/>
      <c r="AA2225"/>
    </row>
    <row r="2226" spans="1:27" x14ac:dyDescent="0.45">
      <c r="A2226" s="57">
        <v>371</v>
      </c>
      <c r="B2226" t="s">
        <v>424</v>
      </c>
      <c r="C2226" t="s">
        <v>425</v>
      </c>
      <c r="D2226" s="12">
        <v>46313</v>
      </c>
      <c r="E2226" s="11">
        <v>56</v>
      </c>
      <c r="F2226" s="11" t="s">
        <v>7443</v>
      </c>
      <c r="G2226">
        <v>20211001</v>
      </c>
      <c r="I2226" s="11" t="s">
        <v>63</v>
      </c>
      <c r="J2226" s="72">
        <v>504067</v>
      </c>
      <c r="K2226" s="99">
        <f>_xlfn.XLOOKUP(_2__ROI_Daily_Update[[#This Row],[CSM id]],SHP!F:F,SHP!EE:EE,"-")</f>
        <v>0</v>
      </c>
      <c r="L2226" s="12"/>
      <c r="N2226" s="11"/>
      <c r="P2226"/>
      <c r="Q2226"/>
      <c r="W2226" s="28"/>
      <c r="AA2226"/>
    </row>
    <row r="2227" spans="1:27" x14ac:dyDescent="0.45">
      <c r="A2227" s="57">
        <v>1718</v>
      </c>
      <c r="B2227" t="s">
        <v>6135</v>
      </c>
      <c r="C2227" t="s">
        <v>6136</v>
      </c>
      <c r="D2227" s="12">
        <v>46313</v>
      </c>
      <c r="E2227" s="11">
        <v>30</v>
      </c>
      <c r="F2227" s="11" t="s">
        <v>7435</v>
      </c>
      <c r="G2227">
        <v>20230201</v>
      </c>
      <c r="I2227" s="11" t="s">
        <v>63</v>
      </c>
      <c r="J2227" s="72">
        <v>40518487</v>
      </c>
      <c r="K2227" s="99">
        <f>_xlfn.XLOOKUP(_2__ROI_Daily_Update[[#This Row],[CSM id]],SHP!F:F,SHP!EE:EE,"-")</f>
        <v>0</v>
      </c>
      <c r="L2227" s="12"/>
      <c r="N2227" s="11"/>
      <c r="P2227"/>
      <c r="Q2227"/>
      <c r="W2227" s="28"/>
      <c r="AA2227"/>
    </row>
    <row r="2228" spans="1:27" x14ac:dyDescent="0.45">
      <c r="A2228" s="57">
        <v>1521</v>
      </c>
      <c r="B2228" t="s">
        <v>2676</v>
      </c>
      <c r="C2228" t="s">
        <v>2677</v>
      </c>
      <c r="D2228" s="12">
        <v>46313</v>
      </c>
      <c r="E2228" s="11">
        <v>200</v>
      </c>
      <c r="F2228" s="11" t="s">
        <v>7492</v>
      </c>
      <c r="G2228">
        <v>20140801</v>
      </c>
      <c r="I2228" s="11" t="s">
        <v>18</v>
      </c>
      <c r="J2228" s="72">
        <v>20137851</v>
      </c>
      <c r="K2228" s="99">
        <f>_xlfn.XLOOKUP(_2__ROI_Daily_Update[[#This Row],[CSM id]],SHP!F:F,SHP!EE:EE,"-")</f>
        <v>0</v>
      </c>
      <c r="L2228" s="12"/>
      <c r="N2228" s="11"/>
      <c r="P2228"/>
      <c r="Q2228"/>
      <c r="W2228" s="28"/>
      <c r="AA2228"/>
    </row>
    <row r="2229" spans="1:27" x14ac:dyDescent="0.45">
      <c r="A2229" s="57">
        <v>361</v>
      </c>
      <c r="B2229" t="s">
        <v>5888</v>
      </c>
      <c r="C2229" t="s">
        <v>5889</v>
      </c>
      <c r="D2229" s="12">
        <v>46313</v>
      </c>
      <c r="E2229" s="11">
        <v>196</v>
      </c>
      <c r="F2229" s="11" t="s">
        <v>6946</v>
      </c>
      <c r="G2229">
        <v>20250701</v>
      </c>
      <c r="I2229" s="11" t="s">
        <v>63</v>
      </c>
      <c r="J2229" s="72">
        <v>10596801</v>
      </c>
      <c r="K2229" s="99">
        <f>_xlfn.XLOOKUP(_2__ROI_Daily_Update[[#This Row],[CSM id]],SHP!F:F,SHP!EE:EE,"-")</f>
        <v>0</v>
      </c>
      <c r="L2229" s="12"/>
      <c r="N2229" s="11"/>
      <c r="P2229"/>
      <c r="Q2229"/>
      <c r="W2229" s="28"/>
      <c r="AA2229"/>
    </row>
    <row r="2230" spans="1:27" x14ac:dyDescent="0.45">
      <c r="A2230" s="57">
        <v>1644</v>
      </c>
      <c r="B2230" t="s">
        <v>3257</v>
      </c>
      <c r="C2230" t="s">
        <v>3258</v>
      </c>
      <c r="D2230" s="12">
        <v>46313</v>
      </c>
      <c r="E2230" s="11">
        <v>96</v>
      </c>
      <c r="F2230" s="11" t="s">
        <v>7468</v>
      </c>
      <c r="G2230">
        <v>20151001</v>
      </c>
      <c r="I2230" s="11" t="s">
        <v>18</v>
      </c>
      <c r="J2230" s="72">
        <v>30297467</v>
      </c>
      <c r="K2230" s="99">
        <f>_xlfn.XLOOKUP(_2__ROI_Daily_Update[[#This Row],[CSM id]],SHP!F:F,SHP!EE:EE,"-")</f>
        <v>0</v>
      </c>
      <c r="L2230" s="12"/>
      <c r="N2230" s="11"/>
      <c r="P2230"/>
      <c r="Q2230"/>
      <c r="W2230" s="28"/>
      <c r="AA2230"/>
    </row>
    <row r="2231" spans="1:27" x14ac:dyDescent="0.45">
      <c r="A2231" s="57">
        <v>1522</v>
      </c>
      <c r="B2231" t="s">
        <v>2720</v>
      </c>
      <c r="C2231" t="s">
        <v>2721</v>
      </c>
      <c r="D2231" s="12">
        <v>46313</v>
      </c>
      <c r="E2231" s="11">
        <v>144</v>
      </c>
      <c r="F2231" s="11" t="s">
        <v>7492</v>
      </c>
      <c r="G2231">
        <v>20230101</v>
      </c>
      <c r="H2231" s="12">
        <v>46478</v>
      </c>
      <c r="I2231" s="11" t="s">
        <v>18</v>
      </c>
      <c r="J2231" s="72">
        <v>80541363</v>
      </c>
      <c r="K2231" s="99">
        <f>_xlfn.XLOOKUP(_2__ROI_Daily_Update[[#This Row],[CSM id]],SHP!F:F,SHP!EE:EE,"-")</f>
        <v>0</v>
      </c>
      <c r="L2231" s="12"/>
      <c r="N2231" s="11"/>
      <c r="P2231"/>
      <c r="Q2231"/>
      <c r="W2231" s="28"/>
      <c r="AA2231"/>
    </row>
    <row r="2232" spans="1:27" x14ac:dyDescent="0.45">
      <c r="A2232" s="57">
        <v>1522</v>
      </c>
      <c r="B2232" t="s">
        <v>2718</v>
      </c>
      <c r="C2232" t="s">
        <v>2719</v>
      </c>
      <c r="D2232" s="12">
        <v>46313</v>
      </c>
      <c r="E2232" s="11">
        <v>140</v>
      </c>
      <c r="F2232" s="11" t="s">
        <v>7492</v>
      </c>
      <c r="G2232">
        <v>20170801</v>
      </c>
      <c r="I2232" s="11" t="s">
        <v>18</v>
      </c>
      <c r="J2232" s="72">
        <v>80342976</v>
      </c>
      <c r="K2232" s="99">
        <f>_xlfn.XLOOKUP(_2__ROI_Daily_Update[[#This Row],[CSM id]],SHP!F:F,SHP!EE:EE,"-")</f>
        <v>0</v>
      </c>
      <c r="L2232" s="12"/>
      <c r="N2232" s="11"/>
      <c r="P2232"/>
      <c r="Q2232"/>
      <c r="W2232" s="28"/>
      <c r="AA2232"/>
    </row>
    <row r="2233" spans="1:27" x14ac:dyDescent="0.45">
      <c r="A2233" s="57">
        <v>343</v>
      </c>
      <c r="B2233" t="s">
        <v>120</v>
      </c>
      <c r="C2233" t="s">
        <v>121</v>
      </c>
      <c r="D2233" s="12">
        <v>46313</v>
      </c>
      <c r="E2233" s="11">
        <v>52</v>
      </c>
      <c r="F2233" s="11" t="s">
        <v>7440</v>
      </c>
      <c r="G2233">
        <v>20260401</v>
      </c>
      <c r="I2233" s="11" t="s">
        <v>63</v>
      </c>
      <c r="J2233" s="72">
        <v>50625024</v>
      </c>
      <c r="K2233" s="99">
        <f>_xlfn.XLOOKUP(_2__ROI_Daily_Update[[#This Row],[CSM id]],SHP!F:F,SHP!EE:EE,"-")</f>
        <v>0</v>
      </c>
      <c r="L2233" s="12"/>
      <c r="N2233" s="11"/>
      <c r="P2233"/>
      <c r="Q2233"/>
      <c r="W2233" s="28"/>
      <c r="AA2233"/>
    </row>
    <row r="2234" spans="1:27" x14ac:dyDescent="0.45">
      <c r="A2234" s="57">
        <v>343</v>
      </c>
      <c r="B2234" t="s">
        <v>380</v>
      </c>
      <c r="C2234" t="s">
        <v>381</v>
      </c>
      <c r="D2234" s="12">
        <v>46313</v>
      </c>
      <c r="E2234" s="11">
        <v>60</v>
      </c>
      <c r="F2234" s="11" t="s">
        <v>7485</v>
      </c>
      <c r="G2234">
        <v>20160201</v>
      </c>
      <c r="I2234" s="11" t="s">
        <v>18</v>
      </c>
      <c r="J2234" s="72">
        <v>10326178</v>
      </c>
      <c r="K2234" s="99">
        <f>_xlfn.XLOOKUP(_2__ROI_Daily_Update[[#This Row],[CSM id]],SHP!F:F,SHP!EE:EE,"-")</f>
        <v>0</v>
      </c>
      <c r="L2234" s="12"/>
      <c r="N2234" s="11"/>
      <c r="P2234"/>
      <c r="Q2234"/>
      <c r="W2234" s="28"/>
      <c r="AA2234"/>
    </row>
    <row r="2235" spans="1:27" x14ac:dyDescent="0.45">
      <c r="A2235" s="57">
        <v>1522</v>
      </c>
      <c r="B2235" t="s">
        <v>5390</v>
      </c>
      <c r="C2235" t="s">
        <v>5391</v>
      </c>
      <c r="D2235" s="12">
        <v>46313</v>
      </c>
      <c r="E2235" s="11">
        <v>36</v>
      </c>
      <c r="F2235" s="11" t="s">
        <v>7492</v>
      </c>
      <c r="G2235">
        <v>20200201</v>
      </c>
      <c r="I2235" s="11" t="s">
        <v>18</v>
      </c>
      <c r="J2235" s="72">
        <v>60452640</v>
      </c>
      <c r="K2235" s="99">
        <f>_xlfn.XLOOKUP(_2__ROI_Daily_Update[[#This Row],[CSM id]],SHP!F:F,SHP!EE:EE,"-")</f>
        <v>0</v>
      </c>
      <c r="L2235" s="12"/>
      <c r="N2235" s="11"/>
      <c r="P2235"/>
      <c r="Q2235"/>
      <c r="W2235" s="28"/>
      <c r="AA2235"/>
    </row>
    <row r="2236" spans="1:27" x14ac:dyDescent="0.45">
      <c r="A2236" s="57">
        <v>351</v>
      </c>
      <c r="B2236" t="s">
        <v>5703</v>
      </c>
      <c r="C2236" t="s">
        <v>5704</v>
      </c>
      <c r="D2236" s="12">
        <v>46313</v>
      </c>
      <c r="E2236" s="11">
        <v>16</v>
      </c>
      <c r="F2236" s="11" t="s">
        <v>7468</v>
      </c>
      <c r="G2236">
        <v>20241001</v>
      </c>
      <c r="I2236" s="11" t="s">
        <v>18</v>
      </c>
      <c r="J2236" s="72">
        <v>10515602</v>
      </c>
      <c r="K2236" s="99">
        <f>_xlfn.XLOOKUP(_2__ROI_Daily_Update[[#This Row],[CSM id]],SHP!F:F,SHP!EE:EE,"-")</f>
        <v>0</v>
      </c>
      <c r="L2236" s="12"/>
      <c r="N2236" s="11"/>
      <c r="P2236"/>
      <c r="Q2236"/>
      <c r="W2236" s="28"/>
      <c r="AA2236"/>
    </row>
    <row r="2237" spans="1:27" x14ac:dyDescent="0.45">
      <c r="A2237" s="57">
        <v>1644</v>
      </c>
      <c r="B2237" t="s">
        <v>3261</v>
      </c>
      <c r="C2237" t="s">
        <v>3262</v>
      </c>
      <c r="D2237" s="12">
        <v>46313</v>
      </c>
      <c r="E2237" s="11">
        <v>56</v>
      </c>
      <c r="F2237" s="11" t="s">
        <v>7430</v>
      </c>
      <c r="G2237">
        <v>20250701</v>
      </c>
      <c r="I2237" s="11" t="s">
        <v>63</v>
      </c>
      <c r="J2237" s="72">
        <v>40601702</v>
      </c>
      <c r="K2237" s="99">
        <f>_xlfn.XLOOKUP(_2__ROI_Daily_Update[[#This Row],[CSM id]],SHP!F:F,SHP!EE:EE,"-")</f>
        <v>0</v>
      </c>
      <c r="L2237" s="12"/>
      <c r="N2237" s="11"/>
      <c r="P2237"/>
      <c r="Q2237"/>
      <c r="W2237" s="28"/>
      <c r="AA2237"/>
    </row>
    <row r="2238" spans="1:27" x14ac:dyDescent="0.45">
      <c r="A2238" s="57">
        <v>1644</v>
      </c>
      <c r="B2238" t="s">
        <v>5699</v>
      </c>
      <c r="C2238" t="s">
        <v>5700</v>
      </c>
      <c r="D2238" s="12">
        <v>46313</v>
      </c>
      <c r="E2238" s="11">
        <v>20</v>
      </c>
      <c r="F2238" s="11" t="s">
        <v>7463</v>
      </c>
      <c r="G2238">
        <v>20260101</v>
      </c>
      <c r="I2238" s="11" t="s">
        <v>63</v>
      </c>
      <c r="J2238" s="72">
        <v>40617939</v>
      </c>
      <c r="K2238" s="99">
        <f>_xlfn.XLOOKUP(_2__ROI_Daily_Update[[#This Row],[CSM id]],SHP!F:F,SHP!EE:EE,"-")</f>
        <v>0</v>
      </c>
      <c r="L2238" s="12"/>
      <c r="N2238" s="11"/>
      <c r="P2238"/>
      <c r="Q2238"/>
      <c r="W2238" s="28"/>
      <c r="AA2238"/>
    </row>
    <row r="2239" spans="1:27" x14ac:dyDescent="0.45">
      <c r="A2239" s="57">
        <v>352</v>
      </c>
      <c r="B2239" t="s">
        <v>54</v>
      </c>
      <c r="C2239" t="s">
        <v>55</v>
      </c>
      <c r="D2239" s="12">
        <v>46313</v>
      </c>
      <c r="E2239" s="11">
        <v>2</v>
      </c>
      <c r="F2239" s="11" t="s">
        <v>7468</v>
      </c>
      <c r="G2239">
        <v>20181001</v>
      </c>
      <c r="I2239" s="11" t="s">
        <v>18</v>
      </c>
      <c r="J2239" s="72">
        <v>60320225</v>
      </c>
      <c r="K2239" s="99">
        <f>_xlfn.XLOOKUP(_2__ROI_Daily_Update[[#This Row],[CSM id]],SHP!F:F,SHP!EE:EE,"-")</f>
        <v>0</v>
      </c>
      <c r="L2239" s="12"/>
      <c r="N2239" s="11"/>
      <c r="P2239"/>
      <c r="Q2239"/>
      <c r="W2239" s="28"/>
      <c r="AA2239"/>
    </row>
    <row r="2240" spans="1:27" x14ac:dyDescent="0.45">
      <c r="A2240" s="57">
        <v>1522</v>
      </c>
      <c r="B2240" t="s">
        <v>6395</v>
      </c>
      <c r="C2240" t="s">
        <v>6396</v>
      </c>
      <c r="D2240" s="12">
        <v>46313</v>
      </c>
      <c r="E2240" s="11">
        <v>36</v>
      </c>
      <c r="F2240" s="11" t="s">
        <v>7453</v>
      </c>
      <c r="G2240">
        <v>20200401</v>
      </c>
      <c r="I2240" s="11" t="s">
        <v>63</v>
      </c>
      <c r="J2240" s="72">
        <v>10468120</v>
      </c>
      <c r="K2240" s="99">
        <f>_xlfn.XLOOKUP(_2__ROI_Daily_Update[[#This Row],[CSM id]],SHP!F:F,SHP!EE:EE,"-")</f>
        <v>0</v>
      </c>
      <c r="L2240" s="12"/>
      <c r="N2240" s="11"/>
      <c r="P2240"/>
      <c r="Q2240"/>
      <c r="W2240" s="28"/>
      <c r="AA2240"/>
    </row>
    <row r="2241" spans="1:27" x14ac:dyDescent="0.45">
      <c r="A2241" s="57">
        <v>352</v>
      </c>
      <c r="B2241" t="s">
        <v>54</v>
      </c>
      <c r="C2241" t="s">
        <v>55</v>
      </c>
      <c r="D2241" s="12">
        <v>46313</v>
      </c>
      <c r="E2241" s="11">
        <v>4</v>
      </c>
      <c r="F2241" s="11" t="s">
        <v>6946</v>
      </c>
      <c r="G2241">
        <v>20181001</v>
      </c>
      <c r="I2241" s="11" t="s">
        <v>63</v>
      </c>
      <c r="J2241" s="72">
        <v>60320225</v>
      </c>
      <c r="K2241" s="99">
        <f>_xlfn.XLOOKUP(_2__ROI_Daily_Update[[#This Row],[CSM id]],SHP!F:F,SHP!EE:EE,"-")</f>
        <v>0</v>
      </c>
      <c r="L2241" s="12"/>
      <c r="N2241" s="11"/>
      <c r="P2241"/>
      <c r="Q2241"/>
      <c r="W2241" s="28"/>
      <c r="AA2241"/>
    </row>
    <row r="2242" spans="1:27" x14ac:dyDescent="0.45">
      <c r="A2242" s="57">
        <v>1522</v>
      </c>
      <c r="B2242" t="s">
        <v>2706</v>
      </c>
      <c r="C2242" t="s">
        <v>2707</v>
      </c>
      <c r="D2242" s="12">
        <v>46313</v>
      </c>
      <c r="E2242" s="11">
        <v>168</v>
      </c>
      <c r="F2242" s="11" t="s">
        <v>7492</v>
      </c>
      <c r="G2242">
        <v>20141201</v>
      </c>
      <c r="I2242" s="11" t="s">
        <v>18</v>
      </c>
      <c r="J2242" s="72">
        <v>213558</v>
      </c>
      <c r="K2242" s="99">
        <f>_xlfn.XLOOKUP(_2__ROI_Daily_Update[[#This Row],[CSM id]],SHP!F:F,SHP!EE:EE,"-")</f>
        <v>0</v>
      </c>
      <c r="L2242" s="12"/>
      <c r="N2242" s="11"/>
      <c r="P2242"/>
      <c r="Q2242"/>
      <c r="W2242" s="28"/>
      <c r="AA2242"/>
    </row>
    <row r="2243" spans="1:27" x14ac:dyDescent="0.45">
      <c r="A2243" s="57">
        <v>1644</v>
      </c>
      <c r="B2243" t="s">
        <v>5628</v>
      </c>
      <c r="C2243" t="s">
        <v>5629</v>
      </c>
      <c r="D2243" s="12">
        <v>46313</v>
      </c>
      <c r="E2243" s="11">
        <v>12</v>
      </c>
      <c r="F2243" s="11" t="s">
        <v>7405</v>
      </c>
      <c r="G2243">
        <v>20260601</v>
      </c>
      <c r="I2243" s="11" t="s">
        <v>63</v>
      </c>
      <c r="J2243" s="72">
        <v>70622798</v>
      </c>
      <c r="K2243" s="99">
        <f>_xlfn.XLOOKUP(_2__ROI_Daily_Update[[#This Row],[CSM id]],SHP!F:F,SHP!EE:EE,"-")</f>
        <v>0</v>
      </c>
      <c r="L2243" s="12"/>
      <c r="N2243" s="11"/>
      <c r="P2243"/>
      <c r="Q2243"/>
      <c r="W2243" s="28"/>
      <c r="AA2243"/>
    </row>
    <row r="2244" spans="1:27" x14ac:dyDescent="0.45">
      <c r="A2244" s="57">
        <v>1644</v>
      </c>
      <c r="B2244" t="s">
        <v>3265</v>
      </c>
      <c r="C2244" t="s">
        <v>3266</v>
      </c>
      <c r="D2244" s="12">
        <v>46313</v>
      </c>
      <c r="E2244" s="11">
        <v>12</v>
      </c>
      <c r="F2244" s="11" t="s">
        <v>7453</v>
      </c>
      <c r="G2244">
        <v>20211001</v>
      </c>
      <c r="I2244" s="11" t="s">
        <v>63</v>
      </c>
      <c r="J2244" s="72">
        <v>80511342</v>
      </c>
      <c r="K2244" s="99">
        <f>_xlfn.XLOOKUP(_2__ROI_Daily_Update[[#This Row],[CSM id]],SHP!F:F,SHP!EE:EE,"-")</f>
        <v>0</v>
      </c>
      <c r="L2244" s="12"/>
      <c r="N2244" s="11"/>
      <c r="P2244"/>
      <c r="Q2244"/>
      <c r="W2244" s="28"/>
      <c r="AA2244"/>
    </row>
    <row r="2245" spans="1:27" x14ac:dyDescent="0.45">
      <c r="A2245" s="57">
        <v>1644</v>
      </c>
      <c r="B2245" t="s">
        <v>3269</v>
      </c>
      <c r="C2245" t="s">
        <v>3270</v>
      </c>
      <c r="D2245" s="12">
        <v>46313</v>
      </c>
      <c r="E2245" s="11">
        <v>12</v>
      </c>
      <c r="F2245" s="11" t="s">
        <v>7440</v>
      </c>
      <c r="G2245">
        <v>20241001</v>
      </c>
      <c r="I2245" s="11" t="s">
        <v>63</v>
      </c>
      <c r="J2245" s="72">
        <v>90586940</v>
      </c>
      <c r="K2245" s="99">
        <f>_xlfn.XLOOKUP(_2__ROI_Daily_Update[[#This Row],[CSM id]],SHP!F:F,SHP!EE:EE,"-")</f>
        <v>0</v>
      </c>
      <c r="L2245" s="12"/>
      <c r="N2245" s="11"/>
      <c r="P2245"/>
      <c r="Q2245"/>
      <c r="W2245" s="28"/>
      <c r="AA2245"/>
    </row>
    <row r="2246" spans="1:27" x14ac:dyDescent="0.45">
      <c r="A2246" s="57">
        <v>1852</v>
      </c>
      <c r="B2246" t="s">
        <v>3709</v>
      </c>
      <c r="C2246" t="s">
        <v>3710</v>
      </c>
      <c r="D2246" s="12">
        <v>46313</v>
      </c>
      <c r="E2246" s="11">
        <v>70</v>
      </c>
      <c r="F2246" s="11" t="s">
        <v>7425</v>
      </c>
      <c r="G2246">
        <v>20200401</v>
      </c>
      <c r="I2246" s="11" t="s">
        <v>63</v>
      </c>
      <c r="J2246" s="72">
        <v>80473694</v>
      </c>
      <c r="K2246" s="99">
        <f>_xlfn.XLOOKUP(_2__ROI_Daily_Update[[#This Row],[CSM id]],SHP!F:F,SHP!EE:EE,"-")</f>
        <v>0</v>
      </c>
      <c r="L2246" s="12"/>
      <c r="N2246" s="11"/>
      <c r="P2246"/>
      <c r="Q2246"/>
      <c r="W2246" s="28"/>
      <c r="AA2246"/>
    </row>
    <row r="2247" spans="1:27" x14ac:dyDescent="0.45">
      <c r="A2247" s="57">
        <v>1645</v>
      </c>
      <c r="B2247" t="s">
        <v>6179</v>
      </c>
      <c r="C2247" t="s">
        <v>6180</v>
      </c>
      <c r="D2247" s="12">
        <v>46313</v>
      </c>
      <c r="E2247" s="11">
        <v>20</v>
      </c>
      <c r="F2247" s="11" t="s">
        <v>7440</v>
      </c>
      <c r="G2247">
        <v>20211001</v>
      </c>
      <c r="I2247" s="11" t="s">
        <v>63</v>
      </c>
      <c r="J2247" s="72">
        <v>30486340</v>
      </c>
      <c r="K2247" s="99">
        <f>_xlfn.XLOOKUP(_2__ROI_Daily_Update[[#This Row],[CSM id]],SHP!F:F,SHP!EE:EE,"-")</f>
        <v>0</v>
      </c>
      <c r="L2247" s="12"/>
      <c r="N2247" s="11"/>
      <c r="P2247"/>
      <c r="Q2247"/>
      <c r="W2247" s="28"/>
      <c r="AA2247"/>
    </row>
    <row r="2248" spans="1:27" x14ac:dyDescent="0.45">
      <c r="A2248" s="57">
        <v>1645</v>
      </c>
      <c r="B2248" t="s">
        <v>5474</v>
      </c>
      <c r="C2248" t="s">
        <v>5475</v>
      </c>
      <c r="D2248" s="12">
        <v>46313</v>
      </c>
      <c r="E2248" s="11">
        <v>938</v>
      </c>
      <c r="F2248" s="11" t="s">
        <v>7410</v>
      </c>
      <c r="G2248">
        <v>20200401</v>
      </c>
      <c r="I2248" s="11" t="s">
        <v>63</v>
      </c>
      <c r="J2248" s="72">
        <v>30471027</v>
      </c>
      <c r="K2248" s="99">
        <f>_xlfn.XLOOKUP(_2__ROI_Daily_Update[[#This Row],[CSM id]],SHP!F:F,SHP!EE:EE,"-")</f>
        <v>0</v>
      </c>
      <c r="L2248" s="12"/>
      <c r="N2248" s="11"/>
      <c r="P2248"/>
      <c r="Q2248"/>
      <c r="W2248" s="28"/>
      <c r="AA2248"/>
    </row>
    <row r="2249" spans="1:27" x14ac:dyDescent="0.45">
      <c r="A2249" s="57">
        <v>353</v>
      </c>
      <c r="B2249" t="s">
        <v>406</v>
      </c>
      <c r="C2249" t="s">
        <v>407</v>
      </c>
      <c r="D2249" s="12">
        <v>46313</v>
      </c>
      <c r="E2249" s="11">
        <v>16</v>
      </c>
      <c r="F2249" s="11" t="s">
        <v>6946</v>
      </c>
      <c r="G2249">
        <v>20260701</v>
      </c>
      <c r="I2249" s="11" t="s">
        <v>63</v>
      </c>
      <c r="J2249" s="72">
        <v>90619672</v>
      </c>
      <c r="K2249" s="99">
        <f>_xlfn.XLOOKUP(_2__ROI_Daily_Update[[#This Row],[CSM id]],SHP!F:F,SHP!EE:EE,"-")</f>
        <v>0</v>
      </c>
      <c r="L2249" s="12"/>
      <c r="N2249" s="11"/>
      <c r="P2249"/>
      <c r="Q2249"/>
      <c r="W2249" s="28"/>
      <c r="AA2249"/>
    </row>
    <row r="2250" spans="1:27" x14ac:dyDescent="0.45">
      <c r="A2250" s="57">
        <v>353</v>
      </c>
      <c r="B2250" t="s">
        <v>406</v>
      </c>
      <c r="C2250" t="s">
        <v>407</v>
      </c>
      <c r="D2250" s="12">
        <v>46313</v>
      </c>
      <c r="E2250" s="11">
        <v>1</v>
      </c>
      <c r="F2250" s="11" t="s">
        <v>7410</v>
      </c>
      <c r="G2250">
        <v>20260701</v>
      </c>
      <c r="I2250" s="11" t="s">
        <v>63</v>
      </c>
      <c r="J2250" s="72">
        <v>90619672</v>
      </c>
      <c r="K2250" s="99">
        <f>_xlfn.XLOOKUP(_2__ROI_Daily_Update[[#This Row],[CSM id]],SHP!F:F,SHP!EE:EE,"-")</f>
        <v>0</v>
      </c>
      <c r="L2250" s="12"/>
      <c r="N2250" s="11"/>
      <c r="P2250"/>
      <c r="Q2250"/>
      <c r="W2250" s="28"/>
      <c r="AA2250"/>
    </row>
    <row r="2251" spans="1:27" x14ac:dyDescent="0.45">
      <c r="A2251" s="57">
        <v>1521</v>
      </c>
      <c r="B2251" t="s">
        <v>2682</v>
      </c>
      <c r="C2251" t="s">
        <v>2683</v>
      </c>
      <c r="D2251" s="12">
        <v>46313</v>
      </c>
      <c r="E2251" s="11">
        <v>115</v>
      </c>
      <c r="F2251" s="11" t="s">
        <v>7492</v>
      </c>
      <c r="G2251">
        <v>20160801</v>
      </c>
      <c r="I2251" s="11" t="s">
        <v>18</v>
      </c>
      <c r="J2251" s="72">
        <v>40137812</v>
      </c>
      <c r="K2251" s="99">
        <f>_xlfn.XLOOKUP(_2__ROI_Daily_Update[[#This Row],[CSM id]],SHP!F:F,SHP!EE:EE,"-")</f>
        <v>0</v>
      </c>
      <c r="L2251" s="12"/>
      <c r="N2251" s="11"/>
      <c r="P2251"/>
      <c r="Q2251"/>
      <c r="W2251" s="28"/>
      <c r="AA2251"/>
    </row>
    <row r="2252" spans="1:27" x14ac:dyDescent="0.45">
      <c r="A2252" s="57">
        <v>1645</v>
      </c>
      <c r="B2252" t="s">
        <v>6357</v>
      </c>
      <c r="C2252" t="s">
        <v>6358</v>
      </c>
      <c r="D2252" s="12">
        <v>46313</v>
      </c>
      <c r="E2252" s="11">
        <v>75</v>
      </c>
      <c r="F2252" s="11" t="s">
        <v>7453</v>
      </c>
      <c r="G2252">
        <v>20260401</v>
      </c>
      <c r="I2252" s="11" t="s">
        <v>63</v>
      </c>
      <c r="J2252" s="72">
        <v>10632286</v>
      </c>
      <c r="K2252" s="99">
        <f>_xlfn.XLOOKUP(_2__ROI_Daily_Update[[#This Row],[CSM id]],SHP!F:F,SHP!EE:EE,"-")</f>
        <v>0</v>
      </c>
      <c r="L2252" s="12"/>
      <c r="N2252" s="11"/>
      <c r="P2252"/>
      <c r="Q2252"/>
      <c r="W2252" s="28"/>
      <c r="AA2252"/>
    </row>
    <row r="2253" spans="1:27" x14ac:dyDescent="0.45">
      <c r="A2253" s="57">
        <v>1852</v>
      </c>
      <c r="B2253" t="s">
        <v>3705</v>
      </c>
      <c r="C2253" t="s">
        <v>3706</v>
      </c>
      <c r="D2253" s="12">
        <v>46313</v>
      </c>
      <c r="E2253" s="11">
        <v>18</v>
      </c>
      <c r="F2253" s="11" t="s">
        <v>7435</v>
      </c>
      <c r="G2253">
        <v>20220101</v>
      </c>
      <c r="I2253" s="11" t="s">
        <v>63</v>
      </c>
      <c r="J2253" s="72">
        <v>70514096</v>
      </c>
      <c r="K2253" s="99">
        <f>_xlfn.XLOOKUP(_2__ROI_Daily_Update[[#This Row],[CSM id]],SHP!F:F,SHP!EE:EE,"-")</f>
        <v>0</v>
      </c>
      <c r="L2253" s="12"/>
      <c r="N2253" s="11"/>
      <c r="P2253"/>
      <c r="Q2253"/>
      <c r="W2253" s="28"/>
      <c r="AA2253"/>
    </row>
    <row r="2254" spans="1:27" x14ac:dyDescent="0.45">
      <c r="A2254" s="57">
        <v>353</v>
      </c>
      <c r="B2254" t="s">
        <v>406</v>
      </c>
      <c r="C2254" t="s">
        <v>407</v>
      </c>
      <c r="D2254" s="12">
        <v>46313</v>
      </c>
      <c r="E2254" s="11">
        <v>9</v>
      </c>
      <c r="F2254" s="11" t="s">
        <v>7420</v>
      </c>
      <c r="G2254">
        <v>20260701</v>
      </c>
      <c r="I2254" s="11" t="s">
        <v>63</v>
      </c>
      <c r="J2254" s="72">
        <v>90619672</v>
      </c>
      <c r="K2254" s="99">
        <f>_xlfn.XLOOKUP(_2__ROI_Daily_Update[[#This Row],[CSM id]],SHP!F:F,SHP!EE:EE,"-")</f>
        <v>0</v>
      </c>
      <c r="L2254" s="12"/>
      <c r="N2254" s="11"/>
      <c r="P2254"/>
      <c r="Q2254"/>
      <c r="W2254" s="28"/>
      <c r="AA2254"/>
    </row>
    <row r="2255" spans="1:27" x14ac:dyDescent="0.45">
      <c r="A2255" s="57">
        <v>352</v>
      </c>
      <c r="B2255" t="s">
        <v>5460</v>
      </c>
      <c r="C2255" t="s">
        <v>5461</v>
      </c>
      <c r="D2255" s="12">
        <v>46313</v>
      </c>
      <c r="E2255" s="11">
        <v>16</v>
      </c>
      <c r="F2255" s="11" t="s">
        <v>7440</v>
      </c>
      <c r="G2255">
        <v>20261001</v>
      </c>
      <c r="I2255" s="11" t="s">
        <v>63</v>
      </c>
      <c r="J2255" s="72">
        <v>595487</v>
      </c>
      <c r="K2255" s="99">
        <f>_xlfn.XLOOKUP(_2__ROI_Daily_Update[[#This Row],[CSM id]],SHP!F:F,SHP!EE:EE,"-")</f>
        <v>0</v>
      </c>
      <c r="L2255" s="12"/>
      <c r="N2255" s="11"/>
      <c r="P2255"/>
      <c r="Q2255"/>
      <c r="W2255" s="28"/>
      <c r="AA2255"/>
    </row>
    <row r="2256" spans="1:27" x14ac:dyDescent="0.45">
      <c r="A2256" s="57">
        <v>352</v>
      </c>
      <c r="B2256" t="s">
        <v>5460</v>
      </c>
      <c r="C2256" t="s">
        <v>5461</v>
      </c>
      <c r="D2256" s="12">
        <v>46313</v>
      </c>
      <c r="E2256" s="11">
        <v>32</v>
      </c>
      <c r="F2256" s="11" t="s">
        <v>7410</v>
      </c>
      <c r="G2256">
        <v>20261001</v>
      </c>
      <c r="I2256" s="11" t="s">
        <v>63</v>
      </c>
      <c r="J2256" s="72">
        <v>595487</v>
      </c>
      <c r="K2256" s="99">
        <f>_xlfn.XLOOKUP(_2__ROI_Daily_Update[[#This Row],[CSM id]],SHP!F:F,SHP!EE:EE,"-")</f>
        <v>0</v>
      </c>
      <c r="L2256" s="12"/>
      <c r="N2256" s="11"/>
      <c r="P2256"/>
      <c r="Q2256"/>
      <c r="W2256" s="28"/>
      <c r="AA2256"/>
    </row>
    <row r="2257" spans="1:27" x14ac:dyDescent="0.45">
      <c r="A2257" s="57">
        <v>352</v>
      </c>
      <c r="B2257" t="s">
        <v>400</v>
      </c>
      <c r="C2257" t="s">
        <v>401</v>
      </c>
      <c r="D2257" s="12">
        <v>46313</v>
      </c>
      <c r="E2257" s="11">
        <v>10</v>
      </c>
      <c r="F2257" s="11" t="s">
        <v>7463</v>
      </c>
      <c r="G2257">
        <v>20261001</v>
      </c>
      <c r="I2257" s="11" t="s">
        <v>32</v>
      </c>
      <c r="J2257" s="72">
        <v>90608824</v>
      </c>
      <c r="K2257" s="99">
        <f>_xlfn.XLOOKUP(_2__ROI_Daily_Update[[#This Row],[CSM id]],SHP!F:F,SHP!EE:EE,"-")</f>
        <v>0</v>
      </c>
      <c r="L2257" s="12"/>
      <c r="N2257" s="11"/>
      <c r="P2257"/>
      <c r="Q2257"/>
      <c r="W2257" s="28"/>
      <c r="AA2257"/>
    </row>
    <row r="2258" spans="1:27" x14ac:dyDescent="0.45">
      <c r="A2258" s="57">
        <v>352</v>
      </c>
      <c r="B2258" t="s">
        <v>5323</v>
      </c>
      <c r="C2258" t="s">
        <v>5324</v>
      </c>
      <c r="D2258" s="12">
        <v>46313</v>
      </c>
      <c r="E2258" s="11">
        <v>20</v>
      </c>
      <c r="F2258" s="11" t="s">
        <v>7463</v>
      </c>
      <c r="G2258">
        <v>20261001</v>
      </c>
      <c r="I2258" s="11" t="s">
        <v>32</v>
      </c>
      <c r="J2258" s="72">
        <v>10608823</v>
      </c>
      <c r="K2258" s="99">
        <f>_xlfn.XLOOKUP(_2__ROI_Daily_Update[[#This Row],[CSM id]],SHP!F:F,SHP!EE:EE,"-")</f>
        <v>0</v>
      </c>
      <c r="L2258" s="12"/>
      <c r="N2258" s="11"/>
      <c r="P2258"/>
      <c r="Q2258"/>
      <c r="W2258" s="28"/>
      <c r="AA2258"/>
    </row>
    <row r="2259" spans="1:27" x14ac:dyDescent="0.45">
      <c r="A2259" s="57">
        <v>352</v>
      </c>
      <c r="B2259" t="s">
        <v>5323</v>
      </c>
      <c r="C2259" t="s">
        <v>5324</v>
      </c>
      <c r="D2259" s="12">
        <v>46313</v>
      </c>
      <c r="E2259" s="11">
        <v>20</v>
      </c>
      <c r="F2259" s="11" t="s">
        <v>7410</v>
      </c>
      <c r="G2259">
        <v>20261001</v>
      </c>
      <c r="I2259" s="11" t="s">
        <v>32</v>
      </c>
      <c r="J2259" s="72">
        <v>10608823</v>
      </c>
      <c r="K2259" s="99">
        <f>_xlfn.XLOOKUP(_2__ROI_Daily_Update[[#This Row],[CSM id]],SHP!F:F,SHP!EE:EE,"-")</f>
        <v>0</v>
      </c>
      <c r="L2259" s="12"/>
      <c r="N2259" s="11"/>
      <c r="P2259"/>
      <c r="Q2259"/>
      <c r="W2259" s="28"/>
      <c r="AA2259"/>
    </row>
    <row r="2260" spans="1:27" x14ac:dyDescent="0.45">
      <c r="A2260" s="57">
        <v>1852</v>
      </c>
      <c r="B2260" t="s">
        <v>6019</v>
      </c>
      <c r="C2260" t="s">
        <v>6020</v>
      </c>
      <c r="D2260" s="12">
        <v>46313</v>
      </c>
      <c r="E2260" s="11">
        <v>80</v>
      </c>
      <c r="F2260" s="11" t="s">
        <v>6940</v>
      </c>
      <c r="G2260">
        <v>20240401</v>
      </c>
      <c r="I2260" s="11" t="s">
        <v>63</v>
      </c>
      <c r="J2260" s="72">
        <v>70567004</v>
      </c>
      <c r="K2260" s="99">
        <f>_xlfn.XLOOKUP(_2__ROI_Daily_Update[[#This Row],[CSM id]],SHP!F:F,SHP!EE:EE,"-")</f>
        <v>0</v>
      </c>
      <c r="L2260" s="12"/>
      <c r="N2260" s="11"/>
      <c r="P2260"/>
      <c r="Q2260"/>
      <c r="W2260" s="28"/>
      <c r="AA2260"/>
    </row>
    <row r="2261" spans="1:27" x14ac:dyDescent="0.45">
      <c r="A2261" s="57">
        <v>1645</v>
      </c>
      <c r="B2261" t="s">
        <v>3275</v>
      </c>
      <c r="C2261" t="s">
        <v>3276</v>
      </c>
      <c r="D2261" s="12">
        <v>46313</v>
      </c>
      <c r="E2261" s="11">
        <v>16</v>
      </c>
      <c r="F2261" s="11" t="s">
        <v>7410</v>
      </c>
      <c r="G2261">
        <v>20250101</v>
      </c>
      <c r="I2261" s="11" t="s">
        <v>63</v>
      </c>
      <c r="J2261" s="72">
        <v>10591592</v>
      </c>
      <c r="K2261" s="99">
        <f>_xlfn.XLOOKUP(_2__ROI_Daily_Update[[#This Row],[CSM id]],SHP!F:F,SHP!EE:EE,"-")</f>
        <v>0</v>
      </c>
      <c r="L2261" s="12"/>
      <c r="N2261" s="11"/>
      <c r="P2261"/>
      <c r="Q2261"/>
      <c r="W2261" s="28"/>
      <c r="AA2261"/>
    </row>
    <row r="2262" spans="1:27" x14ac:dyDescent="0.45">
      <c r="A2262" s="57">
        <v>343</v>
      </c>
      <c r="B2262" t="s">
        <v>118</v>
      </c>
      <c r="C2262" t="s">
        <v>119</v>
      </c>
      <c r="D2262" s="12">
        <v>46313</v>
      </c>
      <c r="E2262" s="11">
        <v>52</v>
      </c>
      <c r="F2262" s="11" t="s">
        <v>7410</v>
      </c>
      <c r="G2262">
        <v>20260701</v>
      </c>
      <c r="H2262" s="12">
        <v>46569</v>
      </c>
      <c r="I2262" s="11" t="s">
        <v>63</v>
      </c>
      <c r="J2262" s="72">
        <v>625026</v>
      </c>
      <c r="K2262" s="99">
        <f>_xlfn.XLOOKUP(_2__ROI_Daily_Update[[#This Row],[CSM id]],SHP!F:F,SHP!EE:EE,"-")</f>
        <v>0</v>
      </c>
      <c r="L2262" s="12"/>
      <c r="N2262" s="11"/>
      <c r="P2262"/>
      <c r="Q2262"/>
      <c r="W2262" s="28"/>
      <c r="AA2262"/>
    </row>
    <row r="2263" spans="1:27" x14ac:dyDescent="0.45">
      <c r="A2263" s="57">
        <v>1718</v>
      </c>
      <c r="B2263" t="s">
        <v>6135</v>
      </c>
      <c r="C2263" t="s">
        <v>6136</v>
      </c>
      <c r="D2263" s="12">
        <v>46313</v>
      </c>
      <c r="E2263" s="11">
        <v>30</v>
      </c>
      <c r="F2263" s="11" t="s">
        <v>7458</v>
      </c>
      <c r="G2263">
        <v>20230201</v>
      </c>
      <c r="I2263" s="11" t="s">
        <v>63</v>
      </c>
      <c r="J2263" s="72">
        <v>40518487</v>
      </c>
      <c r="K2263" s="99">
        <f>_xlfn.XLOOKUP(_2__ROI_Daily_Update[[#This Row],[CSM id]],SHP!F:F,SHP!EE:EE,"-")</f>
        <v>0</v>
      </c>
      <c r="L2263" s="12"/>
      <c r="N2263" s="11"/>
      <c r="P2263"/>
      <c r="Q2263"/>
      <c r="W2263" s="28"/>
      <c r="AA2263"/>
    </row>
    <row r="2264" spans="1:27" x14ac:dyDescent="0.45">
      <c r="A2264" s="57">
        <v>371</v>
      </c>
      <c r="B2264" t="s">
        <v>217</v>
      </c>
      <c r="C2264" t="s">
        <v>218</v>
      </c>
      <c r="D2264" s="12">
        <v>46313</v>
      </c>
      <c r="E2264" s="11">
        <v>36</v>
      </c>
      <c r="F2264" s="11" t="s">
        <v>7430</v>
      </c>
      <c r="G2264">
        <v>20261001</v>
      </c>
      <c r="I2264" s="11" t="s">
        <v>63</v>
      </c>
      <c r="J2264" s="72">
        <v>70620006</v>
      </c>
      <c r="K2264" s="99">
        <f>_xlfn.XLOOKUP(_2__ROI_Daily_Update[[#This Row],[CSM id]],SHP!F:F,SHP!EE:EE,"-")</f>
        <v>0</v>
      </c>
      <c r="L2264" s="12"/>
      <c r="N2264" s="11"/>
      <c r="P2264"/>
      <c r="Q2264"/>
      <c r="W2264" s="28"/>
      <c r="AA2264"/>
    </row>
    <row r="2265" spans="1:27" x14ac:dyDescent="0.45">
      <c r="A2265" s="57">
        <v>1811</v>
      </c>
      <c r="B2265" t="s">
        <v>3335</v>
      </c>
      <c r="C2265" t="s">
        <v>3336</v>
      </c>
      <c r="D2265" s="12">
        <v>46313</v>
      </c>
      <c r="E2265" s="11">
        <v>117</v>
      </c>
      <c r="F2265" s="11" t="s">
        <v>7458</v>
      </c>
      <c r="G2265">
        <v>20261001</v>
      </c>
      <c r="I2265" s="11" t="s">
        <v>63</v>
      </c>
      <c r="J2265" s="72">
        <v>30632134</v>
      </c>
      <c r="K2265" s="99">
        <f>_xlfn.XLOOKUP(_2__ROI_Daily_Update[[#This Row],[CSM id]],SHP!F:F,SHP!EE:EE,"-")</f>
        <v>0</v>
      </c>
      <c r="L2265" s="12"/>
      <c r="N2265" s="11"/>
      <c r="P2265"/>
      <c r="Q2265"/>
      <c r="W2265" s="28"/>
      <c r="AA2265"/>
    </row>
    <row r="2266" spans="1:27" x14ac:dyDescent="0.45">
      <c r="A2266" s="57">
        <v>432</v>
      </c>
      <c r="B2266" t="s">
        <v>465</v>
      </c>
      <c r="C2266" t="s">
        <v>466</v>
      </c>
      <c r="D2266" s="12">
        <v>46313</v>
      </c>
      <c r="E2266" s="11">
        <v>10</v>
      </c>
      <c r="F2266" s="11" t="s">
        <v>6946</v>
      </c>
      <c r="G2266">
        <v>20241001</v>
      </c>
      <c r="I2266" s="11" t="s">
        <v>63</v>
      </c>
      <c r="J2266" s="72">
        <v>80583107</v>
      </c>
      <c r="K2266" s="99">
        <f>_xlfn.XLOOKUP(_2__ROI_Daily_Update[[#This Row],[CSM id]],SHP!F:F,SHP!EE:EE,"-")</f>
        <v>0</v>
      </c>
      <c r="L2266" s="12"/>
      <c r="N2266" s="11"/>
      <c r="P2266"/>
      <c r="Q2266"/>
      <c r="W2266" s="28"/>
      <c r="AA2266"/>
    </row>
    <row r="2267" spans="1:27" x14ac:dyDescent="0.45">
      <c r="A2267" s="57">
        <v>1811</v>
      </c>
      <c r="B2267" t="s">
        <v>5160</v>
      </c>
      <c r="C2267" t="s">
        <v>5161</v>
      </c>
      <c r="D2267" s="12">
        <v>46313</v>
      </c>
      <c r="E2267" s="11">
        <v>44</v>
      </c>
      <c r="F2267" s="11" t="s">
        <v>7420</v>
      </c>
      <c r="G2267">
        <v>20200201</v>
      </c>
      <c r="H2267" s="12">
        <v>46388</v>
      </c>
      <c r="I2267" s="11" t="s">
        <v>63</v>
      </c>
      <c r="J2267" s="72">
        <v>40348065</v>
      </c>
      <c r="K2267" s="99">
        <f>_xlfn.XLOOKUP(_2__ROI_Daily_Update[[#This Row],[CSM id]],SHP!F:F,SHP!EE:EE,"-")</f>
        <v>0</v>
      </c>
      <c r="L2267" s="12"/>
      <c r="N2267" s="11"/>
      <c r="P2267"/>
      <c r="Q2267"/>
      <c r="W2267" s="28"/>
      <c r="AA2267"/>
    </row>
    <row r="2268" spans="1:27" x14ac:dyDescent="0.45">
      <c r="A2268" s="57">
        <v>1811</v>
      </c>
      <c r="B2268" t="s">
        <v>5566</v>
      </c>
      <c r="C2268" t="s">
        <v>5567</v>
      </c>
      <c r="D2268" s="12">
        <v>46313</v>
      </c>
      <c r="E2268" s="11">
        <v>108</v>
      </c>
      <c r="F2268" s="11" t="s">
        <v>7410</v>
      </c>
      <c r="G2268">
        <v>20240401</v>
      </c>
      <c r="I2268" s="11" t="s">
        <v>63</v>
      </c>
      <c r="J2268" s="72">
        <v>40568547</v>
      </c>
      <c r="K2268" s="99">
        <f>_xlfn.XLOOKUP(_2__ROI_Daily_Update[[#This Row],[CSM id]],SHP!F:F,SHP!EE:EE,"-")</f>
        <v>0</v>
      </c>
      <c r="L2268" s="12"/>
      <c r="N2268" s="11"/>
      <c r="P2268"/>
      <c r="Q2268"/>
      <c r="W2268" s="28"/>
      <c r="AA2268"/>
    </row>
    <row r="2269" spans="1:27" x14ac:dyDescent="0.45">
      <c r="A2269" s="57">
        <v>1811</v>
      </c>
      <c r="B2269" t="s">
        <v>3339</v>
      </c>
      <c r="C2269" t="s">
        <v>3340</v>
      </c>
      <c r="D2269" s="12">
        <v>46313</v>
      </c>
      <c r="E2269" s="11">
        <v>30</v>
      </c>
      <c r="F2269" s="11" t="s">
        <v>7415</v>
      </c>
      <c r="G2269">
        <v>20260401</v>
      </c>
      <c r="I2269" s="11" t="s">
        <v>63</v>
      </c>
      <c r="J2269" s="72">
        <v>50612427</v>
      </c>
      <c r="K2269" s="99">
        <f>_xlfn.XLOOKUP(_2__ROI_Daily_Update[[#This Row],[CSM id]],SHP!F:F,SHP!EE:EE,"-")</f>
        <v>0</v>
      </c>
      <c r="L2269" s="12"/>
      <c r="N2269" s="11"/>
      <c r="P2269"/>
      <c r="Q2269"/>
      <c r="W2269" s="28"/>
      <c r="AA2269"/>
    </row>
    <row r="2270" spans="1:27" x14ac:dyDescent="0.45">
      <c r="A2270" s="57">
        <v>1811</v>
      </c>
      <c r="B2270" t="s">
        <v>3339</v>
      </c>
      <c r="C2270" t="s">
        <v>3340</v>
      </c>
      <c r="D2270" s="12">
        <v>46313</v>
      </c>
      <c r="E2270" s="11">
        <v>60</v>
      </c>
      <c r="F2270" s="11" t="s">
        <v>7435</v>
      </c>
      <c r="G2270">
        <v>20260401</v>
      </c>
      <c r="I2270" s="11" t="s">
        <v>63</v>
      </c>
      <c r="J2270" s="72">
        <v>50612427</v>
      </c>
      <c r="K2270" s="99">
        <f>_xlfn.XLOOKUP(_2__ROI_Daily_Update[[#This Row],[CSM id]],SHP!F:F,SHP!EE:EE,"-")</f>
        <v>0</v>
      </c>
      <c r="L2270" s="12"/>
      <c r="N2270" s="11"/>
      <c r="P2270"/>
      <c r="Q2270"/>
      <c r="W2270" s="28"/>
      <c r="AA2270"/>
    </row>
    <row r="2271" spans="1:27" x14ac:dyDescent="0.45">
      <c r="A2271" s="57">
        <v>432</v>
      </c>
      <c r="B2271" t="s">
        <v>465</v>
      </c>
      <c r="C2271" t="s">
        <v>466</v>
      </c>
      <c r="D2271" s="12">
        <v>46313</v>
      </c>
      <c r="E2271" s="11">
        <v>10</v>
      </c>
      <c r="F2271" s="11" t="s">
        <v>7480</v>
      </c>
      <c r="G2271">
        <v>20241001</v>
      </c>
      <c r="I2271" s="11" t="s">
        <v>63</v>
      </c>
      <c r="J2271" s="72">
        <v>80583107</v>
      </c>
      <c r="K2271" s="99">
        <f>_xlfn.XLOOKUP(_2__ROI_Daily_Update[[#This Row],[CSM id]],SHP!F:F,SHP!EE:EE,"-")</f>
        <v>0</v>
      </c>
      <c r="L2271" s="12"/>
      <c r="N2271" s="11"/>
      <c r="P2271"/>
      <c r="Q2271"/>
      <c r="W2271" s="28"/>
      <c r="AA2271"/>
    </row>
    <row r="2272" spans="1:27" x14ac:dyDescent="0.45">
      <c r="A2272" s="57">
        <v>432</v>
      </c>
      <c r="B2272" t="s">
        <v>463</v>
      </c>
      <c r="C2272" t="s">
        <v>464</v>
      </c>
      <c r="D2272" s="12">
        <v>46313</v>
      </c>
      <c r="E2272" s="11">
        <v>18</v>
      </c>
      <c r="F2272" s="11" t="s">
        <v>7485</v>
      </c>
      <c r="G2272">
        <v>20180201</v>
      </c>
      <c r="H2272" s="12">
        <v>46388</v>
      </c>
      <c r="I2272" s="11" t="s">
        <v>18</v>
      </c>
      <c r="J2272" s="72">
        <v>80355657</v>
      </c>
      <c r="K2272" s="99">
        <f>_xlfn.XLOOKUP(_2__ROI_Daily_Update[[#This Row],[CSM id]],SHP!F:F,SHP!EE:EE,"-")</f>
        <v>0</v>
      </c>
      <c r="L2272" s="12"/>
      <c r="N2272" s="11"/>
      <c r="P2272"/>
      <c r="Q2272"/>
      <c r="W2272" s="28"/>
      <c r="AA2272"/>
    </row>
    <row r="2273" spans="1:27" x14ac:dyDescent="0.45">
      <c r="A2273" s="57">
        <v>432</v>
      </c>
      <c r="B2273" t="s">
        <v>463</v>
      </c>
      <c r="C2273" t="s">
        <v>464</v>
      </c>
      <c r="D2273" s="12">
        <v>46313</v>
      </c>
      <c r="E2273" s="11">
        <v>36</v>
      </c>
      <c r="F2273" s="11" t="s">
        <v>7499</v>
      </c>
      <c r="G2273">
        <v>20180201</v>
      </c>
      <c r="H2273" s="12">
        <v>46388</v>
      </c>
      <c r="I2273" s="11" t="s">
        <v>18</v>
      </c>
      <c r="J2273" s="72">
        <v>80355657</v>
      </c>
      <c r="K2273" s="99">
        <f>_xlfn.XLOOKUP(_2__ROI_Daily_Update[[#This Row],[CSM id]],SHP!F:F,SHP!EE:EE,"-")</f>
        <v>0</v>
      </c>
      <c r="L2273" s="12"/>
      <c r="N2273" s="11"/>
      <c r="P2273"/>
      <c r="Q2273"/>
      <c r="W2273" s="28"/>
      <c r="AA2273"/>
    </row>
    <row r="2274" spans="1:27" x14ac:dyDescent="0.45">
      <c r="A2274" s="57">
        <v>433</v>
      </c>
      <c r="B2274" t="s">
        <v>473</v>
      </c>
      <c r="C2274" t="s">
        <v>474</v>
      </c>
      <c r="D2274" s="12">
        <v>46313</v>
      </c>
      <c r="E2274" s="11">
        <v>25</v>
      </c>
      <c r="F2274" s="11" t="s">
        <v>7468</v>
      </c>
      <c r="G2274">
        <v>20240401</v>
      </c>
      <c r="I2274" s="11" t="s">
        <v>18</v>
      </c>
      <c r="J2274" s="72">
        <v>80558216</v>
      </c>
      <c r="K2274" s="99">
        <f>_xlfn.XLOOKUP(_2__ROI_Daily_Update[[#This Row],[CSM id]],SHP!F:F,SHP!EE:EE,"-")</f>
        <v>0</v>
      </c>
      <c r="L2274" s="12"/>
      <c r="N2274" s="11"/>
      <c r="P2274"/>
      <c r="Q2274"/>
      <c r="W2274" s="28"/>
      <c r="AA2274"/>
    </row>
    <row r="2275" spans="1:27" x14ac:dyDescent="0.45">
      <c r="A2275" s="57">
        <v>433</v>
      </c>
      <c r="B2275" t="s">
        <v>402</v>
      </c>
      <c r="C2275" t="s">
        <v>403</v>
      </c>
      <c r="D2275" s="12">
        <v>46313</v>
      </c>
      <c r="E2275" s="11">
        <v>36</v>
      </c>
      <c r="F2275" s="11" t="s">
        <v>7468</v>
      </c>
      <c r="G2275">
        <v>20210601</v>
      </c>
      <c r="I2275" s="11" t="s">
        <v>18</v>
      </c>
      <c r="J2275" s="72">
        <v>10257429</v>
      </c>
      <c r="K2275" s="99">
        <f>_xlfn.XLOOKUP(_2__ROI_Daily_Update[[#This Row],[CSM id]],SHP!F:F,SHP!EE:EE,"-")</f>
        <v>0</v>
      </c>
      <c r="L2275" s="12"/>
      <c r="N2275" s="11"/>
      <c r="P2275"/>
      <c r="Q2275"/>
      <c r="W2275" s="28"/>
      <c r="AA2275"/>
    </row>
    <row r="2276" spans="1:27" x14ac:dyDescent="0.45">
      <c r="A2276" s="57">
        <v>1811</v>
      </c>
      <c r="B2276" t="s">
        <v>3341</v>
      </c>
      <c r="C2276" t="s">
        <v>3342</v>
      </c>
      <c r="D2276" s="12">
        <v>46313</v>
      </c>
      <c r="E2276" s="11">
        <v>168</v>
      </c>
      <c r="F2276" s="11" t="s">
        <v>7499</v>
      </c>
      <c r="G2276">
        <v>20240401</v>
      </c>
      <c r="I2276" s="11" t="s">
        <v>18</v>
      </c>
      <c r="J2276" s="72">
        <v>60480544</v>
      </c>
      <c r="K2276" s="99">
        <f>_xlfn.XLOOKUP(_2__ROI_Daily_Update[[#This Row],[CSM id]],SHP!F:F,SHP!EE:EE,"-")</f>
        <v>0</v>
      </c>
      <c r="L2276" s="12"/>
      <c r="N2276" s="11"/>
      <c r="P2276"/>
      <c r="Q2276"/>
      <c r="W2276" s="28"/>
      <c r="AA2276"/>
    </row>
    <row r="2277" spans="1:27" x14ac:dyDescent="0.45">
      <c r="A2277" s="57">
        <v>433</v>
      </c>
      <c r="B2277" t="s">
        <v>402</v>
      </c>
      <c r="C2277" t="s">
        <v>403</v>
      </c>
      <c r="D2277" s="12">
        <v>46313</v>
      </c>
      <c r="E2277" s="11">
        <v>36</v>
      </c>
      <c r="F2277" s="11" t="s">
        <v>7499</v>
      </c>
      <c r="G2277">
        <v>20210601</v>
      </c>
      <c r="I2277" s="11" t="s">
        <v>18</v>
      </c>
      <c r="J2277" s="72">
        <v>10257429</v>
      </c>
      <c r="K2277" s="99">
        <f>_xlfn.XLOOKUP(_2__ROI_Daily_Update[[#This Row],[CSM id]],SHP!F:F,SHP!EE:EE,"-")</f>
        <v>0</v>
      </c>
      <c r="L2277" s="12"/>
      <c r="N2277" s="11"/>
      <c r="P2277"/>
      <c r="Q2277"/>
      <c r="W2277" s="28"/>
      <c r="AA2277"/>
    </row>
    <row r="2278" spans="1:27" x14ac:dyDescent="0.45">
      <c r="A2278" s="57">
        <v>433</v>
      </c>
      <c r="B2278" t="s">
        <v>471</v>
      </c>
      <c r="C2278" t="s">
        <v>472</v>
      </c>
      <c r="D2278" s="12">
        <v>46313</v>
      </c>
      <c r="E2278" s="11">
        <v>26</v>
      </c>
      <c r="F2278" s="11" t="s">
        <v>7499</v>
      </c>
      <c r="G2278">
        <v>20180801</v>
      </c>
      <c r="I2278" s="11" t="s">
        <v>18</v>
      </c>
      <c r="J2278" s="72">
        <v>80396243</v>
      </c>
      <c r="K2278" s="99">
        <f>_xlfn.XLOOKUP(_2__ROI_Daily_Update[[#This Row],[CSM id]],SHP!F:F,SHP!EE:EE,"-")</f>
        <v>0</v>
      </c>
      <c r="L2278" s="12"/>
      <c r="N2278" s="11"/>
      <c r="P2278"/>
      <c r="Q2278"/>
      <c r="W2278" s="28"/>
      <c r="AA2278"/>
    </row>
    <row r="2279" spans="1:27" x14ac:dyDescent="0.45">
      <c r="A2279" s="57">
        <v>433</v>
      </c>
      <c r="B2279" t="s">
        <v>192</v>
      </c>
      <c r="C2279" t="s">
        <v>193</v>
      </c>
      <c r="D2279" s="12">
        <v>46313</v>
      </c>
      <c r="E2279" s="11">
        <v>16</v>
      </c>
      <c r="F2279" s="11" t="s">
        <v>7430</v>
      </c>
      <c r="G2279">
        <v>20260701</v>
      </c>
      <c r="I2279" s="11" t="s">
        <v>63</v>
      </c>
      <c r="J2279" s="72">
        <v>637034</v>
      </c>
      <c r="K2279" s="99">
        <f>_xlfn.XLOOKUP(_2__ROI_Daily_Update[[#This Row],[CSM id]],SHP!F:F,SHP!EE:EE,"-")</f>
        <v>0</v>
      </c>
      <c r="L2279" s="12"/>
      <c r="N2279" s="11"/>
      <c r="P2279"/>
      <c r="Q2279"/>
      <c r="W2279" s="28"/>
      <c r="AA2279"/>
    </row>
    <row r="2280" spans="1:27" x14ac:dyDescent="0.45">
      <c r="A2280" s="57">
        <v>433</v>
      </c>
      <c r="B2280" t="s">
        <v>192</v>
      </c>
      <c r="C2280" t="s">
        <v>193</v>
      </c>
      <c r="D2280" s="12">
        <v>46313</v>
      </c>
      <c r="E2280" s="11">
        <v>16</v>
      </c>
      <c r="F2280" s="11" t="s">
        <v>7400</v>
      </c>
      <c r="G2280">
        <v>20260701</v>
      </c>
      <c r="I2280" s="11" t="s">
        <v>63</v>
      </c>
      <c r="J2280" s="72">
        <v>637034</v>
      </c>
      <c r="K2280" s="99">
        <f>_xlfn.XLOOKUP(_2__ROI_Daily_Update[[#This Row],[CSM id]],SHP!F:F,SHP!EE:EE,"-")</f>
        <v>0</v>
      </c>
      <c r="L2280" s="12"/>
      <c r="N2280" s="11"/>
      <c r="P2280"/>
      <c r="Q2280"/>
      <c r="W2280" s="28"/>
      <c r="AA2280"/>
    </row>
    <row r="2281" spans="1:27" x14ac:dyDescent="0.45">
      <c r="A2281" s="57">
        <v>433</v>
      </c>
      <c r="B2281" t="s">
        <v>192</v>
      </c>
      <c r="C2281" t="s">
        <v>193</v>
      </c>
      <c r="D2281" s="12">
        <v>46313</v>
      </c>
      <c r="E2281" s="11">
        <v>32</v>
      </c>
      <c r="F2281" s="11" t="s">
        <v>7440</v>
      </c>
      <c r="G2281">
        <v>20260701</v>
      </c>
      <c r="I2281" s="11" t="s">
        <v>63</v>
      </c>
      <c r="J2281" s="72">
        <v>637034</v>
      </c>
      <c r="K2281" s="99">
        <f>_xlfn.XLOOKUP(_2__ROI_Daily_Update[[#This Row],[CSM id]],SHP!F:F,SHP!EE:EE,"-")</f>
        <v>0</v>
      </c>
      <c r="L2281" s="12"/>
      <c r="N2281" s="11"/>
      <c r="P2281"/>
      <c r="Q2281"/>
      <c r="W2281" s="28"/>
      <c r="AA2281"/>
    </row>
    <row r="2282" spans="1:27" x14ac:dyDescent="0.45">
      <c r="A2282" s="57">
        <v>612</v>
      </c>
      <c r="B2282" t="s">
        <v>364</v>
      </c>
      <c r="C2282" t="s">
        <v>365</v>
      </c>
      <c r="D2282" s="12">
        <v>46313</v>
      </c>
      <c r="E2282" s="11">
        <v>40</v>
      </c>
      <c r="F2282" s="11" t="s">
        <v>7468</v>
      </c>
      <c r="G2282">
        <v>20160401</v>
      </c>
      <c r="I2282" s="11" t="s">
        <v>18</v>
      </c>
      <c r="J2282" s="72">
        <v>20307867</v>
      </c>
      <c r="K2282" s="99">
        <f>_xlfn.XLOOKUP(_2__ROI_Daily_Update[[#This Row],[CSM id]],SHP!F:F,SHP!EE:EE,"-")</f>
        <v>0</v>
      </c>
      <c r="L2282" s="12"/>
      <c r="N2282" s="11"/>
      <c r="P2282"/>
      <c r="Q2282"/>
      <c r="W2282" s="28"/>
      <c r="AA2282"/>
    </row>
    <row r="2283" spans="1:27" x14ac:dyDescent="0.45">
      <c r="A2283" s="57">
        <v>1811</v>
      </c>
      <c r="B2283" t="s">
        <v>3360</v>
      </c>
      <c r="C2283" t="s">
        <v>3361</v>
      </c>
      <c r="D2283" s="12">
        <v>46313</v>
      </c>
      <c r="E2283" s="11">
        <v>320</v>
      </c>
      <c r="F2283" s="11" t="s">
        <v>6946</v>
      </c>
      <c r="G2283">
        <v>20240401</v>
      </c>
      <c r="I2283" s="11" t="s">
        <v>63</v>
      </c>
      <c r="J2283" s="72">
        <v>90568535</v>
      </c>
      <c r="K2283" s="99">
        <f>_xlfn.XLOOKUP(_2__ROI_Daily_Update[[#This Row],[CSM id]],SHP!F:F,SHP!EE:EE,"-")</f>
        <v>0</v>
      </c>
      <c r="L2283" s="12"/>
      <c r="N2283" s="11"/>
      <c r="P2283"/>
      <c r="Q2283"/>
      <c r="W2283" s="28"/>
      <c r="AA2283"/>
    </row>
    <row r="2284" spans="1:27" x14ac:dyDescent="0.45">
      <c r="A2284" s="57">
        <v>1852</v>
      </c>
      <c r="B2284" t="s">
        <v>3684</v>
      </c>
      <c r="C2284" t="s">
        <v>3685</v>
      </c>
      <c r="D2284" s="12">
        <v>46313</v>
      </c>
      <c r="E2284" s="11">
        <v>12</v>
      </c>
      <c r="F2284" s="11" t="s">
        <v>7410</v>
      </c>
      <c r="G2284">
        <v>20260101</v>
      </c>
      <c r="I2284" s="11" t="s">
        <v>63</v>
      </c>
      <c r="J2284" s="72">
        <v>30595400</v>
      </c>
      <c r="K2284" s="99">
        <f>_xlfn.XLOOKUP(_2__ROI_Daily_Update[[#This Row],[CSM id]],SHP!F:F,SHP!EE:EE,"-")</f>
        <v>0</v>
      </c>
      <c r="L2284" s="12"/>
      <c r="N2284" s="11"/>
      <c r="P2284"/>
      <c r="Q2284"/>
      <c r="W2284" s="28"/>
      <c r="AA2284"/>
    </row>
    <row r="2285" spans="1:27" x14ac:dyDescent="0.45">
      <c r="A2285" s="57">
        <v>1811</v>
      </c>
      <c r="B2285" t="s">
        <v>3356</v>
      </c>
      <c r="C2285" t="s">
        <v>3357</v>
      </c>
      <c r="D2285" s="12">
        <v>46313</v>
      </c>
      <c r="E2285" s="11">
        <v>48</v>
      </c>
      <c r="F2285" s="11" t="s">
        <v>7410</v>
      </c>
      <c r="G2285">
        <v>20251001</v>
      </c>
      <c r="I2285" s="11" t="s">
        <v>63</v>
      </c>
      <c r="J2285" s="72">
        <v>80596954</v>
      </c>
      <c r="K2285" s="99">
        <f>_xlfn.XLOOKUP(_2__ROI_Daily_Update[[#This Row],[CSM id]],SHP!F:F,SHP!EE:EE,"-")</f>
        <v>0</v>
      </c>
      <c r="L2285" s="12"/>
      <c r="N2285" s="11"/>
      <c r="P2285"/>
      <c r="Q2285"/>
      <c r="W2285" s="28"/>
      <c r="AA2285"/>
    </row>
    <row r="2286" spans="1:27" x14ac:dyDescent="0.45">
      <c r="A2286" s="57">
        <v>1852</v>
      </c>
      <c r="B2286" t="s">
        <v>3684</v>
      </c>
      <c r="C2286" t="s">
        <v>3685</v>
      </c>
      <c r="D2286" s="12">
        <v>46313</v>
      </c>
      <c r="E2286" s="11">
        <v>12</v>
      </c>
      <c r="F2286" s="11" t="s">
        <v>7400</v>
      </c>
      <c r="G2286">
        <v>20260101</v>
      </c>
      <c r="I2286" s="11" t="s">
        <v>63</v>
      </c>
      <c r="J2286" s="72">
        <v>30595400</v>
      </c>
      <c r="K2286" s="99">
        <f>_xlfn.XLOOKUP(_2__ROI_Daily_Update[[#This Row],[CSM id]],SHP!F:F,SHP!EE:EE,"-")</f>
        <v>0</v>
      </c>
      <c r="L2286" s="12"/>
      <c r="N2286" s="11"/>
      <c r="P2286"/>
      <c r="Q2286"/>
      <c r="W2286" s="28"/>
      <c r="AA2286"/>
    </row>
    <row r="2287" spans="1:27" x14ac:dyDescent="0.45">
      <c r="A2287" s="57">
        <v>511</v>
      </c>
      <c r="B2287" t="s">
        <v>48</v>
      </c>
      <c r="C2287" t="s">
        <v>49</v>
      </c>
      <c r="D2287" s="12">
        <v>46313</v>
      </c>
      <c r="E2287" s="11">
        <v>13</v>
      </c>
      <c r="F2287" s="11" t="s">
        <v>7485</v>
      </c>
      <c r="G2287">
        <v>20211001</v>
      </c>
      <c r="I2287" s="11" t="s">
        <v>32</v>
      </c>
      <c r="J2287" s="72">
        <v>80480859</v>
      </c>
      <c r="K2287" s="99">
        <f>_xlfn.XLOOKUP(_2__ROI_Daily_Update[[#This Row],[CSM id]],SHP!F:F,SHP!EE:EE,"-")</f>
        <v>0</v>
      </c>
      <c r="L2287" s="12"/>
      <c r="N2287" s="11"/>
      <c r="P2287"/>
      <c r="Q2287"/>
      <c r="W2287" s="28"/>
      <c r="AA2287"/>
    </row>
    <row r="2288" spans="1:27" x14ac:dyDescent="0.45">
      <c r="A2288" s="57">
        <v>1811</v>
      </c>
      <c r="B2288" t="s">
        <v>3335</v>
      </c>
      <c r="C2288" t="s">
        <v>3336</v>
      </c>
      <c r="D2288" s="12">
        <v>46313</v>
      </c>
      <c r="E2288" s="11">
        <v>117</v>
      </c>
      <c r="F2288" s="11" t="s">
        <v>7405</v>
      </c>
      <c r="G2288">
        <v>20261001</v>
      </c>
      <c r="I2288" s="11" t="s">
        <v>63</v>
      </c>
      <c r="J2288" s="72">
        <v>30632134</v>
      </c>
      <c r="K2288" s="99">
        <f>_xlfn.XLOOKUP(_2__ROI_Daily_Update[[#This Row],[CSM id]],SHP!F:F,SHP!EE:EE,"-")</f>
        <v>0</v>
      </c>
      <c r="L2288" s="12"/>
      <c r="N2288" s="11"/>
      <c r="P2288"/>
      <c r="Q2288"/>
      <c r="W2288" s="28"/>
      <c r="AA2288"/>
    </row>
    <row r="2289" spans="1:27" x14ac:dyDescent="0.45">
      <c r="A2289" s="57">
        <v>511</v>
      </c>
      <c r="B2289" t="s">
        <v>48</v>
      </c>
      <c r="C2289" t="s">
        <v>49</v>
      </c>
      <c r="D2289" s="12">
        <v>46313</v>
      </c>
      <c r="E2289" s="11">
        <v>13</v>
      </c>
      <c r="F2289" s="11" t="s">
        <v>7468</v>
      </c>
      <c r="G2289">
        <v>20211001</v>
      </c>
      <c r="I2289" s="11" t="s">
        <v>32</v>
      </c>
      <c r="J2289" s="72">
        <v>80480859</v>
      </c>
      <c r="K2289" s="99">
        <f>_xlfn.XLOOKUP(_2__ROI_Daily_Update[[#This Row],[CSM id]],SHP!F:F,SHP!EE:EE,"-")</f>
        <v>0</v>
      </c>
      <c r="L2289" s="12"/>
      <c r="N2289" s="11"/>
      <c r="P2289"/>
      <c r="Q2289"/>
      <c r="W2289" s="28"/>
      <c r="AA2289"/>
    </row>
    <row r="2290" spans="1:27" x14ac:dyDescent="0.45">
      <c r="A2290" s="57">
        <v>1811</v>
      </c>
      <c r="B2290" t="s">
        <v>3345</v>
      </c>
      <c r="C2290" t="s">
        <v>3346</v>
      </c>
      <c r="D2290" s="12">
        <v>46313</v>
      </c>
      <c r="E2290" s="11">
        <v>204</v>
      </c>
      <c r="F2290" s="11" t="s">
        <v>7468</v>
      </c>
      <c r="G2290">
        <v>20160401</v>
      </c>
      <c r="I2290" s="11" t="s">
        <v>18</v>
      </c>
      <c r="J2290" s="72">
        <v>70262828</v>
      </c>
      <c r="K2290" s="99">
        <f>_xlfn.XLOOKUP(_2__ROI_Daily_Update[[#This Row],[CSM id]],SHP!F:F,SHP!EE:EE,"-")</f>
        <v>0</v>
      </c>
      <c r="L2290" s="12"/>
      <c r="N2290" s="11"/>
      <c r="P2290"/>
      <c r="Q2290"/>
      <c r="W2290" s="28"/>
      <c r="AA2290"/>
    </row>
    <row r="2291" spans="1:27" x14ac:dyDescent="0.45">
      <c r="A2291" s="57">
        <v>435</v>
      </c>
      <c r="B2291" t="s">
        <v>21</v>
      </c>
      <c r="C2291" t="s">
        <v>22</v>
      </c>
      <c r="D2291" s="12">
        <v>46313</v>
      </c>
      <c r="E2291" s="11">
        <v>24</v>
      </c>
      <c r="F2291" s="11" t="s">
        <v>7468</v>
      </c>
      <c r="G2291">
        <v>20180801</v>
      </c>
      <c r="I2291" s="11" t="s">
        <v>18</v>
      </c>
      <c r="J2291" s="72">
        <v>80397308</v>
      </c>
      <c r="K2291" s="99">
        <f>_xlfn.XLOOKUP(_2__ROI_Daily_Update[[#This Row],[CSM id]],SHP!F:F,SHP!EE:EE,"-")</f>
        <v>0</v>
      </c>
      <c r="L2291" s="12"/>
      <c r="N2291" s="11"/>
      <c r="P2291"/>
      <c r="Q2291"/>
      <c r="W2291" s="28"/>
      <c r="AA2291"/>
    </row>
    <row r="2292" spans="1:27" x14ac:dyDescent="0.45">
      <c r="A2292" s="57">
        <v>435</v>
      </c>
      <c r="B2292" t="s">
        <v>38</v>
      </c>
      <c r="C2292" t="s">
        <v>39</v>
      </c>
      <c r="D2292" s="12">
        <v>46313</v>
      </c>
      <c r="E2292" s="11">
        <v>42</v>
      </c>
      <c r="F2292" s="11" t="s">
        <v>7485</v>
      </c>
      <c r="G2292">
        <v>20221001</v>
      </c>
      <c r="I2292" s="11" t="s">
        <v>18</v>
      </c>
      <c r="J2292" s="72">
        <v>70530987</v>
      </c>
      <c r="K2292" s="99">
        <f>_xlfn.XLOOKUP(_2__ROI_Daily_Update[[#This Row],[CSM id]],SHP!F:F,SHP!EE:EE,"-")</f>
        <v>0</v>
      </c>
      <c r="L2292" s="12"/>
      <c r="N2292" s="11"/>
      <c r="P2292"/>
      <c r="Q2292"/>
      <c r="W2292" s="28"/>
      <c r="AA2292"/>
    </row>
    <row r="2293" spans="1:27" x14ac:dyDescent="0.45">
      <c r="A2293" s="57">
        <v>435</v>
      </c>
      <c r="B2293" t="s">
        <v>38</v>
      </c>
      <c r="C2293" t="s">
        <v>39</v>
      </c>
      <c r="D2293" s="12">
        <v>46313</v>
      </c>
      <c r="E2293" s="11">
        <v>42</v>
      </c>
      <c r="F2293" s="11" t="s">
        <v>7468</v>
      </c>
      <c r="G2293">
        <v>20221001</v>
      </c>
      <c r="I2293" s="11" t="s">
        <v>18</v>
      </c>
      <c r="J2293" s="72">
        <v>70530987</v>
      </c>
      <c r="K2293" s="99">
        <f>_xlfn.XLOOKUP(_2__ROI_Daily_Update[[#This Row],[CSM id]],SHP!F:F,SHP!EE:EE,"-")</f>
        <v>0</v>
      </c>
      <c r="L2293" s="12"/>
      <c r="N2293" s="11"/>
      <c r="P2293"/>
      <c r="Q2293"/>
      <c r="W2293" s="28"/>
      <c r="AA2293"/>
    </row>
    <row r="2294" spans="1:27" x14ac:dyDescent="0.45">
      <c r="A2294" s="57">
        <v>433</v>
      </c>
      <c r="B2294" t="s">
        <v>469</v>
      </c>
      <c r="C2294" t="s">
        <v>470</v>
      </c>
      <c r="D2294" s="12">
        <v>46313</v>
      </c>
      <c r="E2294" s="11">
        <v>198</v>
      </c>
      <c r="F2294" s="11" t="s">
        <v>7499</v>
      </c>
      <c r="G2294">
        <v>20140801</v>
      </c>
      <c r="I2294" s="11" t="s">
        <v>18</v>
      </c>
      <c r="J2294" s="72">
        <v>80179433</v>
      </c>
      <c r="K2294" s="99">
        <f>_xlfn.XLOOKUP(_2__ROI_Daily_Update[[#This Row],[CSM id]],SHP!F:F,SHP!EE:EE,"-")</f>
        <v>0</v>
      </c>
      <c r="L2294" s="12"/>
      <c r="N2294" s="11"/>
      <c r="P2294"/>
      <c r="Q2294"/>
      <c r="W2294" s="28"/>
      <c r="AA2294"/>
    </row>
    <row r="2295" spans="1:27" x14ac:dyDescent="0.45">
      <c r="A2295" s="57">
        <v>1811</v>
      </c>
      <c r="B2295" t="s">
        <v>3343</v>
      </c>
      <c r="C2295" t="s">
        <v>3344</v>
      </c>
      <c r="D2295" s="12">
        <v>46313</v>
      </c>
      <c r="E2295" s="11">
        <v>64</v>
      </c>
      <c r="F2295" s="11" t="s">
        <v>7453</v>
      </c>
      <c r="G2295">
        <v>20250701</v>
      </c>
      <c r="I2295" s="11" t="s">
        <v>63</v>
      </c>
      <c r="J2295" s="72">
        <v>60596926</v>
      </c>
      <c r="K2295" s="99">
        <f>_xlfn.XLOOKUP(_2__ROI_Daily_Update[[#This Row],[CSM id]],SHP!F:F,SHP!EE:EE,"-")</f>
        <v>0</v>
      </c>
      <c r="L2295" s="12"/>
      <c r="N2295" s="11"/>
      <c r="P2295"/>
      <c r="Q2295"/>
      <c r="W2295" s="28"/>
      <c r="AA2295"/>
    </row>
    <row r="2296" spans="1:27" x14ac:dyDescent="0.45">
      <c r="A2296" s="57">
        <v>1231</v>
      </c>
      <c r="B2296" t="s">
        <v>1887</v>
      </c>
      <c r="C2296" t="s">
        <v>1888</v>
      </c>
      <c r="D2296" s="12">
        <v>46313</v>
      </c>
      <c r="E2296" s="11">
        <v>54</v>
      </c>
      <c r="F2296" s="11" t="s">
        <v>7415</v>
      </c>
      <c r="G2296">
        <v>20240101</v>
      </c>
      <c r="I2296" s="11" t="s">
        <v>63</v>
      </c>
      <c r="J2296" s="72">
        <v>50570960</v>
      </c>
      <c r="K2296" s="99">
        <f>_xlfn.XLOOKUP(_2__ROI_Daily_Update[[#This Row],[CSM id]],SHP!F:F,SHP!EE:EE,"-")</f>
        <v>0</v>
      </c>
      <c r="L2296" s="12"/>
      <c r="N2296" s="11"/>
      <c r="P2296"/>
      <c r="Q2296"/>
      <c r="W2296" s="28"/>
      <c r="AA2296"/>
    </row>
    <row r="2297" spans="1:27" x14ac:dyDescent="0.45">
      <c r="A2297" s="57">
        <v>1718</v>
      </c>
      <c r="B2297" t="s">
        <v>6135</v>
      </c>
      <c r="C2297" t="s">
        <v>6136</v>
      </c>
      <c r="D2297" s="12">
        <v>46313</v>
      </c>
      <c r="E2297" s="11">
        <v>60</v>
      </c>
      <c r="F2297" s="11" t="s">
        <v>7475</v>
      </c>
      <c r="G2297">
        <v>20230201</v>
      </c>
      <c r="I2297" s="11" t="s">
        <v>63</v>
      </c>
      <c r="J2297" s="72">
        <v>40518487</v>
      </c>
      <c r="K2297" s="99">
        <f>_xlfn.XLOOKUP(_2__ROI_Daily_Update[[#This Row],[CSM id]],SHP!F:F,SHP!EE:EE,"-")</f>
        <v>0</v>
      </c>
      <c r="L2297" s="12"/>
      <c r="N2297" s="11"/>
      <c r="P2297"/>
      <c r="Q2297"/>
      <c r="W2297" s="28"/>
      <c r="AA2297"/>
    </row>
    <row r="2298" spans="1:27" x14ac:dyDescent="0.45">
      <c r="A2298" s="57">
        <v>1811</v>
      </c>
      <c r="B2298" t="s">
        <v>6223</v>
      </c>
      <c r="C2298" t="s">
        <v>6224</v>
      </c>
      <c r="D2298" s="12">
        <v>46313</v>
      </c>
      <c r="E2298" s="11">
        <v>144</v>
      </c>
      <c r="F2298" s="11" t="s">
        <v>7440</v>
      </c>
      <c r="G2298">
        <v>20250701</v>
      </c>
      <c r="I2298" s="11" t="s">
        <v>63</v>
      </c>
      <c r="J2298" s="72">
        <v>30599158</v>
      </c>
      <c r="K2298" s="99">
        <f>_xlfn.XLOOKUP(_2__ROI_Daily_Update[[#This Row],[CSM id]],SHP!F:F,SHP!EE:EE,"-")</f>
        <v>0</v>
      </c>
      <c r="L2298" s="12"/>
      <c r="N2298" s="11"/>
      <c r="P2298"/>
      <c r="Q2298"/>
      <c r="W2298" s="28"/>
      <c r="AA2298"/>
    </row>
    <row r="2299" spans="1:27" x14ac:dyDescent="0.45">
      <c r="A2299" s="57">
        <v>1811</v>
      </c>
      <c r="B2299" t="s">
        <v>3331</v>
      </c>
      <c r="C2299" t="s">
        <v>3332</v>
      </c>
      <c r="D2299" s="12">
        <v>46313</v>
      </c>
      <c r="E2299" s="11">
        <v>108</v>
      </c>
      <c r="F2299" s="11" t="s">
        <v>7410</v>
      </c>
      <c r="G2299">
        <v>20240401</v>
      </c>
      <c r="I2299" s="11" t="s">
        <v>63</v>
      </c>
      <c r="J2299" s="72">
        <v>20568548</v>
      </c>
      <c r="K2299" s="99">
        <f>_xlfn.XLOOKUP(_2__ROI_Daily_Update[[#This Row],[CSM id]],SHP!F:F,SHP!EE:EE,"-")</f>
        <v>0</v>
      </c>
      <c r="L2299" s="12"/>
      <c r="N2299" s="11"/>
      <c r="P2299"/>
      <c r="Q2299"/>
      <c r="W2299" s="28"/>
      <c r="AA2299"/>
    </row>
    <row r="2300" spans="1:27" x14ac:dyDescent="0.45">
      <c r="A2300" s="57">
        <v>423</v>
      </c>
      <c r="B2300" t="s">
        <v>435</v>
      </c>
      <c r="C2300" t="s">
        <v>436</v>
      </c>
      <c r="D2300" s="12">
        <v>46313</v>
      </c>
      <c r="E2300" s="11">
        <v>15</v>
      </c>
      <c r="F2300" s="11" t="s">
        <v>7400</v>
      </c>
      <c r="G2300">
        <v>20191001</v>
      </c>
      <c r="I2300" s="11" t="s">
        <v>32</v>
      </c>
      <c r="J2300" s="72">
        <v>80441759</v>
      </c>
      <c r="K2300" s="99">
        <f>_xlfn.XLOOKUP(_2__ROI_Daily_Update[[#This Row],[CSM id]],SHP!F:F,SHP!EE:EE,"-")</f>
        <v>0</v>
      </c>
      <c r="L2300" s="12"/>
      <c r="N2300" s="11"/>
      <c r="P2300"/>
      <c r="Q2300"/>
      <c r="W2300" s="28"/>
      <c r="AA2300"/>
    </row>
    <row r="2301" spans="1:27" x14ac:dyDescent="0.45">
      <c r="A2301" s="57">
        <v>1719</v>
      </c>
      <c r="B2301" t="s">
        <v>5729</v>
      </c>
      <c r="C2301" t="s">
        <v>5730</v>
      </c>
      <c r="D2301" s="12">
        <v>46313</v>
      </c>
      <c r="E2301" s="11">
        <v>132</v>
      </c>
      <c r="F2301" s="11" t="s">
        <v>7400</v>
      </c>
      <c r="G2301">
        <v>20250101</v>
      </c>
      <c r="H2301" s="12">
        <v>46569</v>
      </c>
      <c r="I2301" s="11" t="s">
        <v>63</v>
      </c>
      <c r="J2301" s="72">
        <v>80547223</v>
      </c>
      <c r="K2301" s="99">
        <f>_xlfn.XLOOKUP(_2__ROI_Daily_Update[[#This Row],[CSM id]],SHP!F:F,SHP!EE:EE,"-")</f>
        <v>0</v>
      </c>
      <c r="L2301" s="12"/>
      <c r="N2301" s="11"/>
      <c r="P2301"/>
      <c r="Q2301"/>
      <c r="W2301" s="28"/>
      <c r="AA2301"/>
    </row>
    <row r="2302" spans="1:27" x14ac:dyDescent="0.45">
      <c r="A2302" s="57">
        <v>423</v>
      </c>
      <c r="B2302" t="s">
        <v>435</v>
      </c>
      <c r="C2302" t="s">
        <v>436</v>
      </c>
      <c r="D2302" s="12">
        <v>46313</v>
      </c>
      <c r="E2302" s="11">
        <v>5</v>
      </c>
      <c r="F2302" s="11" t="s">
        <v>7420</v>
      </c>
      <c r="G2302">
        <v>20191001</v>
      </c>
      <c r="I2302" s="11" t="s">
        <v>32</v>
      </c>
      <c r="J2302" s="72">
        <v>80441759</v>
      </c>
      <c r="K2302" s="99">
        <f>_xlfn.XLOOKUP(_2__ROI_Daily_Update[[#This Row],[CSM id]],SHP!F:F,SHP!EE:EE,"-")</f>
        <v>0</v>
      </c>
      <c r="L2302" s="12"/>
      <c r="N2302" s="11"/>
      <c r="P2302"/>
      <c r="Q2302"/>
      <c r="W2302" s="28"/>
      <c r="AA2302"/>
    </row>
    <row r="2303" spans="1:27" x14ac:dyDescent="0.45">
      <c r="A2303" s="57">
        <v>423</v>
      </c>
      <c r="B2303" t="s">
        <v>435</v>
      </c>
      <c r="C2303" t="s">
        <v>436</v>
      </c>
      <c r="D2303" s="12">
        <v>46313</v>
      </c>
      <c r="E2303" s="11">
        <v>10</v>
      </c>
      <c r="F2303" s="11" t="s">
        <v>7410</v>
      </c>
      <c r="G2303">
        <v>20191001</v>
      </c>
      <c r="I2303" s="11" t="s">
        <v>32</v>
      </c>
      <c r="J2303" s="72">
        <v>80441759</v>
      </c>
      <c r="K2303" s="99">
        <f>_xlfn.XLOOKUP(_2__ROI_Daily_Update[[#This Row],[CSM id]],SHP!F:F,SHP!EE:EE,"-")</f>
        <v>0</v>
      </c>
      <c r="L2303" s="12"/>
      <c r="N2303" s="11"/>
      <c r="P2303"/>
      <c r="Q2303"/>
      <c r="W2303" s="28"/>
      <c r="AA2303"/>
    </row>
    <row r="2304" spans="1:27" x14ac:dyDescent="0.45">
      <c r="A2304" s="57">
        <v>1811</v>
      </c>
      <c r="B2304" t="s">
        <v>6895</v>
      </c>
      <c r="C2304" t="s">
        <v>6896</v>
      </c>
      <c r="D2304" s="12">
        <v>46313</v>
      </c>
      <c r="E2304" s="11">
        <v>94</v>
      </c>
      <c r="F2304" s="11" t="s">
        <v>7499</v>
      </c>
      <c r="G2304">
        <v>20220101</v>
      </c>
      <c r="I2304" s="11" t="s">
        <v>18</v>
      </c>
      <c r="J2304" s="72">
        <v>515495</v>
      </c>
      <c r="K2304" s="99">
        <f>_xlfn.XLOOKUP(_2__ROI_Daily_Update[[#This Row],[CSM id]],SHP!F:F,SHP!EE:EE,"-")</f>
        <v>0</v>
      </c>
      <c r="L2304" s="12"/>
      <c r="N2304" s="11"/>
      <c r="P2304"/>
      <c r="Q2304"/>
      <c r="W2304" s="28"/>
      <c r="AA2304"/>
    </row>
    <row r="2305" spans="1:27" x14ac:dyDescent="0.45">
      <c r="A2305" s="57">
        <v>423</v>
      </c>
      <c r="B2305" t="s">
        <v>435</v>
      </c>
      <c r="C2305" t="s">
        <v>436</v>
      </c>
      <c r="D2305" s="12">
        <v>46313</v>
      </c>
      <c r="E2305" s="11">
        <v>10</v>
      </c>
      <c r="F2305" s="11" t="s">
        <v>6946</v>
      </c>
      <c r="G2305">
        <v>20191001</v>
      </c>
      <c r="I2305" s="11" t="s">
        <v>32</v>
      </c>
      <c r="J2305" s="72">
        <v>80441759</v>
      </c>
      <c r="K2305" s="99">
        <f>_xlfn.XLOOKUP(_2__ROI_Daily_Update[[#This Row],[CSM id]],SHP!F:F,SHP!EE:EE,"-")</f>
        <v>0</v>
      </c>
      <c r="L2305" s="12"/>
      <c r="N2305" s="11"/>
      <c r="P2305"/>
      <c r="Q2305"/>
      <c r="W2305" s="28"/>
      <c r="AA2305"/>
    </row>
    <row r="2306" spans="1:27" x14ac:dyDescent="0.45">
      <c r="A2306" s="57">
        <v>423</v>
      </c>
      <c r="B2306" t="s">
        <v>435</v>
      </c>
      <c r="C2306" t="s">
        <v>436</v>
      </c>
      <c r="D2306" s="12">
        <v>46313</v>
      </c>
      <c r="E2306" s="11">
        <v>5</v>
      </c>
      <c r="F2306" s="11" t="s">
        <v>7440</v>
      </c>
      <c r="G2306">
        <v>20191001</v>
      </c>
      <c r="I2306" s="11" t="s">
        <v>32</v>
      </c>
      <c r="J2306" s="72">
        <v>80441759</v>
      </c>
      <c r="K2306" s="99">
        <f>_xlfn.XLOOKUP(_2__ROI_Daily_Update[[#This Row],[CSM id]],SHP!F:F,SHP!EE:EE,"-")</f>
        <v>0</v>
      </c>
      <c r="L2306" s="12"/>
      <c r="N2306" s="11"/>
      <c r="P2306"/>
      <c r="Q2306"/>
      <c r="W2306" s="28"/>
      <c r="AA2306"/>
    </row>
    <row r="2307" spans="1:27" x14ac:dyDescent="0.45">
      <c r="A2307" s="57">
        <v>423</v>
      </c>
      <c r="B2307" t="s">
        <v>435</v>
      </c>
      <c r="C2307" t="s">
        <v>436</v>
      </c>
      <c r="D2307" s="12">
        <v>46313</v>
      </c>
      <c r="E2307" s="11">
        <v>5</v>
      </c>
      <c r="F2307" s="11" t="s">
        <v>7453</v>
      </c>
      <c r="G2307">
        <v>20191001</v>
      </c>
      <c r="I2307" s="11" t="s">
        <v>32</v>
      </c>
      <c r="J2307" s="72">
        <v>80441759</v>
      </c>
      <c r="K2307" s="99">
        <f>_xlfn.XLOOKUP(_2__ROI_Daily_Update[[#This Row],[CSM id]],SHP!F:F,SHP!EE:EE,"-")</f>
        <v>0</v>
      </c>
      <c r="L2307" s="12"/>
      <c r="N2307" s="11"/>
      <c r="P2307"/>
      <c r="Q2307"/>
      <c r="W2307" s="28"/>
      <c r="AA2307"/>
    </row>
    <row r="2308" spans="1:27" x14ac:dyDescent="0.45">
      <c r="A2308" s="57">
        <v>1811</v>
      </c>
      <c r="B2308" t="s">
        <v>3305</v>
      </c>
      <c r="C2308" t="s">
        <v>3306</v>
      </c>
      <c r="D2308" s="12">
        <v>46313</v>
      </c>
      <c r="E2308" s="11">
        <v>483</v>
      </c>
      <c r="F2308" s="11" t="s">
        <v>7485</v>
      </c>
      <c r="G2308">
        <v>20240401</v>
      </c>
      <c r="I2308" s="11" t="s">
        <v>18</v>
      </c>
      <c r="J2308" s="72">
        <v>546468</v>
      </c>
      <c r="K2308" s="99">
        <f>_xlfn.XLOOKUP(_2__ROI_Daily_Update[[#This Row],[CSM id]],SHP!F:F,SHP!EE:EE,"-")</f>
        <v>0</v>
      </c>
      <c r="L2308" s="12"/>
      <c r="N2308" s="11"/>
      <c r="P2308"/>
      <c r="Q2308"/>
      <c r="W2308" s="28"/>
      <c r="AA2308"/>
    </row>
    <row r="2309" spans="1:27" x14ac:dyDescent="0.45">
      <c r="A2309" s="57">
        <v>1852</v>
      </c>
      <c r="B2309" t="s">
        <v>3697</v>
      </c>
      <c r="C2309" t="s">
        <v>3698</v>
      </c>
      <c r="D2309" s="12">
        <v>46313</v>
      </c>
      <c r="E2309" s="11">
        <v>36</v>
      </c>
      <c r="F2309" s="11" t="s">
        <v>7410</v>
      </c>
      <c r="G2309">
        <v>20260101</v>
      </c>
      <c r="I2309" s="11" t="s">
        <v>63</v>
      </c>
      <c r="J2309" s="72">
        <v>50595404</v>
      </c>
      <c r="K2309" s="99">
        <f>_xlfn.XLOOKUP(_2__ROI_Daily_Update[[#This Row],[CSM id]],SHP!F:F,SHP!EE:EE,"-")</f>
        <v>0</v>
      </c>
      <c r="L2309" s="12"/>
      <c r="N2309" s="11"/>
      <c r="P2309"/>
      <c r="Q2309"/>
      <c r="W2309" s="28"/>
      <c r="AA2309"/>
    </row>
    <row r="2310" spans="1:27" x14ac:dyDescent="0.45">
      <c r="A2310" s="57">
        <v>423</v>
      </c>
      <c r="B2310" t="s">
        <v>445</v>
      </c>
      <c r="C2310" t="s">
        <v>446</v>
      </c>
      <c r="D2310" s="12">
        <v>46313</v>
      </c>
      <c r="E2310" s="11">
        <v>24</v>
      </c>
      <c r="F2310" s="11" t="s">
        <v>7400</v>
      </c>
      <c r="G2310">
        <v>20200801</v>
      </c>
      <c r="I2310" s="11" t="s">
        <v>32</v>
      </c>
      <c r="J2310" s="72">
        <v>30437241</v>
      </c>
      <c r="K2310" s="99">
        <f>_xlfn.XLOOKUP(_2__ROI_Daily_Update[[#This Row],[CSM id]],SHP!F:F,SHP!EE:EE,"-")</f>
        <v>0</v>
      </c>
      <c r="L2310" s="12"/>
      <c r="N2310" s="11"/>
      <c r="P2310"/>
      <c r="Q2310"/>
      <c r="W2310" s="28"/>
      <c r="AA2310"/>
    </row>
    <row r="2311" spans="1:27" x14ac:dyDescent="0.45">
      <c r="A2311" s="57">
        <v>1511</v>
      </c>
      <c r="B2311" t="s">
        <v>2622</v>
      </c>
      <c r="C2311" t="s">
        <v>2623</v>
      </c>
      <c r="D2311" s="12">
        <v>46313</v>
      </c>
      <c r="E2311" s="11">
        <v>24</v>
      </c>
      <c r="F2311" s="11" t="s">
        <v>7492</v>
      </c>
      <c r="G2311">
        <v>20240101</v>
      </c>
      <c r="I2311" s="11" t="s">
        <v>18</v>
      </c>
      <c r="J2311" s="72">
        <v>80572439</v>
      </c>
      <c r="K2311" s="99">
        <f>_xlfn.XLOOKUP(_2__ROI_Daily_Update[[#This Row],[CSM id]],SHP!F:F,SHP!EE:EE,"-")</f>
        <v>0</v>
      </c>
      <c r="L2311" s="12"/>
      <c r="N2311" s="11"/>
      <c r="P2311"/>
      <c r="Q2311"/>
      <c r="W2311" s="28"/>
      <c r="AA2311"/>
    </row>
    <row r="2312" spans="1:27" x14ac:dyDescent="0.45">
      <c r="A2312" s="57">
        <v>423</v>
      </c>
      <c r="B2312" t="s">
        <v>445</v>
      </c>
      <c r="C2312" t="s">
        <v>446</v>
      </c>
      <c r="D2312" s="12">
        <v>46313</v>
      </c>
      <c r="E2312" s="11">
        <v>12</v>
      </c>
      <c r="F2312" s="11" t="s">
        <v>7410</v>
      </c>
      <c r="G2312">
        <v>20200801</v>
      </c>
      <c r="I2312" s="11" t="s">
        <v>32</v>
      </c>
      <c r="J2312" s="72">
        <v>30437241</v>
      </c>
      <c r="K2312" s="99">
        <f>_xlfn.XLOOKUP(_2__ROI_Daily_Update[[#This Row],[CSM id]],SHP!F:F,SHP!EE:EE,"-")</f>
        <v>0</v>
      </c>
      <c r="L2312" s="12"/>
      <c r="N2312" s="11"/>
      <c r="P2312"/>
      <c r="Q2312"/>
      <c r="W2312" s="28"/>
      <c r="AA2312"/>
    </row>
    <row r="2313" spans="1:27" x14ac:dyDescent="0.45">
      <c r="A2313" s="57">
        <v>423</v>
      </c>
      <c r="B2313" t="s">
        <v>445</v>
      </c>
      <c r="C2313" t="s">
        <v>446</v>
      </c>
      <c r="D2313" s="12">
        <v>46313</v>
      </c>
      <c r="E2313" s="11">
        <v>6</v>
      </c>
      <c r="F2313" s="11" t="s">
        <v>6946</v>
      </c>
      <c r="G2313">
        <v>20200801</v>
      </c>
      <c r="I2313" s="11" t="s">
        <v>32</v>
      </c>
      <c r="J2313" s="72">
        <v>30437241</v>
      </c>
      <c r="K2313" s="99">
        <f>_xlfn.XLOOKUP(_2__ROI_Daily_Update[[#This Row],[CSM id]],SHP!F:F,SHP!EE:EE,"-")</f>
        <v>0</v>
      </c>
      <c r="L2313" s="12"/>
      <c r="N2313" s="11"/>
      <c r="P2313"/>
      <c r="Q2313"/>
      <c r="W2313" s="28"/>
      <c r="AA2313"/>
    </row>
    <row r="2314" spans="1:27" x14ac:dyDescent="0.45">
      <c r="A2314" s="57">
        <v>423</v>
      </c>
      <c r="B2314" t="s">
        <v>445</v>
      </c>
      <c r="C2314" t="s">
        <v>446</v>
      </c>
      <c r="D2314" s="12">
        <v>46313</v>
      </c>
      <c r="E2314" s="11">
        <v>12</v>
      </c>
      <c r="F2314" s="11" t="s">
        <v>7453</v>
      </c>
      <c r="G2314">
        <v>20200801</v>
      </c>
      <c r="I2314" s="11" t="s">
        <v>32</v>
      </c>
      <c r="J2314" s="72">
        <v>30437241</v>
      </c>
      <c r="K2314" s="99">
        <f>_xlfn.XLOOKUP(_2__ROI_Daily_Update[[#This Row],[CSM id]],SHP!F:F,SHP!EE:EE,"-")</f>
        <v>0</v>
      </c>
      <c r="L2314" s="12"/>
      <c r="N2314" s="11"/>
      <c r="P2314"/>
      <c r="Q2314"/>
      <c r="W2314" s="28"/>
      <c r="AA2314"/>
    </row>
    <row r="2315" spans="1:27" x14ac:dyDescent="0.45">
      <c r="A2315" s="57">
        <v>1852</v>
      </c>
      <c r="B2315" t="s">
        <v>3697</v>
      </c>
      <c r="C2315" t="s">
        <v>3698</v>
      </c>
      <c r="D2315" s="12">
        <v>46313</v>
      </c>
      <c r="E2315" s="11">
        <v>36</v>
      </c>
      <c r="F2315" s="11" t="s">
        <v>7430</v>
      </c>
      <c r="G2315">
        <v>20260101</v>
      </c>
      <c r="I2315" s="11" t="s">
        <v>63</v>
      </c>
      <c r="J2315" s="72">
        <v>50595404</v>
      </c>
      <c r="K2315" s="99">
        <f>_xlfn.XLOOKUP(_2__ROI_Daily_Update[[#This Row],[CSM id]],SHP!F:F,SHP!EE:EE,"-")</f>
        <v>0</v>
      </c>
      <c r="L2315" s="12"/>
      <c r="N2315" s="11"/>
      <c r="P2315"/>
      <c r="Q2315"/>
      <c r="W2315" s="28"/>
      <c r="AA2315"/>
    </row>
    <row r="2316" spans="1:27" x14ac:dyDescent="0.45">
      <c r="A2316" s="57">
        <v>1811</v>
      </c>
      <c r="B2316" t="s">
        <v>6562</v>
      </c>
      <c r="C2316" t="s">
        <v>6563</v>
      </c>
      <c r="D2316" s="12">
        <v>46313</v>
      </c>
      <c r="E2316" s="11">
        <v>117</v>
      </c>
      <c r="F2316" s="11" t="s">
        <v>7458</v>
      </c>
      <c r="G2316">
        <v>20261001</v>
      </c>
      <c r="I2316" s="11" t="s">
        <v>63</v>
      </c>
      <c r="J2316" s="72">
        <v>632135</v>
      </c>
      <c r="K2316" s="99">
        <f>_xlfn.XLOOKUP(_2__ROI_Daily_Update[[#This Row],[CSM id]],SHP!F:F,SHP!EE:EE,"-")</f>
        <v>0</v>
      </c>
      <c r="L2316" s="12"/>
      <c r="N2316" s="11"/>
      <c r="P2316"/>
      <c r="Q2316"/>
      <c r="W2316" s="28"/>
      <c r="AA2316"/>
    </row>
    <row r="2317" spans="1:27" x14ac:dyDescent="0.45">
      <c r="A2317" s="57">
        <v>1852</v>
      </c>
      <c r="B2317" t="s">
        <v>3693</v>
      </c>
      <c r="C2317" t="s">
        <v>3694</v>
      </c>
      <c r="D2317" s="12">
        <v>46313</v>
      </c>
      <c r="E2317" s="11">
        <v>120</v>
      </c>
      <c r="F2317" s="11" t="s">
        <v>7405</v>
      </c>
      <c r="G2317">
        <v>20211001</v>
      </c>
      <c r="I2317" s="11" t="s">
        <v>63</v>
      </c>
      <c r="J2317" s="72">
        <v>50503980</v>
      </c>
      <c r="K2317" s="99">
        <f>_xlfn.XLOOKUP(_2__ROI_Daily_Update[[#This Row],[CSM id]],SHP!F:F,SHP!EE:EE,"-")</f>
        <v>0</v>
      </c>
      <c r="L2317" s="12"/>
      <c r="N2317" s="11"/>
      <c r="P2317"/>
      <c r="Q2317"/>
      <c r="W2317" s="28"/>
      <c r="AA2317"/>
    </row>
    <row r="2318" spans="1:27" x14ac:dyDescent="0.45">
      <c r="A2318" s="57">
        <v>1852</v>
      </c>
      <c r="B2318" t="s">
        <v>3695</v>
      </c>
      <c r="C2318" t="s">
        <v>3696</v>
      </c>
      <c r="D2318" s="12">
        <v>46313</v>
      </c>
      <c r="E2318" s="11">
        <v>12</v>
      </c>
      <c r="F2318" s="11" t="s">
        <v>7400</v>
      </c>
      <c r="G2318">
        <v>20260101</v>
      </c>
      <c r="I2318" s="11" t="s">
        <v>63</v>
      </c>
      <c r="J2318" s="72">
        <v>50595395</v>
      </c>
      <c r="K2318" s="99">
        <f>_xlfn.XLOOKUP(_2__ROI_Daily_Update[[#This Row],[CSM id]],SHP!F:F,SHP!EE:EE,"-")</f>
        <v>0</v>
      </c>
      <c r="L2318" s="12"/>
      <c r="N2318" s="11"/>
      <c r="P2318"/>
      <c r="Q2318"/>
      <c r="W2318" s="28"/>
      <c r="AA2318"/>
    </row>
    <row r="2319" spans="1:27" x14ac:dyDescent="0.45">
      <c r="A2319" s="57">
        <v>1511</v>
      </c>
      <c r="B2319" t="s">
        <v>5477</v>
      </c>
      <c r="C2319" t="s">
        <v>5478</v>
      </c>
      <c r="D2319" s="12">
        <v>46313</v>
      </c>
      <c r="E2319" s="11">
        <v>1176</v>
      </c>
      <c r="F2319" s="11" t="s">
        <v>7492</v>
      </c>
      <c r="G2319">
        <v>20190201</v>
      </c>
      <c r="I2319" s="11" t="s">
        <v>18</v>
      </c>
      <c r="J2319" s="72">
        <v>70429946</v>
      </c>
      <c r="K2319" s="99">
        <f>_xlfn.XLOOKUP(_2__ROI_Daily_Update[[#This Row],[CSM id]],SHP!F:F,SHP!EE:EE,"-")</f>
        <v>0</v>
      </c>
      <c r="L2319" s="12"/>
      <c r="N2319" s="11"/>
      <c r="P2319"/>
      <c r="Q2319"/>
      <c r="W2319" s="28"/>
      <c r="AA2319"/>
    </row>
    <row r="2320" spans="1:27" x14ac:dyDescent="0.45">
      <c r="A2320" s="57">
        <v>1811</v>
      </c>
      <c r="B2320" t="s">
        <v>3319</v>
      </c>
      <c r="C2320" t="s">
        <v>3320</v>
      </c>
      <c r="D2320" s="12">
        <v>46313</v>
      </c>
      <c r="E2320" s="11">
        <v>54</v>
      </c>
      <c r="F2320" s="11" t="s">
        <v>6946</v>
      </c>
      <c r="G2320">
        <v>20261001</v>
      </c>
      <c r="I2320" s="11" t="s">
        <v>63</v>
      </c>
      <c r="J2320" s="72">
        <v>10625808</v>
      </c>
      <c r="K2320" s="99">
        <f>_xlfn.XLOOKUP(_2__ROI_Daily_Update[[#This Row],[CSM id]],SHP!F:F,SHP!EE:EE,"-")</f>
        <v>0</v>
      </c>
      <c r="L2320" s="12"/>
      <c r="N2320" s="11"/>
      <c r="P2320"/>
      <c r="Q2320"/>
      <c r="W2320" s="28"/>
      <c r="AA2320"/>
    </row>
    <row r="2321" spans="1:27" x14ac:dyDescent="0.45">
      <c r="A2321" s="57">
        <v>431</v>
      </c>
      <c r="B2321" t="s">
        <v>441</v>
      </c>
      <c r="C2321" t="s">
        <v>442</v>
      </c>
      <c r="D2321" s="12">
        <v>46313</v>
      </c>
      <c r="E2321" s="11">
        <v>8</v>
      </c>
      <c r="F2321" s="11" t="s">
        <v>7499</v>
      </c>
      <c r="G2321">
        <v>20180201</v>
      </c>
      <c r="H2321" s="12">
        <v>46388</v>
      </c>
      <c r="I2321" s="11" t="s">
        <v>18</v>
      </c>
      <c r="J2321" s="72">
        <v>383485</v>
      </c>
      <c r="K2321" s="99">
        <f>_xlfn.XLOOKUP(_2__ROI_Daily_Update[[#This Row],[CSM id]],SHP!F:F,SHP!EE:EE,"-")</f>
        <v>0</v>
      </c>
      <c r="L2321" s="12"/>
      <c r="N2321" s="11"/>
      <c r="P2321"/>
      <c r="Q2321"/>
      <c r="W2321" s="28"/>
      <c r="AA2321"/>
    </row>
    <row r="2322" spans="1:27" x14ac:dyDescent="0.45">
      <c r="A2322" s="57">
        <v>431</v>
      </c>
      <c r="B2322" t="s">
        <v>6263</v>
      </c>
      <c r="C2322" t="s">
        <v>6264</v>
      </c>
      <c r="D2322" s="12">
        <v>46313</v>
      </c>
      <c r="E2322" s="11">
        <v>8</v>
      </c>
      <c r="F2322" s="11" t="s">
        <v>7485</v>
      </c>
      <c r="G2322">
        <v>20180201</v>
      </c>
      <c r="H2322" s="12">
        <v>46388</v>
      </c>
      <c r="I2322" s="11" t="s">
        <v>18</v>
      </c>
      <c r="J2322" s="72">
        <v>90383476</v>
      </c>
      <c r="K2322" s="99">
        <f>_xlfn.XLOOKUP(_2__ROI_Daily_Update[[#This Row],[CSM id]],SHP!F:F,SHP!EE:EE,"-")</f>
        <v>0</v>
      </c>
      <c r="L2322" s="12"/>
      <c r="N2322" s="11"/>
      <c r="P2322"/>
      <c r="Q2322"/>
      <c r="W2322" s="28"/>
      <c r="AA2322"/>
    </row>
    <row r="2323" spans="1:27" x14ac:dyDescent="0.45">
      <c r="A2323" s="57">
        <v>1811</v>
      </c>
      <c r="B2323" t="s">
        <v>3333</v>
      </c>
      <c r="C2323" t="s">
        <v>3334</v>
      </c>
      <c r="D2323" s="12">
        <v>46313</v>
      </c>
      <c r="E2323" s="11">
        <v>24</v>
      </c>
      <c r="F2323" s="11" t="s">
        <v>7440</v>
      </c>
      <c r="G2323">
        <v>20251001</v>
      </c>
      <c r="I2323" s="11" t="s">
        <v>63</v>
      </c>
      <c r="J2323" s="72">
        <v>30596956</v>
      </c>
      <c r="K2323" s="99">
        <f>_xlfn.XLOOKUP(_2__ROI_Daily_Update[[#This Row],[CSM id]],SHP!F:F,SHP!EE:EE,"-")</f>
        <v>0</v>
      </c>
      <c r="L2323" s="12"/>
      <c r="N2323" s="11"/>
      <c r="P2323"/>
      <c r="Q2323"/>
      <c r="W2323" s="28"/>
      <c r="AA2323"/>
    </row>
    <row r="2324" spans="1:27" x14ac:dyDescent="0.45">
      <c r="A2324" s="57">
        <v>1811</v>
      </c>
      <c r="B2324" t="s">
        <v>3315</v>
      </c>
      <c r="C2324" t="s">
        <v>3316</v>
      </c>
      <c r="D2324" s="12">
        <v>46313</v>
      </c>
      <c r="E2324" s="11">
        <v>114</v>
      </c>
      <c r="F2324" s="11" t="s">
        <v>7410</v>
      </c>
      <c r="G2324">
        <v>20250701</v>
      </c>
      <c r="I2324" s="11" t="s">
        <v>63</v>
      </c>
      <c r="J2324" s="72">
        <v>10596924</v>
      </c>
      <c r="K2324" s="99">
        <f>_xlfn.XLOOKUP(_2__ROI_Daily_Update[[#This Row],[CSM id]],SHP!F:F,SHP!EE:EE,"-")</f>
        <v>0</v>
      </c>
      <c r="L2324" s="12"/>
      <c r="N2324" s="11"/>
      <c r="P2324"/>
      <c r="Q2324"/>
      <c r="W2324" s="28"/>
      <c r="AA2324"/>
    </row>
    <row r="2325" spans="1:27" x14ac:dyDescent="0.45">
      <c r="A2325" s="57">
        <v>431</v>
      </c>
      <c r="B2325" t="s">
        <v>5172</v>
      </c>
      <c r="C2325" t="s">
        <v>5173</v>
      </c>
      <c r="D2325" s="12">
        <v>46313</v>
      </c>
      <c r="E2325" s="11">
        <v>27</v>
      </c>
      <c r="F2325" s="11" t="s">
        <v>7420</v>
      </c>
      <c r="G2325">
        <v>20150801</v>
      </c>
      <c r="H2325" s="12">
        <v>46388</v>
      </c>
      <c r="I2325" s="11" t="s">
        <v>63</v>
      </c>
      <c r="J2325" s="72">
        <v>30293723</v>
      </c>
      <c r="K2325" s="99">
        <f>_xlfn.XLOOKUP(_2__ROI_Daily_Update[[#This Row],[CSM id]],SHP!F:F,SHP!EE:EE,"-")</f>
        <v>0</v>
      </c>
      <c r="L2325" s="12"/>
      <c r="N2325" s="11"/>
      <c r="P2325"/>
      <c r="Q2325"/>
      <c r="W2325" s="28"/>
      <c r="AA2325"/>
    </row>
    <row r="2326" spans="1:27" x14ac:dyDescent="0.45">
      <c r="A2326" s="57">
        <v>424</v>
      </c>
      <c r="B2326" t="s">
        <v>356</v>
      </c>
      <c r="C2326" t="s">
        <v>357</v>
      </c>
      <c r="D2326" s="12">
        <v>46313</v>
      </c>
      <c r="E2326" s="11">
        <v>46</v>
      </c>
      <c r="F2326" s="11" t="s">
        <v>7485</v>
      </c>
      <c r="G2326">
        <v>20190601</v>
      </c>
      <c r="I2326" s="11" t="s">
        <v>18</v>
      </c>
      <c r="J2326" s="72">
        <v>70431317</v>
      </c>
      <c r="K2326" s="99">
        <f>_xlfn.XLOOKUP(_2__ROI_Daily_Update[[#This Row],[CSM id]],SHP!F:F,SHP!EE:EE,"-")</f>
        <v>0</v>
      </c>
      <c r="L2326" s="12"/>
      <c r="N2326" s="11"/>
      <c r="P2326"/>
      <c r="Q2326"/>
      <c r="W2326" s="28"/>
      <c r="AA2326"/>
    </row>
    <row r="2327" spans="1:27" x14ac:dyDescent="0.45">
      <c r="A2327" s="57">
        <v>424</v>
      </c>
      <c r="B2327" t="s">
        <v>5302</v>
      </c>
      <c r="C2327" t="s">
        <v>5303</v>
      </c>
      <c r="D2327" s="12">
        <v>46313</v>
      </c>
      <c r="E2327" s="11">
        <v>21</v>
      </c>
      <c r="F2327" s="11" t="s">
        <v>7420</v>
      </c>
      <c r="G2327">
        <v>20190601</v>
      </c>
      <c r="I2327" s="11" t="s">
        <v>63</v>
      </c>
      <c r="J2327" s="72">
        <v>10431315</v>
      </c>
      <c r="K2327" s="99">
        <f>_xlfn.XLOOKUP(_2__ROI_Daily_Update[[#This Row],[CSM id]],SHP!F:F,SHP!EE:EE,"-")</f>
        <v>0</v>
      </c>
      <c r="L2327" s="12"/>
      <c r="N2327" s="11"/>
      <c r="P2327"/>
      <c r="Q2327"/>
      <c r="W2327" s="28"/>
      <c r="AA2327"/>
    </row>
    <row r="2328" spans="1:27" x14ac:dyDescent="0.45">
      <c r="A2328" s="57">
        <v>1811</v>
      </c>
      <c r="B2328" t="s">
        <v>3311</v>
      </c>
      <c r="C2328" t="s">
        <v>3312</v>
      </c>
      <c r="D2328" s="12">
        <v>46313</v>
      </c>
      <c r="E2328" s="11">
        <v>20</v>
      </c>
      <c r="F2328" s="11" t="s">
        <v>7458</v>
      </c>
      <c r="G2328">
        <v>20150401</v>
      </c>
      <c r="I2328" s="11" t="s">
        <v>63</v>
      </c>
      <c r="J2328" s="72">
        <v>10307556</v>
      </c>
      <c r="K2328" s="99">
        <f>_xlfn.XLOOKUP(_2__ROI_Daily_Update[[#This Row],[CSM id]],SHP!F:F,SHP!EE:EE,"-")</f>
        <v>0</v>
      </c>
      <c r="L2328" s="12"/>
      <c r="N2328" s="11"/>
      <c r="P2328"/>
      <c r="Q2328"/>
      <c r="W2328" s="28"/>
      <c r="AA2328"/>
    </row>
    <row r="2329" spans="1:27" x14ac:dyDescent="0.45">
      <c r="A2329" s="57">
        <v>424</v>
      </c>
      <c r="B2329" t="s">
        <v>6269</v>
      </c>
      <c r="C2329" t="s">
        <v>6270</v>
      </c>
      <c r="D2329" s="12">
        <v>46313</v>
      </c>
      <c r="E2329" s="11">
        <v>392</v>
      </c>
      <c r="F2329" s="11" t="s">
        <v>7485</v>
      </c>
      <c r="G2329">
        <v>20190801</v>
      </c>
      <c r="I2329" s="11" t="s">
        <v>18</v>
      </c>
      <c r="J2329" s="72">
        <v>40431309</v>
      </c>
      <c r="K2329" s="99">
        <f>_xlfn.XLOOKUP(_2__ROI_Daily_Update[[#This Row],[CSM id]],SHP!F:F,SHP!EE:EE,"-")</f>
        <v>0</v>
      </c>
      <c r="L2329" s="12"/>
      <c r="N2329" s="11"/>
      <c r="P2329"/>
      <c r="Q2329"/>
      <c r="W2329" s="28"/>
      <c r="AA2329"/>
    </row>
    <row r="2330" spans="1:27" x14ac:dyDescent="0.45">
      <c r="A2330" s="57">
        <v>424</v>
      </c>
      <c r="B2330" t="s">
        <v>439</v>
      </c>
      <c r="C2330" t="s">
        <v>440</v>
      </c>
      <c r="D2330" s="12">
        <v>46313</v>
      </c>
      <c r="E2330" s="11">
        <v>26</v>
      </c>
      <c r="F2330" s="11" t="s">
        <v>7499</v>
      </c>
      <c r="G2330">
        <v>20190801</v>
      </c>
      <c r="I2330" s="11" t="s">
        <v>18</v>
      </c>
      <c r="J2330" s="72">
        <v>20431305</v>
      </c>
      <c r="K2330" s="99">
        <f>_xlfn.XLOOKUP(_2__ROI_Daily_Update[[#This Row],[CSM id]],SHP!F:F,SHP!EE:EE,"-")</f>
        <v>0</v>
      </c>
      <c r="L2330" s="12"/>
      <c r="N2330" s="11"/>
      <c r="P2330"/>
      <c r="Q2330"/>
      <c r="W2330" s="28"/>
      <c r="AA2330"/>
    </row>
    <row r="2331" spans="1:27" x14ac:dyDescent="0.45">
      <c r="A2331" s="57">
        <v>431</v>
      </c>
      <c r="B2331" t="s">
        <v>451</v>
      </c>
      <c r="C2331" t="s">
        <v>452</v>
      </c>
      <c r="D2331" s="12">
        <v>46313</v>
      </c>
      <c r="E2331" s="11">
        <v>16</v>
      </c>
      <c r="F2331" s="11" t="s">
        <v>7485</v>
      </c>
      <c r="G2331">
        <v>20180201</v>
      </c>
      <c r="H2331" s="12">
        <v>46388</v>
      </c>
      <c r="I2331" s="11" t="s">
        <v>18</v>
      </c>
      <c r="J2331" s="72">
        <v>355661</v>
      </c>
      <c r="K2331" s="99">
        <f>_xlfn.XLOOKUP(_2__ROI_Daily_Update[[#This Row],[CSM id]],SHP!F:F,SHP!EE:EE,"-")</f>
        <v>0</v>
      </c>
      <c r="L2331" s="12"/>
      <c r="N2331" s="11"/>
      <c r="P2331"/>
      <c r="Q2331"/>
      <c r="W2331" s="28"/>
      <c r="AA2331"/>
    </row>
    <row r="2332" spans="1:27" x14ac:dyDescent="0.45">
      <c r="A2332" s="57">
        <v>1882</v>
      </c>
      <c r="B2332" t="s">
        <v>6229</v>
      </c>
      <c r="C2332" t="s">
        <v>6230</v>
      </c>
      <c r="D2332" s="12">
        <v>46313</v>
      </c>
      <c r="E2332" s="11">
        <v>27</v>
      </c>
      <c r="F2332" s="11" t="s">
        <v>7440</v>
      </c>
      <c r="G2332">
        <v>20240101</v>
      </c>
      <c r="H2332" s="12">
        <v>46388</v>
      </c>
      <c r="I2332" s="11" t="s">
        <v>63</v>
      </c>
      <c r="J2332" s="72">
        <v>30567647</v>
      </c>
      <c r="K2332" s="99">
        <f>_xlfn.XLOOKUP(_2__ROI_Daily_Update[[#This Row],[CSM id]],SHP!F:F,SHP!EE:EE,"-")</f>
        <v>0</v>
      </c>
      <c r="L2332" s="12"/>
      <c r="N2332" s="11"/>
      <c r="P2332"/>
      <c r="Q2332"/>
      <c r="W2332" s="28"/>
      <c r="AA2332"/>
    </row>
    <row r="2333" spans="1:27" x14ac:dyDescent="0.45">
      <c r="A2333" s="57">
        <v>1643</v>
      </c>
      <c r="B2333" t="s">
        <v>3255</v>
      </c>
      <c r="C2333" t="s">
        <v>3256</v>
      </c>
      <c r="D2333" s="12">
        <v>46313</v>
      </c>
      <c r="E2333" s="11">
        <v>240</v>
      </c>
      <c r="F2333" s="11" t="s">
        <v>7430</v>
      </c>
      <c r="G2333">
        <v>20260701</v>
      </c>
      <c r="I2333" s="11" t="s">
        <v>63</v>
      </c>
      <c r="J2333" s="72">
        <v>90620473</v>
      </c>
      <c r="K2333" s="99">
        <f>_xlfn.XLOOKUP(_2__ROI_Daily_Update[[#This Row],[CSM id]],SHP!F:F,SHP!EE:EE,"-")</f>
        <v>0</v>
      </c>
      <c r="L2333" s="12"/>
      <c r="N2333" s="11"/>
      <c r="P2333"/>
      <c r="Q2333"/>
      <c r="W2333" s="28"/>
      <c r="AA2333"/>
    </row>
    <row r="2334" spans="1:27" x14ac:dyDescent="0.45">
      <c r="A2334" s="57">
        <v>343</v>
      </c>
      <c r="B2334" t="s">
        <v>382</v>
      </c>
      <c r="C2334" t="s">
        <v>383</v>
      </c>
      <c r="D2334" s="12">
        <v>46313</v>
      </c>
      <c r="E2334" s="11">
        <v>64</v>
      </c>
      <c r="F2334" s="11" t="s">
        <v>7499</v>
      </c>
      <c r="G2334">
        <v>20260101</v>
      </c>
      <c r="I2334" s="11" t="s">
        <v>18</v>
      </c>
      <c r="J2334" s="72">
        <v>40609072</v>
      </c>
      <c r="K2334" s="99">
        <f>_xlfn.XLOOKUP(_2__ROI_Daily_Update[[#This Row],[CSM id]],SHP!F:F,SHP!EE:EE,"-")</f>
        <v>0</v>
      </c>
      <c r="L2334" s="12"/>
      <c r="N2334" s="11"/>
      <c r="P2334"/>
      <c r="Q2334"/>
      <c r="W2334" s="28"/>
      <c r="AA2334"/>
    </row>
    <row r="2335" spans="1:27" x14ac:dyDescent="0.45">
      <c r="A2335" s="57">
        <v>1621</v>
      </c>
      <c r="B2335" t="s">
        <v>2849</v>
      </c>
      <c r="C2335" t="s">
        <v>2850</v>
      </c>
      <c r="D2335" s="12">
        <v>46313</v>
      </c>
      <c r="E2335" s="11">
        <v>12</v>
      </c>
      <c r="F2335" s="11" t="s">
        <v>7458</v>
      </c>
      <c r="G2335">
        <v>20261001</v>
      </c>
      <c r="I2335" s="11" t="s">
        <v>63</v>
      </c>
      <c r="J2335" s="72">
        <v>10630169</v>
      </c>
      <c r="K2335" s="99">
        <f>_xlfn.XLOOKUP(_2__ROI_Daily_Update[[#This Row],[CSM id]],SHP!F:F,SHP!EE:EE,"-")</f>
        <v>0</v>
      </c>
      <c r="L2335" s="12"/>
      <c r="N2335" s="11"/>
      <c r="P2335"/>
      <c r="Q2335"/>
      <c r="W2335" s="28"/>
      <c r="AA2335"/>
    </row>
    <row r="2336" spans="1:27" x14ac:dyDescent="0.45">
      <c r="A2336" s="57">
        <v>1621</v>
      </c>
      <c r="B2336" t="s">
        <v>5466</v>
      </c>
      <c r="C2336" t="s">
        <v>5467</v>
      </c>
      <c r="D2336" s="12">
        <v>46313</v>
      </c>
      <c r="E2336" s="11">
        <v>18</v>
      </c>
      <c r="F2336" s="11" t="s">
        <v>7458</v>
      </c>
      <c r="G2336">
        <v>20241001</v>
      </c>
      <c r="I2336" s="11" t="s">
        <v>63</v>
      </c>
      <c r="J2336" s="72">
        <v>10595793</v>
      </c>
      <c r="K2336" s="99">
        <f>_xlfn.XLOOKUP(_2__ROI_Daily_Update[[#This Row],[CSM id]],SHP!F:F,SHP!EE:EE,"-")</f>
        <v>0</v>
      </c>
      <c r="L2336" s="12"/>
      <c r="N2336" s="11"/>
      <c r="P2336"/>
      <c r="Q2336"/>
      <c r="W2336" s="28"/>
      <c r="AA2336"/>
    </row>
    <row r="2337" spans="1:27" x14ac:dyDescent="0.45">
      <c r="A2337" s="57">
        <v>1621</v>
      </c>
      <c r="B2337" t="s">
        <v>5466</v>
      </c>
      <c r="C2337" t="s">
        <v>5467</v>
      </c>
      <c r="D2337" s="12">
        <v>46313</v>
      </c>
      <c r="E2337" s="11">
        <v>18</v>
      </c>
      <c r="F2337" s="11" t="s">
        <v>7405</v>
      </c>
      <c r="G2337">
        <v>20241001</v>
      </c>
      <c r="I2337" s="11" t="s">
        <v>63</v>
      </c>
      <c r="J2337" s="72">
        <v>10595793</v>
      </c>
      <c r="K2337" s="99">
        <f>_xlfn.XLOOKUP(_2__ROI_Daily_Update[[#This Row],[CSM id]],SHP!F:F,SHP!EE:EE,"-")</f>
        <v>0</v>
      </c>
      <c r="L2337" s="12"/>
      <c r="N2337" s="11"/>
      <c r="P2337"/>
      <c r="Q2337"/>
      <c r="W2337" s="28"/>
      <c r="AA2337"/>
    </row>
    <row r="2338" spans="1:27" x14ac:dyDescent="0.45">
      <c r="A2338" s="57">
        <v>1621</v>
      </c>
      <c r="B2338" t="s">
        <v>5582</v>
      </c>
      <c r="C2338" t="s">
        <v>5583</v>
      </c>
      <c r="D2338" s="12">
        <v>46313</v>
      </c>
      <c r="E2338" s="11">
        <v>20</v>
      </c>
      <c r="F2338" s="11" t="s">
        <v>7410</v>
      </c>
      <c r="G2338">
        <v>20240101</v>
      </c>
      <c r="I2338" s="11" t="s">
        <v>63</v>
      </c>
      <c r="J2338" s="72">
        <v>10561991</v>
      </c>
      <c r="K2338" s="99">
        <f>_xlfn.XLOOKUP(_2__ROI_Daily_Update[[#This Row],[CSM id]],SHP!F:F,SHP!EE:EE,"-")</f>
        <v>0</v>
      </c>
      <c r="L2338" s="12"/>
      <c r="N2338" s="11"/>
      <c r="P2338"/>
      <c r="Q2338"/>
      <c r="W2338" s="28"/>
      <c r="AA2338"/>
    </row>
    <row r="2339" spans="1:27" x14ac:dyDescent="0.45">
      <c r="A2339" s="57">
        <v>1621</v>
      </c>
      <c r="B2339" t="s">
        <v>6385</v>
      </c>
      <c r="C2339" t="s">
        <v>6386</v>
      </c>
      <c r="D2339" s="12">
        <v>46313</v>
      </c>
      <c r="E2339" s="11">
        <v>18</v>
      </c>
      <c r="F2339" s="11" t="s">
        <v>7463</v>
      </c>
      <c r="G2339">
        <v>20260401</v>
      </c>
      <c r="I2339" s="11" t="s">
        <v>63</v>
      </c>
      <c r="J2339" s="72">
        <v>626752</v>
      </c>
      <c r="K2339" s="99">
        <f>_xlfn.XLOOKUP(_2__ROI_Daily_Update[[#This Row],[CSM id]],SHP!F:F,SHP!EE:EE,"-")</f>
        <v>0</v>
      </c>
      <c r="L2339" s="12"/>
      <c r="N2339" s="11"/>
      <c r="P2339"/>
      <c r="Q2339"/>
      <c r="W2339" s="28"/>
      <c r="AA2339"/>
    </row>
    <row r="2340" spans="1:27" x14ac:dyDescent="0.45">
      <c r="A2340" s="57">
        <v>1621</v>
      </c>
      <c r="B2340" t="s">
        <v>6385</v>
      </c>
      <c r="C2340" t="s">
        <v>6386</v>
      </c>
      <c r="D2340" s="12">
        <v>46313</v>
      </c>
      <c r="E2340" s="11">
        <v>18</v>
      </c>
      <c r="F2340" s="11" t="s">
        <v>7453</v>
      </c>
      <c r="G2340">
        <v>20260401</v>
      </c>
      <c r="I2340" s="11" t="s">
        <v>63</v>
      </c>
      <c r="J2340" s="72">
        <v>626752</v>
      </c>
      <c r="K2340" s="99">
        <f>_xlfn.XLOOKUP(_2__ROI_Daily_Update[[#This Row],[CSM id]],SHP!F:F,SHP!EE:EE,"-")</f>
        <v>0</v>
      </c>
      <c r="L2340" s="12"/>
      <c r="N2340" s="11"/>
      <c r="P2340"/>
      <c r="Q2340"/>
      <c r="W2340" s="28"/>
      <c r="AA2340"/>
    </row>
    <row r="2341" spans="1:27" x14ac:dyDescent="0.45">
      <c r="A2341" s="57">
        <v>1881</v>
      </c>
      <c r="B2341" t="s">
        <v>6131</v>
      </c>
      <c r="C2341" t="s">
        <v>6132</v>
      </c>
      <c r="D2341" s="12">
        <v>46313</v>
      </c>
      <c r="E2341" s="11">
        <v>32</v>
      </c>
      <c r="F2341" s="11" t="s">
        <v>7440</v>
      </c>
      <c r="G2341">
        <v>20231001</v>
      </c>
      <c r="I2341" s="11" t="s">
        <v>63</v>
      </c>
      <c r="J2341" s="72">
        <v>30556696</v>
      </c>
      <c r="K2341" s="99">
        <f>_xlfn.XLOOKUP(_2__ROI_Daily_Update[[#This Row],[CSM id]],SHP!F:F,SHP!EE:EE,"-")</f>
        <v>0</v>
      </c>
      <c r="L2341" s="12"/>
      <c r="N2341" s="11"/>
      <c r="P2341"/>
      <c r="Q2341"/>
      <c r="W2341" s="28"/>
      <c r="AA2341"/>
    </row>
    <row r="2342" spans="1:27" x14ac:dyDescent="0.45">
      <c r="A2342" s="57">
        <v>1881</v>
      </c>
      <c r="B2342" t="s">
        <v>3723</v>
      </c>
      <c r="C2342" t="s">
        <v>3724</v>
      </c>
      <c r="D2342" s="12">
        <v>46313</v>
      </c>
      <c r="E2342" s="11">
        <v>16</v>
      </c>
      <c r="F2342" s="11" t="s">
        <v>7440</v>
      </c>
      <c r="G2342">
        <v>20250401</v>
      </c>
      <c r="I2342" s="11" t="s">
        <v>63</v>
      </c>
      <c r="J2342" s="72">
        <v>10578251</v>
      </c>
      <c r="K2342" s="99">
        <f>_xlfn.XLOOKUP(_2__ROI_Daily_Update[[#This Row],[CSM id]],SHP!F:F,SHP!EE:EE,"-")</f>
        <v>0</v>
      </c>
      <c r="L2342" s="12"/>
      <c r="N2342" s="11"/>
      <c r="P2342"/>
      <c r="Q2342"/>
      <c r="W2342" s="28"/>
      <c r="AA2342"/>
    </row>
    <row r="2343" spans="1:27" x14ac:dyDescent="0.45">
      <c r="A2343" s="57">
        <v>215</v>
      </c>
      <c r="B2343" t="s">
        <v>281</v>
      </c>
      <c r="C2343" t="s">
        <v>282</v>
      </c>
      <c r="D2343" s="12">
        <v>46313</v>
      </c>
      <c r="E2343" s="11">
        <v>26</v>
      </c>
      <c r="F2343" s="11" t="s">
        <v>7468</v>
      </c>
      <c r="G2343">
        <v>20140801</v>
      </c>
      <c r="I2343" s="11" t="s">
        <v>18</v>
      </c>
      <c r="J2343" s="72">
        <v>60186401</v>
      </c>
      <c r="K2343" s="99">
        <f>_xlfn.XLOOKUP(_2__ROI_Daily_Update[[#This Row],[CSM id]],SHP!F:F,SHP!EE:EE,"-")</f>
        <v>0</v>
      </c>
      <c r="L2343" s="12"/>
      <c r="N2343" s="11"/>
      <c r="P2343"/>
      <c r="Q2343"/>
      <c r="W2343" s="28"/>
      <c r="AA2343"/>
    </row>
    <row r="2344" spans="1:27" x14ac:dyDescent="0.45">
      <c r="A2344" s="57">
        <v>217</v>
      </c>
      <c r="B2344" t="s">
        <v>5622</v>
      </c>
      <c r="C2344" t="s">
        <v>5623</v>
      </c>
      <c r="D2344" s="12">
        <v>46313</v>
      </c>
      <c r="E2344" s="11">
        <v>64</v>
      </c>
      <c r="F2344" s="11" t="s">
        <v>7468</v>
      </c>
      <c r="G2344">
        <v>20210701</v>
      </c>
      <c r="I2344" s="11" t="s">
        <v>18</v>
      </c>
      <c r="J2344" s="72">
        <v>70483882</v>
      </c>
      <c r="K2344" s="99">
        <f>_xlfn.XLOOKUP(_2__ROI_Daily_Update[[#This Row],[CSM id]],SHP!F:F,SHP!EE:EE,"-")</f>
        <v>0</v>
      </c>
      <c r="L2344" s="12"/>
      <c r="N2344" s="11"/>
      <c r="P2344"/>
      <c r="Q2344"/>
      <c r="W2344" s="28"/>
      <c r="AA2344"/>
    </row>
    <row r="2345" spans="1:27" x14ac:dyDescent="0.45">
      <c r="A2345" s="57">
        <v>217</v>
      </c>
      <c r="B2345" t="s">
        <v>5622</v>
      </c>
      <c r="C2345" t="s">
        <v>5623</v>
      </c>
      <c r="D2345" s="12">
        <v>46313</v>
      </c>
      <c r="E2345" s="11">
        <v>32</v>
      </c>
      <c r="F2345" s="11" t="s">
        <v>7485</v>
      </c>
      <c r="G2345">
        <v>20210701</v>
      </c>
      <c r="I2345" s="11" t="s">
        <v>18</v>
      </c>
      <c r="J2345" s="72">
        <v>70483882</v>
      </c>
      <c r="K2345" s="99">
        <f>_xlfn.XLOOKUP(_2__ROI_Daily_Update[[#This Row],[CSM id]],SHP!F:F,SHP!EE:EE,"-")</f>
        <v>0</v>
      </c>
      <c r="L2345" s="12"/>
      <c r="N2345" s="11"/>
      <c r="P2345"/>
      <c r="Q2345"/>
      <c r="W2345" s="28"/>
      <c r="AA2345"/>
    </row>
    <row r="2346" spans="1:27" x14ac:dyDescent="0.45">
      <c r="A2346" s="57">
        <v>217</v>
      </c>
      <c r="B2346" t="s">
        <v>5622</v>
      </c>
      <c r="C2346" t="s">
        <v>5623</v>
      </c>
      <c r="D2346" s="12">
        <v>46313</v>
      </c>
      <c r="E2346" s="11">
        <v>128</v>
      </c>
      <c r="F2346" s="11" t="s">
        <v>7499</v>
      </c>
      <c r="G2346">
        <v>20210701</v>
      </c>
      <c r="I2346" s="11" t="s">
        <v>18</v>
      </c>
      <c r="J2346" s="72">
        <v>70483882</v>
      </c>
      <c r="K2346" s="99">
        <f>_xlfn.XLOOKUP(_2__ROI_Daily_Update[[#This Row],[CSM id]],SHP!F:F,SHP!EE:EE,"-")</f>
        <v>0</v>
      </c>
      <c r="L2346" s="12"/>
      <c r="N2346" s="11"/>
      <c r="P2346"/>
      <c r="Q2346"/>
      <c r="W2346" s="28"/>
      <c r="AA2346"/>
    </row>
    <row r="2347" spans="1:27" x14ac:dyDescent="0.45">
      <c r="A2347" s="57">
        <v>1642</v>
      </c>
      <c r="B2347" t="s">
        <v>6515</v>
      </c>
      <c r="C2347" t="s">
        <v>6516</v>
      </c>
      <c r="D2347" s="12">
        <v>46313</v>
      </c>
      <c r="E2347" s="11">
        <v>21</v>
      </c>
      <c r="F2347" s="11" t="s">
        <v>7448</v>
      </c>
      <c r="G2347">
        <v>20250701</v>
      </c>
      <c r="I2347" s="11" t="s">
        <v>63</v>
      </c>
      <c r="J2347" s="72">
        <v>90601988</v>
      </c>
      <c r="K2347" s="99">
        <f>_xlfn.XLOOKUP(_2__ROI_Daily_Update[[#This Row],[CSM id]],SHP!F:F,SHP!EE:EE,"-")</f>
        <v>0</v>
      </c>
      <c r="L2347" s="12"/>
      <c r="N2347" s="11"/>
      <c r="P2347"/>
      <c r="Q2347"/>
      <c r="W2347" s="28"/>
      <c r="AA2347"/>
    </row>
    <row r="2348" spans="1:27" x14ac:dyDescent="0.45">
      <c r="A2348" s="57">
        <v>1642</v>
      </c>
      <c r="B2348" t="s">
        <v>6515</v>
      </c>
      <c r="C2348" t="s">
        <v>6516</v>
      </c>
      <c r="D2348" s="12">
        <v>46313</v>
      </c>
      <c r="E2348" s="11">
        <v>21</v>
      </c>
      <c r="F2348" s="11" t="s">
        <v>7475</v>
      </c>
      <c r="G2348">
        <v>20250701</v>
      </c>
      <c r="I2348" s="11" t="s">
        <v>63</v>
      </c>
      <c r="J2348" s="72">
        <v>90601988</v>
      </c>
      <c r="K2348" s="99">
        <f>_xlfn.XLOOKUP(_2__ROI_Daily_Update[[#This Row],[CSM id]],SHP!F:F,SHP!EE:EE,"-")</f>
        <v>0</v>
      </c>
      <c r="L2348" s="12"/>
      <c r="N2348" s="11"/>
      <c r="P2348"/>
      <c r="Q2348"/>
      <c r="W2348" s="28"/>
      <c r="AA2348"/>
    </row>
    <row r="2349" spans="1:27" x14ac:dyDescent="0.45">
      <c r="A2349" s="57">
        <v>217</v>
      </c>
      <c r="B2349" t="s">
        <v>308</v>
      </c>
      <c r="C2349" t="s">
        <v>309</v>
      </c>
      <c r="D2349" s="12">
        <v>46313</v>
      </c>
      <c r="E2349" s="11">
        <v>36</v>
      </c>
      <c r="F2349" s="11" t="s">
        <v>7430</v>
      </c>
      <c r="G2349">
        <v>20260701</v>
      </c>
      <c r="I2349" s="11" t="s">
        <v>63</v>
      </c>
      <c r="J2349" s="72">
        <v>60595762</v>
      </c>
      <c r="K2349" s="99">
        <f>_xlfn.XLOOKUP(_2__ROI_Daily_Update[[#This Row],[CSM id]],SHP!F:F,SHP!EE:EE,"-")</f>
        <v>0</v>
      </c>
      <c r="L2349" s="12"/>
      <c r="N2349" s="11"/>
      <c r="P2349"/>
      <c r="Q2349"/>
      <c r="W2349" s="28"/>
      <c r="AA2349"/>
    </row>
    <row r="2350" spans="1:27" x14ac:dyDescent="0.45">
      <c r="A2350" s="57">
        <v>217</v>
      </c>
      <c r="B2350" t="s">
        <v>306</v>
      </c>
      <c r="C2350" t="s">
        <v>307</v>
      </c>
      <c r="D2350" s="12">
        <v>46313</v>
      </c>
      <c r="E2350" s="11">
        <v>10</v>
      </c>
      <c r="F2350" s="11" t="s">
        <v>7430</v>
      </c>
      <c r="G2350">
        <v>20230101</v>
      </c>
      <c r="I2350" s="11" t="s">
        <v>32</v>
      </c>
      <c r="J2350" s="72">
        <v>508857</v>
      </c>
      <c r="K2350" s="99">
        <f>_xlfn.XLOOKUP(_2__ROI_Daily_Update[[#This Row],[CSM id]],SHP!F:F,SHP!EE:EE,"-")</f>
        <v>0</v>
      </c>
      <c r="L2350" s="12"/>
      <c r="N2350" s="11"/>
      <c r="P2350"/>
      <c r="Q2350"/>
      <c r="W2350" s="28"/>
      <c r="AA2350"/>
    </row>
    <row r="2351" spans="1:27" x14ac:dyDescent="0.45">
      <c r="A2351" s="57">
        <v>217</v>
      </c>
      <c r="B2351" t="s">
        <v>306</v>
      </c>
      <c r="C2351" t="s">
        <v>307</v>
      </c>
      <c r="D2351" s="12">
        <v>46313</v>
      </c>
      <c r="E2351" s="11">
        <v>10</v>
      </c>
      <c r="F2351" s="11" t="s">
        <v>7400</v>
      </c>
      <c r="G2351">
        <v>20230101</v>
      </c>
      <c r="I2351" s="11" t="s">
        <v>32</v>
      </c>
      <c r="J2351" s="72">
        <v>508857</v>
      </c>
      <c r="K2351" s="99">
        <f>_xlfn.XLOOKUP(_2__ROI_Daily_Update[[#This Row],[CSM id]],SHP!F:F,SHP!EE:EE,"-")</f>
        <v>0</v>
      </c>
      <c r="L2351" s="12"/>
      <c r="N2351" s="11"/>
      <c r="P2351"/>
      <c r="Q2351"/>
      <c r="W2351" s="28"/>
      <c r="AA2351"/>
    </row>
    <row r="2352" spans="1:27" x14ac:dyDescent="0.45">
      <c r="A2352" s="57">
        <v>241</v>
      </c>
      <c r="B2352" t="s">
        <v>310</v>
      </c>
      <c r="C2352" t="s">
        <v>311</v>
      </c>
      <c r="D2352" s="12">
        <v>46313</v>
      </c>
      <c r="E2352" s="11">
        <v>24</v>
      </c>
      <c r="F2352" s="11" t="s">
        <v>7499</v>
      </c>
      <c r="G2352">
        <v>20140801</v>
      </c>
      <c r="I2352" s="11" t="s">
        <v>18</v>
      </c>
      <c r="J2352" s="72">
        <v>20167206</v>
      </c>
      <c r="K2352" s="99">
        <f>_xlfn.XLOOKUP(_2__ROI_Daily_Update[[#This Row],[CSM id]],SHP!F:F,SHP!EE:EE,"-")</f>
        <v>0</v>
      </c>
      <c r="L2352" s="12"/>
      <c r="N2352" s="11"/>
      <c r="P2352"/>
      <c r="Q2352"/>
      <c r="W2352" s="28"/>
      <c r="AA2352"/>
    </row>
    <row r="2353" spans="1:27" x14ac:dyDescent="0.45">
      <c r="A2353" s="57">
        <v>1643</v>
      </c>
      <c r="B2353" t="s">
        <v>3219</v>
      </c>
      <c r="C2353" t="s">
        <v>3220</v>
      </c>
      <c r="D2353" s="12">
        <v>46313</v>
      </c>
      <c r="E2353" s="11">
        <v>96</v>
      </c>
      <c r="F2353" s="11" t="s">
        <v>7480</v>
      </c>
      <c r="G2353">
        <v>20260701</v>
      </c>
      <c r="I2353" s="11" t="s">
        <v>63</v>
      </c>
      <c r="J2353" s="72">
        <v>620463</v>
      </c>
      <c r="K2353" s="99">
        <f>_xlfn.XLOOKUP(_2__ROI_Daily_Update[[#This Row],[CSM id]],SHP!F:F,SHP!EE:EE,"-")</f>
        <v>0</v>
      </c>
      <c r="L2353" s="12"/>
      <c r="N2353" s="11"/>
      <c r="P2353"/>
      <c r="Q2353"/>
      <c r="W2353" s="28"/>
      <c r="AA2353"/>
    </row>
    <row r="2354" spans="1:27" x14ac:dyDescent="0.45">
      <c r="A2354" s="57">
        <v>1551</v>
      </c>
      <c r="B2354" t="s">
        <v>2819</v>
      </c>
      <c r="C2354" t="s">
        <v>2820</v>
      </c>
      <c r="D2354" s="12">
        <v>46313</v>
      </c>
      <c r="E2354" s="11">
        <v>288</v>
      </c>
      <c r="F2354" s="11" t="s">
        <v>7492</v>
      </c>
      <c r="G2354">
        <v>20150401</v>
      </c>
      <c r="I2354" s="11" t="s">
        <v>18</v>
      </c>
      <c r="J2354" s="72">
        <v>60279725</v>
      </c>
      <c r="K2354" s="99">
        <f>_xlfn.XLOOKUP(_2__ROI_Daily_Update[[#This Row],[CSM id]],SHP!F:F,SHP!EE:EE,"-")</f>
        <v>0</v>
      </c>
      <c r="L2354" s="12"/>
      <c r="N2354" s="11"/>
      <c r="P2354"/>
      <c r="Q2354"/>
      <c r="W2354" s="28"/>
      <c r="AA2354"/>
    </row>
    <row r="2355" spans="1:27" x14ac:dyDescent="0.45">
      <c r="A2355" s="57">
        <v>1852</v>
      </c>
      <c r="B2355" t="s">
        <v>3717</v>
      </c>
      <c r="C2355" t="s">
        <v>3718</v>
      </c>
      <c r="D2355" s="12">
        <v>46313</v>
      </c>
      <c r="E2355" s="11">
        <v>12</v>
      </c>
      <c r="F2355" s="11" t="s">
        <v>7463</v>
      </c>
      <c r="G2355">
        <v>20260101</v>
      </c>
      <c r="I2355" s="11" t="s">
        <v>63</v>
      </c>
      <c r="J2355" s="72">
        <v>90595398</v>
      </c>
      <c r="K2355" s="99">
        <f>_xlfn.XLOOKUP(_2__ROI_Daily_Update[[#This Row],[CSM id]],SHP!F:F,SHP!EE:EE,"-")</f>
        <v>0</v>
      </c>
      <c r="L2355" s="12"/>
      <c r="N2355" s="11"/>
      <c r="P2355"/>
      <c r="Q2355"/>
      <c r="W2355" s="28"/>
      <c r="AA2355"/>
    </row>
    <row r="2356" spans="1:27" x14ac:dyDescent="0.45">
      <c r="A2356" s="57">
        <v>241</v>
      </c>
      <c r="B2356" t="s">
        <v>310</v>
      </c>
      <c r="C2356" t="s">
        <v>311</v>
      </c>
      <c r="D2356" s="12">
        <v>46313</v>
      </c>
      <c r="E2356" s="11">
        <v>24</v>
      </c>
      <c r="F2356" s="11" t="s">
        <v>7485</v>
      </c>
      <c r="G2356">
        <v>20140801</v>
      </c>
      <c r="I2356" s="11" t="s">
        <v>18</v>
      </c>
      <c r="J2356" s="72">
        <v>20167206</v>
      </c>
      <c r="K2356" s="99">
        <f>_xlfn.XLOOKUP(_2__ROI_Daily_Update[[#This Row],[CSM id]],SHP!F:F,SHP!EE:EE,"-")</f>
        <v>0</v>
      </c>
      <c r="L2356" s="12"/>
      <c r="N2356" s="11"/>
      <c r="P2356"/>
      <c r="Q2356"/>
      <c r="W2356" s="28"/>
      <c r="AA2356"/>
    </row>
    <row r="2357" spans="1:27" x14ac:dyDescent="0.45">
      <c r="A2357" s="57">
        <v>231</v>
      </c>
      <c r="B2357" t="s">
        <v>95</v>
      </c>
      <c r="C2357" t="s">
        <v>96</v>
      </c>
      <c r="D2357" s="12">
        <v>46313</v>
      </c>
      <c r="E2357" s="11">
        <v>48</v>
      </c>
      <c r="F2357" s="11" t="s">
        <v>7463</v>
      </c>
      <c r="G2357">
        <v>20260701</v>
      </c>
      <c r="I2357" s="11" t="s">
        <v>63</v>
      </c>
      <c r="J2357" s="72">
        <v>10625525</v>
      </c>
      <c r="K2357" s="99">
        <f>_xlfn.XLOOKUP(_2__ROI_Daily_Update[[#This Row],[CSM id]],SHP!F:F,SHP!EE:EE,"-")</f>
        <v>0</v>
      </c>
      <c r="L2357" s="12"/>
      <c r="N2357" s="11"/>
      <c r="P2357"/>
      <c r="Q2357"/>
      <c r="W2357" s="28"/>
      <c r="AA2357"/>
    </row>
    <row r="2358" spans="1:27" x14ac:dyDescent="0.45">
      <c r="A2358" s="57">
        <v>1881</v>
      </c>
      <c r="B2358" t="s">
        <v>3725</v>
      </c>
      <c r="C2358" t="s">
        <v>3726</v>
      </c>
      <c r="D2358" s="12">
        <v>46313</v>
      </c>
      <c r="E2358" s="11">
        <v>180</v>
      </c>
      <c r="F2358" s="11" t="s">
        <v>7480</v>
      </c>
      <c r="G2358">
        <v>20231001</v>
      </c>
      <c r="I2358" s="11" t="s">
        <v>63</v>
      </c>
      <c r="J2358" s="72">
        <v>50568085</v>
      </c>
      <c r="K2358" s="99">
        <f>_xlfn.XLOOKUP(_2__ROI_Daily_Update[[#This Row],[CSM id]],SHP!F:F,SHP!EE:EE,"-")</f>
        <v>0</v>
      </c>
      <c r="L2358" s="12"/>
      <c r="N2358" s="11"/>
      <c r="P2358"/>
      <c r="Q2358"/>
      <c r="W2358" s="28"/>
      <c r="AA2358"/>
    </row>
    <row r="2359" spans="1:27" x14ac:dyDescent="0.45">
      <c r="A2359" s="57">
        <v>1643</v>
      </c>
      <c r="B2359" t="s">
        <v>3219</v>
      </c>
      <c r="C2359" t="s">
        <v>3220</v>
      </c>
      <c r="D2359" s="12">
        <v>46313</v>
      </c>
      <c r="E2359" s="11">
        <v>144</v>
      </c>
      <c r="F2359" s="11" t="s">
        <v>7430</v>
      </c>
      <c r="G2359">
        <v>20260701</v>
      </c>
      <c r="I2359" s="11" t="s">
        <v>63</v>
      </c>
      <c r="J2359" s="72">
        <v>620463</v>
      </c>
      <c r="K2359" s="99">
        <f>_xlfn.XLOOKUP(_2__ROI_Daily_Update[[#This Row],[CSM id]],SHP!F:F,SHP!EE:EE,"-")</f>
        <v>0</v>
      </c>
      <c r="L2359" s="12"/>
      <c r="N2359" s="11"/>
      <c r="P2359"/>
      <c r="Q2359"/>
      <c r="W2359" s="28"/>
      <c r="AA2359"/>
    </row>
    <row r="2360" spans="1:27" x14ac:dyDescent="0.45">
      <c r="A2360" s="57">
        <v>1643</v>
      </c>
      <c r="B2360" t="s">
        <v>3217</v>
      </c>
      <c r="C2360" t="s">
        <v>3218</v>
      </c>
      <c r="D2360" s="12">
        <v>46313</v>
      </c>
      <c r="E2360" s="11">
        <v>84</v>
      </c>
      <c r="F2360" s="11" t="s">
        <v>7480</v>
      </c>
      <c r="G2360">
        <v>20260401</v>
      </c>
      <c r="I2360" s="11" t="s">
        <v>63</v>
      </c>
      <c r="J2360" s="72">
        <v>619704</v>
      </c>
      <c r="K2360" s="99">
        <f>_xlfn.XLOOKUP(_2__ROI_Daily_Update[[#This Row],[CSM id]],SHP!F:F,SHP!EE:EE,"-")</f>
        <v>0</v>
      </c>
      <c r="L2360" s="12"/>
      <c r="N2360" s="11"/>
      <c r="P2360"/>
      <c r="Q2360"/>
      <c r="W2360" s="28"/>
      <c r="AA2360"/>
    </row>
    <row r="2361" spans="1:27" x14ac:dyDescent="0.45">
      <c r="A2361" s="57">
        <v>221</v>
      </c>
      <c r="B2361" t="s">
        <v>316</v>
      </c>
      <c r="C2361" t="s">
        <v>317</v>
      </c>
      <c r="D2361" s="12">
        <v>46313</v>
      </c>
      <c r="E2361" s="11">
        <v>8</v>
      </c>
      <c r="F2361" s="11" t="s">
        <v>7485</v>
      </c>
      <c r="G2361">
        <v>20210201</v>
      </c>
      <c r="I2361" s="11" t="s">
        <v>18</v>
      </c>
      <c r="J2361" s="72">
        <v>30450138</v>
      </c>
      <c r="K2361" s="99">
        <f>_xlfn.XLOOKUP(_2__ROI_Daily_Update[[#This Row],[CSM id]],SHP!F:F,SHP!EE:EE,"-")</f>
        <v>0</v>
      </c>
      <c r="L2361" s="12"/>
      <c r="N2361" s="11"/>
      <c r="P2361"/>
      <c r="Q2361"/>
      <c r="W2361" s="28"/>
      <c r="AA2361"/>
    </row>
    <row r="2362" spans="1:27" x14ac:dyDescent="0.45">
      <c r="A2362" s="57">
        <v>1551</v>
      </c>
      <c r="B2362" t="s">
        <v>6165</v>
      </c>
      <c r="C2362" t="s">
        <v>6166</v>
      </c>
      <c r="D2362" s="12">
        <v>46313</v>
      </c>
      <c r="E2362" s="11">
        <v>180</v>
      </c>
      <c r="F2362" s="11" t="s">
        <v>7440</v>
      </c>
      <c r="G2362">
        <v>20150401</v>
      </c>
      <c r="I2362" s="11" t="s">
        <v>63</v>
      </c>
      <c r="J2362" s="72">
        <v>80282944</v>
      </c>
      <c r="K2362" s="99">
        <f>_xlfn.XLOOKUP(_2__ROI_Daily_Update[[#This Row],[CSM id]],SHP!F:F,SHP!EE:EE,"-")</f>
        <v>0</v>
      </c>
      <c r="L2362" s="12"/>
      <c r="N2362" s="11"/>
      <c r="P2362"/>
      <c r="Q2362"/>
      <c r="W2362" s="28"/>
      <c r="AA2362"/>
    </row>
    <row r="2363" spans="1:27" x14ac:dyDescent="0.45">
      <c r="A2363" s="57">
        <v>221</v>
      </c>
      <c r="B2363" t="s">
        <v>316</v>
      </c>
      <c r="C2363" t="s">
        <v>317</v>
      </c>
      <c r="D2363" s="12">
        <v>46313</v>
      </c>
      <c r="E2363" s="11">
        <v>8</v>
      </c>
      <c r="F2363" s="11" t="s">
        <v>7468</v>
      </c>
      <c r="G2363">
        <v>20210201</v>
      </c>
      <c r="I2363" s="11" t="s">
        <v>18</v>
      </c>
      <c r="J2363" s="72">
        <v>30450138</v>
      </c>
      <c r="K2363" s="99">
        <f>_xlfn.XLOOKUP(_2__ROI_Daily_Update[[#This Row],[CSM id]],SHP!F:F,SHP!EE:EE,"-")</f>
        <v>0</v>
      </c>
      <c r="L2363" s="12"/>
      <c r="N2363" s="11"/>
      <c r="P2363"/>
      <c r="Q2363"/>
      <c r="W2363" s="28"/>
      <c r="AA2363"/>
    </row>
    <row r="2364" spans="1:27" x14ac:dyDescent="0.45">
      <c r="A2364" s="57">
        <v>1852</v>
      </c>
      <c r="B2364" t="s">
        <v>3719</v>
      </c>
      <c r="C2364" t="s">
        <v>3720</v>
      </c>
      <c r="D2364" s="12">
        <v>46313</v>
      </c>
      <c r="E2364" s="11">
        <v>30</v>
      </c>
      <c r="F2364" s="11" t="s">
        <v>7448</v>
      </c>
      <c r="G2364">
        <v>20250701</v>
      </c>
      <c r="H2364" s="12">
        <v>46388</v>
      </c>
      <c r="I2364" s="11" t="s">
        <v>63</v>
      </c>
      <c r="J2364" s="72">
        <v>90595949</v>
      </c>
      <c r="K2364" s="99">
        <f>_xlfn.XLOOKUP(_2__ROI_Daily_Update[[#This Row],[CSM id]],SHP!F:F,SHP!EE:EE,"-")</f>
        <v>0</v>
      </c>
      <c r="L2364" s="12"/>
      <c r="N2364" s="11"/>
      <c r="P2364"/>
      <c r="Q2364"/>
      <c r="W2364" s="28"/>
      <c r="AA2364"/>
    </row>
    <row r="2365" spans="1:27" x14ac:dyDescent="0.45">
      <c r="A2365" s="57">
        <v>217</v>
      </c>
      <c r="B2365" t="s">
        <v>306</v>
      </c>
      <c r="C2365" t="s">
        <v>307</v>
      </c>
      <c r="D2365" s="12">
        <v>46313</v>
      </c>
      <c r="E2365" s="11">
        <v>10</v>
      </c>
      <c r="F2365" s="11" t="s">
        <v>7453</v>
      </c>
      <c r="G2365">
        <v>20230101</v>
      </c>
      <c r="I2365" s="11" t="s">
        <v>32</v>
      </c>
      <c r="J2365" s="72">
        <v>508857</v>
      </c>
      <c r="K2365" s="99">
        <f>_xlfn.XLOOKUP(_2__ROI_Daily_Update[[#This Row],[CSM id]],SHP!F:F,SHP!EE:EE,"-")</f>
        <v>0</v>
      </c>
      <c r="L2365" s="12"/>
      <c r="N2365" s="11"/>
      <c r="P2365"/>
      <c r="Q2365"/>
      <c r="W2365" s="28"/>
      <c r="AA2365"/>
    </row>
    <row r="2366" spans="1:27" x14ac:dyDescent="0.45">
      <c r="A2366" s="57">
        <v>231</v>
      </c>
      <c r="B2366" t="s">
        <v>95</v>
      </c>
      <c r="C2366" t="s">
        <v>96</v>
      </c>
      <c r="D2366" s="12">
        <v>46313</v>
      </c>
      <c r="E2366" s="11">
        <v>24</v>
      </c>
      <c r="F2366" s="11" t="s">
        <v>7453</v>
      </c>
      <c r="G2366">
        <v>20260701</v>
      </c>
      <c r="I2366" s="11" t="s">
        <v>63</v>
      </c>
      <c r="J2366" s="72">
        <v>10625525</v>
      </c>
      <c r="K2366" s="99">
        <f>_xlfn.XLOOKUP(_2__ROI_Daily_Update[[#This Row],[CSM id]],SHP!F:F,SHP!EE:EE,"-")</f>
        <v>0</v>
      </c>
      <c r="L2366" s="12"/>
      <c r="N2366" s="11"/>
      <c r="P2366"/>
      <c r="Q2366"/>
      <c r="W2366" s="28"/>
      <c r="AA2366"/>
    </row>
    <row r="2367" spans="1:27" x14ac:dyDescent="0.45">
      <c r="A2367" s="57">
        <v>1643</v>
      </c>
      <c r="B2367" t="s">
        <v>5418</v>
      </c>
      <c r="C2367" t="s">
        <v>5419</v>
      </c>
      <c r="D2367" s="12">
        <v>46313</v>
      </c>
      <c r="E2367" s="11">
        <v>24</v>
      </c>
      <c r="F2367" s="11" t="s">
        <v>7410</v>
      </c>
      <c r="G2367">
        <v>20260601</v>
      </c>
      <c r="I2367" s="11" t="s">
        <v>63</v>
      </c>
      <c r="J2367" s="72">
        <v>622787</v>
      </c>
      <c r="K2367" s="99">
        <f>_xlfn.XLOOKUP(_2__ROI_Daily_Update[[#This Row],[CSM id]],SHP!F:F,SHP!EE:EE,"-")</f>
        <v>0</v>
      </c>
      <c r="L2367" s="12"/>
      <c r="N2367" s="11"/>
      <c r="P2367"/>
      <c r="Q2367"/>
      <c r="W2367" s="28"/>
      <c r="AA2367"/>
    </row>
    <row r="2368" spans="1:27" x14ac:dyDescent="0.45">
      <c r="A2368" s="57">
        <v>1621</v>
      </c>
      <c r="B2368" t="s">
        <v>2855</v>
      </c>
      <c r="C2368" t="s">
        <v>2856</v>
      </c>
      <c r="D2368" s="12">
        <v>46313</v>
      </c>
      <c r="E2368" s="11">
        <v>3</v>
      </c>
      <c r="F2368" s="11" t="s">
        <v>7395</v>
      </c>
      <c r="G2368">
        <v>20251001</v>
      </c>
      <c r="I2368" s="11" t="s">
        <v>63</v>
      </c>
      <c r="J2368" s="72">
        <v>20621824</v>
      </c>
      <c r="K2368" s="99">
        <f>_xlfn.XLOOKUP(_2__ROI_Daily_Update[[#This Row],[CSM id]],SHP!F:F,SHP!EE:EE,"-")</f>
        <v>0</v>
      </c>
      <c r="L2368" s="12"/>
      <c r="N2368" s="11"/>
      <c r="P2368"/>
      <c r="Q2368"/>
      <c r="W2368" s="28"/>
      <c r="AA2368"/>
    </row>
    <row r="2369" spans="1:27" x14ac:dyDescent="0.45">
      <c r="A2369" s="57">
        <v>1621</v>
      </c>
      <c r="B2369" t="s">
        <v>2857</v>
      </c>
      <c r="C2369" t="s">
        <v>2858</v>
      </c>
      <c r="D2369" s="12">
        <v>46313</v>
      </c>
      <c r="E2369" s="11">
        <v>6</v>
      </c>
      <c r="F2369" s="11" t="s">
        <v>7405</v>
      </c>
      <c r="G2369">
        <v>20260101</v>
      </c>
      <c r="I2369" s="11" t="s">
        <v>63</v>
      </c>
      <c r="J2369" s="72">
        <v>20623291</v>
      </c>
      <c r="K2369" s="99">
        <f>_xlfn.XLOOKUP(_2__ROI_Daily_Update[[#This Row],[CSM id]],SHP!F:F,SHP!EE:EE,"-")</f>
        <v>0</v>
      </c>
      <c r="L2369" s="12"/>
      <c r="N2369" s="11"/>
      <c r="P2369"/>
      <c r="Q2369"/>
      <c r="W2369" s="28"/>
      <c r="AA2369"/>
    </row>
    <row r="2370" spans="1:27" x14ac:dyDescent="0.45">
      <c r="A2370" s="57">
        <v>1642</v>
      </c>
      <c r="B2370" t="s">
        <v>3203</v>
      </c>
      <c r="C2370" t="s">
        <v>3204</v>
      </c>
      <c r="D2370" s="12">
        <v>46313</v>
      </c>
      <c r="E2370" s="11">
        <v>5</v>
      </c>
      <c r="F2370" s="11" t="s">
        <v>7475</v>
      </c>
      <c r="G2370">
        <v>20260701</v>
      </c>
      <c r="I2370" s="11" t="s">
        <v>63</v>
      </c>
      <c r="J2370" s="72">
        <v>40623474</v>
      </c>
      <c r="K2370" s="99">
        <f>_xlfn.XLOOKUP(_2__ROI_Daily_Update[[#This Row],[CSM id]],SHP!F:F,SHP!EE:EE,"-")</f>
        <v>0</v>
      </c>
      <c r="L2370" s="12"/>
      <c r="N2370" s="11"/>
      <c r="P2370"/>
      <c r="Q2370"/>
      <c r="W2370" s="28"/>
      <c r="AA2370"/>
    </row>
    <row r="2371" spans="1:27" x14ac:dyDescent="0.45">
      <c r="A2371" s="57">
        <v>1642</v>
      </c>
      <c r="B2371" t="s">
        <v>6159</v>
      </c>
      <c r="C2371" t="s">
        <v>6160</v>
      </c>
      <c r="D2371" s="12">
        <v>46313</v>
      </c>
      <c r="E2371" s="11">
        <v>10</v>
      </c>
      <c r="F2371" s="11" t="s">
        <v>7448</v>
      </c>
      <c r="G2371">
        <v>20260701</v>
      </c>
      <c r="I2371" s="11" t="s">
        <v>63</v>
      </c>
      <c r="J2371" s="72">
        <v>60623449</v>
      </c>
      <c r="K2371" s="99">
        <f>_xlfn.XLOOKUP(_2__ROI_Daily_Update[[#This Row],[CSM id]],SHP!F:F,SHP!EE:EE,"-")</f>
        <v>0</v>
      </c>
      <c r="L2371" s="12"/>
      <c r="N2371" s="11"/>
      <c r="P2371"/>
      <c r="Q2371"/>
      <c r="W2371" s="28"/>
      <c r="AA2371"/>
    </row>
    <row r="2372" spans="1:27" x14ac:dyDescent="0.45">
      <c r="A2372" s="57">
        <v>1642</v>
      </c>
      <c r="B2372" t="s">
        <v>6159</v>
      </c>
      <c r="C2372" t="s">
        <v>6160</v>
      </c>
      <c r="D2372" s="12">
        <v>46313</v>
      </c>
      <c r="E2372" s="11">
        <v>10</v>
      </c>
      <c r="F2372" s="11" t="s">
        <v>7435</v>
      </c>
      <c r="G2372">
        <v>20260701</v>
      </c>
      <c r="I2372" s="11" t="s">
        <v>63</v>
      </c>
      <c r="J2372" s="72">
        <v>60623449</v>
      </c>
      <c r="K2372" s="99">
        <f>_xlfn.XLOOKUP(_2__ROI_Daily_Update[[#This Row],[CSM id]],SHP!F:F,SHP!EE:EE,"-")</f>
        <v>0</v>
      </c>
      <c r="L2372" s="12"/>
      <c r="N2372" s="11"/>
      <c r="P2372"/>
      <c r="Q2372"/>
      <c r="W2372" s="28"/>
      <c r="AA2372"/>
    </row>
    <row r="2373" spans="1:27" x14ac:dyDescent="0.45">
      <c r="A2373" s="57">
        <v>215</v>
      </c>
      <c r="B2373" t="s">
        <v>50</v>
      </c>
      <c r="C2373" t="s">
        <v>51</v>
      </c>
      <c r="D2373" s="12">
        <v>46313</v>
      </c>
      <c r="E2373" s="11">
        <v>66</v>
      </c>
      <c r="F2373" s="11" t="s">
        <v>7485</v>
      </c>
      <c r="G2373">
        <v>20170401</v>
      </c>
      <c r="I2373" s="11" t="s">
        <v>18</v>
      </c>
      <c r="J2373" s="72">
        <v>20351879</v>
      </c>
      <c r="K2373" s="99">
        <f>_xlfn.XLOOKUP(_2__ROI_Daily_Update[[#This Row],[CSM id]],SHP!F:F,SHP!EE:EE,"-")</f>
        <v>0</v>
      </c>
      <c r="L2373" s="12"/>
      <c r="N2373" s="11"/>
      <c r="P2373"/>
      <c r="Q2373"/>
      <c r="W2373" s="28"/>
      <c r="AA2373"/>
    </row>
    <row r="2374" spans="1:27" x14ac:dyDescent="0.45">
      <c r="A2374" s="57">
        <v>1642</v>
      </c>
      <c r="B2374" t="s">
        <v>3207</v>
      </c>
      <c r="C2374" t="s">
        <v>3208</v>
      </c>
      <c r="D2374" s="12">
        <v>46313</v>
      </c>
      <c r="E2374" s="11">
        <v>9</v>
      </c>
      <c r="F2374" s="11" t="s">
        <v>7415</v>
      </c>
      <c r="G2374">
        <v>20260701</v>
      </c>
      <c r="H2374" s="12">
        <v>46569</v>
      </c>
      <c r="I2374" s="11" t="s">
        <v>63</v>
      </c>
      <c r="J2374" s="72">
        <v>70623868</v>
      </c>
      <c r="K2374" s="99">
        <f>_xlfn.XLOOKUP(_2__ROI_Daily_Update[[#This Row],[CSM id]],SHP!F:F,SHP!EE:EE,"-")</f>
        <v>0</v>
      </c>
      <c r="L2374" s="12"/>
      <c r="N2374" s="11"/>
      <c r="P2374"/>
      <c r="Q2374"/>
      <c r="W2374" s="28"/>
      <c r="AA2374"/>
    </row>
    <row r="2375" spans="1:27" x14ac:dyDescent="0.45">
      <c r="A2375" s="57">
        <v>1621</v>
      </c>
      <c r="B2375" t="s">
        <v>2893</v>
      </c>
      <c r="C2375" t="s">
        <v>2894</v>
      </c>
      <c r="D2375" s="12">
        <v>46313</v>
      </c>
      <c r="E2375" s="11">
        <v>18</v>
      </c>
      <c r="F2375" s="11" t="s">
        <v>7410</v>
      </c>
      <c r="G2375">
        <v>20260401</v>
      </c>
      <c r="I2375" s="11" t="s">
        <v>63</v>
      </c>
      <c r="J2375" s="72">
        <v>90632824</v>
      </c>
      <c r="K2375" s="99">
        <f>_xlfn.XLOOKUP(_2__ROI_Daily_Update[[#This Row],[CSM id]],SHP!F:F,SHP!EE:EE,"-")</f>
        <v>0</v>
      </c>
      <c r="L2375" s="12"/>
      <c r="N2375" s="11"/>
      <c r="P2375"/>
      <c r="Q2375"/>
      <c r="W2375" s="28"/>
      <c r="AA2375"/>
    </row>
    <row r="2376" spans="1:27" x14ac:dyDescent="0.45">
      <c r="A2376" s="57">
        <v>1621</v>
      </c>
      <c r="B2376" t="s">
        <v>2887</v>
      </c>
      <c r="C2376" t="s">
        <v>2888</v>
      </c>
      <c r="D2376" s="12">
        <v>46313</v>
      </c>
      <c r="E2376" s="11">
        <v>8</v>
      </c>
      <c r="F2376" s="11" t="s">
        <v>7410</v>
      </c>
      <c r="G2376">
        <v>20260101</v>
      </c>
      <c r="I2376" s="11" t="s">
        <v>63</v>
      </c>
      <c r="J2376" s="72">
        <v>80612317</v>
      </c>
      <c r="K2376" s="99">
        <f>_xlfn.XLOOKUP(_2__ROI_Daily_Update[[#This Row],[CSM id]],SHP!F:F,SHP!EE:EE,"-")</f>
        <v>0</v>
      </c>
      <c r="L2376" s="12"/>
      <c r="N2376" s="11"/>
      <c r="P2376"/>
      <c r="Q2376"/>
      <c r="W2376" s="28"/>
      <c r="AA2376"/>
    </row>
    <row r="2377" spans="1:27" x14ac:dyDescent="0.45">
      <c r="A2377" s="57">
        <v>1621</v>
      </c>
      <c r="B2377" t="s">
        <v>2885</v>
      </c>
      <c r="C2377" t="s">
        <v>2886</v>
      </c>
      <c r="D2377" s="12">
        <v>46313</v>
      </c>
      <c r="E2377" s="11">
        <v>60</v>
      </c>
      <c r="F2377" s="11" t="s">
        <v>7430</v>
      </c>
      <c r="G2377">
        <v>20260101</v>
      </c>
      <c r="I2377" s="11" t="s">
        <v>63</v>
      </c>
      <c r="J2377" s="72">
        <v>80611025</v>
      </c>
      <c r="K2377" s="99">
        <f>_xlfn.XLOOKUP(_2__ROI_Daily_Update[[#This Row],[CSM id]],SHP!F:F,SHP!EE:EE,"-")</f>
        <v>0</v>
      </c>
      <c r="L2377" s="12"/>
      <c r="N2377" s="11"/>
      <c r="P2377"/>
      <c r="Q2377"/>
      <c r="W2377" s="28"/>
      <c r="AA2377"/>
    </row>
    <row r="2378" spans="1:27" x14ac:dyDescent="0.45">
      <c r="A2378" s="57">
        <v>1882</v>
      </c>
      <c r="B2378" t="s">
        <v>3733</v>
      </c>
      <c r="C2378" t="s">
        <v>3734</v>
      </c>
      <c r="D2378" s="12">
        <v>46313</v>
      </c>
      <c r="E2378" s="11">
        <v>168</v>
      </c>
      <c r="F2378" s="11" t="s">
        <v>7468</v>
      </c>
      <c r="G2378">
        <v>20221001</v>
      </c>
      <c r="I2378" s="11" t="s">
        <v>18</v>
      </c>
      <c r="J2378" s="72">
        <v>20527096</v>
      </c>
      <c r="K2378" s="99">
        <f>_xlfn.XLOOKUP(_2__ROI_Daily_Update[[#This Row],[CSM id]],SHP!F:F,SHP!EE:EE,"-")</f>
        <v>0</v>
      </c>
      <c r="L2378" s="12"/>
      <c r="N2378" s="11"/>
      <c r="P2378"/>
      <c r="Q2378"/>
      <c r="W2378" s="28"/>
      <c r="AA2378"/>
    </row>
    <row r="2379" spans="1:27" x14ac:dyDescent="0.45">
      <c r="A2379" s="57">
        <v>215</v>
      </c>
      <c r="B2379" t="s">
        <v>261</v>
      </c>
      <c r="C2379" t="s">
        <v>262</v>
      </c>
      <c r="D2379" s="12">
        <v>46313</v>
      </c>
      <c r="E2379" s="11">
        <v>20</v>
      </c>
      <c r="F2379" s="11" t="s">
        <v>7485</v>
      </c>
      <c r="G2379">
        <v>20251001</v>
      </c>
      <c r="I2379" s="11" t="s">
        <v>18</v>
      </c>
      <c r="J2379" s="72">
        <v>632381</v>
      </c>
      <c r="K2379" s="99">
        <f>_xlfn.XLOOKUP(_2__ROI_Daily_Update[[#This Row],[CSM id]],SHP!F:F,SHP!EE:EE,"-")</f>
        <v>0</v>
      </c>
      <c r="L2379" s="12"/>
      <c r="N2379" s="11"/>
      <c r="P2379"/>
      <c r="Q2379"/>
      <c r="W2379" s="28"/>
      <c r="AA2379"/>
    </row>
    <row r="2380" spans="1:27" x14ac:dyDescent="0.45">
      <c r="A2380" s="57">
        <v>1621</v>
      </c>
      <c r="B2380" t="s">
        <v>2879</v>
      </c>
      <c r="C2380" t="s">
        <v>2880</v>
      </c>
      <c r="D2380" s="12">
        <v>46313</v>
      </c>
      <c r="E2380" s="11">
        <v>32</v>
      </c>
      <c r="F2380" s="11" t="s">
        <v>6940</v>
      </c>
      <c r="G2380">
        <v>20200401</v>
      </c>
      <c r="I2380" s="11" t="s">
        <v>63</v>
      </c>
      <c r="J2380" s="72">
        <v>80454817</v>
      </c>
      <c r="K2380" s="99">
        <f>_xlfn.XLOOKUP(_2__ROI_Daily_Update[[#This Row],[CSM id]],SHP!F:F,SHP!EE:EE,"-")</f>
        <v>0</v>
      </c>
      <c r="L2380" s="12"/>
      <c r="N2380" s="11"/>
      <c r="P2380"/>
      <c r="Q2380"/>
      <c r="W2380" s="28"/>
      <c r="AA2380"/>
    </row>
    <row r="2381" spans="1:27" x14ac:dyDescent="0.45">
      <c r="A2381" s="57">
        <v>1621</v>
      </c>
      <c r="B2381" t="s">
        <v>2879</v>
      </c>
      <c r="C2381" t="s">
        <v>2880</v>
      </c>
      <c r="D2381" s="12">
        <v>46313</v>
      </c>
      <c r="E2381" s="11">
        <v>32</v>
      </c>
      <c r="F2381" s="11" t="s">
        <v>7405</v>
      </c>
      <c r="G2381">
        <v>20200401</v>
      </c>
      <c r="I2381" s="11" t="s">
        <v>63</v>
      </c>
      <c r="J2381" s="72">
        <v>80454817</v>
      </c>
      <c r="K2381" s="99">
        <f>_xlfn.XLOOKUP(_2__ROI_Daily_Update[[#This Row],[CSM id]],SHP!F:F,SHP!EE:EE,"-")</f>
        <v>0</v>
      </c>
      <c r="L2381" s="12"/>
      <c r="N2381" s="11"/>
      <c r="P2381"/>
      <c r="Q2381"/>
      <c r="W2381" s="28"/>
      <c r="AA2381"/>
    </row>
    <row r="2382" spans="1:27" x14ac:dyDescent="0.45">
      <c r="A2382" s="57">
        <v>1621</v>
      </c>
      <c r="B2382" t="s">
        <v>6009</v>
      </c>
      <c r="C2382" t="s">
        <v>6010</v>
      </c>
      <c r="D2382" s="12">
        <v>46313</v>
      </c>
      <c r="E2382" s="11">
        <v>18</v>
      </c>
      <c r="F2382" s="11" t="s">
        <v>6940</v>
      </c>
      <c r="G2382">
        <v>20261001</v>
      </c>
      <c r="I2382" s="11" t="s">
        <v>63</v>
      </c>
      <c r="J2382" s="72">
        <v>70642584</v>
      </c>
      <c r="K2382" s="99">
        <f>_xlfn.XLOOKUP(_2__ROI_Daily_Update[[#This Row],[CSM id]],SHP!F:F,SHP!EE:EE,"-")</f>
        <v>0</v>
      </c>
      <c r="L2382" s="12"/>
      <c r="N2382" s="11"/>
      <c r="P2382"/>
      <c r="Q2382"/>
      <c r="W2382" s="28"/>
      <c r="AA2382"/>
    </row>
    <row r="2383" spans="1:27" x14ac:dyDescent="0.45">
      <c r="A2383" s="57">
        <v>1621</v>
      </c>
      <c r="B2383" t="s">
        <v>2877</v>
      </c>
      <c r="C2383" t="s">
        <v>2878</v>
      </c>
      <c r="D2383" s="12">
        <v>46313</v>
      </c>
      <c r="E2383" s="11">
        <v>16</v>
      </c>
      <c r="F2383" s="11" t="s">
        <v>7425</v>
      </c>
      <c r="G2383">
        <v>20260701</v>
      </c>
      <c r="I2383" s="11" t="s">
        <v>63</v>
      </c>
      <c r="J2383" s="72">
        <v>70641344</v>
      </c>
      <c r="K2383" s="99">
        <f>_xlfn.XLOOKUP(_2__ROI_Daily_Update[[#This Row],[CSM id]],SHP!F:F,SHP!EE:EE,"-")</f>
        <v>0</v>
      </c>
      <c r="L2383" s="12"/>
      <c r="N2383" s="11"/>
      <c r="P2383"/>
      <c r="Q2383"/>
      <c r="W2383" s="28"/>
      <c r="AA2383"/>
    </row>
    <row r="2384" spans="1:27" x14ac:dyDescent="0.45">
      <c r="A2384" s="57">
        <v>1621</v>
      </c>
      <c r="B2384" t="s">
        <v>5450</v>
      </c>
      <c r="C2384" t="s">
        <v>5451</v>
      </c>
      <c r="D2384" s="12">
        <v>46313</v>
      </c>
      <c r="E2384" s="11">
        <v>10</v>
      </c>
      <c r="F2384" s="11" t="s">
        <v>7405</v>
      </c>
      <c r="G2384">
        <v>20251001</v>
      </c>
      <c r="I2384" s="11" t="s">
        <v>63</v>
      </c>
      <c r="J2384" s="72">
        <v>70621826</v>
      </c>
      <c r="K2384" s="99">
        <f>_xlfn.XLOOKUP(_2__ROI_Daily_Update[[#This Row],[CSM id]],SHP!F:F,SHP!EE:EE,"-")</f>
        <v>0</v>
      </c>
      <c r="L2384" s="12"/>
      <c r="N2384" s="11"/>
      <c r="P2384"/>
      <c r="Q2384"/>
      <c r="W2384" s="28"/>
      <c r="AA2384"/>
    </row>
    <row r="2385" spans="1:27" x14ac:dyDescent="0.45">
      <c r="A2385" s="57">
        <v>1642</v>
      </c>
      <c r="B2385" t="s">
        <v>3209</v>
      </c>
      <c r="C2385" t="s">
        <v>3210</v>
      </c>
      <c r="D2385" s="12">
        <v>46313</v>
      </c>
      <c r="E2385" s="11">
        <v>4</v>
      </c>
      <c r="F2385" s="11" t="s">
        <v>7415</v>
      </c>
      <c r="G2385">
        <v>20260701</v>
      </c>
      <c r="I2385" s="11" t="s">
        <v>63</v>
      </c>
      <c r="J2385" s="72">
        <v>80623858</v>
      </c>
      <c r="K2385" s="99">
        <f>_xlfn.XLOOKUP(_2__ROI_Daily_Update[[#This Row],[CSM id]],SHP!F:F,SHP!EE:EE,"-")</f>
        <v>0</v>
      </c>
      <c r="L2385" s="12"/>
      <c r="N2385" s="11"/>
      <c r="P2385"/>
      <c r="Q2385"/>
      <c r="W2385" s="28"/>
      <c r="AA2385"/>
    </row>
    <row r="2386" spans="1:27" x14ac:dyDescent="0.45">
      <c r="A2386" s="57">
        <v>1642</v>
      </c>
      <c r="B2386" t="s">
        <v>3209</v>
      </c>
      <c r="C2386" t="s">
        <v>3210</v>
      </c>
      <c r="D2386" s="12">
        <v>46313</v>
      </c>
      <c r="E2386" s="11">
        <v>4</v>
      </c>
      <c r="F2386" s="11" t="s">
        <v>7448</v>
      </c>
      <c r="G2386">
        <v>20260701</v>
      </c>
      <c r="I2386" s="11" t="s">
        <v>63</v>
      </c>
      <c r="J2386" s="72">
        <v>80623858</v>
      </c>
      <c r="K2386" s="99">
        <f>_xlfn.XLOOKUP(_2__ROI_Daily_Update[[#This Row],[CSM id]],SHP!F:F,SHP!EE:EE,"-")</f>
        <v>0</v>
      </c>
      <c r="L2386" s="12"/>
      <c r="N2386" s="11"/>
      <c r="P2386"/>
      <c r="Q2386"/>
      <c r="W2386" s="28"/>
      <c r="AA2386"/>
    </row>
    <row r="2387" spans="1:27" x14ac:dyDescent="0.45">
      <c r="A2387" s="57">
        <v>1621</v>
      </c>
      <c r="B2387" t="s">
        <v>2857</v>
      </c>
      <c r="C2387" t="s">
        <v>2858</v>
      </c>
      <c r="D2387" s="12">
        <v>46313</v>
      </c>
      <c r="E2387" s="11">
        <v>6</v>
      </c>
      <c r="F2387" s="11" t="s">
        <v>7448</v>
      </c>
      <c r="G2387">
        <v>20260101</v>
      </c>
      <c r="I2387" s="11" t="s">
        <v>63</v>
      </c>
      <c r="J2387" s="72">
        <v>20623291</v>
      </c>
      <c r="K2387" s="99">
        <f>_xlfn.XLOOKUP(_2__ROI_Daily_Update[[#This Row],[CSM id]],SHP!F:F,SHP!EE:EE,"-")</f>
        <v>0</v>
      </c>
      <c r="L2387" s="12"/>
      <c r="N2387" s="11"/>
      <c r="P2387"/>
      <c r="Q2387"/>
      <c r="W2387" s="28"/>
      <c r="AA2387"/>
    </row>
    <row r="2388" spans="1:27" x14ac:dyDescent="0.45">
      <c r="A2388" s="57">
        <v>1881</v>
      </c>
      <c r="B2388" t="s">
        <v>3729</v>
      </c>
      <c r="C2388" t="s">
        <v>3730</v>
      </c>
      <c r="D2388" s="12">
        <v>46313</v>
      </c>
      <c r="E2388" s="11">
        <v>48</v>
      </c>
      <c r="F2388" s="11" t="s">
        <v>7463</v>
      </c>
      <c r="G2388">
        <v>20231001</v>
      </c>
      <c r="I2388" s="11" t="s">
        <v>63</v>
      </c>
      <c r="J2388" s="72">
        <v>70563746</v>
      </c>
      <c r="K2388" s="99">
        <f>_xlfn.XLOOKUP(_2__ROI_Daily_Update[[#This Row],[CSM id]],SHP!F:F,SHP!EE:EE,"-")</f>
        <v>0</v>
      </c>
      <c r="L2388" s="12"/>
      <c r="N2388" s="11"/>
      <c r="P2388"/>
      <c r="Q2388"/>
      <c r="W2388" s="28"/>
      <c r="AA2388"/>
    </row>
    <row r="2389" spans="1:27" x14ac:dyDescent="0.45">
      <c r="A2389" s="57">
        <v>1621</v>
      </c>
      <c r="B2389" t="s">
        <v>5464</v>
      </c>
      <c r="C2389" t="s">
        <v>5465</v>
      </c>
      <c r="D2389" s="12">
        <v>46313</v>
      </c>
      <c r="E2389" s="11">
        <v>6</v>
      </c>
      <c r="F2389" s="11" t="s">
        <v>7405</v>
      </c>
      <c r="G2389">
        <v>20260701</v>
      </c>
      <c r="I2389" s="11" t="s">
        <v>63</v>
      </c>
      <c r="J2389" s="72">
        <v>20641346</v>
      </c>
      <c r="K2389" s="99">
        <f>_xlfn.XLOOKUP(_2__ROI_Daily_Update[[#This Row],[CSM id]],SHP!F:F,SHP!EE:EE,"-")</f>
        <v>0</v>
      </c>
      <c r="L2389" s="12"/>
      <c r="N2389" s="11"/>
      <c r="P2389"/>
      <c r="Q2389"/>
      <c r="W2389" s="28"/>
      <c r="AA2389"/>
    </row>
    <row r="2390" spans="1:27" x14ac:dyDescent="0.45">
      <c r="A2390" s="57">
        <v>1621</v>
      </c>
      <c r="B2390" t="s">
        <v>5464</v>
      </c>
      <c r="C2390" t="s">
        <v>5465</v>
      </c>
      <c r="D2390" s="12">
        <v>46313</v>
      </c>
      <c r="E2390" s="11">
        <v>3</v>
      </c>
      <c r="F2390" s="11" t="s">
        <v>7458</v>
      </c>
      <c r="G2390">
        <v>20260701</v>
      </c>
      <c r="I2390" s="11" t="s">
        <v>63</v>
      </c>
      <c r="J2390" s="72">
        <v>20641346</v>
      </c>
      <c r="K2390" s="99">
        <f>_xlfn.XLOOKUP(_2__ROI_Daily_Update[[#This Row],[CSM id]],SHP!F:F,SHP!EE:EE,"-")</f>
        <v>0</v>
      </c>
      <c r="L2390" s="12"/>
      <c r="N2390" s="11"/>
      <c r="P2390"/>
      <c r="Q2390"/>
      <c r="W2390" s="28"/>
      <c r="AA2390"/>
    </row>
    <row r="2391" spans="1:27" x14ac:dyDescent="0.45">
      <c r="A2391" s="57">
        <v>1621</v>
      </c>
      <c r="B2391" t="s">
        <v>5278</v>
      </c>
      <c r="C2391" t="s">
        <v>5279</v>
      </c>
      <c r="D2391" s="12">
        <v>46313</v>
      </c>
      <c r="E2391" s="11">
        <v>6</v>
      </c>
      <c r="F2391" s="11" t="s">
        <v>7415</v>
      </c>
      <c r="G2391">
        <v>20251001</v>
      </c>
      <c r="I2391" s="11" t="s">
        <v>63</v>
      </c>
      <c r="J2391" s="72">
        <v>30621828</v>
      </c>
      <c r="K2391" s="99">
        <f>_xlfn.XLOOKUP(_2__ROI_Daily_Update[[#This Row],[CSM id]],SHP!F:F,SHP!EE:EE,"-")</f>
        <v>0</v>
      </c>
      <c r="L2391" s="12"/>
      <c r="N2391" s="11"/>
      <c r="P2391"/>
      <c r="Q2391"/>
      <c r="W2391" s="28"/>
      <c r="AA2391"/>
    </row>
    <row r="2392" spans="1:27" x14ac:dyDescent="0.45">
      <c r="A2392" s="57">
        <v>1621</v>
      </c>
      <c r="B2392" t="s">
        <v>2861</v>
      </c>
      <c r="C2392" t="s">
        <v>2862</v>
      </c>
      <c r="D2392" s="12">
        <v>46313</v>
      </c>
      <c r="E2392" s="11">
        <v>18</v>
      </c>
      <c r="F2392" s="11" t="s">
        <v>7410</v>
      </c>
      <c r="G2392">
        <v>20260101</v>
      </c>
      <c r="I2392" s="11" t="s">
        <v>63</v>
      </c>
      <c r="J2392" s="72">
        <v>40611027</v>
      </c>
      <c r="K2392" s="99">
        <f>_xlfn.XLOOKUP(_2__ROI_Daily_Update[[#This Row],[CSM id]],SHP!F:F,SHP!EE:EE,"-")</f>
        <v>0</v>
      </c>
      <c r="L2392" s="12"/>
      <c r="N2392" s="11"/>
      <c r="P2392"/>
      <c r="Q2392"/>
      <c r="W2392" s="28"/>
      <c r="AA2392"/>
    </row>
    <row r="2393" spans="1:27" x14ac:dyDescent="0.45">
      <c r="A2393" s="57">
        <v>1881</v>
      </c>
      <c r="B2393" t="s">
        <v>3727</v>
      </c>
      <c r="C2393" t="s">
        <v>3728</v>
      </c>
      <c r="D2393" s="12">
        <v>46313</v>
      </c>
      <c r="E2393" s="11">
        <v>45</v>
      </c>
      <c r="F2393" s="11" t="s">
        <v>7420</v>
      </c>
      <c r="G2393">
        <v>20231001</v>
      </c>
      <c r="I2393" s="11" t="s">
        <v>63</v>
      </c>
      <c r="J2393" s="72">
        <v>70563727</v>
      </c>
      <c r="K2393" s="99">
        <f>_xlfn.XLOOKUP(_2__ROI_Daily_Update[[#This Row],[CSM id]],SHP!F:F,SHP!EE:EE,"-")</f>
        <v>0</v>
      </c>
      <c r="L2393" s="12"/>
      <c r="N2393" s="11"/>
      <c r="P2393"/>
      <c r="Q2393"/>
      <c r="W2393" s="28"/>
      <c r="AA2393"/>
    </row>
    <row r="2394" spans="1:27" x14ac:dyDescent="0.45">
      <c r="A2394" s="57">
        <v>1881</v>
      </c>
      <c r="B2394" t="s">
        <v>3731</v>
      </c>
      <c r="C2394" t="s">
        <v>3732</v>
      </c>
      <c r="D2394" s="12">
        <v>46313</v>
      </c>
      <c r="E2394" s="11">
        <v>320</v>
      </c>
      <c r="F2394" s="11" t="s">
        <v>7400</v>
      </c>
      <c r="G2394">
        <v>20231001</v>
      </c>
      <c r="I2394" s="11" t="s">
        <v>63</v>
      </c>
      <c r="J2394" s="72">
        <v>80564203</v>
      </c>
      <c r="K2394" s="99">
        <f>_xlfn.XLOOKUP(_2__ROI_Daily_Update[[#This Row],[CSM id]],SHP!F:F,SHP!EE:EE,"-")</f>
        <v>0</v>
      </c>
      <c r="L2394" s="12"/>
      <c r="N2394" s="11"/>
      <c r="P2394"/>
      <c r="Q2394"/>
      <c r="W2394" s="28"/>
      <c r="AA2394"/>
    </row>
    <row r="2395" spans="1:27" x14ac:dyDescent="0.45">
      <c r="A2395" s="57">
        <v>1621</v>
      </c>
      <c r="B2395" t="s">
        <v>2865</v>
      </c>
      <c r="C2395" t="s">
        <v>2866</v>
      </c>
      <c r="D2395" s="12">
        <v>46313</v>
      </c>
      <c r="E2395" s="11">
        <v>24</v>
      </c>
      <c r="F2395" s="11" t="s">
        <v>7430</v>
      </c>
      <c r="G2395">
        <v>20210701</v>
      </c>
      <c r="I2395" s="11" t="s">
        <v>63</v>
      </c>
      <c r="J2395" s="72">
        <v>50492260</v>
      </c>
      <c r="K2395" s="99">
        <f>_xlfn.XLOOKUP(_2__ROI_Daily_Update[[#This Row],[CSM id]],SHP!F:F,SHP!EE:EE,"-")</f>
        <v>0</v>
      </c>
      <c r="L2395" s="12"/>
      <c r="N2395" s="11"/>
      <c r="P2395"/>
      <c r="Q2395"/>
      <c r="W2395" s="28"/>
      <c r="AA2395"/>
    </row>
    <row r="2396" spans="1:27" x14ac:dyDescent="0.45">
      <c r="A2396" s="57">
        <v>1621</v>
      </c>
      <c r="B2396" t="s">
        <v>2865</v>
      </c>
      <c r="C2396" t="s">
        <v>2866</v>
      </c>
      <c r="D2396" s="12">
        <v>46313</v>
      </c>
      <c r="E2396" s="11">
        <v>24</v>
      </c>
      <c r="F2396" s="11" t="s">
        <v>7463</v>
      </c>
      <c r="G2396">
        <v>20210701</v>
      </c>
      <c r="I2396" s="11" t="s">
        <v>63</v>
      </c>
      <c r="J2396" s="72">
        <v>50492260</v>
      </c>
      <c r="K2396" s="99">
        <f>_xlfn.XLOOKUP(_2__ROI_Daily_Update[[#This Row],[CSM id]],SHP!F:F,SHP!EE:EE,"-")</f>
        <v>0</v>
      </c>
      <c r="L2396" s="12"/>
      <c r="N2396" s="11"/>
      <c r="P2396"/>
      <c r="Q2396"/>
      <c r="W2396" s="28"/>
      <c r="AA2396"/>
    </row>
    <row r="2397" spans="1:27" x14ac:dyDescent="0.45">
      <c r="A2397" s="57">
        <v>1621</v>
      </c>
      <c r="B2397" t="s">
        <v>2871</v>
      </c>
      <c r="C2397" t="s">
        <v>2872</v>
      </c>
      <c r="D2397" s="12">
        <v>46313</v>
      </c>
      <c r="E2397" s="11">
        <v>18</v>
      </c>
      <c r="F2397" s="11" t="s">
        <v>7415</v>
      </c>
      <c r="G2397">
        <v>20260701</v>
      </c>
      <c r="I2397" s="11" t="s">
        <v>63</v>
      </c>
      <c r="J2397" s="72">
        <v>50641359</v>
      </c>
      <c r="K2397" s="99">
        <f>_xlfn.XLOOKUP(_2__ROI_Daily_Update[[#This Row],[CSM id]],SHP!F:F,SHP!EE:EE,"-")</f>
        <v>0</v>
      </c>
      <c r="L2397" s="12"/>
      <c r="N2397" s="11"/>
      <c r="P2397"/>
      <c r="Q2397"/>
      <c r="W2397" s="28"/>
      <c r="AA2397"/>
    </row>
    <row r="2398" spans="1:27" x14ac:dyDescent="0.45">
      <c r="A2398" s="57">
        <v>1621</v>
      </c>
      <c r="B2398" t="s">
        <v>2871</v>
      </c>
      <c r="C2398" t="s">
        <v>2872</v>
      </c>
      <c r="D2398" s="12">
        <v>46313</v>
      </c>
      <c r="E2398" s="11">
        <v>18</v>
      </c>
      <c r="F2398" s="11" t="s">
        <v>7448</v>
      </c>
      <c r="G2398">
        <v>20260701</v>
      </c>
      <c r="I2398" s="11" t="s">
        <v>63</v>
      </c>
      <c r="J2398" s="72">
        <v>50641359</v>
      </c>
      <c r="K2398" s="99">
        <f>_xlfn.XLOOKUP(_2__ROI_Daily_Update[[#This Row],[CSM id]],SHP!F:F,SHP!EE:EE,"-")</f>
        <v>0</v>
      </c>
      <c r="L2398" s="12"/>
      <c r="N2398" s="11"/>
      <c r="P2398"/>
      <c r="Q2398"/>
      <c r="W2398" s="28"/>
      <c r="AA2398"/>
    </row>
    <row r="2399" spans="1:27" x14ac:dyDescent="0.45">
      <c r="A2399" s="57">
        <v>1621</v>
      </c>
      <c r="B2399" t="s">
        <v>2873</v>
      </c>
      <c r="C2399" t="s">
        <v>2874</v>
      </c>
      <c r="D2399" s="12">
        <v>46313</v>
      </c>
      <c r="E2399" s="11">
        <v>120</v>
      </c>
      <c r="F2399" s="11" t="s">
        <v>6940</v>
      </c>
      <c r="G2399">
        <v>20200401</v>
      </c>
      <c r="I2399" s="11" t="s">
        <v>63</v>
      </c>
      <c r="J2399" s="72">
        <v>60454818</v>
      </c>
      <c r="K2399" s="99">
        <f>_xlfn.XLOOKUP(_2__ROI_Daily_Update[[#This Row],[CSM id]],SHP!F:F,SHP!EE:EE,"-")</f>
        <v>0</v>
      </c>
      <c r="L2399" s="12"/>
      <c r="N2399" s="11"/>
      <c r="P2399"/>
      <c r="Q2399"/>
      <c r="W2399" s="28"/>
      <c r="AA2399"/>
    </row>
    <row r="2400" spans="1:27" x14ac:dyDescent="0.45">
      <c r="A2400" s="57">
        <v>1621</v>
      </c>
      <c r="B2400" t="s">
        <v>5148</v>
      </c>
      <c r="C2400" t="s">
        <v>5149</v>
      </c>
      <c r="D2400" s="12">
        <v>46313</v>
      </c>
      <c r="E2400" s="11">
        <v>24</v>
      </c>
      <c r="F2400" s="11" t="s">
        <v>7430</v>
      </c>
      <c r="G2400">
        <v>20240101</v>
      </c>
      <c r="I2400" s="11" t="s">
        <v>63</v>
      </c>
      <c r="J2400" s="72">
        <v>60488187</v>
      </c>
      <c r="K2400" s="99">
        <f>_xlfn.XLOOKUP(_2__ROI_Daily_Update[[#This Row],[CSM id]],SHP!F:F,SHP!EE:EE,"-")</f>
        <v>0</v>
      </c>
      <c r="L2400" s="12"/>
      <c r="N2400" s="11"/>
      <c r="P2400"/>
      <c r="Q2400"/>
      <c r="W2400" s="28"/>
      <c r="AA2400"/>
    </row>
    <row r="2401" spans="1:27" x14ac:dyDescent="0.45">
      <c r="A2401" s="57">
        <v>1621</v>
      </c>
      <c r="B2401" t="s">
        <v>2863</v>
      </c>
      <c r="C2401" t="s">
        <v>2864</v>
      </c>
      <c r="D2401" s="12">
        <v>46313</v>
      </c>
      <c r="E2401" s="11">
        <v>12</v>
      </c>
      <c r="F2401" s="11" t="s">
        <v>7435</v>
      </c>
      <c r="G2401">
        <v>20260401</v>
      </c>
      <c r="I2401" s="11" t="s">
        <v>63</v>
      </c>
      <c r="J2401" s="72">
        <v>40627189</v>
      </c>
      <c r="K2401" s="99">
        <f>_xlfn.XLOOKUP(_2__ROI_Daily_Update[[#This Row],[CSM id]],SHP!F:F,SHP!EE:EE,"-")</f>
        <v>0</v>
      </c>
      <c r="L2401" s="12"/>
      <c r="N2401" s="11"/>
      <c r="P2401"/>
      <c r="Q2401"/>
      <c r="W2401" s="28"/>
      <c r="AA2401"/>
    </row>
    <row r="2402" spans="1:27" x14ac:dyDescent="0.45">
      <c r="A2402" s="57">
        <v>343</v>
      </c>
      <c r="B2402" t="s">
        <v>118</v>
      </c>
      <c r="C2402" t="s">
        <v>119</v>
      </c>
      <c r="D2402" s="12">
        <v>46313</v>
      </c>
      <c r="E2402" s="11">
        <v>52</v>
      </c>
      <c r="F2402" s="11" t="s">
        <v>7430</v>
      </c>
      <c r="G2402">
        <v>20260701</v>
      </c>
      <c r="H2402" s="12">
        <v>46569</v>
      </c>
      <c r="I2402" s="11" t="s">
        <v>63</v>
      </c>
      <c r="J2402" s="72">
        <v>625026</v>
      </c>
      <c r="K2402" s="99">
        <f>_xlfn.XLOOKUP(_2__ROI_Daily_Update[[#This Row],[CSM id]],SHP!F:F,SHP!EE:EE,"-")</f>
        <v>0</v>
      </c>
      <c r="L2402" s="12"/>
      <c r="N2402" s="11"/>
      <c r="P2402"/>
      <c r="Q2402"/>
      <c r="W2402" s="28"/>
      <c r="AA2402"/>
    </row>
    <row r="2403" spans="1:27" x14ac:dyDescent="0.45">
      <c r="A2403" s="57">
        <v>1643</v>
      </c>
      <c r="B2403" t="s">
        <v>5572</v>
      </c>
      <c r="C2403" t="s">
        <v>5573</v>
      </c>
      <c r="D2403" s="12">
        <v>46313</v>
      </c>
      <c r="E2403" s="11">
        <v>60</v>
      </c>
      <c r="F2403" s="11" t="s">
        <v>7410</v>
      </c>
      <c r="G2403">
        <v>20221001</v>
      </c>
      <c r="I2403" s="11" t="s">
        <v>63</v>
      </c>
      <c r="J2403" s="72">
        <v>10540480</v>
      </c>
      <c r="K2403" s="99">
        <f>_xlfn.XLOOKUP(_2__ROI_Daily_Update[[#This Row],[CSM id]],SHP!F:F,SHP!EE:EE,"-")</f>
        <v>0</v>
      </c>
      <c r="L2403" s="12"/>
      <c r="N2403" s="11"/>
      <c r="P2403"/>
      <c r="Q2403"/>
      <c r="W2403" s="28"/>
      <c r="AA2403"/>
    </row>
    <row r="2404" spans="1:27" x14ac:dyDescent="0.45">
      <c r="A2404" s="57">
        <v>241</v>
      </c>
      <c r="B2404" t="s">
        <v>335</v>
      </c>
      <c r="C2404" t="s">
        <v>336</v>
      </c>
      <c r="D2404" s="12">
        <v>46313</v>
      </c>
      <c r="E2404" s="11">
        <v>27</v>
      </c>
      <c r="F2404" s="11" t="s">
        <v>7499</v>
      </c>
      <c r="G2404">
        <v>20140801</v>
      </c>
      <c r="I2404" s="11" t="s">
        <v>18</v>
      </c>
      <c r="J2404" s="72">
        <v>167207</v>
      </c>
      <c r="K2404" s="99">
        <f>_xlfn.XLOOKUP(_2__ROI_Daily_Update[[#This Row],[CSM id]],SHP!F:F,SHP!EE:EE,"-")</f>
        <v>0</v>
      </c>
      <c r="L2404" s="12"/>
      <c r="N2404" s="11"/>
      <c r="P2404"/>
      <c r="Q2404"/>
      <c r="W2404" s="28"/>
      <c r="AA2404"/>
    </row>
    <row r="2405" spans="1:27" x14ac:dyDescent="0.45">
      <c r="A2405" s="57">
        <v>341</v>
      </c>
      <c r="B2405" t="s">
        <v>366</v>
      </c>
      <c r="C2405" t="s">
        <v>367</v>
      </c>
      <c r="D2405" s="12">
        <v>46313</v>
      </c>
      <c r="E2405" s="11">
        <v>12</v>
      </c>
      <c r="F2405" s="11" t="s">
        <v>7430</v>
      </c>
      <c r="G2405">
        <v>20260701</v>
      </c>
      <c r="I2405" s="11" t="s">
        <v>63</v>
      </c>
      <c r="J2405" s="72">
        <v>50597083</v>
      </c>
      <c r="K2405" s="99">
        <f>_xlfn.XLOOKUP(_2__ROI_Daily_Update[[#This Row],[CSM id]],SHP!F:F,SHP!EE:EE,"-")</f>
        <v>0</v>
      </c>
      <c r="L2405" s="12"/>
      <c r="N2405" s="11"/>
      <c r="P2405"/>
      <c r="Q2405"/>
      <c r="W2405" s="28"/>
      <c r="AA2405"/>
    </row>
    <row r="2406" spans="1:27" x14ac:dyDescent="0.45">
      <c r="A2406" s="57">
        <v>341</v>
      </c>
      <c r="B2406" t="s">
        <v>366</v>
      </c>
      <c r="C2406" t="s">
        <v>367</v>
      </c>
      <c r="D2406" s="12">
        <v>46313</v>
      </c>
      <c r="E2406" s="11">
        <v>24</v>
      </c>
      <c r="F2406" s="11" t="s">
        <v>6946</v>
      </c>
      <c r="G2406">
        <v>20260701</v>
      </c>
      <c r="I2406" s="11" t="s">
        <v>63</v>
      </c>
      <c r="J2406" s="72">
        <v>50597083</v>
      </c>
      <c r="K2406" s="99">
        <f>_xlfn.XLOOKUP(_2__ROI_Daily_Update[[#This Row],[CSM id]],SHP!F:F,SHP!EE:EE,"-")</f>
        <v>0</v>
      </c>
      <c r="L2406" s="12"/>
      <c r="N2406" s="11"/>
      <c r="P2406"/>
      <c r="Q2406"/>
      <c r="W2406" s="28"/>
      <c r="AA2406"/>
    </row>
    <row r="2407" spans="1:27" x14ac:dyDescent="0.45">
      <c r="A2407" s="57">
        <v>1643</v>
      </c>
      <c r="B2407" t="s">
        <v>6273</v>
      </c>
      <c r="C2407" t="s">
        <v>6274</v>
      </c>
      <c r="D2407" s="12">
        <v>46313</v>
      </c>
      <c r="E2407" s="11">
        <v>140</v>
      </c>
      <c r="F2407" s="11" t="s">
        <v>7440</v>
      </c>
      <c r="G2407">
        <v>20260401</v>
      </c>
      <c r="I2407" s="11" t="s">
        <v>63</v>
      </c>
      <c r="J2407" s="72">
        <v>30620452</v>
      </c>
      <c r="K2407" s="99">
        <f>_xlfn.XLOOKUP(_2__ROI_Daily_Update[[#This Row],[CSM id]],SHP!F:F,SHP!EE:EE,"-")</f>
        <v>0</v>
      </c>
      <c r="L2407" s="12"/>
      <c r="N2407" s="11"/>
      <c r="P2407"/>
      <c r="Q2407"/>
      <c r="W2407" s="28"/>
      <c r="AA2407"/>
    </row>
    <row r="2408" spans="1:27" x14ac:dyDescent="0.45">
      <c r="A2408" s="57">
        <v>341</v>
      </c>
      <c r="B2408" t="s">
        <v>366</v>
      </c>
      <c r="C2408" t="s">
        <v>367</v>
      </c>
      <c r="D2408" s="12">
        <v>46313</v>
      </c>
      <c r="E2408" s="11">
        <v>12</v>
      </c>
      <c r="F2408" s="11" t="s">
        <v>7400</v>
      </c>
      <c r="G2408">
        <v>20260701</v>
      </c>
      <c r="I2408" s="11" t="s">
        <v>63</v>
      </c>
      <c r="J2408" s="72">
        <v>50597083</v>
      </c>
      <c r="K2408" s="99">
        <f>_xlfn.XLOOKUP(_2__ROI_Daily_Update[[#This Row],[CSM id]],SHP!F:F,SHP!EE:EE,"-")</f>
        <v>0</v>
      </c>
      <c r="L2408" s="12"/>
      <c r="N2408" s="11"/>
      <c r="P2408"/>
      <c r="Q2408"/>
      <c r="W2408" s="28"/>
      <c r="AA2408"/>
    </row>
    <row r="2409" spans="1:27" x14ac:dyDescent="0.45">
      <c r="A2409" s="57">
        <v>1643</v>
      </c>
      <c r="B2409" t="s">
        <v>3231</v>
      </c>
      <c r="C2409" t="s">
        <v>3232</v>
      </c>
      <c r="D2409" s="12">
        <v>46313</v>
      </c>
      <c r="E2409" s="11">
        <v>2520</v>
      </c>
      <c r="F2409" s="11" t="s">
        <v>7430</v>
      </c>
      <c r="G2409">
        <v>20260701</v>
      </c>
      <c r="I2409" s="11" t="s">
        <v>63</v>
      </c>
      <c r="J2409" s="72">
        <v>30620466</v>
      </c>
      <c r="K2409" s="99">
        <f>_xlfn.XLOOKUP(_2__ROI_Daily_Update[[#This Row],[CSM id]],SHP!F:F,SHP!EE:EE,"-")</f>
        <v>0</v>
      </c>
      <c r="L2409" s="12"/>
      <c r="N2409" s="11"/>
      <c r="P2409"/>
      <c r="Q2409"/>
      <c r="W2409" s="28"/>
      <c r="AA2409"/>
    </row>
    <row r="2410" spans="1:27" x14ac:dyDescent="0.45">
      <c r="A2410" s="57">
        <v>1541</v>
      </c>
      <c r="B2410" t="s">
        <v>5767</v>
      </c>
      <c r="C2410" t="s">
        <v>5768</v>
      </c>
      <c r="D2410" s="12">
        <v>46313</v>
      </c>
      <c r="E2410" s="11">
        <v>80</v>
      </c>
      <c r="F2410" s="11" t="s">
        <v>7400</v>
      </c>
      <c r="G2410">
        <v>20251001</v>
      </c>
      <c r="I2410" s="11" t="s">
        <v>63</v>
      </c>
      <c r="J2410" s="72">
        <v>30575157</v>
      </c>
      <c r="K2410" s="99">
        <f>_xlfn.XLOOKUP(_2__ROI_Daily_Update[[#This Row],[CSM id]],SHP!F:F,SHP!EE:EE,"-")</f>
        <v>0</v>
      </c>
      <c r="L2410" s="12"/>
      <c r="N2410" s="11"/>
      <c r="P2410"/>
      <c r="Q2410"/>
      <c r="W2410" s="28"/>
      <c r="AA2410"/>
    </row>
    <row r="2411" spans="1:27" x14ac:dyDescent="0.45">
      <c r="A2411" s="57">
        <v>1643</v>
      </c>
      <c r="B2411" t="s">
        <v>3233</v>
      </c>
      <c r="C2411" t="s">
        <v>3234</v>
      </c>
      <c r="D2411" s="12">
        <v>46313</v>
      </c>
      <c r="E2411" s="11">
        <v>32</v>
      </c>
      <c r="F2411" s="11" t="s">
        <v>7410</v>
      </c>
      <c r="G2411">
        <v>20260401</v>
      </c>
      <c r="I2411" s="11" t="s">
        <v>63</v>
      </c>
      <c r="J2411" s="72">
        <v>40615351</v>
      </c>
      <c r="K2411" s="99">
        <f>_xlfn.XLOOKUP(_2__ROI_Daily_Update[[#This Row],[CSM id]],SHP!F:F,SHP!EE:EE,"-")</f>
        <v>0</v>
      </c>
      <c r="L2411" s="12"/>
      <c r="N2411" s="11"/>
      <c r="P2411"/>
      <c r="Q2411"/>
      <c r="W2411" s="28"/>
      <c r="AA2411"/>
    </row>
    <row r="2412" spans="1:27" x14ac:dyDescent="0.45">
      <c r="A2412" s="57">
        <v>1541</v>
      </c>
      <c r="B2412" t="s">
        <v>2760</v>
      </c>
      <c r="C2412" t="s">
        <v>2761</v>
      </c>
      <c r="D2412" s="12">
        <v>46313</v>
      </c>
      <c r="E2412" s="11">
        <v>36</v>
      </c>
      <c r="F2412" s="11" t="s">
        <v>7475</v>
      </c>
      <c r="G2412">
        <v>20230701</v>
      </c>
      <c r="I2412" s="11" t="s">
        <v>63</v>
      </c>
      <c r="J2412" s="72">
        <v>559187</v>
      </c>
      <c r="K2412" s="99">
        <f>_xlfn.XLOOKUP(_2__ROI_Daily_Update[[#This Row],[CSM id]],SHP!F:F,SHP!EE:EE,"-")</f>
        <v>0</v>
      </c>
      <c r="L2412" s="12"/>
      <c r="N2412" s="11"/>
      <c r="P2412"/>
      <c r="Q2412"/>
      <c r="W2412" s="28"/>
      <c r="AA2412"/>
    </row>
    <row r="2413" spans="1:27" x14ac:dyDescent="0.45">
      <c r="A2413" s="57">
        <v>1643</v>
      </c>
      <c r="B2413" t="s">
        <v>3233</v>
      </c>
      <c r="C2413" t="s">
        <v>3234</v>
      </c>
      <c r="D2413" s="12">
        <v>46313</v>
      </c>
      <c r="E2413" s="11">
        <v>24</v>
      </c>
      <c r="F2413" s="11" t="s">
        <v>7453</v>
      </c>
      <c r="G2413">
        <v>20260401</v>
      </c>
      <c r="I2413" s="11" t="s">
        <v>63</v>
      </c>
      <c r="J2413" s="72">
        <v>40615351</v>
      </c>
      <c r="K2413" s="99">
        <f>_xlfn.XLOOKUP(_2__ROI_Daily_Update[[#This Row],[CSM id]],SHP!F:F,SHP!EE:EE,"-")</f>
        <v>0</v>
      </c>
      <c r="L2413" s="12"/>
      <c r="N2413" s="11"/>
      <c r="P2413"/>
      <c r="Q2413"/>
      <c r="W2413" s="28"/>
      <c r="AA2413"/>
    </row>
    <row r="2414" spans="1:27" x14ac:dyDescent="0.45">
      <c r="A2414" s="57">
        <v>1643</v>
      </c>
      <c r="B2414" t="s">
        <v>6560</v>
      </c>
      <c r="C2414" t="s">
        <v>6561</v>
      </c>
      <c r="D2414" s="12">
        <v>46313</v>
      </c>
      <c r="E2414" s="11">
        <v>32</v>
      </c>
      <c r="F2414" s="11" t="s">
        <v>7463</v>
      </c>
      <c r="G2414">
        <v>20241001</v>
      </c>
      <c r="I2414" s="11" t="s">
        <v>63</v>
      </c>
      <c r="J2414" s="72">
        <v>50534038</v>
      </c>
      <c r="K2414" s="99">
        <f>_xlfn.XLOOKUP(_2__ROI_Daily_Update[[#This Row],[CSM id]],SHP!F:F,SHP!EE:EE,"-")</f>
        <v>0</v>
      </c>
      <c r="L2414" s="12"/>
      <c r="N2414" s="11"/>
      <c r="P2414"/>
      <c r="Q2414"/>
      <c r="W2414" s="28"/>
      <c r="AA2414"/>
    </row>
    <row r="2415" spans="1:27" x14ac:dyDescent="0.45">
      <c r="A2415" s="57">
        <v>341</v>
      </c>
      <c r="B2415" t="s">
        <v>128</v>
      </c>
      <c r="C2415" t="s">
        <v>129</v>
      </c>
      <c r="D2415" s="12">
        <v>46313</v>
      </c>
      <c r="E2415" s="11">
        <v>8</v>
      </c>
      <c r="F2415" s="11" t="s">
        <v>7420</v>
      </c>
      <c r="G2415">
        <v>20260401</v>
      </c>
      <c r="I2415" s="11" t="s">
        <v>63</v>
      </c>
      <c r="J2415" s="72">
        <v>590791</v>
      </c>
      <c r="K2415" s="99">
        <f>_xlfn.XLOOKUP(_2__ROI_Daily_Update[[#This Row],[CSM id]],SHP!F:F,SHP!EE:EE,"-")</f>
        <v>0</v>
      </c>
      <c r="L2415" s="12"/>
      <c r="N2415" s="11"/>
      <c r="P2415"/>
      <c r="Q2415"/>
      <c r="W2415" s="28"/>
      <c r="AA2415"/>
    </row>
    <row r="2416" spans="1:27" x14ac:dyDescent="0.45">
      <c r="A2416" s="57">
        <v>1643</v>
      </c>
      <c r="B2416" t="s">
        <v>3235</v>
      </c>
      <c r="C2416" t="s">
        <v>3236</v>
      </c>
      <c r="D2416" s="12">
        <v>46313</v>
      </c>
      <c r="E2416" s="11">
        <v>60</v>
      </c>
      <c r="F2416" s="11" t="s">
        <v>7430</v>
      </c>
      <c r="G2416">
        <v>20260401</v>
      </c>
      <c r="I2416" s="11" t="s">
        <v>63</v>
      </c>
      <c r="J2416" s="72">
        <v>50619706</v>
      </c>
      <c r="K2416" s="99">
        <f>_xlfn.XLOOKUP(_2__ROI_Daily_Update[[#This Row],[CSM id]],SHP!F:F,SHP!EE:EE,"-")</f>
        <v>0</v>
      </c>
      <c r="L2416" s="12"/>
      <c r="N2416" s="11"/>
      <c r="P2416"/>
      <c r="Q2416"/>
      <c r="W2416" s="28"/>
      <c r="AA2416"/>
    </row>
    <row r="2417" spans="1:27" x14ac:dyDescent="0.45">
      <c r="A2417" s="57">
        <v>341</v>
      </c>
      <c r="B2417" t="s">
        <v>128</v>
      </c>
      <c r="C2417" t="s">
        <v>129</v>
      </c>
      <c r="D2417" s="12">
        <v>46313</v>
      </c>
      <c r="E2417" s="11">
        <v>8</v>
      </c>
      <c r="F2417" s="11" t="s">
        <v>7440</v>
      </c>
      <c r="G2417">
        <v>20260401</v>
      </c>
      <c r="I2417" s="11" t="s">
        <v>63</v>
      </c>
      <c r="J2417" s="72">
        <v>590791</v>
      </c>
      <c r="K2417" s="99">
        <f>_xlfn.XLOOKUP(_2__ROI_Daily_Update[[#This Row],[CSM id]],SHP!F:F,SHP!EE:EE,"-")</f>
        <v>0</v>
      </c>
      <c r="L2417" s="12"/>
      <c r="N2417" s="11"/>
      <c r="P2417"/>
      <c r="Q2417"/>
      <c r="W2417" s="28"/>
      <c r="AA2417"/>
    </row>
    <row r="2418" spans="1:27" x14ac:dyDescent="0.45">
      <c r="A2418" s="57">
        <v>1643</v>
      </c>
      <c r="B2418" t="s">
        <v>3235</v>
      </c>
      <c r="C2418" t="s">
        <v>3236</v>
      </c>
      <c r="D2418" s="12">
        <v>46313</v>
      </c>
      <c r="E2418" s="11">
        <v>90</v>
      </c>
      <c r="F2418" s="11" t="s">
        <v>7420</v>
      </c>
      <c r="G2418">
        <v>20260401</v>
      </c>
      <c r="I2418" s="11" t="s">
        <v>63</v>
      </c>
      <c r="J2418" s="72">
        <v>50619706</v>
      </c>
      <c r="K2418" s="99">
        <f>_xlfn.XLOOKUP(_2__ROI_Daily_Update[[#This Row],[CSM id]],SHP!F:F,SHP!EE:EE,"-")</f>
        <v>0</v>
      </c>
      <c r="L2418" s="12"/>
      <c r="N2418" s="11"/>
      <c r="P2418"/>
      <c r="Q2418"/>
      <c r="W2418" s="28"/>
      <c r="AA2418"/>
    </row>
    <row r="2419" spans="1:27" x14ac:dyDescent="0.45">
      <c r="A2419" s="57">
        <v>341</v>
      </c>
      <c r="B2419" t="s">
        <v>128</v>
      </c>
      <c r="C2419" t="s">
        <v>129</v>
      </c>
      <c r="D2419" s="12">
        <v>46313</v>
      </c>
      <c r="E2419" s="11">
        <v>8</v>
      </c>
      <c r="F2419" s="11" t="s">
        <v>7463</v>
      </c>
      <c r="G2419">
        <v>20260401</v>
      </c>
      <c r="I2419" s="11" t="s">
        <v>63</v>
      </c>
      <c r="J2419" s="72">
        <v>590791</v>
      </c>
      <c r="K2419" s="99">
        <f>_xlfn.XLOOKUP(_2__ROI_Daily_Update[[#This Row],[CSM id]],SHP!F:F,SHP!EE:EE,"-")</f>
        <v>0</v>
      </c>
      <c r="L2419" s="12"/>
      <c r="N2419" s="11"/>
      <c r="P2419"/>
      <c r="Q2419"/>
      <c r="W2419" s="28"/>
      <c r="AA2419"/>
    </row>
    <row r="2420" spans="1:27" x14ac:dyDescent="0.45">
      <c r="A2420" s="57">
        <v>341</v>
      </c>
      <c r="B2420" t="s">
        <v>128</v>
      </c>
      <c r="C2420" t="s">
        <v>129</v>
      </c>
      <c r="D2420" s="12">
        <v>46313</v>
      </c>
      <c r="E2420" s="11">
        <v>8</v>
      </c>
      <c r="F2420" s="11" t="s">
        <v>7480</v>
      </c>
      <c r="G2420">
        <v>20260401</v>
      </c>
      <c r="I2420" s="11" t="s">
        <v>63</v>
      </c>
      <c r="J2420" s="72">
        <v>590791</v>
      </c>
      <c r="K2420" s="99">
        <f>_xlfn.XLOOKUP(_2__ROI_Daily_Update[[#This Row],[CSM id]],SHP!F:F,SHP!EE:EE,"-")</f>
        <v>0</v>
      </c>
      <c r="L2420" s="12"/>
      <c r="N2420" s="11"/>
      <c r="P2420"/>
      <c r="Q2420"/>
      <c r="W2420" s="28"/>
      <c r="AA2420"/>
    </row>
    <row r="2421" spans="1:27" x14ac:dyDescent="0.45">
      <c r="A2421" s="57">
        <v>1643</v>
      </c>
      <c r="B2421" t="s">
        <v>3235</v>
      </c>
      <c r="C2421" t="s">
        <v>3236</v>
      </c>
      <c r="D2421" s="12">
        <v>46313</v>
      </c>
      <c r="E2421" s="11">
        <v>120</v>
      </c>
      <c r="F2421" s="11" t="s">
        <v>7463</v>
      </c>
      <c r="G2421">
        <v>20260401</v>
      </c>
      <c r="I2421" s="11" t="s">
        <v>63</v>
      </c>
      <c r="J2421" s="72">
        <v>50619706</v>
      </c>
      <c r="K2421" s="99">
        <f>_xlfn.XLOOKUP(_2__ROI_Daily_Update[[#This Row],[CSM id]],SHP!F:F,SHP!EE:EE,"-")</f>
        <v>0</v>
      </c>
      <c r="L2421" s="12"/>
      <c r="N2421" s="11"/>
      <c r="P2421"/>
      <c r="Q2421"/>
      <c r="W2421" s="28"/>
      <c r="AA2421"/>
    </row>
    <row r="2422" spans="1:27" x14ac:dyDescent="0.45">
      <c r="A2422" s="57">
        <v>1643</v>
      </c>
      <c r="B2422" t="s">
        <v>6955</v>
      </c>
      <c r="C2422" t="s">
        <v>6956</v>
      </c>
      <c r="D2422" s="12">
        <v>46313</v>
      </c>
      <c r="E2422" s="11">
        <v>200</v>
      </c>
      <c r="F2422" s="11" t="s">
        <v>7463</v>
      </c>
      <c r="G2422">
        <v>20260401</v>
      </c>
      <c r="H2422" s="12">
        <v>46569</v>
      </c>
      <c r="I2422" s="11" t="s">
        <v>63</v>
      </c>
      <c r="J2422" s="72">
        <v>90620449</v>
      </c>
      <c r="K2422" s="99">
        <f>_xlfn.XLOOKUP(_2__ROI_Daily_Update[[#This Row],[CSM id]],SHP!F:F,SHP!EE:EE,"-")</f>
        <v>0</v>
      </c>
      <c r="L2422" s="12"/>
      <c r="N2422" s="11"/>
      <c r="P2422"/>
      <c r="Q2422"/>
      <c r="W2422" s="28"/>
      <c r="AA2422"/>
    </row>
    <row r="2423" spans="1:27" x14ac:dyDescent="0.45">
      <c r="A2423" s="57">
        <v>1643</v>
      </c>
      <c r="B2423" t="s">
        <v>3253</v>
      </c>
      <c r="C2423" t="s">
        <v>3254</v>
      </c>
      <c r="D2423" s="12">
        <v>46313</v>
      </c>
      <c r="E2423" s="11">
        <v>44</v>
      </c>
      <c r="F2423" s="11" t="s">
        <v>7430</v>
      </c>
      <c r="G2423">
        <v>20260401</v>
      </c>
      <c r="H2423" s="12">
        <v>46569</v>
      </c>
      <c r="I2423" s="11" t="s">
        <v>63</v>
      </c>
      <c r="J2423" s="72">
        <v>90618494</v>
      </c>
      <c r="K2423" s="99">
        <f>_xlfn.XLOOKUP(_2__ROI_Daily_Update[[#This Row],[CSM id]],SHP!F:F,SHP!EE:EE,"-")</f>
        <v>0</v>
      </c>
      <c r="L2423" s="12"/>
      <c r="N2423" s="11"/>
      <c r="P2423"/>
      <c r="Q2423"/>
      <c r="W2423" s="28"/>
      <c r="AA2423"/>
    </row>
    <row r="2424" spans="1:27" x14ac:dyDescent="0.45">
      <c r="A2424" s="57">
        <v>342</v>
      </c>
      <c r="B2424" t="s">
        <v>5286</v>
      </c>
      <c r="C2424" t="s">
        <v>5287</v>
      </c>
      <c r="D2424" s="12">
        <v>46313</v>
      </c>
      <c r="E2424" s="11">
        <v>38</v>
      </c>
      <c r="F2424" s="11" t="s">
        <v>7420</v>
      </c>
      <c r="G2424">
        <v>20200401</v>
      </c>
      <c r="I2424" s="11" t="s">
        <v>63</v>
      </c>
      <c r="J2424" s="72">
        <v>20460406</v>
      </c>
      <c r="K2424" s="99">
        <f>_xlfn.XLOOKUP(_2__ROI_Daily_Update[[#This Row],[CSM id]],SHP!F:F,SHP!EE:EE,"-")</f>
        <v>0</v>
      </c>
      <c r="L2424" s="12"/>
      <c r="N2424" s="11"/>
      <c r="P2424"/>
      <c r="Q2424"/>
      <c r="W2424" s="28"/>
      <c r="AA2424"/>
    </row>
    <row r="2425" spans="1:27" x14ac:dyDescent="0.45">
      <c r="A2425" s="57">
        <v>1643</v>
      </c>
      <c r="B2425" t="s">
        <v>3251</v>
      </c>
      <c r="C2425" t="s">
        <v>3252</v>
      </c>
      <c r="D2425" s="12">
        <v>46313</v>
      </c>
      <c r="E2425" s="11">
        <v>78</v>
      </c>
      <c r="F2425" s="11" t="s">
        <v>7410</v>
      </c>
      <c r="G2425">
        <v>20240701</v>
      </c>
      <c r="I2425" s="11" t="s">
        <v>63</v>
      </c>
      <c r="J2425" s="72">
        <v>90578092</v>
      </c>
      <c r="K2425" s="99">
        <f>_xlfn.XLOOKUP(_2__ROI_Daily_Update[[#This Row],[CSM id]],SHP!F:F,SHP!EE:EE,"-")</f>
        <v>0</v>
      </c>
      <c r="L2425" s="12"/>
      <c r="N2425" s="11"/>
      <c r="P2425"/>
      <c r="Q2425"/>
      <c r="W2425" s="28"/>
      <c r="AA2425"/>
    </row>
    <row r="2426" spans="1:27" x14ac:dyDescent="0.45">
      <c r="A2426" s="57">
        <v>341</v>
      </c>
      <c r="B2426" t="s">
        <v>5626</v>
      </c>
      <c r="C2426" t="s">
        <v>5627</v>
      </c>
      <c r="D2426" s="12">
        <v>46313</v>
      </c>
      <c r="E2426" s="11">
        <v>15</v>
      </c>
      <c r="F2426" s="11" t="s">
        <v>7499</v>
      </c>
      <c r="G2426">
        <v>20220401</v>
      </c>
      <c r="I2426" s="11" t="s">
        <v>18</v>
      </c>
      <c r="J2426" s="72">
        <v>70493956</v>
      </c>
      <c r="K2426" s="99">
        <f>_xlfn.XLOOKUP(_2__ROI_Daily_Update[[#This Row],[CSM id]],SHP!F:F,SHP!EE:EE,"-")</f>
        <v>0</v>
      </c>
      <c r="L2426" s="12"/>
      <c r="N2426" s="11"/>
      <c r="P2426"/>
      <c r="Q2426"/>
      <c r="W2426" s="28"/>
      <c r="AA2426"/>
    </row>
    <row r="2427" spans="1:27" x14ac:dyDescent="0.45">
      <c r="A2427" s="57">
        <v>1643</v>
      </c>
      <c r="B2427" t="s">
        <v>3249</v>
      </c>
      <c r="C2427" t="s">
        <v>3250</v>
      </c>
      <c r="D2427" s="12">
        <v>46313</v>
      </c>
      <c r="E2427" s="11">
        <v>16</v>
      </c>
      <c r="F2427" s="11" t="s">
        <v>7400</v>
      </c>
      <c r="G2427">
        <v>20221001</v>
      </c>
      <c r="I2427" s="11" t="s">
        <v>63</v>
      </c>
      <c r="J2427" s="72">
        <v>80540858</v>
      </c>
      <c r="K2427" s="99">
        <f>_xlfn.XLOOKUP(_2__ROI_Daily_Update[[#This Row],[CSM id]],SHP!F:F,SHP!EE:EE,"-")</f>
        <v>0</v>
      </c>
      <c r="L2427" s="12"/>
      <c r="N2427" s="11"/>
      <c r="P2427"/>
      <c r="Q2427"/>
      <c r="W2427" s="28"/>
      <c r="AA2427"/>
    </row>
    <row r="2428" spans="1:27" x14ac:dyDescent="0.45">
      <c r="A2428" s="57">
        <v>341</v>
      </c>
      <c r="B2428" t="s">
        <v>301</v>
      </c>
      <c r="C2428" t="s">
        <v>302</v>
      </c>
      <c r="D2428" s="12">
        <v>46313</v>
      </c>
      <c r="E2428" s="11">
        <v>36</v>
      </c>
      <c r="F2428" s="11" t="s">
        <v>7499</v>
      </c>
      <c r="G2428">
        <v>20230901</v>
      </c>
      <c r="I2428" s="11" t="s">
        <v>18</v>
      </c>
      <c r="J2428" s="72">
        <v>60557802</v>
      </c>
      <c r="K2428" s="99">
        <f>_xlfn.XLOOKUP(_2__ROI_Daily_Update[[#This Row],[CSM id]],SHP!F:F,SHP!EE:EE,"-")</f>
        <v>0</v>
      </c>
      <c r="L2428" s="12"/>
      <c r="N2428" s="11"/>
      <c r="P2428"/>
      <c r="Q2428"/>
      <c r="W2428" s="28"/>
      <c r="AA2428"/>
    </row>
    <row r="2429" spans="1:27" x14ac:dyDescent="0.45">
      <c r="A2429" s="57">
        <v>341</v>
      </c>
      <c r="B2429" t="s">
        <v>5626</v>
      </c>
      <c r="C2429" t="s">
        <v>5627</v>
      </c>
      <c r="D2429" s="12">
        <v>46313</v>
      </c>
      <c r="E2429" s="11">
        <v>19</v>
      </c>
      <c r="F2429" s="11" t="s">
        <v>7468</v>
      </c>
      <c r="G2429">
        <v>20220401</v>
      </c>
      <c r="I2429" s="11" t="s">
        <v>18</v>
      </c>
      <c r="J2429" s="72">
        <v>70493956</v>
      </c>
      <c r="K2429" s="99">
        <f>_xlfn.XLOOKUP(_2__ROI_Daily_Update[[#This Row],[CSM id]],SHP!F:F,SHP!EE:EE,"-")</f>
        <v>0</v>
      </c>
      <c r="L2429" s="12"/>
      <c r="N2429" s="11"/>
      <c r="P2429"/>
      <c r="Q2429"/>
      <c r="W2429" s="28"/>
      <c r="AA2429"/>
    </row>
    <row r="2430" spans="1:27" x14ac:dyDescent="0.45">
      <c r="A2430" s="57">
        <v>1643</v>
      </c>
      <c r="B2430" t="s">
        <v>3243</v>
      </c>
      <c r="C2430" t="s">
        <v>3244</v>
      </c>
      <c r="D2430" s="12">
        <v>46313</v>
      </c>
      <c r="E2430" s="11">
        <v>48</v>
      </c>
      <c r="F2430" s="11" t="s">
        <v>7453</v>
      </c>
      <c r="G2430">
        <v>20221001</v>
      </c>
      <c r="I2430" s="11" t="s">
        <v>63</v>
      </c>
      <c r="J2430" s="72">
        <v>70540477</v>
      </c>
      <c r="K2430" s="99">
        <f>_xlfn.XLOOKUP(_2__ROI_Daily_Update[[#This Row],[CSM id]],SHP!F:F,SHP!EE:EE,"-")</f>
        <v>0</v>
      </c>
      <c r="L2430" s="12"/>
      <c r="N2430" s="11"/>
      <c r="P2430"/>
      <c r="Q2430"/>
      <c r="W2430" s="28"/>
      <c r="AA2430"/>
    </row>
    <row r="2431" spans="1:27" x14ac:dyDescent="0.45">
      <c r="A2431" s="57">
        <v>341</v>
      </c>
      <c r="B2431" t="s">
        <v>52</v>
      </c>
      <c r="C2431" t="s">
        <v>53</v>
      </c>
      <c r="D2431" s="12">
        <v>46313</v>
      </c>
      <c r="E2431" s="11">
        <v>6</v>
      </c>
      <c r="F2431" s="11" t="s">
        <v>7485</v>
      </c>
      <c r="G2431">
        <v>20170401</v>
      </c>
      <c r="H2431" s="12">
        <v>46478</v>
      </c>
      <c r="I2431" s="11" t="s">
        <v>18</v>
      </c>
      <c r="J2431" s="72">
        <v>20354284</v>
      </c>
      <c r="K2431" s="99">
        <f>_xlfn.XLOOKUP(_2__ROI_Daily_Update[[#This Row],[CSM id]],SHP!F:F,SHP!EE:EE,"-")</f>
        <v>0</v>
      </c>
      <c r="L2431" s="12"/>
      <c r="N2431" s="11"/>
      <c r="P2431"/>
      <c r="Q2431"/>
      <c r="W2431" s="28"/>
      <c r="AA2431"/>
    </row>
    <row r="2432" spans="1:27" x14ac:dyDescent="0.45">
      <c r="A2432" s="57">
        <v>1643</v>
      </c>
      <c r="B2432" t="s">
        <v>3241</v>
      </c>
      <c r="C2432" t="s">
        <v>3242</v>
      </c>
      <c r="D2432" s="12">
        <v>46313</v>
      </c>
      <c r="E2432" s="11">
        <v>140</v>
      </c>
      <c r="F2432" s="11" t="s">
        <v>7453</v>
      </c>
      <c r="G2432">
        <v>20260401</v>
      </c>
      <c r="I2432" s="11" t="s">
        <v>63</v>
      </c>
      <c r="J2432" s="72">
        <v>60620455</v>
      </c>
      <c r="K2432" s="99">
        <f>_xlfn.XLOOKUP(_2__ROI_Daily_Update[[#This Row],[CSM id]],SHP!F:F,SHP!EE:EE,"-")</f>
        <v>0</v>
      </c>
      <c r="L2432" s="12"/>
      <c r="N2432" s="11"/>
      <c r="P2432"/>
      <c r="Q2432"/>
      <c r="W2432" s="28"/>
      <c r="AA2432"/>
    </row>
    <row r="2433" spans="1:27" x14ac:dyDescent="0.45">
      <c r="A2433" s="57">
        <v>1643</v>
      </c>
      <c r="B2433" t="s">
        <v>3241</v>
      </c>
      <c r="C2433" t="s">
        <v>3242</v>
      </c>
      <c r="D2433" s="12">
        <v>46313</v>
      </c>
      <c r="E2433" s="11">
        <v>140</v>
      </c>
      <c r="F2433" s="11" t="s">
        <v>7430</v>
      </c>
      <c r="G2433">
        <v>20260401</v>
      </c>
      <c r="I2433" s="11" t="s">
        <v>63</v>
      </c>
      <c r="J2433" s="72">
        <v>60620455</v>
      </c>
      <c r="K2433" s="99">
        <f>_xlfn.XLOOKUP(_2__ROI_Daily_Update[[#This Row],[CSM id]],SHP!F:F,SHP!EE:EE,"-")</f>
        <v>0</v>
      </c>
      <c r="L2433" s="12"/>
      <c r="N2433" s="11"/>
      <c r="P2433"/>
      <c r="Q2433"/>
      <c r="W2433" s="28"/>
      <c r="AA2433"/>
    </row>
    <row r="2434" spans="1:27" x14ac:dyDescent="0.45">
      <c r="A2434" s="57">
        <v>1643</v>
      </c>
      <c r="B2434" t="s">
        <v>3237</v>
      </c>
      <c r="C2434" t="s">
        <v>3238</v>
      </c>
      <c r="D2434" s="12">
        <v>46313</v>
      </c>
      <c r="E2434" s="11">
        <v>24</v>
      </c>
      <c r="F2434" s="11" t="s">
        <v>7420</v>
      </c>
      <c r="G2434">
        <v>20221001</v>
      </c>
      <c r="I2434" s="11" t="s">
        <v>63</v>
      </c>
      <c r="J2434" s="72">
        <v>60540840</v>
      </c>
      <c r="K2434" s="99">
        <f>_xlfn.XLOOKUP(_2__ROI_Daily_Update[[#This Row],[CSM id]],SHP!F:F,SHP!EE:EE,"-")</f>
        <v>0</v>
      </c>
      <c r="L2434" s="12"/>
      <c r="N2434" s="11"/>
      <c r="P2434"/>
      <c r="Q2434"/>
      <c r="W2434" s="28"/>
      <c r="AA2434"/>
    </row>
    <row r="2435" spans="1:27" x14ac:dyDescent="0.45">
      <c r="A2435" s="57">
        <v>1852</v>
      </c>
      <c r="B2435" t="s">
        <v>3711</v>
      </c>
      <c r="C2435" t="s">
        <v>3712</v>
      </c>
      <c r="D2435" s="12">
        <v>46313</v>
      </c>
      <c r="E2435" s="11">
        <v>12</v>
      </c>
      <c r="F2435" s="11" t="s">
        <v>6946</v>
      </c>
      <c r="G2435">
        <v>20260101</v>
      </c>
      <c r="I2435" s="11" t="s">
        <v>63</v>
      </c>
      <c r="J2435" s="72">
        <v>80595394</v>
      </c>
      <c r="K2435" s="99">
        <f>_xlfn.XLOOKUP(_2__ROI_Daily_Update[[#This Row],[CSM id]],SHP!F:F,SHP!EE:EE,"-")</f>
        <v>0</v>
      </c>
      <c r="L2435" s="12"/>
      <c r="N2435" s="11"/>
      <c r="P2435"/>
      <c r="Q2435"/>
      <c r="W2435" s="28"/>
      <c r="AA2435"/>
    </row>
    <row r="2436" spans="1:27" x14ac:dyDescent="0.45">
      <c r="A2436" s="57">
        <v>1643</v>
      </c>
      <c r="B2436" t="s">
        <v>5636</v>
      </c>
      <c r="C2436" t="s">
        <v>5637</v>
      </c>
      <c r="D2436" s="12">
        <v>46313</v>
      </c>
      <c r="E2436" s="11">
        <v>42</v>
      </c>
      <c r="F2436" s="11" t="s">
        <v>7410</v>
      </c>
      <c r="G2436">
        <v>20260701</v>
      </c>
      <c r="I2436" s="11" t="s">
        <v>63</v>
      </c>
      <c r="J2436" s="72">
        <v>70638841</v>
      </c>
      <c r="K2436" s="99">
        <f>_xlfn.XLOOKUP(_2__ROI_Daily_Update[[#This Row],[CSM id]],SHP!F:F,SHP!EE:EE,"-")</f>
        <v>0</v>
      </c>
      <c r="L2436" s="12"/>
      <c r="N2436" s="11"/>
      <c r="P2436"/>
      <c r="Q2436"/>
      <c r="W2436" s="28"/>
      <c r="AA2436"/>
    </row>
    <row r="2437" spans="1:27" x14ac:dyDescent="0.45">
      <c r="A2437" s="57">
        <v>1852</v>
      </c>
      <c r="B2437" t="s">
        <v>3717</v>
      </c>
      <c r="C2437" t="s">
        <v>3718</v>
      </c>
      <c r="D2437" s="12">
        <v>46313</v>
      </c>
      <c r="E2437" s="11">
        <v>12</v>
      </c>
      <c r="F2437" s="11" t="s">
        <v>7400</v>
      </c>
      <c r="G2437">
        <v>20260101</v>
      </c>
      <c r="I2437" s="11" t="s">
        <v>63</v>
      </c>
      <c r="J2437" s="72">
        <v>90595398</v>
      </c>
      <c r="K2437" s="99">
        <f>_xlfn.XLOOKUP(_2__ROI_Daily_Update[[#This Row],[CSM id]],SHP!F:F,SHP!EE:EE,"-")</f>
        <v>0</v>
      </c>
      <c r="L2437" s="12"/>
      <c r="N2437" s="11"/>
      <c r="P2437"/>
      <c r="Q2437"/>
      <c r="W2437" s="28"/>
      <c r="AA2437"/>
    </row>
    <row r="2438" spans="1:27" x14ac:dyDescent="0.45">
      <c r="A2438" s="57">
        <v>1541</v>
      </c>
      <c r="B2438" t="s">
        <v>2773</v>
      </c>
      <c r="C2438" t="s">
        <v>2774</v>
      </c>
      <c r="D2438" s="12">
        <v>46313</v>
      </c>
      <c r="E2438" s="11">
        <v>12</v>
      </c>
      <c r="F2438" s="11" t="s">
        <v>6940</v>
      </c>
      <c r="G2438">
        <v>20220401</v>
      </c>
      <c r="I2438" s="11" t="s">
        <v>63</v>
      </c>
      <c r="J2438" s="72">
        <v>60526580</v>
      </c>
      <c r="K2438" s="99">
        <f>_xlfn.XLOOKUP(_2__ROI_Daily_Update[[#This Row],[CSM id]],SHP!F:F,SHP!EE:EE,"-")</f>
        <v>0</v>
      </c>
      <c r="L2438" s="12"/>
      <c r="N2438" s="11"/>
      <c r="P2438"/>
      <c r="Q2438"/>
      <c r="W2438" s="28"/>
      <c r="AA2438"/>
    </row>
    <row r="2439" spans="1:27" x14ac:dyDescent="0.45">
      <c r="A2439" s="57">
        <v>1541</v>
      </c>
      <c r="B2439" t="s">
        <v>2775</v>
      </c>
      <c r="C2439" t="s">
        <v>2776</v>
      </c>
      <c r="D2439" s="12">
        <v>46313</v>
      </c>
      <c r="E2439" s="11">
        <v>70</v>
      </c>
      <c r="F2439" s="11" t="s">
        <v>7475</v>
      </c>
      <c r="G2439">
        <v>20230701</v>
      </c>
      <c r="I2439" s="11" t="s">
        <v>63</v>
      </c>
      <c r="J2439" s="72">
        <v>60559189</v>
      </c>
      <c r="K2439" s="99">
        <f>_xlfn.XLOOKUP(_2__ROI_Daily_Update[[#This Row],[CSM id]],SHP!F:F,SHP!EE:EE,"-")</f>
        <v>0</v>
      </c>
      <c r="L2439" s="12"/>
      <c r="N2439" s="11"/>
      <c r="P2439"/>
      <c r="Q2439"/>
      <c r="W2439" s="28"/>
      <c r="AA2439"/>
    </row>
    <row r="2440" spans="1:27" x14ac:dyDescent="0.45">
      <c r="A2440" s="57">
        <v>1643</v>
      </c>
      <c r="B2440" t="s">
        <v>3221</v>
      </c>
      <c r="C2440" t="s">
        <v>3222</v>
      </c>
      <c r="D2440" s="12">
        <v>46313</v>
      </c>
      <c r="E2440" s="11">
        <v>180</v>
      </c>
      <c r="F2440" s="11" t="s">
        <v>7499</v>
      </c>
      <c r="G2440">
        <v>20230101</v>
      </c>
      <c r="I2440" s="11" t="s">
        <v>18</v>
      </c>
      <c r="J2440" s="72">
        <v>10557079</v>
      </c>
      <c r="K2440" s="99">
        <f>_xlfn.XLOOKUP(_2__ROI_Daily_Update[[#This Row],[CSM id]],SHP!F:F,SHP!EE:EE,"-")</f>
        <v>0</v>
      </c>
      <c r="L2440" s="12"/>
      <c r="N2440" s="11"/>
      <c r="P2440"/>
      <c r="Q2440"/>
      <c r="W2440" s="28"/>
      <c r="AA2440"/>
    </row>
    <row r="2441" spans="1:27" x14ac:dyDescent="0.45">
      <c r="A2441" s="57">
        <v>1643</v>
      </c>
      <c r="B2441" t="s">
        <v>3223</v>
      </c>
      <c r="C2441" t="s">
        <v>3224</v>
      </c>
      <c r="D2441" s="12">
        <v>46313</v>
      </c>
      <c r="E2441" s="11">
        <v>84</v>
      </c>
      <c r="F2441" s="11" t="s">
        <v>7420</v>
      </c>
      <c r="G2441">
        <v>20260401</v>
      </c>
      <c r="H2441" s="12">
        <v>46569</v>
      </c>
      <c r="I2441" s="11" t="s">
        <v>63</v>
      </c>
      <c r="J2441" s="72">
        <v>10620448</v>
      </c>
      <c r="K2441" s="99">
        <f>_xlfn.XLOOKUP(_2__ROI_Daily_Update[[#This Row],[CSM id]],SHP!F:F,SHP!EE:EE,"-")</f>
        <v>0</v>
      </c>
      <c r="L2441" s="12"/>
      <c r="N2441" s="11"/>
      <c r="P2441"/>
      <c r="Q2441"/>
      <c r="W2441" s="28"/>
      <c r="AA2441"/>
    </row>
    <row r="2442" spans="1:27" x14ac:dyDescent="0.45">
      <c r="A2442" s="57">
        <v>1643</v>
      </c>
      <c r="B2442" t="s">
        <v>3223</v>
      </c>
      <c r="C2442" t="s">
        <v>3224</v>
      </c>
      <c r="D2442" s="12">
        <v>46313</v>
      </c>
      <c r="E2442" s="11">
        <v>84</v>
      </c>
      <c r="F2442" s="11" t="s">
        <v>6946</v>
      </c>
      <c r="G2442">
        <v>20260401</v>
      </c>
      <c r="H2442" s="12">
        <v>46569</v>
      </c>
      <c r="I2442" s="11" t="s">
        <v>63</v>
      </c>
      <c r="J2442" s="72">
        <v>10620448</v>
      </c>
      <c r="K2442" s="99">
        <f>_xlfn.XLOOKUP(_2__ROI_Daily_Update[[#This Row],[CSM id]],SHP!F:F,SHP!EE:EE,"-")</f>
        <v>0</v>
      </c>
      <c r="L2442" s="12"/>
      <c r="N2442" s="11"/>
      <c r="P2442"/>
      <c r="Q2442"/>
      <c r="W2442" s="28"/>
      <c r="AA2442"/>
    </row>
    <row r="2443" spans="1:27" x14ac:dyDescent="0.45">
      <c r="A2443" s="57">
        <v>1643</v>
      </c>
      <c r="B2443" t="s">
        <v>3223</v>
      </c>
      <c r="C2443" t="s">
        <v>3224</v>
      </c>
      <c r="D2443" s="12">
        <v>46313</v>
      </c>
      <c r="E2443" s="11">
        <v>84</v>
      </c>
      <c r="F2443" s="11" t="s">
        <v>7453</v>
      </c>
      <c r="G2443">
        <v>20260401</v>
      </c>
      <c r="H2443" s="12">
        <v>46569</v>
      </c>
      <c r="I2443" s="11" t="s">
        <v>63</v>
      </c>
      <c r="J2443" s="72">
        <v>10620448</v>
      </c>
      <c r="K2443" s="99">
        <f>_xlfn.XLOOKUP(_2__ROI_Daily_Update[[#This Row],[CSM id]],SHP!F:F,SHP!EE:EE,"-")</f>
        <v>0</v>
      </c>
      <c r="L2443" s="12"/>
      <c r="N2443" s="11"/>
      <c r="P2443"/>
      <c r="Q2443"/>
      <c r="W2443" s="28"/>
      <c r="AA2443"/>
    </row>
    <row r="2444" spans="1:27" x14ac:dyDescent="0.45">
      <c r="A2444" s="57">
        <v>241</v>
      </c>
      <c r="B2444" t="s">
        <v>15</v>
      </c>
      <c r="C2444" t="s">
        <v>16</v>
      </c>
      <c r="D2444" s="12">
        <v>46313</v>
      </c>
      <c r="E2444" s="11">
        <v>27</v>
      </c>
      <c r="F2444" s="11" t="s">
        <v>7485</v>
      </c>
      <c r="G2444">
        <v>20260101</v>
      </c>
      <c r="I2444" s="11" t="s">
        <v>18</v>
      </c>
      <c r="J2444" s="72">
        <v>20483083</v>
      </c>
      <c r="K2444" s="99">
        <f>_xlfn.XLOOKUP(_2__ROI_Daily_Update[[#This Row],[CSM id]],SHP!F:F,SHP!EE:EE,"-")</f>
        <v>0</v>
      </c>
      <c r="L2444" s="12"/>
      <c r="N2444" s="11"/>
      <c r="P2444"/>
      <c r="Q2444"/>
      <c r="W2444" s="28"/>
      <c r="AA2444"/>
    </row>
    <row r="2445" spans="1:27" x14ac:dyDescent="0.45">
      <c r="A2445" s="57">
        <v>241</v>
      </c>
      <c r="B2445" t="s">
        <v>15</v>
      </c>
      <c r="C2445" t="s">
        <v>16</v>
      </c>
      <c r="D2445" s="12">
        <v>46313</v>
      </c>
      <c r="E2445" s="11">
        <v>27</v>
      </c>
      <c r="F2445" s="11" t="s">
        <v>7499</v>
      </c>
      <c r="G2445">
        <v>20260101</v>
      </c>
      <c r="I2445" s="11" t="s">
        <v>18</v>
      </c>
      <c r="J2445" s="72">
        <v>20483083</v>
      </c>
      <c r="K2445" s="99">
        <f>_xlfn.XLOOKUP(_2__ROI_Daily_Update[[#This Row],[CSM id]],SHP!F:F,SHP!EE:EE,"-")</f>
        <v>0</v>
      </c>
      <c r="L2445" s="12"/>
      <c r="N2445" s="11"/>
      <c r="P2445"/>
      <c r="Q2445"/>
      <c r="W2445" s="28"/>
      <c r="AA2445"/>
    </row>
    <row r="2446" spans="1:27" x14ac:dyDescent="0.45">
      <c r="A2446" s="57">
        <v>241</v>
      </c>
      <c r="B2446" t="s">
        <v>312</v>
      </c>
      <c r="C2446" t="s">
        <v>313</v>
      </c>
      <c r="D2446" s="12">
        <v>46313</v>
      </c>
      <c r="E2446" s="11">
        <v>18</v>
      </c>
      <c r="F2446" s="11" t="s">
        <v>7485</v>
      </c>
      <c r="G2446">
        <v>20220701</v>
      </c>
      <c r="I2446" s="11" t="s">
        <v>18</v>
      </c>
      <c r="J2446" s="72">
        <v>70540161</v>
      </c>
      <c r="K2446" s="99">
        <f>_xlfn.XLOOKUP(_2__ROI_Daily_Update[[#This Row],[CSM id]],SHP!F:F,SHP!EE:EE,"-")</f>
        <v>0</v>
      </c>
      <c r="L2446" s="12"/>
      <c r="N2446" s="11"/>
      <c r="P2446"/>
      <c r="Q2446"/>
      <c r="W2446" s="28"/>
      <c r="AA2446"/>
    </row>
    <row r="2447" spans="1:27" x14ac:dyDescent="0.45">
      <c r="A2447" s="57">
        <v>1643</v>
      </c>
      <c r="B2447" t="s">
        <v>3225</v>
      </c>
      <c r="C2447" t="s">
        <v>3226</v>
      </c>
      <c r="D2447" s="12">
        <v>46313</v>
      </c>
      <c r="E2447" s="11">
        <v>216</v>
      </c>
      <c r="F2447" s="11" t="s">
        <v>7468</v>
      </c>
      <c r="G2447">
        <v>20260401</v>
      </c>
      <c r="I2447" s="11" t="s">
        <v>18</v>
      </c>
      <c r="J2447" s="72">
        <v>20617087</v>
      </c>
      <c r="K2447" s="99">
        <f>_xlfn.XLOOKUP(_2__ROI_Daily_Update[[#This Row],[CSM id]],SHP!F:F,SHP!EE:EE,"-")</f>
        <v>0</v>
      </c>
      <c r="L2447" s="12"/>
      <c r="N2447" s="11"/>
      <c r="P2447"/>
      <c r="Q2447"/>
      <c r="W2447" s="28"/>
      <c r="AA2447"/>
    </row>
    <row r="2448" spans="1:27" x14ac:dyDescent="0.45">
      <c r="A2448" s="57">
        <v>1551</v>
      </c>
      <c r="B2448" t="s">
        <v>2801</v>
      </c>
      <c r="C2448" t="s">
        <v>2802</v>
      </c>
      <c r="D2448" s="12">
        <v>46313</v>
      </c>
      <c r="E2448" s="11">
        <v>600</v>
      </c>
      <c r="F2448" s="11" t="s">
        <v>7492</v>
      </c>
      <c r="G2448">
        <v>20200801</v>
      </c>
      <c r="I2448" s="11" t="s">
        <v>18</v>
      </c>
      <c r="J2448" s="72">
        <v>10362821</v>
      </c>
      <c r="K2448" s="99">
        <f>_xlfn.XLOOKUP(_2__ROI_Daily_Update[[#This Row],[CSM id]],SHP!F:F,SHP!EE:EE,"-")</f>
        <v>0</v>
      </c>
      <c r="L2448" s="12"/>
      <c r="N2448" s="11"/>
      <c r="P2448"/>
      <c r="Q2448"/>
      <c r="W2448" s="28"/>
      <c r="AA2448"/>
    </row>
    <row r="2449" spans="1:27" x14ac:dyDescent="0.45">
      <c r="A2449" s="57">
        <v>1551</v>
      </c>
      <c r="B2449" t="s">
        <v>5608</v>
      </c>
      <c r="C2449" t="s">
        <v>5609</v>
      </c>
      <c r="D2449" s="12">
        <v>46313</v>
      </c>
      <c r="E2449" s="11">
        <v>240</v>
      </c>
      <c r="F2449" s="11" t="s">
        <v>7410</v>
      </c>
      <c r="G2449">
        <v>20150401</v>
      </c>
      <c r="I2449" s="11" t="s">
        <v>63</v>
      </c>
      <c r="J2449" s="72">
        <v>10282947</v>
      </c>
      <c r="K2449" s="99">
        <f>_xlfn.XLOOKUP(_2__ROI_Daily_Update[[#This Row],[CSM id]],SHP!F:F,SHP!EE:EE,"-")</f>
        <v>0</v>
      </c>
      <c r="L2449" s="12"/>
      <c r="N2449" s="11"/>
      <c r="P2449"/>
      <c r="Q2449"/>
      <c r="W2449" s="28"/>
      <c r="AA2449"/>
    </row>
    <row r="2450" spans="1:27" x14ac:dyDescent="0.45">
      <c r="A2450" s="57">
        <v>1852</v>
      </c>
      <c r="B2450" t="s">
        <v>3717</v>
      </c>
      <c r="C2450" t="s">
        <v>3718</v>
      </c>
      <c r="D2450" s="12">
        <v>46313</v>
      </c>
      <c r="E2450" s="11">
        <v>12</v>
      </c>
      <c r="F2450" s="11" t="s">
        <v>7430</v>
      </c>
      <c r="G2450">
        <v>20260101</v>
      </c>
      <c r="I2450" s="11" t="s">
        <v>63</v>
      </c>
      <c r="J2450" s="72">
        <v>90595398</v>
      </c>
      <c r="K2450" s="99">
        <f>_xlfn.XLOOKUP(_2__ROI_Daily_Update[[#This Row],[CSM id]],SHP!F:F,SHP!EE:EE,"-")</f>
        <v>0</v>
      </c>
      <c r="L2450" s="12"/>
      <c r="N2450" s="11"/>
      <c r="P2450"/>
      <c r="Q2450"/>
      <c r="W2450" s="28"/>
      <c r="AA2450"/>
    </row>
    <row r="2451" spans="1:27" x14ac:dyDescent="0.45">
      <c r="A2451" s="57">
        <v>1643</v>
      </c>
      <c r="B2451" t="s">
        <v>5386</v>
      </c>
      <c r="C2451" t="s">
        <v>5387</v>
      </c>
      <c r="D2451" s="12">
        <v>46313</v>
      </c>
      <c r="E2451" s="11">
        <v>48</v>
      </c>
      <c r="F2451" s="11" t="s">
        <v>7420</v>
      </c>
      <c r="G2451">
        <v>20201201</v>
      </c>
      <c r="I2451" s="11" t="s">
        <v>63</v>
      </c>
      <c r="J2451" s="72">
        <v>30499130</v>
      </c>
      <c r="K2451" s="99">
        <f>_xlfn.XLOOKUP(_2__ROI_Daily_Update[[#This Row],[CSM id]],SHP!F:F,SHP!EE:EE,"-")</f>
        <v>0</v>
      </c>
      <c r="L2451" s="12"/>
      <c r="N2451" s="11"/>
      <c r="P2451"/>
      <c r="Q2451"/>
      <c r="W2451" s="28"/>
      <c r="AA2451"/>
    </row>
    <row r="2452" spans="1:27" x14ac:dyDescent="0.45">
      <c r="A2452" s="57">
        <v>1542</v>
      </c>
      <c r="B2452" t="s">
        <v>2797</v>
      </c>
      <c r="C2452" t="s">
        <v>2798</v>
      </c>
      <c r="D2452" s="12">
        <v>46313</v>
      </c>
      <c r="E2452" s="11">
        <v>54</v>
      </c>
      <c r="F2452" s="11" t="s">
        <v>6946</v>
      </c>
      <c r="G2452">
        <v>20260801</v>
      </c>
      <c r="H2452" s="12">
        <v>46388</v>
      </c>
      <c r="I2452" s="11" t="s">
        <v>63</v>
      </c>
      <c r="J2452" s="72">
        <v>90631805</v>
      </c>
      <c r="K2452" s="99">
        <f>_xlfn.XLOOKUP(_2__ROI_Daily_Update[[#This Row],[CSM id]],SHP!F:F,SHP!EE:EE,"-")</f>
        <v>0</v>
      </c>
      <c r="L2452" s="12"/>
      <c r="N2452" s="11"/>
      <c r="P2452"/>
      <c r="Q2452"/>
      <c r="W2452" s="28"/>
      <c r="AA2452"/>
    </row>
    <row r="2453" spans="1:27" x14ac:dyDescent="0.45">
      <c r="A2453" s="57">
        <v>1542</v>
      </c>
      <c r="B2453" t="s">
        <v>2797</v>
      </c>
      <c r="C2453" t="s">
        <v>2798</v>
      </c>
      <c r="D2453" s="12">
        <v>46313</v>
      </c>
      <c r="E2453" s="11">
        <v>54</v>
      </c>
      <c r="F2453" s="11" t="s">
        <v>7420</v>
      </c>
      <c r="G2453">
        <v>20260801</v>
      </c>
      <c r="H2453" s="12">
        <v>46388</v>
      </c>
      <c r="I2453" s="11" t="s">
        <v>63</v>
      </c>
      <c r="J2453" s="72">
        <v>90631805</v>
      </c>
      <c r="K2453" s="99">
        <f>_xlfn.XLOOKUP(_2__ROI_Daily_Update[[#This Row],[CSM id]],SHP!F:F,SHP!EE:EE,"-")</f>
        <v>0</v>
      </c>
      <c r="L2453" s="12"/>
      <c r="N2453" s="11"/>
      <c r="P2453"/>
      <c r="Q2453"/>
      <c r="W2453" s="28"/>
      <c r="AA2453"/>
    </row>
    <row r="2454" spans="1:27" x14ac:dyDescent="0.45">
      <c r="A2454" s="57">
        <v>1542</v>
      </c>
      <c r="B2454" t="s">
        <v>6831</v>
      </c>
      <c r="C2454" t="s">
        <v>6832</v>
      </c>
      <c r="D2454" s="12">
        <v>46313</v>
      </c>
      <c r="E2454" s="11">
        <v>40</v>
      </c>
      <c r="F2454" s="11" t="s">
        <v>7463</v>
      </c>
      <c r="G2454">
        <v>20251001</v>
      </c>
      <c r="H2454" s="12">
        <v>46569</v>
      </c>
      <c r="I2454" s="11" t="s">
        <v>63</v>
      </c>
      <c r="J2454" s="72">
        <v>90618371</v>
      </c>
      <c r="K2454" s="99">
        <f>_xlfn.XLOOKUP(_2__ROI_Daily_Update[[#This Row],[CSM id]],SHP!F:F,SHP!EE:EE,"-")</f>
        <v>0</v>
      </c>
      <c r="L2454" s="12"/>
      <c r="N2454" s="11"/>
      <c r="P2454"/>
      <c r="Q2454"/>
      <c r="W2454" s="28"/>
      <c r="AA2454"/>
    </row>
    <row r="2455" spans="1:27" x14ac:dyDescent="0.45">
      <c r="A2455" s="57">
        <v>1542</v>
      </c>
      <c r="B2455" t="s">
        <v>2795</v>
      </c>
      <c r="C2455" t="s">
        <v>2796</v>
      </c>
      <c r="D2455" s="12">
        <v>46313</v>
      </c>
      <c r="E2455" s="11">
        <v>324</v>
      </c>
      <c r="F2455" s="11" t="s">
        <v>7410</v>
      </c>
      <c r="G2455">
        <v>20250701</v>
      </c>
      <c r="I2455" s="11" t="s">
        <v>63</v>
      </c>
      <c r="J2455" s="72">
        <v>70607694</v>
      </c>
      <c r="K2455" s="99">
        <f>_xlfn.XLOOKUP(_2__ROI_Daily_Update[[#This Row],[CSM id]],SHP!F:F,SHP!EE:EE,"-")</f>
        <v>0</v>
      </c>
      <c r="L2455" s="12"/>
      <c r="N2455" s="11"/>
      <c r="P2455"/>
      <c r="Q2455"/>
      <c r="W2455" s="28"/>
      <c r="AA2455"/>
    </row>
    <row r="2456" spans="1:27" x14ac:dyDescent="0.45">
      <c r="A2456" s="57">
        <v>1542</v>
      </c>
      <c r="B2456" t="s">
        <v>7109</v>
      </c>
      <c r="C2456" t="s">
        <v>7110</v>
      </c>
      <c r="D2456" s="12">
        <v>46313</v>
      </c>
      <c r="E2456" s="11">
        <v>140</v>
      </c>
      <c r="F2456" s="11" t="s">
        <v>7480</v>
      </c>
      <c r="G2456">
        <v>20261001</v>
      </c>
      <c r="H2456" s="12">
        <v>46478</v>
      </c>
      <c r="I2456" s="11" t="s">
        <v>63</v>
      </c>
      <c r="J2456" s="72">
        <v>60633943</v>
      </c>
      <c r="K2456" s="99">
        <f>_xlfn.XLOOKUP(_2__ROI_Daily_Update[[#This Row],[CSM id]],SHP!F:F,SHP!EE:EE,"-")</f>
        <v>0</v>
      </c>
      <c r="L2456" s="12"/>
      <c r="N2456" s="11"/>
      <c r="P2456"/>
      <c r="Q2456"/>
      <c r="W2456" s="28"/>
      <c r="AA2456"/>
    </row>
    <row r="2457" spans="1:27" x14ac:dyDescent="0.45">
      <c r="A2457" s="57">
        <v>1541</v>
      </c>
      <c r="B2457" t="s">
        <v>6961</v>
      </c>
      <c r="C2457" t="s">
        <v>6962</v>
      </c>
      <c r="D2457" s="12">
        <v>46313</v>
      </c>
      <c r="E2457" s="11">
        <v>160</v>
      </c>
      <c r="F2457" s="11" t="s">
        <v>7458</v>
      </c>
      <c r="G2457">
        <v>20261001</v>
      </c>
      <c r="H2457" s="12">
        <v>46388</v>
      </c>
      <c r="I2457" s="11" t="s">
        <v>63</v>
      </c>
      <c r="J2457" s="72">
        <v>60636277</v>
      </c>
      <c r="K2457" s="99">
        <f>_xlfn.XLOOKUP(_2__ROI_Daily_Update[[#This Row],[CSM id]],SHP!F:F,SHP!EE:EE,"-")</f>
        <v>0</v>
      </c>
      <c r="L2457" s="12"/>
      <c r="N2457" s="11"/>
      <c r="P2457"/>
      <c r="Q2457"/>
      <c r="W2457" s="28"/>
      <c r="AA2457"/>
    </row>
    <row r="2458" spans="1:27" x14ac:dyDescent="0.45">
      <c r="A2458" s="57">
        <v>1541</v>
      </c>
      <c r="B2458" t="s">
        <v>5204</v>
      </c>
      <c r="C2458" t="s">
        <v>5205</v>
      </c>
      <c r="D2458" s="12">
        <v>46313</v>
      </c>
      <c r="E2458" s="11">
        <v>66</v>
      </c>
      <c r="F2458" s="11" t="s">
        <v>7420</v>
      </c>
      <c r="G2458">
        <v>20260801</v>
      </c>
      <c r="H2458" s="12">
        <v>46388</v>
      </c>
      <c r="I2458" s="11" t="s">
        <v>63</v>
      </c>
      <c r="J2458" s="72">
        <v>70631929</v>
      </c>
      <c r="K2458" s="99">
        <f>_xlfn.XLOOKUP(_2__ROI_Daily_Update[[#This Row],[CSM id]],SHP!F:F,SHP!EE:EE,"-")</f>
        <v>0</v>
      </c>
      <c r="L2458" s="12"/>
      <c r="N2458" s="11"/>
      <c r="P2458"/>
      <c r="Q2458"/>
      <c r="W2458" s="28"/>
      <c r="AA2458"/>
    </row>
    <row r="2459" spans="1:27" x14ac:dyDescent="0.45">
      <c r="A2459" s="57">
        <v>341</v>
      </c>
      <c r="B2459" t="s">
        <v>301</v>
      </c>
      <c r="C2459" t="s">
        <v>302</v>
      </c>
      <c r="D2459" s="12">
        <v>46313</v>
      </c>
      <c r="E2459" s="11">
        <v>36</v>
      </c>
      <c r="F2459" s="11" t="s">
        <v>7468</v>
      </c>
      <c r="G2459">
        <v>20230901</v>
      </c>
      <c r="I2459" s="11" t="s">
        <v>18</v>
      </c>
      <c r="J2459" s="72">
        <v>60557802</v>
      </c>
      <c r="K2459" s="99">
        <f>_xlfn.XLOOKUP(_2__ROI_Daily_Update[[#This Row],[CSM id]],SHP!F:F,SHP!EE:EE,"-")</f>
        <v>0</v>
      </c>
      <c r="L2459" s="12"/>
      <c r="N2459" s="11"/>
      <c r="P2459"/>
      <c r="Q2459"/>
      <c r="W2459" s="28"/>
      <c r="AA2459"/>
    </row>
    <row r="2460" spans="1:27" x14ac:dyDescent="0.45">
      <c r="A2460" s="57">
        <v>1541</v>
      </c>
      <c r="B2460" t="s">
        <v>6813</v>
      </c>
      <c r="C2460" t="s">
        <v>6814</v>
      </c>
      <c r="D2460" s="12">
        <v>46313</v>
      </c>
      <c r="E2460" s="11">
        <v>44</v>
      </c>
      <c r="F2460" s="11" t="s">
        <v>7463</v>
      </c>
      <c r="G2460">
        <v>20140801</v>
      </c>
      <c r="I2460" s="11" t="s">
        <v>63</v>
      </c>
      <c r="J2460" s="72">
        <v>80208671</v>
      </c>
      <c r="K2460" s="99">
        <f>_xlfn.XLOOKUP(_2__ROI_Daily_Update[[#This Row],[CSM id]],SHP!F:F,SHP!EE:EE,"-")</f>
        <v>0</v>
      </c>
      <c r="L2460" s="12"/>
      <c r="N2460" s="11"/>
      <c r="P2460"/>
      <c r="Q2460"/>
      <c r="W2460" s="28"/>
      <c r="AA2460"/>
    </row>
    <row r="2461" spans="1:27" x14ac:dyDescent="0.45">
      <c r="A2461" s="57">
        <v>1643</v>
      </c>
      <c r="B2461" t="s">
        <v>5386</v>
      </c>
      <c r="C2461" t="s">
        <v>5387</v>
      </c>
      <c r="D2461" s="12">
        <v>46313</v>
      </c>
      <c r="E2461" s="11">
        <v>48</v>
      </c>
      <c r="F2461" s="11" t="s">
        <v>7480</v>
      </c>
      <c r="G2461">
        <v>20201201</v>
      </c>
      <c r="I2461" s="11" t="s">
        <v>63</v>
      </c>
      <c r="J2461" s="72">
        <v>30499130</v>
      </c>
      <c r="K2461" s="99">
        <f>_xlfn.XLOOKUP(_2__ROI_Daily_Update[[#This Row],[CSM id]],SHP!F:F,SHP!EE:EE,"-")</f>
        <v>0</v>
      </c>
      <c r="L2461" s="12"/>
      <c r="N2461" s="11"/>
      <c r="P2461"/>
      <c r="Q2461"/>
      <c r="W2461" s="28"/>
      <c r="AA2461"/>
    </row>
    <row r="2462" spans="1:27" x14ac:dyDescent="0.45">
      <c r="A2462" s="57">
        <v>1852</v>
      </c>
      <c r="B2462" t="s">
        <v>3715</v>
      </c>
      <c r="C2462" t="s">
        <v>3716</v>
      </c>
      <c r="D2462" s="12">
        <v>46313</v>
      </c>
      <c r="E2462" s="11">
        <v>108</v>
      </c>
      <c r="F2462" s="11" t="s">
        <v>7440</v>
      </c>
      <c r="G2462">
        <v>20260401</v>
      </c>
      <c r="I2462" s="11" t="s">
        <v>63</v>
      </c>
      <c r="J2462" s="72">
        <v>90556679</v>
      </c>
      <c r="K2462" s="99">
        <f>_xlfn.XLOOKUP(_2__ROI_Daily_Update[[#This Row],[CSM id]],SHP!F:F,SHP!EE:EE,"-")</f>
        <v>0</v>
      </c>
      <c r="L2462" s="12"/>
      <c r="N2462" s="11"/>
      <c r="P2462"/>
      <c r="Q2462"/>
      <c r="W2462" s="28"/>
      <c r="AA2462"/>
    </row>
    <row r="2463" spans="1:27" x14ac:dyDescent="0.45">
      <c r="A2463" s="57">
        <v>1541</v>
      </c>
      <c r="B2463" t="s">
        <v>6883</v>
      </c>
      <c r="C2463" t="s">
        <v>6884</v>
      </c>
      <c r="D2463" s="12">
        <v>46313</v>
      </c>
      <c r="E2463" s="11">
        <v>96</v>
      </c>
      <c r="F2463" s="11" t="s">
        <v>7458</v>
      </c>
      <c r="G2463">
        <v>20230101</v>
      </c>
      <c r="I2463" s="11" t="s">
        <v>63</v>
      </c>
      <c r="J2463" s="72">
        <v>60545852</v>
      </c>
      <c r="K2463" s="99">
        <f>_xlfn.XLOOKUP(_2__ROI_Daily_Update[[#This Row],[CSM id]],SHP!F:F,SHP!EE:EE,"-")</f>
        <v>0</v>
      </c>
      <c r="L2463" s="12"/>
      <c r="N2463" s="11"/>
      <c r="P2463"/>
      <c r="Q2463"/>
      <c r="W2463" s="28"/>
      <c r="AA2463"/>
    </row>
    <row r="2464" spans="1:27" x14ac:dyDescent="0.45">
      <c r="A2464" s="57">
        <v>1643</v>
      </c>
      <c r="B2464" t="s">
        <v>5386</v>
      </c>
      <c r="C2464" t="s">
        <v>5387</v>
      </c>
      <c r="D2464" s="12">
        <v>46313</v>
      </c>
      <c r="E2464" s="11">
        <v>48</v>
      </c>
      <c r="F2464" s="11" t="s">
        <v>7440</v>
      </c>
      <c r="G2464">
        <v>20201201</v>
      </c>
      <c r="I2464" s="11" t="s">
        <v>63</v>
      </c>
      <c r="J2464" s="72">
        <v>30499130</v>
      </c>
      <c r="K2464" s="99">
        <f>_xlfn.XLOOKUP(_2__ROI_Daily_Update[[#This Row],[CSM id]],SHP!F:F,SHP!EE:EE,"-")</f>
        <v>0</v>
      </c>
      <c r="L2464" s="12"/>
      <c r="N2464" s="11"/>
      <c r="P2464"/>
      <c r="Q2464"/>
      <c r="W2464" s="28"/>
      <c r="AA2464"/>
    </row>
    <row r="2465" spans="1:27" x14ac:dyDescent="0.45">
      <c r="A2465" s="57">
        <v>1542</v>
      </c>
      <c r="B2465" t="s">
        <v>7121</v>
      </c>
      <c r="C2465" t="s">
        <v>7122</v>
      </c>
      <c r="D2465" s="12">
        <v>46313</v>
      </c>
      <c r="E2465" s="11">
        <v>60</v>
      </c>
      <c r="F2465" s="11" t="s">
        <v>7499</v>
      </c>
      <c r="G2465">
        <v>20191001</v>
      </c>
      <c r="I2465" s="11" t="s">
        <v>18</v>
      </c>
      <c r="J2465" s="72">
        <v>10444469</v>
      </c>
      <c r="K2465" s="99">
        <f>_xlfn.XLOOKUP(_2__ROI_Daily_Update[[#This Row],[CSM id]],SHP!F:F,SHP!EE:EE,"-")</f>
        <v>0</v>
      </c>
      <c r="L2465" s="12"/>
      <c r="N2465" s="11"/>
      <c r="P2465"/>
      <c r="Q2465"/>
      <c r="W2465" s="28"/>
      <c r="AA2465"/>
    </row>
    <row r="2466" spans="1:27" x14ac:dyDescent="0.45">
      <c r="A2466" s="57">
        <v>1542</v>
      </c>
      <c r="B2466" t="s">
        <v>6747</v>
      </c>
      <c r="C2466" t="s">
        <v>6748</v>
      </c>
      <c r="D2466" s="12">
        <v>46313</v>
      </c>
      <c r="E2466" s="11">
        <v>40</v>
      </c>
      <c r="F2466" s="11" t="s">
        <v>7463</v>
      </c>
      <c r="G2466">
        <v>20261001</v>
      </c>
      <c r="H2466" s="12">
        <v>46388</v>
      </c>
      <c r="I2466" s="11" t="s">
        <v>63</v>
      </c>
      <c r="J2466" s="72">
        <v>10633945</v>
      </c>
      <c r="K2466" s="99">
        <f>_xlfn.XLOOKUP(_2__ROI_Daily_Update[[#This Row],[CSM id]],SHP!F:F,SHP!EE:EE,"-")</f>
        <v>0</v>
      </c>
      <c r="L2466" s="12"/>
      <c r="N2466" s="11"/>
      <c r="P2466"/>
      <c r="Q2466"/>
      <c r="W2466" s="28"/>
      <c r="AA2466"/>
    </row>
    <row r="2467" spans="1:27" x14ac:dyDescent="0.45">
      <c r="A2467" s="57">
        <v>1542</v>
      </c>
      <c r="B2467" t="s">
        <v>6271</v>
      </c>
      <c r="C2467" t="s">
        <v>6272</v>
      </c>
      <c r="D2467" s="12">
        <v>46313</v>
      </c>
      <c r="E2467" s="11">
        <v>288</v>
      </c>
      <c r="F2467" s="11" t="s">
        <v>7440</v>
      </c>
      <c r="G2467">
        <v>20211001</v>
      </c>
      <c r="I2467" s="11" t="s">
        <v>63</v>
      </c>
      <c r="J2467" s="72">
        <v>30376723</v>
      </c>
      <c r="K2467" s="99">
        <f>_xlfn.XLOOKUP(_2__ROI_Daily_Update[[#This Row],[CSM id]],SHP!F:F,SHP!EE:EE,"-")</f>
        <v>0</v>
      </c>
      <c r="L2467" s="12"/>
      <c r="N2467" s="11"/>
      <c r="P2467"/>
      <c r="Q2467"/>
      <c r="W2467" s="28"/>
      <c r="AA2467"/>
    </row>
    <row r="2468" spans="1:27" x14ac:dyDescent="0.45">
      <c r="A2468" s="57">
        <v>1542</v>
      </c>
      <c r="B2468" t="s">
        <v>2787</v>
      </c>
      <c r="C2468" t="s">
        <v>2788</v>
      </c>
      <c r="D2468" s="12">
        <v>46313</v>
      </c>
      <c r="E2468" s="11">
        <v>704</v>
      </c>
      <c r="F2468" s="11" t="s">
        <v>7415</v>
      </c>
      <c r="G2468">
        <v>20190401</v>
      </c>
      <c r="I2468" s="11" t="s">
        <v>63</v>
      </c>
      <c r="J2468" s="72">
        <v>30419949</v>
      </c>
      <c r="K2468" s="99">
        <f>_xlfn.XLOOKUP(_2__ROI_Daily_Update[[#This Row],[CSM id]],SHP!F:F,SHP!EE:EE,"-")</f>
        <v>0</v>
      </c>
      <c r="L2468" s="12"/>
      <c r="N2468" s="11"/>
      <c r="P2468"/>
      <c r="Q2468"/>
      <c r="W2468" s="28"/>
      <c r="AA2468"/>
    </row>
    <row r="2469" spans="1:27" x14ac:dyDescent="0.45">
      <c r="A2469" s="57">
        <v>1542</v>
      </c>
      <c r="B2469" t="s">
        <v>2791</v>
      </c>
      <c r="C2469" t="s">
        <v>2792</v>
      </c>
      <c r="D2469" s="12">
        <v>46313</v>
      </c>
      <c r="E2469" s="11">
        <v>80</v>
      </c>
      <c r="F2469" s="11" t="s">
        <v>7430</v>
      </c>
      <c r="G2469">
        <v>20230701</v>
      </c>
      <c r="I2469" s="11" t="s">
        <v>63</v>
      </c>
      <c r="J2469" s="72">
        <v>40519934</v>
      </c>
      <c r="K2469" s="99">
        <f>_xlfn.XLOOKUP(_2__ROI_Daily_Update[[#This Row],[CSM id]],SHP!F:F,SHP!EE:EE,"-")</f>
        <v>0</v>
      </c>
      <c r="L2469" s="12"/>
      <c r="N2469" s="11"/>
      <c r="P2469"/>
      <c r="Q2469"/>
      <c r="W2469" s="28"/>
      <c r="AA2469"/>
    </row>
    <row r="2470" spans="1:27" x14ac:dyDescent="0.45">
      <c r="A2470" s="57">
        <v>1542</v>
      </c>
      <c r="B2470" t="s">
        <v>2793</v>
      </c>
      <c r="C2470" t="s">
        <v>2794</v>
      </c>
      <c r="D2470" s="12">
        <v>46313</v>
      </c>
      <c r="E2470" s="11">
        <v>56</v>
      </c>
      <c r="F2470" s="11" t="s">
        <v>7480</v>
      </c>
      <c r="G2470">
        <v>20250701</v>
      </c>
      <c r="I2470" s="11" t="s">
        <v>63</v>
      </c>
      <c r="J2470" s="72">
        <v>50607690</v>
      </c>
      <c r="K2470" s="99">
        <f>_xlfn.XLOOKUP(_2__ROI_Daily_Update[[#This Row],[CSM id]],SHP!F:F,SHP!EE:EE,"-")</f>
        <v>0</v>
      </c>
      <c r="L2470" s="12"/>
      <c r="N2470" s="11"/>
      <c r="P2470"/>
      <c r="Q2470"/>
      <c r="W2470" s="28"/>
      <c r="AA2470"/>
    </row>
    <row r="2471" spans="1:27" x14ac:dyDescent="0.45">
      <c r="A2471" s="57">
        <v>1542</v>
      </c>
      <c r="B2471" t="s">
        <v>5876</v>
      </c>
      <c r="C2471" t="s">
        <v>5877</v>
      </c>
      <c r="D2471" s="12">
        <v>46313</v>
      </c>
      <c r="E2471" s="11">
        <v>32</v>
      </c>
      <c r="F2471" s="11" t="s">
        <v>6940</v>
      </c>
      <c r="G2471">
        <v>20160201</v>
      </c>
      <c r="I2471" s="11" t="s">
        <v>63</v>
      </c>
      <c r="J2471" s="72">
        <v>10289086</v>
      </c>
      <c r="K2471" s="99">
        <f>_xlfn.XLOOKUP(_2__ROI_Daily_Update[[#This Row],[CSM id]],SHP!F:F,SHP!EE:EE,"-")</f>
        <v>0</v>
      </c>
      <c r="L2471" s="12"/>
      <c r="N2471" s="11"/>
      <c r="P2471"/>
      <c r="Q2471"/>
      <c r="W2471" s="28"/>
      <c r="AA2471"/>
    </row>
    <row r="2472" spans="1:27" x14ac:dyDescent="0.45">
      <c r="A2472" s="57">
        <v>1231</v>
      </c>
      <c r="B2472" t="s">
        <v>1885</v>
      </c>
      <c r="C2472" t="s">
        <v>1886</v>
      </c>
      <c r="D2472" s="12">
        <v>46313</v>
      </c>
      <c r="E2472" s="11">
        <v>90</v>
      </c>
      <c r="F2472" s="11" t="s">
        <v>7440</v>
      </c>
      <c r="G2472">
        <v>20180801</v>
      </c>
      <c r="I2472" s="11" t="s">
        <v>63</v>
      </c>
      <c r="J2472" s="72">
        <v>50372776</v>
      </c>
      <c r="K2472" s="99">
        <f>_xlfn.XLOOKUP(_2__ROI_Daily_Update[[#This Row],[CSM id]],SHP!F:F,SHP!EE:EE,"-")</f>
        <v>0</v>
      </c>
      <c r="L2472" s="12"/>
      <c r="N2472" s="11"/>
      <c r="P2472"/>
      <c r="Q2472"/>
      <c r="W2472" s="28"/>
      <c r="AA2472"/>
    </row>
    <row r="2473" spans="1:27" x14ac:dyDescent="0.45">
      <c r="A2473" s="57">
        <v>922</v>
      </c>
      <c r="B2473" t="s">
        <v>718</v>
      </c>
      <c r="C2473" t="s">
        <v>719</v>
      </c>
      <c r="D2473" s="12">
        <v>46313</v>
      </c>
      <c r="E2473" s="11">
        <v>80</v>
      </c>
      <c r="F2473" s="11" t="s">
        <v>7453</v>
      </c>
      <c r="G2473">
        <v>20260201</v>
      </c>
      <c r="I2473" s="11" t="s">
        <v>63</v>
      </c>
      <c r="J2473" s="72">
        <v>30603179</v>
      </c>
      <c r="K2473" s="99">
        <f>_xlfn.XLOOKUP(_2__ROI_Daily_Update[[#This Row],[CSM id]],SHP!F:F,SHP!EE:EE,"-")</f>
        <v>0</v>
      </c>
      <c r="L2473" s="12"/>
      <c r="N2473" s="11"/>
      <c r="P2473"/>
      <c r="Q2473"/>
      <c r="W2473" s="28"/>
      <c r="AA2473"/>
    </row>
    <row r="2474" spans="1:27" x14ac:dyDescent="0.45">
      <c r="A2474" s="57">
        <v>974</v>
      </c>
      <c r="B2474" t="s">
        <v>927</v>
      </c>
      <c r="C2474" t="s">
        <v>928</v>
      </c>
      <c r="D2474" s="12">
        <v>46313</v>
      </c>
      <c r="E2474" s="11">
        <v>180</v>
      </c>
      <c r="F2474" s="11" t="s">
        <v>7430</v>
      </c>
      <c r="G2474">
        <v>20220701</v>
      </c>
      <c r="I2474" s="11" t="s">
        <v>63</v>
      </c>
      <c r="J2474" s="72">
        <v>40513885</v>
      </c>
      <c r="K2474" s="99">
        <f>_xlfn.XLOOKUP(_2__ROI_Daily_Update[[#This Row],[CSM id]],SHP!F:F,SHP!EE:EE,"-")</f>
        <v>0</v>
      </c>
      <c r="L2474" s="12"/>
      <c r="N2474" s="11"/>
      <c r="P2474"/>
      <c r="Q2474"/>
      <c r="W2474" s="28"/>
      <c r="AA2474"/>
    </row>
    <row r="2475" spans="1:27" x14ac:dyDescent="0.45">
      <c r="A2475" s="57">
        <v>1111</v>
      </c>
      <c r="B2475" t="s">
        <v>6511</v>
      </c>
      <c r="C2475" t="s">
        <v>6512</v>
      </c>
      <c r="D2475" s="12">
        <v>46313</v>
      </c>
      <c r="E2475" s="11">
        <v>12</v>
      </c>
      <c r="F2475" s="11" t="s">
        <v>7453</v>
      </c>
      <c r="G2475">
        <v>20190801</v>
      </c>
      <c r="I2475" s="11" t="s">
        <v>63</v>
      </c>
      <c r="J2475" s="72">
        <v>90442678</v>
      </c>
      <c r="K2475" s="99">
        <f>_xlfn.XLOOKUP(_2__ROI_Daily_Update[[#This Row],[CSM id]],SHP!F:F,SHP!EE:EE,"-")</f>
        <v>0</v>
      </c>
      <c r="L2475" s="12"/>
      <c r="N2475" s="11"/>
      <c r="P2475"/>
      <c r="Q2475"/>
      <c r="W2475" s="28"/>
      <c r="AA2475"/>
    </row>
    <row r="2476" spans="1:27" x14ac:dyDescent="0.45">
      <c r="A2476" s="57">
        <v>1111</v>
      </c>
      <c r="B2476" t="s">
        <v>1445</v>
      </c>
      <c r="C2476" t="s">
        <v>1446</v>
      </c>
      <c r="D2476" s="12">
        <v>46313</v>
      </c>
      <c r="E2476" s="11">
        <v>24</v>
      </c>
      <c r="F2476" s="11" t="s">
        <v>7440</v>
      </c>
      <c r="G2476">
        <v>20220401</v>
      </c>
      <c r="I2476" s="11" t="s">
        <v>63</v>
      </c>
      <c r="J2476" s="72">
        <v>90420997</v>
      </c>
      <c r="K2476" s="99">
        <f>_xlfn.XLOOKUP(_2__ROI_Daily_Update[[#This Row],[CSM id]],SHP!F:F,SHP!EE:EE,"-")</f>
        <v>0</v>
      </c>
      <c r="L2476" s="12"/>
      <c r="N2476" s="11"/>
      <c r="P2476"/>
      <c r="Q2476"/>
      <c r="W2476" s="28"/>
      <c r="AA2476"/>
    </row>
    <row r="2477" spans="1:27" x14ac:dyDescent="0.45">
      <c r="A2477" s="57">
        <v>1111</v>
      </c>
      <c r="B2477" t="s">
        <v>5150</v>
      </c>
      <c r="C2477" t="s">
        <v>5151</v>
      </c>
      <c r="D2477" s="12">
        <v>46313</v>
      </c>
      <c r="E2477" s="11">
        <v>24</v>
      </c>
      <c r="F2477" s="11" t="s">
        <v>7440</v>
      </c>
      <c r="G2477">
        <v>20180201</v>
      </c>
      <c r="I2477" s="11" t="s">
        <v>63</v>
      </c>
      <c r="J2477" s="72">
        <v>90396780</v>
      </c>
      <c r="K2477" s="99">
        <f>_xlfn.XLOOKUP(_2__ROI_Daily_Update[[#This Row],[CSM id]],SHP!F:F,SHP!EE:EE,"-")</f>
        <v>0</v>
      </c>
      <c r="L2477" s="12"/>
      <c r="N2477" s="11"/>
      <c r="P2477"/>
      <c r="Q2477"/>
      <c r="W2477" s="28"/>
      <c r="AA2477"/>
    </row>
    <row r="2478" spans="1:27" x14ac:dyDescent="0.45">
      <c r="A2478" s="57">
        <v>1111</v>
      </c>
      <c r="B2478" t="s">
        <v>5150</v>
      </c>
      <c r="C2478" t="s">
        <v>5151</v>
      </c>
      <c r="D2478" s="12">
        <v>46313</v>
      </c>
      <c r="E2478" s="11">
        <v>36</v>
      </c>
      <c r="F2478" s="11" t="s">
        <v>7420</v>
      </c>
      <c r="G2478">
        <v>20180201</v>
      </c>
      <c r="I2478" s="11" t="s">
        <v>63</v>
      </c>
      <c r="J2478" s="72">
        <v>90396780</v>
      </c>
      <c r="K2478" s="99">
        <f>_xlfn.XLOOKUP(_2__ROI_Daily_Update[[#This Row],[CSM id]],SHP!F:F,SHP!EE:EE,"-")</f>
        <v>0</v>
      </c>
      <c r="L2478" s="12"/>
      <c r="N2478" s="11"/>
      <c r="P2478"/>
      <c r="Q2478"/>
      <c r="W2478" s="28"/>
      <c r="AA2478"/>
    </row>
    <row r="2479" spans="1:27" x14ac:dyDescent="0.45">
      <c r="A2479" s="57">
        <v>1111</v>
      </c>
      <c r="B2479" t="s">
        <v>1443</v>
      </c>
      <c r="C2479" t="s">
        <v>1444</v>
      </c>
      <c r="D2479" s="12">
        <v>46313</v>
      </c>
      <c r="E2479" s="11">
        <v>42</v>
      </c>
      <c r="F2479" s="11" t="s">
        <v>7430</v>
      </c>
      <c r="G2479">
        <v>20170201</v>
      </c>
      <c r="I2479" s="11" t="s">
        <v>63</v>
      </c>
      <c r="J2479" s="72">
        <v>90345347</v>
      </c>
      <c r="K2479" s="99">
        <f>_xlfn.XLOOKUP(_2__ROI_Daily_Update[[#This Row],[CSM id]],SHP!F:F,SHP!EE:EE,"-")</f>
        <v>0</v>
      </c>
      <c r="L2479" s="12"/>
      <c r="N2479" s="11"/>
      <c r="P2479"/>
      <c r="Q2479"/>
      <c r="W2479" s="28"/>
      <c r="AA2479"/>
    </row>
    <row r="2480" spans="1:27" x14ac:dyDescent="0.45">
      <c r="A2480" s="57">
        <v>1111</v>
      </c>
      <c r="B2480" t="s">
        <v>1441</v>
      </c>
      <c r="C2480" t="s">
        <v>1442</v>
      </c>
      <c r="D2480" s="12">
        <v>46313</v>
      </c>
      <c r="E2480" s="11">
        <v>24</v>
      </c>
      <c r="F2480" s="11" t="s">
        <v>6946</v>
      </c>
      <c r="G2480">
        <v>20170401</v>
      </c>
      <c r="I2480" s="11" t="s">
        <v>63</v>
      </c>
      <c r="J2480" s="72">
        <v>90343664</v>
      </c>
      <c r="K2480" s="99">
        <f>_xlfn.XLOOKUP(_2__ROI_Daily_Update[[#This Row],[CSM id]],SHP!F:F,SHP!EE:EE,"-")</f>
        <v>0</v>
      </c>
      <c r="L2480" s="12"/>
      <c r="N2480" s="11"/>
      <c r="P2480"/>
      <c r="Q2480"/>
      <c r="W2480" s="28"/>
      <c r="AA2480"/>
    </row>
    <row r="2481" spans="1:27" x14ac:dyDescent="0.45">
      <c r="A2481" s="57">
        <v>1111</v>
      </c>
      <c r="B2481" t="s">
        <v>6517</v>
      </c>
      <c r="C2481" t="s">
        <v>6518</v>
      </c>
      <c r="D2481" s="12">
        <v>46313</v>
      </c>
      <c r="E2481" s="11">
        <v>10</v>
      </c>
      <c r="F2481" s="11" t="s">
        <v>7463</v>
      </c>
      <c r="G2481">
        <v>20170201</v>
      </c>
      <c r="H2481" s="12">
        <v>46478</v>
      </c>
      <c r="I2481" s="11" t="s">
        <v>63</v>
      </c>
      <c r="J2481" s="72">
        <v>90342773</v>
      </c>
      <c r="K2481" s="99">
        <f>_xlfn.XLOOKUP(_2__ROI_Daily_Update[[#This Row],[CSM id]],SHP!F:F,SHP!EE:EE,"-")</f>
        <v>0</v>
      </c>
      <c r="L2481" s="12"/>
      <c r="N2481" s="11"/>
      <c r="P2481"/>
      <c r="Q2481"/>
      <c r="W2481" s="28"/>
      <c r="AA2481"/>
    </row>
    <row r="2482" spans="1:27" x14ac:dyDescent="0.45">
      <c r="A2482" s="57">
        <v>1111</v>
      </c>
      <c r="B2482" t="s">
        <v>1439</v>
      </c>
      <c r="C2482" t="s">
        <v>1440</v>
      </c>
      <c r="D2482" s="12">
        <v>46313</v>
      </c>
      <c r="E2482" s="11">
        <v>180</v>
      </c>
      <c r="F2482" s="11" t="s">
        <v>7420</v>
      </c>
      <c r="G2482">
        <v>20260401</v>
      </c>
      <c r="I2482" s="11" t="s">
        <v>63</v>
      </c>
      <c r="J2482" s="72">
        <v>80627743</v>
      </c>
      <c r="K2482" s="99">
        <f>_xlfn.XLOOKUP(_2__ROI_Daily_Update[[#This Row],[CSM id]],SHP!F:F,SHP!EE:EE,"-")</f>
        <v>0</v>
      </c>
      <c r="L2482" s="12"/>
      <c r="N2482" s="11"/>
      <c r="P2482"/>
      <c r="Q2482"/>
      <c r="W2482" s="28"/>
      <c r="AA2482"/>
    </row>
    <row r="2483" spans="1:27" x14ac:dyDescent="0.45">
      <c r="A2483" s="57">
        <v>981</v>
      </c>
      <c r="B2483" t="s">
        <v>5180</v>
      </c>
      <c r="C2483" t="s">
        <v>5181</v>
      </c>
      <c r="D2483" s="12">
        <v>46313</v>
      </c>
      <c r="E2483" s="11">
        <v>20</v>
      </c>
      <c r="F2483" s="11" t="s">
        <v>7420</v>
      </c>
      <c r="G2483">
        <v>20260201</v>
      </c>
      <c r="I2483" s="11" t="s">
        <v>63</v>
      </c>
      <c r="J2483" s="72">
        <v>10598975</v>
      </c>
      <c r="K2483" s="99">
        <f>_xlfn.XLOOKUP(_2__ROI_Daily_Update[[#This Row],[CSM id]],SHP!F:F,SHP!EE:EE,"-")</f>
        <v>0</v>
      </c>
      <c r="L2483" s="12"/>
      <c r="N2483" s="11"/>
      <c r="P2483"/>
      <c r="Q2483"/>
      <c r="W2483" s="28"/>
      <c r="AA2483"/>
    </row>
    <row r="2484" spans="1:27" x14ac:dyDescent="0.45">
      <c r="A2484" s="57">
        <v>1111</v>
      </c>
      <c r="B2484" t="s">
        <v>1437</v>
      </c>
      <c r="C2484" t="s">
        <v>1438</v>
      </c>
      <c r="D2484" s="12">
        <v>46313</v>
      </c>
      <c r="E2484" s="11">
        <v>36</v>
      </c>
      <c r="F2484" s="11" t="s">
        <v>7453</v>
      </c>
      <c r="G2484">
        <v>20251001</v>
      </c>
      <c r="I2484" s="11" t="s">
        <v>63</v>
      </c>
      <c r="J2484" s="72">
        <v>80616462</v>
      </c>
      <c r="K2484" s="99">
        <f>_xlfn.XLOOKUP(_2__ROI_Daily_Update[[#This Row],[CSM id]],SHP!F:F,SHP!EE:EE,"-")</f>
        <v>0</v>
      </c>
      <c r="L2484" s="12"/>
      <c r="N2484" s="11"/>
      <c r="P2484"/>
      <c r="Q2484"/>
      <c r="W2484" s="28"/>
      <c r="AA2484"/>
    </row>
    <row r="2485" spans="1:27" x14ac:dyDescent="0.45">
      <c r="A2485" s="57">
        <v>1111</v>
      </c>
      <c r="B2485" t="s">
        <v>1435</v>
      </c>
      <c r="C2485" t="s">
        <v>1436</v>
      </c>
      <c r="D2485" s="12">
        <v>46313</v>
      </c>
      <c r="E2485" s="11">
        <v>30</v>
      </c>
      <c r="F2485" s="11" t="s">
        <v>7410</v>
      </c>
      <c r="G2485">
        <v>20230401</v>
      </c>
      <c r="I2485" s="11" t="s">
        <v>63</v>
      </c>
      <c r="J2485" s="72">
        <v>80549632</v>
      </c>
      <c r="K2485" s="99">
        <f>_xlfn.XLOOKUP(_2__ROI_Daily_Update[[#This Row],[CSM id]],SHP!F:F,SHP!EE:EE,"-")</f>
        <v>0</v>
      </c>
      <c r="L2485" s="12"/>
      <c r="N2485" s="11"/>
      <c r="P2485"/>
      <c r="Q2485"/>
      <c r="W2485" s="28"/>
      <c r="AA2485"/>
    </row>
    <row r="2486" spans="1:27" x14ac:dyDescent="0.45">
      <c r="A2486" s="57">
        <v>1111</v>
      </c>
      <c r="B2486" t="s">
        <v>1433</v>
      </c>
      <c r="C2486" t="s">
        <v>1434</v>
      </c>
      <c r="D2486" s="12">
        <v>46313</v>
      </c>
      <c r="E2486" s="11">
        <v>14</v>
      </c>
      <c r="F2486" s="11" t="s">
        <v>7430</v>
      </c>
      <c r="G2486">
        <v>20171001</v>
      </c>
      <c r="I2486" s="11" t="s">
        <v>63</v>
      </c>
      <c r="J2486" s="72">
        <v>80357227</v>
      </c>
      <c r="K2486" s="99">
        <f>_xlfn.XLOOKUP(_2__ROI_Daily_Update[[#This Row],[CSM id]],SHP!F:F,SHP!EE:EE,"-")</f>
        <v>0</v>
      </c>
      <c r="L2486" s="12"/>
      <c r="N2486" s="11"/>
      <c r="P2486"/>
      <c r="Q2486"/>
      <c r="W2486" s="28"/>
      <c r="AA2486"/>
    </row>
    <row r="2487" spans="1:27" x14ac:dyDescent="0.45">
      <c r="A2487" s="57">
        <v>1831</v>
      </c>
      <c r="B2487" t="s">
        <v>3574</v>
      </c>
      <c r="C2487" t="s">
        <v>3575</v>
      </c>
      <c r="D2487" s="12">
        <v>46313</v>
      </c>
      <c r="E2487" s="11">
        <v>1920</v>
      </c>
      <c r="F2487" s="11" t="s">
        <v>7448</v>
      </c>
      <c r="G2487">
        <v>20190201</v>
      </c>
      <c r="I2487" s="11" t="s">
        <v>63</v>
      </c>
      <c r="J2487" s="72">
        <v>10395384</v>
      </c>
      <c r="K2487" s="99">
        <f>_xlfn.XLOOKUP(_2__ROI_Daily_Update[[#This Row],[CSM id]],SHP!F:F,SHP!EE:EE,"-")</f>
        <v>0</v>
      </c>
      <c r="L2487" s="12"/>
      <c r="N2487" s="11"/>
      <c r="P2487"/>
      <c r="Q2487"/>
      <c r="W2487" s="28"/>
      <c r="AA2487"/>
    </row>
    <row r="2488" spans="1:27" x14ac:dyDescent="0.45">
      <c r="A2488" s="57">
        <v>1111</v>
      </c>
      <c r="B2488" t="s">
        <v>5306</v>
      </c>
      <c r="C2488" t="s">
        <v>5307</v>
      </c>
      <c r="D2488" s="12">
        <v>46313</v>
      </c>
      <c r="E2488" s="11">
        <v>24</v>
      </c>
      <c r="F2488" s="11" t="s">
        <v>7420</v>
      </c>
      <c r="G2488">
        <v>20170401</v>
      </c>
      <c r="I2488" s="11" t="s">
        <v>63</v>
      </c>
      <c r="J2488" s="72">
        <v>80343706</v>
      </c>
      <c r="K2488" s="99">
        <f>_xlfn.XLOOKUP(_2__ROI_Daily_Update[[#This Row],[CSM id]],SHP!F:F,SHP!EE:EE,"-")</f>
        <v>0</v>
      </c>
      <c r="L2488" s="12"/>
      <c r="N2488" s="11"/>
      <c r="P2488"/>
      <c r="Q2488"/>
      <c r="W2488" s="28"/>
      <c r="AA2488"/>
    </row>
    <row r="2489" spans="1:27" x14ac:dyDescent="0.45">
      <c r="A2489" s="57">
        <v>1111</v>
      </c>
      <c r="B2489" t="s">
        <v>1431</v>
      </c>
      <c r="C2489" t="s">
        <v>1432</v>
      </c>
      <c r="D2489" s="12">
        <v>46313</v>
      </c>
      <c r="E2489" s="11">
        <v>8</v>
      </c>
      <c r="F2489" s="11" t="s">
        <v>7440</v>
      </c>
      <c r="G2489">
        <v>20251001</v>
      </c>
      <c r="I2489" s="11" t="s">
        <v>63</v>
      </c>
      <c r="J2489" s="72">
        <v>70616410</v>
      </c>
      <c r="K2489" s="99">
        <f>_xlfn.XLOOKUP(_2__ROI_Daily_Update[[#This Row],[CSM id]],SHP!F:F,SHP!EE:EE,"-")</f>
        <v>0</v>
      </c>
      <c r="L2489" s="12"/>
      <c r="N2489" s="11"/>
      <c r="P2489"/>
      <c r="Q2489"/>
      <c r="W2489" s="28"/>
      <c r="AA2489"/>
    </row>
    <row r="2490" spans="1:27" x14ac:dyDescent="0.45">
      <c r="A2490" s="57">
        <v>1111</v>
      </c>
      <c r="B2490" t="s">
        <v>5711</v>
      </c>
      <c r="C2490" t="s">
        <v>5712</v>
      </c>
      <c r="D2490" s="12">
        <v>46313</v>
      </c>
      <c r="E2490" s="11">
        <v>10</v>
      </c>
      <c r="F2490" s="11" t="s">
        <v>7410</v>
      </c>
      <c r="G2490">
        <v>20241001</v>
      </c>
      <c r="I2490" s="11" t="s">
        <v>63</v>
      </c>
      <c r="J2490" s="72">
        <v>70590207</v>
      </c>
      <c r="K2490" s="99">
        <f>_xlfn.XLOOKUP(_2__ROI_Daily_Update[[#This Row],[CSM id]],SHP!F:F,SHP!EE:EE,"-")</f>
        <v>0</v>
      </c>
      <c r="L2490" s="12"/>
      <c r="N2490" s="11"/>
      <c r="P2490"/>
      <c r="Q2490"/>
      <c r="W2490" s="28"/>
      <c r="AA2490"/>
    </row>
    <row r="2491" spans="1:27" x14ac:dyDescent="0.45">
      <c r="A2491" s="57">
        <v>1832</v>
      </c>
      <c r="B2491" t="s">
        <v>3612</v>
      </c>
      <c r="C2491" t="s">
        <v>3613</v>
      </c>
      <c r="D2491" s="12">
        <v>46313</v>
      </c>
      <c r="E2491" s="11">
        <v>128</v>
      </c>
      <c r="F2491" s="11" t="s">
        <v>7468</v>
      </c>
      <c r="G2491">
        <v>20150801</v>
      </c>
      <c r="I2491" s="11" t="s">
        <v>18</v>
      </c>
      <c r="J2491" s="72">
        <v>30238538</v>
      </c>
      <c r="K2491" s="99">
        <f>_xlfn.XLOOKUP(_2__ROI_Daily_Update[[#This Row],[CSM id]],SHP!F:F,SHP!EE:EE,"-")</f>
        <v>0</v>
      </c>
      <c r="L2491" s="12"/>
      <c r="N2491" s="11"/>
      <c r="P2491"/>
      <c r="Q2491"/>
      <c r="W2491" s="28"/>
      <c r="AA2491"/>
    </row>
    <row r="2492" spans="1:27" x14ac:dyDescent="0.45">
      <c r="A2492" s="57">
        <v>1111</v>
      </c>
      <c r="B2492" t="s">
        <v>1413</v>
      </c>
      <c r="C2492" t="s">
        <v>1414</v>
      </c>
      <c r="D2492" s="12">
        <v>46313</v>
      </c>
      <c r="E2492" s="11">
        <v>18</v>
      </c>
      <c r="F2492" s="11" t="s">
        <v>6946</v>
      </c>
      <c r="G2492">
        <v>20251001</v>
      </c>
      <c r="I2492" s="11" t="s">
        <v>63</v>
      </c>
      <c r="J2492" s="72">
        <v>50615906</v>
      </c>
      <c r="K2492" s="99">
        <f>_xlfn.XLOOKUP(_2__ROI_Daily_Update[[#This Row],[CSM id]],SHP!F:F,SHP!EE:EE,"-")</f>
        <v>0</v>
      </c>
      <c r="L2492" s="12"/>
      <c r="N2492" s="11"/>
      <c r="P2492"/>
      <c r="Q2492"/>
      <c r="W2492" s="28"/>
      <c r="AA2492"/>
    </row>
    <row r="2493" spans="1:27" x14ac:dyDescent="0.45">
      <c r="A2493" s="57">
        <v>1111</v>
      </c>
      <c r="B2493" t="s">
        <v>1415</v>
      </c>
      <c r="C2493" t="s">
        <v>1416</v>
      </c>
      <c r="D2493" s="12">
        <v>46313</v>
      </c>
      <c r="E2493" s="11">
        <v>60</v>
      </c>
      <c r="F2493" s="11" t="s">
        <v>7440</v>
      </c>
      <c r="G2493">
        <v>20260101</v>
      </c>
      <c r="I2493" s="11" t="s">
        <v>63</v>
      </c>
      <c r="J2493" s="72">
        <v>50621436</v>
      </c>
      <c r="K2493" s="99">
        <f>_xlfn.XLOOKUP(_2__ROI_Daily_Update[[#This Row],[CSM id]],SHP!F:F,SHP!EE:EE,"-")</f>
        <v>0</v>
      </c>
      <c r="L2493" s="12"/>
      <c r="N2493" s="11"/>
      <c r="P2493"/>
      <c r="Q2493"/>
      <c r="W2493" s="28"/>
      <c r="AA2493"/>
    </row>
    <row r="2494" spans="1:27" x14ac:dyDescent="0.45">
      <c r="A2494" s="57">
        <v>1111</v>
      </c>
      <c r="B2494" t="s">
        <v>1417</v>
      </c>
      <c r="C2494" t="s">
        <v>1418</v>
      </c>
      <c r="D2494" s="12">
        <v>46313</v>
      </c>
      <c r="E2494" s="11">
        <v>24</v>
      </c>
      <c r="F2494" s="11" t="s">
        <v>7410</v>
      </c>
      <c r="G2494">
        <v>20201001</v>
      </c>
      <c r="I2494" s="11" t="s">
        <v>63</v>
      </c>
      <c r="J2494" s="72">
        <v>60482449</v>
      </c>
      <c r="K2494" s="99">
        <f>_xlfn.XLOOKUP(_2__ROI_Daily_Update[[#This Row],[CSM id]],SHP!F:F,SHP!EE:EE,"-")</f>
        <v>0</v>
      </c>
      <c r="L2494" s="12"/>
      <c r="N2494" s="11"/>
      <c r="P2494"/>
      <c r="Q2494"/>
      <c r="W2494" s="28"/>
      <c r="AA2494"/>
    </row>
    <row r="2495" spans="1:27" x14ac:dyDescent="0.45">
      <c r="A2495" s="57">
        <v>1111</v>
      </c>
      <c r="B2495" t="s">
        <v>1419</v>
      </c>
      <c r="C2495" t="s">
        <v>1420</v>
      </c>
      <c r="D2495" s="12">
        <v>46313</v>
      </c>
      <c r="E2495" s="11">
        <v>36</v>
      </c>
      <c r="F2495" s="11" t="s">
        <v>7420</v>
      </c>
      <c r="G2495">
        <v>20230401</v>
      </c>
      <c r="I2495" s="11" t="s">
        <v>63</v>
      </c>
      <c r="J2495" s="72">
        <v>60549628</v>
      </c>
      <c r="K2495" s="99">
        <f>_xlfn.XLOOKUP(_2__ROI_Daily_Update[[#This Row],[CSM id]],SHP!F:F,SHP!EE:EE,"-")</f>
        <v>0</v>
      </c>
      <c r="L2495" s="12"/>
      <c r="N2495" s="11"/>
      <c r="P2495"/>
      <c r="Q2495"/>
      <c r="W2495" s="28"/>
      <c r="AA2495"/>
    </row>
    <row r="2496" spans="1:27" x14ac:dyDescent="0.45">
      <c r="A2496" s="57">
        <v>1111</v>
      </c>
      <c r="B2496" t="s">
        <v>1419</v>
      </c>
      <c r="C2496" t="s">
        <v>1420</v>
      </c>
      <c r="D2496" s="12">
        <v>46313</v>
      </c>
      <c r="E2496" s="11">
        <v>36</v>
      </c>
      <c r="F2496" s="11" t="s">
        <v>7480</v>
      </c>
      <c r="G2496">
        <v>20230401</v>
      </c>
      <c r="I2496" s="11" t="s">
        <v>63</v>
      </c>
      <c r="J2496" s="72">
        <v>60549628</v>
      </c>
      <c r="K2496" s="99">
        <f>_xlfn.XLOOKUP(_2__ROI_Daily_Update[[#This Row],[CSM id]],SHP!F:F,SHP!EE:EE,"-")</f>
        <v>0</v>
      </c>
      <c r="L2496" s="12"/>
      <c r="N2496" s="11"/>
      <c r="P2496"/>
      <c r="Q2496"/>
      <c r="W2496" s="28"/>
      <c r="AA2496"/>
    </row>
    <row r="2497" spans="1:27" x14ac:dyDescent="0.45">
      <c r="A2497" s="57">
        <v>1111</v>
      </c>
      <c r="B2497" t="s">
        <v>1421</v>
      </c>
      <c r="C2497" t="s">
        <v>1422</v>
      </c>
      <c r="D2497" s="12">
        <v>46313</v>
      </c>
      <c r="E2497" s="11">
        <v>10</v>
      </c>
      <c r="F2497" s="11" t="s">
        <v>7430</v>
      </c>
      <c r="G2497">
        <v>20241001</v>
      </c>
      <c r="I2497" s="11" t="s">
        <v>63</v>
      </c>
      <c r="J2497" s="72">
        <v>60590203</v>
      </c>
      <c r="K2497" s="99">
        <f>_xlfn.XLOOKUP(_2__ROI_Daily_Update[[#This Row],[CSM id]],SHP!F:F,SHP!EE:EE,"-")</f>
        <v>0</v>
      </c>
      <c r="L2497" s="12"/>
      <c r="N2497" s="11"/>
      <c r="P2497"/>
      <c r="Q2497"/>
      <c r="W2497" s="28"/>
      <c r="AA2497"/>
    </row>
    <row r="2498" spans="1:27" x14ac:dyDescent="0.45">
      <c r="A2498" s="57">
        <v>1111</v>
      </c>
      <c r="B2498" t="s">
        <v>1447</v>
      </c>
      <c r="C2498" t="s">
        <v>1448</v>
      </c>
      <c r="D2498" s="12">
        <v>46313</v>
      </c>
      <c r="E2498" s="11">
        <v>48</v>
      </c>
      <c r="F2498" s="11" t="s">
        <v>7415</v>
      </c>
      <c r="G2498">
        <v>20201001</v>
      </c>
      <c r="I2498" s="11" t="s">
        <v>63</v>
      </c>
      <c r="J2498" s="72">
        <v>90482481</v>
      </c>
      <c r="K2498" s="99">
        <f>_xlfn.XLOOKUP(_2__ROI_Daily_Update[[#This Row],[CSM id]],SHP!F:F,SHP!EE:EE,"-")</f>
        <v>0</v>
      </c>
      <c r="L2498" s="12"/>
      <c r="N2498" s="11"/>
      <c r="P2498"/>
      <c r="Q2498"/>
      <c r="W2498" s="28"/>
      <c r="AA2498"/>
    </row>
    <row r="2499" spans="1:27" x14ac:dyDescent="0.45">
      <c r="A2499" s="57">
        <v>1111</v>
      </c>
      <c r="B2499" t="s">
        <v>1421</v>
      </c>
      <c r="C2499" t="s">
        <v>1422</v>
      </c>
      <c r="D2499" s="12">
        <v>46313</v>
      </c>
      <c r="E2499" s="11">
        <v>10</v>
      </c>
      <c r="F2499" s="11" t="s">
        <v>7480</v>
      </c>
      <c r="G2499">
        <v>20241001</v>
      </c>
      <c r="I2499" s="11" t="s">
        <v>63</v>
      </c>
      <c r="J2499" s="72">
        <v>60590203</v>
      </c>
      <c r="K2499" s="99">
        <f>_xlfn.XLOOKUP(_2__ROI_Daily_Update[[#This Row],[CSM id]],SHP!F:F,SHP!EE:EE,"-")</f>
        <v>0</v>
      </c>
      <c r="L2499" s="12"/>
      <c r="N2499" s="11"/>
      <c r="P2499"/>
      <c r="Q2499"/>
      <c r="W2499" s="28"/>
      <c r="AA2499"/>
    </row>
    <row r="2500" spans="1:27" x14ac:dyDescent="0.45">
      <c r="A2500" s="57">
        <v>1111</v>
      </c>
      <c r="B2500" t="s">
        <v>1425</v>
      </c>
      <c r="C2500" t="s">
        <v>1426</v>
      </c>
      <c r="D2500" s="12">
        <v>46313</v>
      </c>
      <c r="E2500" s="11">
        <v>10</v>
      </c>
      <c r="F2500" s="11" t="s">
        <v>7453</v>
      </c>
      <c r="G2500">
        <v>20251001</v>
      </c>
      <c r="I2500" s="11" t="s">
        <v>63</v>
      </c>
      <c r="J2500" s="72">
        <v>60615859</v>
      </c>
      <c r="K2500" s="99">
        <f>_xlfn.XLOOKUP(_2__ROI_Daily_Update[[#This Row],[CSM id]],SHP!F:F,SHP!EE:EE,"-")</f>
        <v>0</v>
      </c>
      <c r="L2500" s="12"/>
      <c r="N2500" s="11"/>
      <c r="P2500"/>
      <c r="Q2500"/>
      <c r="W2500" s="28"/>
      <c r="AA2500"/>
    </row>
    <row r="2501" spans="1:27" x14ac:dyDescent="0.45">
      <c r="A2501" s="57">
        <v>1111</v>
      </c>
      <c r="B2501" t="s">
        <v>6981</v>
      </c>
      <c r="C2501" t="s">
        <v>6982</v>
      </c>
      <c r="D2501" s="12">
        <v>46313</v>
      </c>
      <c r="E2501" s="11">
        <v>72</v>
      </c>
      <c r="F2501" s="11" t="s">
        <v>7480</v>
      </c>
      <c r="G2501">
        <v>20260101</v>
      </c>
      <c r="I2501" s="11" t="s">
        <v>63</v>
      </c>
      <c r="J2501" s="72">
        <v>60621445</v>
      </c>
      <c r="K2501" s="99">
        <f>_xlfn.XLOOKUP(_2__ROI_Daily_Update[[#This Row],[CSM id]],SHP!F:F,SHP!EE:EE,"-")</f>
        <v>0</v>
      </c>
      <c r="L2501" s="12"/>
      <c r="N2501" s="11"/>
      <c r="P2501"/>
      <c r="Q2501"/>
      <c r="W2501" s="28"/>
      <c r="AA2501"/>
    </row>
    <row r="2502" spans="1:27" x14ac:dyDescent="0.45">
      <c r="A2502" s="57">
        <v>1111</v>
      </c>
      <c r="B2502" t="s">
        <v>6801</v>
      </c>
      <c r="C2502" t="s">
        <v>6802</v>
      </c>
      <c r="D2502" s="12">
        <v>46313</v>
      </c>
      <c r="E2502" s="11">
        <v>20</v>
      </c>
      <c r="F2502" s="11" t="s">
        <v>7463</v>
      </c>
      <c r="G2502">
        <v>20261001</v>
      </c>
      <c r="I2502" s="11" t="s">
        <v>63</v>
      </c>
      <c r="J2502" s="72">
        <v>60638304</v>
      </c>
      <c r="K2502" s="99">
        <f>_xlfn.XLOOKUP(_2__ROI_Daily_Update[[#This Row],[CSM id]],SHP!F:F,SHP!EE:EE,"-")</f>
        <v>0</v>
      </c>
      <c r="L2502" s="12"/>
      <c r="N2502" s="11"/>
      <c r="P2502"/>
      <c r="Q2502"/>
      <c r="W2502" s="28"/>
      <c r="AA2502"/>
    </row>
    <row r="2503" spans="1:27" x14ac:dyDescent="0.45">
      <c r="A2503" s="57">
        <v>1111</v>
      </c>
      <c r="B2503" t="s">
        <v>6989</v>
      </c>
      <c r="C2503" t="s">
        <v>6990</v>
      </c>
      <c r="D2503" s="12">
        <v>46313</v>
      </c>
      <c r="E2503" s="11">
        <v>20</v>
      </c>
      <c r="F2503" s="11" t="s">
        <v>7480</v>
      </c>
      <c r="G2503">
        <v>20170201</v>
      </c>
      <c r="H2503" s="12">
        <v>46478</v>
      </c>
      <c r="I2503" s="11" t="s">
        <v>63</v>
      </c>
      <c r="J2503" s="72">
        <v>70342769</v>
      </c>
      <c r="K2503" s="99">
        <f>_xlfn.XLOOKUP(_2__ROI_Daily_Update[[#This Row],[CSM id]],SHP!F:F,SHP!EE:EE,"-")</f>
        <v>0</v>
      </c>
      <c r="L2503" s="12"/>
      <c r="N2503" s="11"/>
      <c r="P2503"/>
      <c r="Q2503"/>
      <c r="W2503" s="28"/>
      <c r="AA2503"/>
    </row>
    <row r="2504" spans="1:27" x14ac:dyDescent="0.45">
      <c r="A2504" s="57">
        <v>1111</v>
      </c>
      <c r="B2504" t="s">
        <v>5296</v>
      </c>
      <c r="C2504" t="s">
        <v>5297</v>
      </c>
      <c r="D2504" s="12">
        <v>46313</v>
      </c>
      <c r="E2504" s="11">
        <v>24</v>
      </c>
      <c r="F2504" s="11" t="s">
        <v>7420</v>
      </c>
      <c r="G2504">
        <v>20171001</v>
      </c>
      <c r="I2504" s="11" t="s">
        <v>63</v>
      </c>
      <c r="J2504" s="72">
        <v>70357275</v>
      </c>
      <c r="K2504" s="99">
        <f>_xlfn.XLOOKUP(_2__ROI_Daily_Update[[#This Row],[CSM id]],SHP!F:F,SHP!EE:EE,"-")</f>
        <v>0</v>
      </c>
      <c r="L2504" s="12"/>
      <c r="N2504" s="11"/>
      <c r="P2504"/>
      <c r="Q2504"/>
      <c r="W2504" s="28"/>
      <c r="AA2504"/>
    </row>
    <row r="2505" spans="1:27" x14ac:dyDescent="0.45">
      <c r="A2505" s="57">
        <v>1111</v>
      </c>
      <c r="B2505" t="s">
        <v>1427</v>
      </c>
      <c r="C2505" t="s">
        <v>1428</v>
      </c>
      <c r="D2505" s="12">
        <v>46313</v>
      </c>
      <c r="E2505" s="11">
        <v>260</v>
      </c>
      <c r="F2505" s="11" t="s">
        <v>7400</v>
      </c>
      <c r="G2505">
        <v>20220701</v>
      </c>
      <c r="H2505" s="12">
        <v>46478</v>
      </c>
      <c r="I2505" s="11" t="s">
        <v>63</v>
      </c>
      <c r="J2505" s="72">
        <v>70537314</v>
      </c>
      <c r="K2505" s="99">
        <f>_xlfn.XLOOKUP(_2__ROI_Daily_Update[[#This Row],[CSM id]],SHP!F:F,SHP!EE:EE,"-")</f>
        <v>0</v>
      </c>
      <c r="L2505" s="12"/>
      <c r="N2505" s="11"/>
      <c r="P2505"/>
      <c r="Q2505"/>
      <c r="W2505" s="28"/>
      <c r="AA2505"/>
    </row>
    <row r="2506" spans="1:27" x14ac:dyDescent="0.45">
      <c r="A2506" s="57">
        <v>1111</v>
      </c>
      <c r="B2506" t="s">
        <v>1425</v>
      </c>
      <c r="C2506" t="s">
        <v>1426</v>
      </c>
      <c r="D2506" s="12">
        <v>46313</v>
      </c>
      <c r="E2506" s="11">
        <v>10</v>
      </c>
      <c r="F2506" s="11" t="s">
        <v>7430</v>
      </c>
      <c r="G2506">
        <v>20251001</v>
      </c>
      <c r="I2506" s="11" t="s">
        <v>63</v>
      </c>
      <c r="J2506" s="72">
        <v>60615859</v>
      </c>
      <c r="K2506" s="99">
        <f>_xlfn.XLOOKUP(_2__ROI_Daily_Update[[#This Row],[CSM id]],SHP!F:F,SHP!EE:EE,"-")</f>
        <v>0</v>
      </c>
      <c r="L2506" s="12"/>
      <c r="N2506" s="11"/>
      <c r="P2506"/>
      <c r="Q2506"/>
      <c r="W2506" s="28"/>
      <c r="AA2506"/>
    </row>
    <row r="2507" spans="1:27" x14ac:dyDescent="0.45">
      <c r="A2507" s="57">
        <v>1111</v>
      </c>
      <c r="B2507" t="s">
        <v>1413</v>
      </c>
      <c r="C2507" t="s">
        <v>1414</v>
      </c>
      <c r="D2507" s="12">
        <v>46313</v>
      </c>
      <c r="E2507" s="11">
        <v>18</v>
      </c>
      <c r="F2507" s="11" t="s">
        <v>7420</v>
      </c>
      <c r="G2507">
        <v>20251001</v>
      </c>
      <c r="I2507" s="11" t="s">
        <v>63</v>
      </c>
      <c r="J2507" s="72">
        <v>50615906</v>
      </c>
      <c r="K2507" s="99">
        <f>_xlfn.XLOOKUP(_2__ROI_Daily_Update[[#This Row],[CSM id]],SHP!F:F,SHP!EE:EE,"-")</f>
        <v>0</v>
      </c>
      <c r="L2507" s="12"/>
      <c r="N2507" s="11"/>
      <c r="P2507"/>
      <c r="Q2507"/>
      <c r="W2507" s="28"/>
      <c r="AA2507"/>
    </row>
    <row r="2508" spans="1:27" x14ac:dyDescent="0.45">
      <c r="A2508" s="57">
        <v>1111</v>
      </c>
      <c r="B2508" t="s">
        <v>1447</v>
      </c>
      <c r="C2508" t="s">
        <v>1448</v>
      </c>
      <c r="D2508" s="12">
        <v>46313</v>
      </c>
      <c r="E2508" s="11">
        <v>60</v>
      </c>
      <c r="F2508" s="11" t="s">
        <v>7458</v>
      </c>
      <c r="G2508">
        <v>20201001</v>
      </c>
      <c r="I2508" s="11" t="s">
        <v>63</v>
      </c>
      <c r="J2508" s="72">
        <v>90482481</v>
      </c>
      <c r="K2508" s="99">
        <f>_xlfn.XLOOKUP(_2__ROI_Daily_Update[[#This Row],[CSM id]],SHP!F:F,SHP!EE:EE,"-")</f>
        <v>0</v>
      </c>
      <c r="L2508" s="12"/>
      <c r="N2508" s="11"/>
      <c r="P2508"/>
      <c r="Q2508"/>
      <c r="W2508" s="28"/>
      <c r="AA2508"/>
    </row>
    <row r="2509" spans="1:27" x14ac:dyDescent="0.45">
      <c r="A2509" s="57">
        <v>1111</v>
      </c>
      <c r="B2509" t="s">
        <v>1451</v>
      </c>
      <c r="C2509" t="s">
        <v>1452</v>
      </c>
      <c r="D2509" s="12">
        <v>46313</v>
      </c>
      <c r="E2509" s="11">
        <v>8</v>
      </c>
      <c r="F2509" s="11" t="s">
        <v>7410</v>
      </c>
      <c r="G2509">
        <v>20251001</v>
      </c>
      <c r="I2509" s="11" t="s">
        <v>63</v>
      </c>
      <c r="J2509" s="72">
        <v>90615853</v>
      </c>
      <c r="K2509" s="99">
        <f>_xlfn.XLOOKUP(_2__ROI_Daily_Update[[#This Row],[CSM id]],SHP!F:F,SHP!EE:EE,"-")</f>
        <v>0</v>
      </c>
      <c r="L2509" s="12"/>
      <c r="N2509" s="11"/>
      <c r="P2509"/>
      <c r="Q2509"/>
      <c r="W2509" s="28"/>
      <c r="AA2509"/>
    </row>
    <row r="2510" spans="1:27" x14ac:dyDescent="0.45">
      <c r="A2510" s="57">
        <v>1112</v>
      </c>
      <c r="B2510" t="s">
        <v>1477</v>
      </c>
      <c r="C2510" t="s">
        <v>1478</v>
      </c>
      <c r="D2510" s="12">
        <v>46313</v>
      </c>
      <c r="E2510" s="11">
        <v>68</v>
      </c>
      <c r="F2510" s="11" t="s">
        <v>7440</v>
      </c>
      <c r="G2510">
        <v>20250701</v>
      </c>
      <c r="I2510" s="11" t="s">
        <v>63</v>
      </c>
      <c r="J2510" s="72">
        <v>30605772</v>
      </c>
      <c r="K2510" s="99">
        <f>_xlfn.XLOOKUP(_2__ROI_Daily_Update[[#This Row],[CSM id]],SHP!F:F,SHP!EE:EE,"-")</f>
        <v>0</v>
      </c>
      <c r="L2510" s="12"/>
      <c r="N2510" s="11"/>
      <c r="P2510"/>
      <c r="Q2510"/>
      <c r="W2510" s="28"/>
      <c r="AA2510"/>
    </row>
    <row r="2511" spans="1:27" x14ac:dyDescent="0.45">
      <c r="A2511" s="57">
        <v>1112</v>
      </c>
      <c r="B2511" t="s">
        <v>1477</v>
      </c>
      <c r="C2511" t="s">
        <v>1478</v>
      </c>
      <c r="D2511" s="12">
        <v>46313</v>
      </c>
      <c r="E2511" s="11">
        <v>60</v>
      </c>
      <c r="F2511" s="11" t="s">
        <v>7430</v>
      </c>
      <c r="G2511">
        <v>20250701</v>
      </c>
      <c r="I2511" s="11" t="s">
        <v>63</v>
      </c>
      <c r="J2511" s="72">
        <v>30605772</v>
      </c>
      <c r="K2511" s="99">
        <f>_xlfn.XLOOKUP(_2__ROI_Daily_Update[[#This Row],[CSM id]],SHP!F:F,SHP!EE:EE,"-")</f>
        <v>0</v>
      </c>
      <c r="L2511" s="12"/>
      <c r="N2511" s="11"/>
      <c r="P2511"/>
      <c r="Q2511"/>
      <c r="W2511" s="28"/>
      <c r="AA2511"/>
    </row>
    <row r="2512" spans="1:27" x14ac:dyDescent="0.45">
      <c r="A2512" s="57">
        <v>974</v>
      </c>
      <c r="B2512" t="s">
        <v>5687</v>
      </c>
      <c r="C2512" t="s">
        <v>5688</v>
      </c>
      <c r="D2512" s="12">
        <v>46313</v>
      </c>
      <c r="E2512" s="11">
        <v>8</v>
      </c>
      <c r="F2512" s="11" t="s">
        <v>7400</v>
      </c>
      <c r="G2512">
        <v>20220701</v>
      </c>
      <c r="I2512" s="11" t="s">
        <v>63</v>
      </c>
      <c r="J2512" s="72">
        <v>90513897</v>
      </c>
      <c r="K2512" s="99">
        <f>_xlfn.XLOOKUP(_2__ROI_Daily_Update[[#This Row],[CSM id]],SHP!F:F,SHP!EE:EE,"-")</f>
        <v>0</v>
      </c>
      <c r="L2512" s="12"/>
      <c r="N2512" s="11"/>
      <c r="P2512"/>
      <c r="Q2512"/>
      <c r="W2512" s="28"/>
      <c r="AA2512"/>
    </row>
    <row r="2513" spans="1:27" x14ac:dyDescent="0.45">
      <c r="A2513" s="57">
        <v>1112</v>
      </c>
      <c r="B2513" t="s">
        <v>5216</v>
      </c>
      <c r="C2513" t="s">
        <v>5217</v>
      </c>
      <c r="D2513" s="12">
        <v>46313</v>
      </c>
      <c r="E2513" s="11">
        <v>6</v>
      </c>
      <c r="F2513" s="11" t="s">
        <v>7453</v>
      </c>
      <c r="G2513">
        <v>20250701</v>
      </c>
      <c r="H2513" s="12">
        <v>46569</v>
      </c>
      <c r="I2513" s="11" t="s">
        <v>63</v>
      </c>
      <c r="J2513" s="72">
        <v>20600586</v>
      </c>
      <c r="K2513" s="99">
        <f>_xlfn.XLOOKUP(_2__ROI_Daily_Update[[#This Row],[CSM id]],SHP!F:F,SHP!EE:EE,"-")</f>
        <v>0</v>
      </c>
      <c r="L2513" s="12"/>
      <c r="N2513" s="11"/>
      <c r="P2513"/>
      <c r="Q2513"/>
      <c r="W2513" s="28"/>
      <c r="AA2513"/>
    </row>
    <row r="2514" spans="1:27" x14ac:dyDescent="0.45">
      <c r="A2514" s="57">
        <v>1112</v>
      </c>
      <c r="B2514" t="s">
        <v>5216</v>
      </c>
      <c r="C2514" t="s">
        <v>5217</v>
      </c>
      <c r="D2514" s="12">
        <v>46313</v>
      </c>
      <c r="E2514" s="11">
        <v>9</v>
      </c>
      <c r="F2514" s="11" t="s">
        <v>7420</v>
      </c>
      <c r="G2514">
        <v>20250701</v>
      </c>
      <c r="H2514" s="12">
        <v>46569</v>
      </c>
      <c r="I2514" s="11" t="s">
        <v>63</v>
      </c>
      <c r="J2514" s="72">
        <v>20600586</v>
      </c>
      <c r="K2514" s="99">
        <f>_xlfn.XLOOKUP(_2__ROI_Daily_Update[[#This Row],[CSM id]],SHP!F:F,SHP!EE:EE,"-")</f>
        <v>0</v>
      </c>
      <c r="L2514" s="12"/>
      <c r="N2514" s="11"/>
      <c r="P2514"/>
      <c r="Q2514"/>
      <c r="W2514" s="28"/>
      <c r="AA2514"/>
    </row>
    <row r="2515" spans="1:27" x14ac:dyDescent="0.45">
      <c r="A2515" s="57">
        <v>1112</v>
      </c>
      <c r="B2515" t="s">
        <v>1473</v>
      </c>
      <c r="C2515" t="s">
        <v>1474</v>
      </c>
      <c r="D2515" s="12">
        <v>46313</v>
      </c>
      <c r="E2515" s="11">
        <v>8</v>
      </c>
      <c r="F2515" s="11" t="s">
        <v>7430</v>
      </c>
      <c r="G2515">
        <v>20250401</v>
      </c>
      <c r="I2515" s="11" t="s">
        <v>63</v>
      </c>
      <c r="J2515" s="72">
        <v>20599762</v>
      </c>
      <c r="K2515" s="99">
        <f>_xlfn.XLOOKUP(_2__ROI_Daily_Update[[#This Row],[CSM id]],SHP!F:F,SHP!EE:EE,"-")</f>
        <v>0</v>
      </c>
      <c r="L2515" s="12"/>
      <c r="N2515" s="11"/>
      <c r="P2515"/>
      <c r="Q2515"/>
      <c r="W2515" s="28"/>
      <c r="AA2515"/>
    </row>
    <row r="2516" spans="1:27" x14ac:dyDescent="0.45">
      <c r="A2516" s="57">
        <v>1112</v>
      </c>
      <c r="B2516" t="s">
        <v>1471</v>
      </c>
      <c r="C2516" t="s">
        <v>1472</v>
      </c>
      <c r="D2516" s="12">
        <v>46313</v>
      </c>
      <c r="E2516" s="11">
        <v>8</v>
      </c>
      <c r="F2516" s="11" t="s">
        <v>7400</v>
      </c>
      <c r="G2516">
        <v>20250401</v>
      </c>
      <c r="I2516" s="11" t="s">
        <v>63</v>
      </c>
      <c r="J2516" s="72">
        <v>20591172</v>
      </c>
      <c r="K2516" s="99">
        <f>_xlfn.XLOOKUP(_2__ROI_Daily_Update[[#This Row],[CSM id]],SHP!F:F,SHP!EE:EE,"-")</f>
        <v>0</v>
      </c>
      <c r="L2516" s="12"/>
      <c r="N2516" s="11"/>
      <c r="P2516"/>
      <c r="Q2516"/>
      <c r="W2516" s="28"/>
      <c r="AA2516"/>
    </row>
    <row r="2517" spans="1:27" x14ac:dyDescent="0.45">
      <c r="A2517" s="57">
        <v>1112</v>
      </c>
      <c r="B2517" t="s">
        <v>7009</v>
      </c>
      <c r="C2517" t="s">
        <v>7010</v>
      </c>
      <c r="D2517" s="12">
        <v>46313</v>
      </c>
      <c r="E2517" s="11">
        <v>672</v>
      </c>
      <c r="F2517" s="11" t="s">
        <v>7480</v>
      </c>
      <c r="G2517">
        <v>20170401</v>
      </c>
      <c r="I2517" s="11" t="s">
        <v>63</v>
      </c>
      <c r="J2517" s="72">
        <v>20337181</v>
      </c>
      <c r="K2517" s="99">
        <f>_xlfn.XLOOKUP(_2__ROI_Daily_Update[[#This Row],[CSM id]],SHP!F:F,SHP!EE:EE,"-")</f>
        <v>0</v>
      </c>
      <c r="L2517" s="12"/>
      <c r="N2517" s="11"/>
      <c r="P2517"/>
      <c r="Q2517"/>
      <c r="W2517" s="28"/>
      <c r="AA2517"/>
    </row>
    <row r="2518" spans="1:27" x14ac:dyDescent="0.45">
      <c r="A2518" s="57">
        <v>974</v>
      </c>
      <c r="B2518" t="s">
        <v>937</v>
      </c>
      <c r="C2518" t="s">
        <v>938</v>
      </c>
      <c r="D2518" s="12">
        <v>46313</v>
      </c>
      <c r="E2518" s="11">
        <v>288</v>
      </c>
      <c r="F2518" s="11" t="s">
        <v>7410</v>
      </c>
      <c r="G2518">
        <v>20250701</v>
      </c>
      <c r="I2518" s="11" t="s">
        <v>63</v>
      </c>
      <c r="J2518" s="72">
        <v>90582268</v>
      </c>
      <c r="K2518" s="99">
        <f>_xlfn.XLOOKUP(_2__ROI_Daily_Update[[#This Row],[CSM id]],SHP!F:F,SHP!EE:EE,"-")</f>
        <v>0</v>
      </c>
      <c r="L2518" s="12"/>
      <c r="N2518" s="11"/>
      <c r="P2518"/>
      <c r="Q2518"/>
      <c r="W2518" s="28"/>
      <c r="AA2518"/>
    </row>
    <row r="2519" spans="1:27" x14ac:dyDescent="0.45">
      <c r="A2519" s="57">
        <v>1112</v>
      </c>
      <c r="B2519" t="s">
        <v>1467</v>
      </c>
      <c r="C2519" t="s">
        <v>1468</v>
      </c>
      <c r="D2519" s="12">
        <v>46313</v>
      </c>
      <c r="E2519" s="11">
        <v>20</v>
      </c>
      <c r="F2519" s="11" t="s">
        <v>6940</v>
      </c>
      <c r="G2519">
        <v>20261001</v>
      </c>
      <c r="H2519" s="12">
        <v>46478</v>
      </c>
      <c r="I2519" s="11" t="s">
        <v>63</v>
      </c>
      <c r="J2519" s="72">
        <v>10637868</v>
      </c>
      <c r="K2519" s="99">
        <f>_xlfn.XLOOKUP(_2__ROI_Daily_Update[[#This Row],[CSM id]],SHP!F:F,SHP!EE:EE,"-")</f>
        <v>0</v>
      </c>
      <c r="L2519" s="12"/>
      <c r="N2519" s="11"/>
      <c r="P2519"/>
      <c r="Q2519"/>
      <c r="W2519" s="28"/>
      <c r="AA2519"/>
    </row>
    <row r="2520" spans="1:27" x14ac:dyDescent="0.45">
      <c r="A2520" s="57">
        <v>981</v>
      </c>
      <c r="B2520" t="s">
        <v>939</v>
      </c>
      <c r="C2520" t="s">
        <v>940</v>
      </c>
      <c r="D2520" s="12">
        <v>46313</v>
      </c>
      <c r="E2520" s="11">
        <v>20</v>
      </c>
      <c r="F2520" s="11" t="s">
        <v>7499</v>
      </c>
      <c r="G2520">
        <v>20260201</v>
      </c>
      <c r="I2520" s="11" t="s">
        <v>18</v>
      </c>
      <c r="J2520" s="72">
        <v>598971</v>
      </c>
      <c r="K2520" s="99">
        <f>_xlfn.XLOOKUP(_2__ROI_Daily_Update[[#This Row],[CSM id]],SHP!F:F,SHP!EE:EE,"-")</f>
        <v>0</v>
      </c>
      <c r="L2520" s="12"/>
      <c r="N2520" s="11"/>
      <c r="P2520"/>
      <c r="Q2520"/>
      <c r="W2520" s="28"/>
      <c r="AA2520"/>
    </row>
    <row r="2521" spans="1:27" x14ac:dyDescent="0.45">
      <c r="A2521" s="57">
        <v>1112</v>
      </c>
      <c r="B2521" t="s">
        <v>5370</v>
      </c>
      <c r="C2521" t="s">
        <v>5371</v>
      </c>
      <c r="D2521" s="12">
        <v>46313</v>
      </c>
      <c r="E2521" s="11">
        <v>4</v>
      </c>
      <c r="F2521" s="11" t="s">
        <v>7463</v>
      </c>
      <c r="G2521">
        <v>20260701</v>
      </c>
      <c r="I2521" s="11" t="s">
        <v>63</v>
      </c>
      <c r="J2521" s="72">
        <v>10632494</v>
      </c>
      <c r="K2521" s="99">
        <f>_xlfn.XLOOKUP(_2__ROI_Daily_Update[[#This Row],[CSM id]],SHP!F:F,SHP!EE:EE,"-")</f>
        <v>0</v>
      </c>
      <c r="L2521" s="12"/>
      <c r="N2521" s="11"/>
      <c r="P2521"/>
      <c r="Q2521"/>
      <c r="W2521" s="28"/>
      <c r="AA2521"/>
    </row>
    <row r="2522" spans="1:27" x14ac:dyDescent="0.45">
      <c r="A2522" s="57">
        <v>1112</v>
      </c>
      <c r="B2522" t="s">
        <v>5370</v>
      </c>
      <c r="C2522" t="s">
        <v>5371</v>
      </c>
      <c r="D2522" s="12">
        <v>46313</v>
      </c>
      <c r="E2522" s="11">
        <v>12</v>
      </c>
      <c r="F2522" s="11" t="s">
        <v>7400</v>
      </c>
      <c r="G2522">
        <v>20260701</v>
      </c>
      <c r="I2522" s="11" t="s">
        <v>63</v>
      </c>
      <c r="J2522" s="72">
        <v>10632494</v>
      </c>
      <c r="K2522" s="99">
        <f>_xlfn.XLOOKUP(_2__ROI_Daily_Update[[#This Row],[CSM id]],SHP!F:F,SHP!EE:EE,"-")</f>
        <v>0</v>
      </c>
      <c r="L2522" s="12"/>
      <c r="N2522" s="11"/>
      <c r="P2522"/>
      <c r="Q2522"/>
      <c r="W2522" s="28"/>
      <c r="AA2522"/>
    </row>
    <row r="2523" spans="1:27" x14ac:dyDescent="0.45">
      <c r="A2523" s="57">
        <v>1112</v>
      </c>
      <c r="B2523" t="s">
        <v>5370</v>
      </c>
      <c r="C2523" t="s">
        <v>5371</v>
      </c>
      <c r="D2523" s="12">
        <v>46313</v>
      </c>
      <c r="E2523" s="11">
        <v>4</v>
      </c>
      <c r="F2523" s="11" t="s">
        <v>7420</v>
      </c>
      <c r="G2523">
        <v>20260701</v>
      </c>
      <c r="I2523" s="11" t="s">
        <v>63</v>
      </c>
      <c r="J2523" s="72">
        <v>10632494</v>
      </c>
      <c r="K2523" s="99">
        <f>_xlfn.XLOOKUP(_2__ROI_Daily_Update[[#This Row],[CSM id]],SHP!F:F,SHP!EE:EE,"-")</f>
        <v>0</v>
      </c>
      <c r="L2523" s="12"/>
      <c r="N2523" s="11"/>
      <c r="P2523"/>
      <c r="Q2523"/>
      <c r="W2523" s="28"/>
      <c r="AA2523"/>
    </row>
    <row r="2524" spans="1:27" x14ac:dyDescent="0.45">
      <c r="A2524" s="57">
        <v>1112</v>
      </c>
      <c r="B2524" t="s">
        <v>1463</v>
      </c>
      <c r="C2524" t="s">
        <v>1464</v>
      </c>
      <c r="D2524" s="12">
        <v>46313</v>
      </c>
      <c r="E2524" s="11">
        <v>8</v>
      </c>
      <c r="F2524" s="11" t="s">
        <v>6946</v>
      </c>
      <c r="G2524">
        <v>20260101</v>
      </c>
      <c r="H2524" s="12">
        <v>46753</v>
      </c>
      <c r="I2524" s="11" t="s">
        <v>63</v>
      </c>
      <c r="J2524" s="72">
        <v>10621990</v>
      </c>
      <c r="K2524" s="99">
        <f>_xlfn.XLOOKUP(_2__ROI_Daily_Update[[#This Row],[CSM id]],SHP!F:F,SHP!EE:EE,"-")</f>
        <v>0</v>
      </c>
      <c r="L2524" s="12"/>
      <c r="N2524" s="11"/>
      <c r="P2524"/>
      <c r="Q2524"/>
      <c r="W2524" s="28"/>
      <c r="AA2524"/>
    </row>
    <row r="2525" spans="1:27" x14ac:dyDescent="0.45">
      <c r="A2525" s="57">
        <v>1112</v>
      </c>
      <c r="B2525" t="s">
        <v>1463</v>
      </c>
      <c r="C2525" t="s">
        <v>1464</v>
      </c>
      <c r="D2525" s="12">
        <v>46313</v>
      </c>
      <c r="E2525" s="11">
        <v>8</v>
      </c>
      <c r="F2525" s="11" t="s">
        <v>7430</v>
      </c>
      <c r="G2525">
        <v>20260101</v>
      </c>
      <c r="H2525" s="12">
        <v>46753</v>
      </c>
      <c r="I2525" s="11" t="s">
        <v>63</v>
      </c>
      <c r="J2525" s="72">
        <v>10621990</v>
      </c>
      <c r="K2525" s="99">
        <f>_xlfn.XLOOKUP(_2__ROI_Daily_Update[[#This Row],[CSM id]],SHP!F:F,SHP!EE:EE,"-")</f>
        <v>0</v>
      </c>
      <c r="L2525" s="12"/>
      <c r="N2525" s="11"/>
      <c r="P2525"/>
      <c r="Q2525"/>
      <c r="W2525" s="28"/>
      <c r="AA2525"/>
    </row>
    <row r="2526" spans="1:27" x14ac:dyDescent="0.45">
      <c r="A2526" s="57">
        <v>1112</v>
      </c>
      <c r="B2526" t="s">
        <v>5372</v>
      </c>
      <c r="C2526" t="s">
        <v>5373</v>
      </c>
      <c r="D2526" s="12">
        <v>46313</v>
      </c>
      <c r="E2526" s="11">
        <v>8</v>
      </c>
      <c r="F2526" s="11" t="s">
        <v>7420</v>
      </c>
      <c r="G2526">
        <v>20260101</v>
      </c>
      <c r="I2526" s="11" t="s">
        <v>63</v>
      </c>
      <c r="J2526" s="72">
        <v>10621612</v>
      </c>
      <c r="K2526" s="99">
        <f>_xlfn.XLOOKUP(_2__ROI_Daily_Update[[#This Row],[CSM id]],SHP!F:F,SHP!EE:EE,"-")</f>
        <v>0</v>
      </c>
      <c r="L2526" s="12"/>
      <c r="N2526" s="11"/>
      <c r="P2526"/>
      <c r="Q2526"/>
      <c r="W2526" s="28"/>
      <c r="AA2526"/>
    </row>
    <row r="2527" spans="1:27" x14ac:dyDescent="0.45">
      <c r="A2527" s="57">
        <v>1111</v>
      </c>
      <c r="B2527" t="s">
        <v>6305</v>
      </c>
      <c r="C2527" t="s">
        <v>6306</v>
      </c>
      <c r="D2527" s="12">
        <v>46313</v>
      </c>
      <c r="E2527" s="11">
        <v>14</v>
      </c>
      <c r="F2527" s="11" t="s">
        <v>7453</v>
      </c>
      <c r="G2527">
        <v>20261001</v>
      </c>
      <c r="I2527" s="11" t="s">
        <v>63</v>
      </c>
      <c r="J2527" s="72">
        <v>90638294</v>
      </c>
      <c r="K2527" s="99">
        <f>_xlfn.XLOOKUP(_2__ROI_Daily_Update[[#This Row],[CSM id]],SHP!F:F,SHP!EE:EE,"-")</f>
        <v>0</v>
      </c>
      <c r="L2527" s="12"/>
      <c r="N2527" s="11"/>
      <c r="P2527"/>
      <c r="Q2527"/>
      <c r="W2527" s="28"/>
      <c r="AA2527"/>
    </row>
    <row r="2528" spans="1:27" x14ac:dyDescent="0.45">
      <c r="A2528" s="57">
        <v>1112</v>
      </c>
      <c r="B2528" t="s">
        <v>1455</v>
      </c>
      <c r="C2528" t="s">
        <v>1456</v>
      </c>
      <c r="D2528" s="12">
        <v>46313</v>
      </c>
      <c r="E2528" s="11">
        <v>30</v>
      </c>
      <c r="F2528" s="11" t="s">
        <v>7420</v>
      </c>
      <c r="G2528">
        <v>20190401</v>
      </c>
      <c r="I2528" s="11" t="s">
        <v>63</v>
      </c>
      <c r="J2528" s="72">
        <v>442606</v>
      </c>
      <c r="K2528" s="99">
        <f>_xlfn.XLOOKUP(_2__ROI_Daily_Update[[#This Row],[CSM id]],SHP!F:F,SHP!EE:EE,"-")</f>
        <v>0</v>
      </c>
      <c r="L2528" s="12"/>
      <c r="N2528" s="11"/>
      <c r="P2528"/>
      <c r="Q2528"/>
      <c r="W2528" s="28"/>
      <c r="AA2528"/>
    </row>
    <row r="2529" spans="1:27" x14ac:dyDescent="0.45">
      <c r="A2529" s="57">
        <v>1112</v>
      </c>
      <c r="B2529" t="s">
        <v>1455</v>
      </c>
      <c r="C2529" t="s">
        <v>1456</v>
      </c>
      <c r="D2529" s="12">
        <v>46313</v>
      </c>
      <c r="E2529" s="11">
        <v>20</v>
      </c>
      <c r="F2529" s="11" t="s">
        <v>7400</v>
      </c>
      <c r="G2529">
        <v>20190401</v>
      </c>
      <c r="I2529" s="11" t="s">
        <v>63</v>
      </c>
      <c r="J2529" s="72">
        <v>442606</v>
      </c>
      <c r="K2529" s="99">
        <f>_xlfn.XLOOKUP(_2__ROI_Daily_Update[[#This Row],[CSM id]],SHP!F:F,SHP!EE:EE,"-")</f>
        <v>0</v>
      </c>
      <c r="L2529" s="12"/>
      <c r="N2529" s="11"/>
      <c r="P2529"/>
      <c r="Q2529"/>
      <c r="W2529" s="28"/>
      <c r="AA2529"/>
    </row>
    <row r="2530" spans="1:27" x14ac:dyDescent="0.45">
      <c r="A2530" s="57">
        <v>1112</v>
      </c>
      <c r="B2530" t="s">
        <v>1457</v>
      </c>
      <c r="C2530" t="s">
        <v>1458</v>
      </c>
      <c r="D2530" s="12">
        <v>46313</v>
      </c>
      <c r="E2530" s="11">
        <v>6</v>
      </c>
      <c r="F2530" s="11" t="s">
        <v>7430</v>
      </c>
      <c r="G2530">
        <v>20241001</v>
      </c>
      <c r="I2530" s="11" t="s">
        <v>63</v>
      </c>
      <c r="J2530" s="72">
        <v>585412</v>
      </c>
      <c r="K2530" s="99">
        <f>_xlfn.XLOOKUP(_2__ROI_Daily_Update[[#This Row],[CSM id]],SHP!F:F,SHP!EE:EE,"-")</f>
        <v>0</v>
      </c>
      <c r="L2530" s="12"/>
      <c r="N2530" s="11"/>
      <c r="P2530"/>
      <c r="Q2530"/>
      <c r="W2530" s="28"/>
      <c r="AA2530"/>
    </row>
    <row r="2531" spans="1:27" x14ac:dyDescent="0.45">
      <c r="A2531" s="57">
        <v>1112</v>
      </c>
      <c r="B2531" t="s">
        <v>6307</v>
      </c>
      <c r="C2531" t="s">
        <v>6308</v>
      </c>
      <c r="D2531" s="12">
        <v>46313</v>
      </c>
      <c r="E2531" s="11">
        <v>63</v>
      </c>
      <c r="F2531" s="11" t="s">
        <v>7453</v>
      </c>
      <c r="G2531">
        <v>20160801</v>
      </c>
      <c r="I2531" s="11" t="s">
        <v>63</v>
      </c>
      <c r="J2531" s="72">
        <v>10318550</v>
      </c>
      <c r="K2531" s="99">
        <f>_xlfn.XLOOKUP(_2__ROI_Daily_Update[[#This Row],[CSM id]],SHP!F:F,SHP!EE:EE,"-")</f>
        <v>0</v>
      </c>
      <c r="L2531" s="12"/>
      <c r="N2531" s="11"/>
      <c r="P2531"/>
      <c r="Q2531"/>
      <c r="W2531" s="28"/>
      <c r="AA2531"/>
    </row>
    <row r="2532" spans="1:27" x14ac:dyDescent="0.45">
      <c r="A2532" s="57">
        <v>1112</v>
      </c>
      <c r="B2532" t="s">
        <v>5218</v>
      </c>
      <c r="C2532" t="s">
        <v>5219</v>
      </c>
      <c r="D2532" s="12">
        <v>46313</v>
      </c>
      <c r="E2532" s="11">
        <v>6</v>
      </c>
      <c r="F2532" s="11" t="s">
        <v>7420</v>
      </c>
      <c r="G2532">
        <v>20160801</v>
      </c>
      <c r="I2532" s="11" t="s">
        <v>63</v>
      </c>
      <c r="J2532" s="72">
        <v>10318654</v>
      </c>
      <c r="K2532" s="99">
        <f>_xlfn.XLOOKUP(_2__ROI_Daily_Update[[#This Row],[CSM id]],SHP!F:F,SHP!EE:EE,"-")</f>
        <v>0</v>
      </c>
      <c r="L2532" s="12"/>
      <c r="N2532" s="11"/>
      <c r="P2532"/>
      <c r="Q2532"/>
      <c r="W2532" s="28"/>
      <c r="AA2532"/>
    </row>
    <row r="2533" spans="1:27" x14ac:dyDescent="0.45">
      <c r="A2533" s="57">
        <v>1111</v>
      </c>
      <c r="B2533" t="s">
        <v>1449</v>
      </c>
      <c r="C2533" t="s">
        <v>1450</v>
      </c>
      <c r="D2533" s="12">
        <v>46313</v>
      </c>
      <c r="E2533" s="11">
        <v>48</v>
      </c>
      <c r="F2533" s="11" t="s">
        <v>7410</v>
      </c>
      <c r="G2533">
        <v>20241001</v>
      </c>
      <c r="I2533" s="11" t="s">
        <v>63</v>
      </c>
      <c r="J2533" s="72">
        <v>90590254</v>
      </c>
      <c r="K2533" s="99">
        <f>_xlfn.XLOOKUP(_2__ROI_Daily_Update[[#This Row],[CSM id]],SHP!F:F,SHP!EE:EE,"-")</f>
        <v>0</v>
      </c>
      <c r="L2533" s="12"/>
      <c r="N2533" s="11"/>
      <c r="P2533"/>
      <c r="Q2533"/>
      <c r="W2533" s="28"/>
      <c r="AA2533"/>
    </row>
    <row r="2534" spans="1:27" x14ac:dyDescent="0.45">
      <c r="A2534" s="57">
        <v>1112</v>
      </c>
      <c r="B2534" t="s">
        <v>5218</v>
      </c>
      <c r="C2534" t="s">
        <v>5219</v>
      </c>
      <c r="D2534" s="12">
        <v>46313</v>
      </c>
      <c r="E2534" s="11">
        <v>6</v>
      </c>
      <c r="F2534" s="11" t="s">
        <v>7440</v>
      </c>
      <c r="G2534">
        <v>20160801</v>
      </c>
      <c r="I2534" s="11" t="s">
        <v>63</v>
      </c>
      <c r="J2534" s="72">
        <v>10318654</v>
      </c>
      <c r="K2534" s="99">
        <f>_xlfn.XLOOKUP(_2__ROI_Daily_Update[[#This Row],[CSM id]],SHP!F:F,SHP!EE:EE,"-")</f>
        <v>0</v>
      </c>
      <c r="L2534" s="12"/>
      <c r="N2534" s="11"/>
      <c r="P2534"/>
      <c r="Q2534"/>
      <c r="W2534" s="28"/>
      <c r="AA2534"/>
    </row>
    <row r="2535" spans="1:27" x14ac:dyDescent="0.45">
      <c r="A2535" s="57">
        <v>1112</v>
      </c>
      <c r="B2535" t="s">
        <v>5142</v>
      </c>
      <c r="C2535" t="s">
        <v>5143</v>
      </c>
      <c r="D2535" s="12">
        <v>46313</v>
      </c>
      <c r="E2535" s="11">
        <v>12</v>
      </c>
      <c r="F2535" s="11" t="s">
        <v>7430</v>
      </c>
      <c r="G2535">
        <v>20250401</v>
      </c>
      <c r="I2535" s="11" t="s">
        <v>63</v>
      </c>
      <c r="J2535" s="72">
        <v>10599734</v>
      </c>
      <c r="K2535" s="99">
        <f>_xlfn.XLOOKUP(_2__ROI_Daily_Update[[#This Row],[CSM id]],SHP!F:F,SHP!EE:EE,"-")</f>
        <v>0</v>
      </c>
      <c r="L2535" s="12"/>
      <c r="N2535" s="11"/>
      <c r="P2535"/>
      <c r="Q2535"/>
      <c r="W2535" s="28"/>
      <c r="AA2535"/>
    </row>
    <row r="2536" spans="1:27" x14ac:dyDescent="0.45">
      <c r="A2536" s="57">
        <v>1112</v>
      </c>
      <c r="B2536" t="s">
        <v>5142</v>
      </c>
      <c r="C2536" t="s">
        <v>5143</v>
      </c>
      <c r="D2536" s="12">
        <v>46313</v>
      </c>
      <c r="E2536" s="11">
        <v>8</v>
      </c>
      <c r="F2536" s="11" t="s">
        <v>7463</v>
      </c>
      <c r="G2536">
        <v>20250401</v>
      </c>
      <c r="I2536" s="11" t="s">
        <v>63</v>
      </c>
      <c r="J2536" s="72">
        <v>10599734</v>
      </c>
      <c r="K2536" s="99">
        <f>_xlfn.XLOOKUP(_2__ROI_Daily_Update[[#This Row],[CSM id]],SHP!F:F,SHP!EE:EE,"-")</f>
        <v>0</v>
      </c>
      <c r="L2536" s="12"/>
      <c r="N2536" s="11"/>
      <c r="P2536"/>
      <c r="Q2536"/>
      <c r="W2536" s="28"/>
      <c r="AA2536"/>
    </row>
    <row r="2537" spans="1:27" x14ac:dyDescent="0.45">
      <c r="A2537" s="57">
        <v>1112</v>
      </c>
      <c r="B2537" t="s">
        <v>1461</v>
      </c>
      <c r="C2537" t="s">
        <v>1462</v>
      </c>
      <c r="D2537" s="12">
        <v>46313</v>
      </c>
      <c r="E2537" s="11">
        <v>12</v>
      </c>
      <c r="F2537" s="11" t="s">
        <v>7420</v>
      </c>
      <c r="G2537">
        <v>20250701</v>
      </c>
      <c r="I2537" s="11" t="s">
        <v>63</v>
      </c>
      <c r="J2537" s="72">
        <v>10600501</v>
      </c>
      <c r="K2537" s="99">
        <f>_xlfn.XLOOKUP(_2__ROI_Daily_Update[[#This Row],[CSM id]],SHP!F:F,SHP!EE:EE,"-")</f>
        <v>0</v>
      </c>
      <c r="L2537" s="12"/>
      <c r="N2537" s="11"/>
      <c r="P2537"/>
      <c r="Q2537"/>
      <c r="W2537" s="28"/>
      <c r="AA2537"/>
    </row>
    <row r="2538" spans="1:27" x14ac:dyDescent="0.45">
      <c r="A2538" s="57">
        <v>1112</v>
      </c>
      <c r="B2538" t="s">
        <v>1461</v>
      </c>
      <c r="C2538" t="s">
        <v>1462</v>
      </c>
      <c r="D2538" s="12">
        <v>46313</v>
      </c>
      <c r="E2538" s="11">
        <v>15</v>
      </c>
      <c r="F2538" s="11" t="s">
        <v>7453</v>
      </c>
      <c r="G2538">
        <v>20250701</v>
      </c>
      <c r="I2538" s="11" t="s">
        <v>63</v>
      </c>
      <c r="J2538" s="72">
        <v>10600501</v>
      </c>
      <c r="K2538" s="99">
        <f>_xlfn.XLOOKUP(_2__ROI_Daily_Update[[#This Row],[CSM id]],SHP!F:F,SHP!EE:EE,"-")</f>
        <v>0</v>
      </c>
      <c r="L2538" s="12"/>
      <c r="N2538" s="11"/>
      <c r="P2538"/>
      <c r="Q2538"/>
      <c r="W2538" s="28"/>
      <c r="AA2538"/>
    </row>
    <row r="2539" spans="1:27" x14ac:dyDescent="0.45">
      <c r="A2539" s="57">
        <v>1112</v>
      </c>
      <c r="B2539" t="s">
        <v>5454</v>
      </c>
      <c r="C2539" t="s">
        <v>5455</v>
      </c>
      <c r="D2539" s="12">
        <v>46313</v>
      </c>
      <c r="E2539" s="11">
        <v>20</v>
      </c>
      <c r="F2539" s="11" t="s">
        <v>7410</v>
      </c>
      <c r="G2539">
        <v>20251001</v>
      </c>
      <c r="I2539" s="11" t="s">
        <v>63</v>
      </c>
      <c r="J2539" s="72">
        <v>10610958</v>
      </c>
      <c r="K2539" s="99">
        <f>_xlfn.XLOOKUP(_2__ROI_Daily_Update[[#This Row],[CSM id]],SHP!F:F,SHP!EE:EE,"-")</f>
        <v>0</v>
      </c>
      <c r="L2539" s="12"/>
      <c r="N2539" s="11"/>
      <c r="P2539"/>
      <c r="Q2539"/>
      <c r="W2539" s="28"/>
      <c r="AA2539"/>
    </row>
    <row r="2540" spans="1:27" x14ac:dyDescent="0.45">
      <c r="A2540" s="57">
        <v>1112</v>
      </c>
      <c r="B2540" t="s">
        <v>5454</v>
      </c>
      <c r="C2540" t="s">
        <v>5455</v>
      </c>
      <c r="D2540" s="12">
        <v>46313</v>
      </c>
      <c r="E2540" s="11">
        <v>20</v>
      </c>
      <c r="F2540" s="11" t="s">
        <v>7400</v>
      </c>
      <c r="G2540">
        <v>20251001</v>
      </c>
      <c r="I2540" s="11" t="s">
        <v>63</v>
      </c>
      <c r="J2540" s="72">
        <v>10610958</v>
      </c>
      <c r="K2540" s="99">
        <f>_xlfn.XLOOKUP(_2__ROI_Daily_Update[[#This Row],[CSM id]],SHP!F:F,SHP!EE:EE,"-")</f>
        <v>0</v>
      </c>
      <c r="L2540" s="12"/>
      <c r="N2540" s="11"/>
      <c r="P2540"/>
      <c r="Q2540"/>
      <c r="W2540" s="28"/>
      <c r="AA2540"/>
    </row>
    <row r="2541" spans="1:27" x14ac:dyDescent="0.45">
      <c r="A2541" s="57">
        <v>1112</v>
      </c>
      <c r="B2541" t="s">
        <v>6849</v>
      </c>
      <c r="C2541" t="s">
        <v>6850</v>
      </c>
      <c r="D2541" s="12">
        <v>46313</v>
      </c>
      <c r="E2541" s="11">
        <v>8</v>
      </c>
      <c r="F2541" s="11" t="s">
        <v>7463</v>
      </c>
      <c r="G2541">
        <v>20170401</v>
      </c>
      <c r="I2541" s="11" t="s">
        <v>63</v>
      </c>
      <c r="J2541" s="72">
        <v>10337167</v>
      </c>
      <c r="K2541" s="99">
        <f>_xlfn.XLOOKUP(_2__ROI_Daily_Update[[#This Row],[CSM id]],SHP!F:F,SHP!EE:EE,"-")</f>
        <v>0</v>
      </c>
      <c r="L2541" s="12"/>
      <c r="N2541" s="11"/>
      <c r="P2541"/>
      <c r="Q2541"/>
      <c r="W2541" s="28"/>
      <c r="AA2541"/>
    </row>
    <row r="2542" spans="1:27" x14ac:dyDescent="0.45">
      <c r="A2542" s="57">
        <v>981</v>
      </c>
      <c r="B2542" t="s">
        <v>5282</v>
      </c>
      <c r="C2542" t="s">
        <v>5283</v>
      </c>
      <c r="D2542" s="12">
        <v>46313</v>
      </c>
      <c r="E2542" s="11">
        <v>22</v>
      </c>
      <c r="F2542" s="11" t="s">
        <v>7420</v>
      </c>
      <c r="G2542">
        <v>20170401</v>
      </c>
      <c r="I2542" s="11" t="s">
        <v>63</v>
      </c>
      <c r="J2542" s="72">
        <v>30357786</v>
      </c>
      <c r="K2542" s="99">
        <f>_xlfn.XLOOKUP(_2__ROI_Daily_Update[[#This Row],[CSM id]],SHP!F:F,SHP!EE:EE,"-")</f>
        <v>0</v>
      </c>
      <c r="L2542" s="12"/>
      <c r="N2542" s="11"/>
      <c r="P2542"/>
      <c r="Q2542"/>
      <c r="W2542" s="28"/>
      <c r="AA2542"/>
    </row>
    <row r="2543" spans="1:27" x14ac:dyDescent="0.45">
      <c r="A2543" s="57">
        <v>1111</v>
      </c>
      <c r="B2543" t="s">
        <v>1411</v>
      </c>
      <c r="C2543" t="s">
        <v>1412</v>
      </c>
      <c r="D2543" s="12">
        <v>46313</v>
      </c>
      <c r="E2543" s="11">
        <v>32</v>
      </c>
      <c r="F2543" s="11" t="s">
        <v>7430</v>
      </c>
      <c r="G2543">
        <v>20251001</v>
      </c>
      <c r="I2543" s="11" t="s">
        <v>63</v>
      </c>
      <c r="J2543" s="72">
        <v>50615685</v>
      </c>
      <c r="K2543" s="99">
        <f>_xlfn.XLOOKUP(_2__ROI_Daily_Update[[#This Row],[CSM id]],SHP!F:F,SHP!EE:EE,"-")</f>
        <v>0</v>
      </c>
      <c r="L2543" s="12"/>
      <c r="N2543" s="11"/>
      <c r="P2543"/>
      <c r="Q2543"/>
      <c r="W2543" s="28"/>
      <c r="AA2543"/>
    </row>
    <row r="2544" spans="1:27" x14ac:dyDescent="0.45">
      <c r="A2544" s="57">
        <v>1111</v>
      </c>
      <c r="B2544" t="s">
        <v>1409</v>
      </c>
      <c r="C2544" t="s">
        <v>1410</v>
      </c>
      <c r="D2544" s="12">
        <v>46313</v>
      </c>
      <c r="E2544" s="11">
        <v>60</v>
      </c>
      <c r="F2544" s="11" t="s">
        <v>7440</v>
      </c>
      <c r="G2544">
        <v>20171001</v>
      </c>
      <c r="I2544" s="11" t="s">
        <v>63</v>
      </c>
      <c r="J2544" s="72">
        <v>50357219</v>
      </c>
      <c r="K2544" s="99">
        <f>_xlfn.XLOOKUP(_2__ROI_Daily_Update[[#This Row],[CSM id]],SHP!F:F,SHP!EE:EE,"-")</f>
        <v>0</v>
      </c>
      <c r="L2544" s="12"/>
      <c r="N2544" s="11"/>
      <c r="P2544"/>
      <c r="Q2544"/>
      <c r="W2544" s="28"/>
      <c r="AA2544"/>
    </row>
    <row r="2545" spans="1:27" x14ac:dyDescent="0.45">
      <c r="A2545" s="57">
        <v>982</v>
      </c>
      <c r="B2545" t="s">
        <v>5327</v>
      </c>
      <c r="C2545" t="s">
        <v>5328</v>
      </c>
      <c r="D2545" s="12">
        <v>46313</v>
      </c>
      <c r="E2545" s="11">
        <v>8</v>
      </c>
      <c r="F2545" s="11" t="s">
        <v>7485</v>
      </c>
      <c r="G2545">
        <v>20230101</v>
      </c>
      <c r="I2545" s="11" t="s">
        <v>32</v>
      </c>
      <c r="J2545" s="72">
        <v>20531654</v>
      </c>
      <c r="K2545" s="99">
        <f>_xlfn.XLOOKUP(_2__ROI_Daily_Update[[#This Row],[CSM id]],SHP!F:F,SHP!EE:EE,"-")</f>
        <v>0</v>
      </c>
      <c r="L2545" s="12"/>
      <c r="N2545" s="11"/>
      <c r="P2545"/>
      <c r="Q2545"/>
      <c r="W2545" s="28"/>
      <c r="AA2545"/>
    </row>
    <row r="2546" spans="1:27" x14ac:dyDescent="0.45">
      <c r="A2546" s="57">
        <v>1111</v>
      </c>
      <c r="B2546" t="s">
        <v>1361</v>
      </c>
      <c r="C2546" t="s">
        <v>1362</v>
      </c>
      <c r="D2546" s="12">
        <v>46313</v>
      </c>
      <c r="E2546" s="11">
        <v>150</v>
      </c>
      <c r="F2546" s="11" t="s">
        <v>6946</v>
      </c>
      <c r="G2546">
        <v>20260101</v>
      </c>
      <c r="I2546" s="11" t="s">
        <v>63</v>
      </c>
      <c r="J2546" s="72">
        <v>10621928</v>
      </c>
      <c r="K2546" s="99">
        <f>_xlfn.XLOOKUP(_2__ROI_Daily_Update[[#This Row],[CSM id]],SHP!F:F,SHP!EE:EE,"-")</f>
        <v>0</v>
      </c>
      <c r="L2546" s="12"/>
      <c r="N2546" s="11"/>
      <c r="P2546"/>
      <c r="Q2546"/>
      <c r="W2546" s="28"/>
      <c r="AA2546"/>
    </row>
    <row r="2547" spans="1:27" x14ac:dyDescent="0.45">
      <c r="A2547" s="57">
        <v>1111</v>
      </c>
      <c r="B2547" t="s">
        <v>6805</v>
      </c>
      <c r="C2547" t="s">
        <v>6806</v>
      </c>
      <c r="D2547" s="12">
        <v>46313</v>
      </c>
      <c r="E2547" s="11">
        <v>32</v>
      </c>
      <c r="F2547" s="11" t="s">
        <v>7463</v>
      </c>
      <c r="G2547">
        <v>20260101</v>
      </c>
      <c r="I2547" s="11" t="s">
        <v>63</v>
      </c>
      <c r="J2547" s="72">
        <v>10621443</v>
      </c>
      <c r="K2547" s="99">
        <f>_xlfn.XLOOKUP(_2__ROI_Daily_Update[[#This Row],[CSM id]],SHP!F:F,SHP!EE:EE,"-")</f>
        <v>0</v>
      </c>
      <c r="L2547" s="12"/>
      <c r="N2547" s="11"/>
      <c r="P2547"/>
      <c r="Q2547"/>
      <c r="W2547" s="28"/>
      <c r="AA2547"/>
    </row>
    <row r="2548" spans="1:27" x14ac:dyDescent="0.45">
      <c r="A2548" s="57">
        <v>1111</v>
      </c>
      <c r="B2548" t="s">
        <v>1359</v>
      </c>
      <c r="C2548" t="s">
        <v>1360</v>
      </c>
      <c r="D2548" s="12">
        <v>46313</v>
      </c>
      <c r="E2548" s="11">
        <v>20</v>
      </c>
      <c r="F2548" s="11" t="s">
        <v>6946</v>
      </c>
      <c r="G2548">
        <v>20251001</v>
      </c>
      <c r="I2548" s="11" t="s">
        <v>63</v>
      </c>
      <c r="J2548" s="72">
        <v>10618049</v>
      </c>
      <c r="K2548" s="99">
        <f>_xlfn.XLOOKUP(_2__ROI_Daily_Update[[#This Row],[CSM id]],SHP!F:F,SHP!EE:EE,"-")</f>
        <v>0</v>
      </c>
      <c r="L2548" s="12"/>
      <c r="N2548" s="11"/>
      <c r="P2548"/>
      <c r="Q2548"/>
      <c r="W2548" s="28"/>
      <c r="AA2548"/>
    </row>
    <row r="2549" spans="1:27" x14ac:dyDescent="0.45">
      <c r="A2549" s="57">
        <v>1111</v>
      </c>
      <c r="B2549" t="s">
        <v>1357</v>
      </c>
      <c r="C2549" t="s">
        <v>1358</v>
      </c>
      <c r="D2549" s="12">
        <v>46313</v>
      </c>
      <c r="E2549" s="11">
        <v>16</v>
      </c>
      <c r="F2549" s="11" t="s">
        <v>7480</v>
      </c>
      <c r="G2549">
        <v>20251001</v>
      </c>
      <c r="I2549" s="11" t="s">
        <v>63</v>
      </c>
      <c r="J2549" s="72">
        <v>10615847</v>
      </c>
      <c r="K2549" s="99">
        <f>_xlfn.XLOOKUP(_2__ROI_Daily_Update[[#This Row],[CSM id]],SHP!F:F,SHP!EE:EE,"-")</f>
        <v>0</v>
      </c>
      <c r="L2549" s="12"/>
      <c r="N2549" s="11"/>
      <c r="P2549"/>
      <c r="Q2549"/>
      <c r="W2549" s="28"/>
      <c r="AA2549"/>
    </row>
    <row r="2550" spans="1:27" x14ac:dyDescent="0.45">
      <c r="A2550" s="57">
        <v>1111</v>
      </c>
      <c r="B2550" t="s">
        <v>1357</v>
      </c>
      <c r="C2550" t="s">
        <v>1358</v>
      </c>
      <c r="D2550" s="12">
        <v>46313</v>
      </c>
      <c r="E2550" s="11">
        <v>8</v>
      </c>
      <c r="F2550" s="11" t="s">
        <v>7410</v>
      </c>
      <c r="G2550">
        <v>20251001</v>
      </c>
      <c r="I2550" s="11" t="s">
        <v>63</v>
      </c>
      <c r="J2550" s="72">
        <v>10615847</v>
      </c>
      <c r="K2550" s="99">
        <f>_xlfn.XLOOKUP(_2__ROI_Daily_Update[[#This Row],[CSM id]],SHP!F:F,SHP!EE:EE,"-")</f>
        <v>0</v>
      </c>
      <c r="L2550" s="12"/>
      <c r="N2550" s="11"/>
      <c r="P2550"/>
      <c r="Q2550"/>
      <c r="W2550" s="28"/>
      <c r="AA2550"/>
    </row>
    <row r="2551" spans="1:27" x14ac:dyDescent="0.45">
      <c r="A2551" s="57">
        <v>1111</v>
      </c>
      <c r="B2551" t="s">
        <v>1355</v>
      </c>
      <c r="C2551" t="s">
        <v>1356</v>
      </c>
      <c r="D2551" s="12">
        <v>46313</v>
      </c>
      <c r="E2551" s="11">
        <v>36</v>
      </c>
      <c r="F2551" s="11" t="s">
        <v>7410</v>
      </c>
      <c r="G2551">
        <v>20251001</v>
      </c>
      <c r="I2551" s="11" t="s">
        <v>63</v>
      </c>
      <c r="J2551" s="72">
        <v>10615404</v>
      </c>
      <c r="K2551" s="99">
        <f>_xlfn.XLOOKUP(_2__ROI_Daily_Update[[#This Row],[CSM id]],SHP!F:F,SHP!EE:EE,"-")</f>
        <v>0</v>
      </c>
      <c r="L2551" s="12"/>
      <c r="N2551" s="11"/>
      <c r="P2551"/>
      <c r="Q2551"/>
      <c r="W2551" s="28"/>
      <c r="AA2551"/>
    </row>
    <row r="2552" spans="1:27" x14ac:dyDescent="0.45">
      <c r="A2552" s="57">
        <v>1111</v>
      </c>
      <c r="B2552" t="s">
        <v>1353</v>
      </c>
      <c r="C2552" t="s">
        <v>1354</v>
      </c>
      <c r="D2552" s="12">
        <v>46313</v>
      </c>
      <c r="E2552" s="11">
        <v>60</v>
      </c>
      <c r="F2552" s="11" t="s">
        <v>7440</v>
      </c>
      <c r="G2552">
        <v>20221001</v>
      </c>
      <c r="I2552" s="11" t="s">
        <v>63</v>
      </c>
      <c r="J2552" s="72">
        <v>10532625</v>
      </c>
      <c r="K2552" s="99">
        <f>_xlfn.XLOOKUP(_2__ROI_Daily_Update[[#This Row],[CSM id]],SHP!F:F,SHP!EE:EE,"-")</f>
        <v>0</v>
      </c>
      <c r="L2552" s="12"/>
      <c r="N2552" s="11"/>
      <c r="P2552"/>
      <c r="Q2552"/>
      <c r="W2552" s="28"/>
      <c r="AA2552"/>
    </row>
    <row r="2553" spans="1:27" x14ac:dyDescent="0.45">
      <c r="A2553" s="57">
        <v>1111</v>
      </c>
      <c r="B2553" t="s">
        <v>1351</v>
      </c>
      <c r="C2553" t="s">
        <v>1352</v>
      </c>
      <c r="D2553" s="12">
        <v>46313</v>
      </c>
      <c r="E2553" s="11">
        <v>12</v>
      </c>
      <c r="F2553" s="11" t="s">
        <v>7453</v>
      </c>
      <c r="G2553">
        <v>20171001</v>
      </c>
      <c r="I2553" s="11" t="s">
        <v>63</v>
      </c>
      <c r="J2553" s="72">
        <v>10357160</v>
      </c>
      <c r="K2553" s="99">
        <f>_xlfn.XLOOKUP(_2__ROI_Daily_Update[[#This Row],[CSM id]],SHP!F:F,SHP!EE:EE,"-")</f>
        <v>0</v>
      </c>
      <c r="L2553" s="12"/>
      <c r="N2553" s="11"/>
      <c r="P2553"/>
      <c r="Q2553"/>
      <c r="W2553" s="28"/>
      <c r="AA2553"/>
    </row>
    <row r="2554" spans="1:27" x14ac:dyDescent="0.45">
      <c r="A2554" s="57">
        <v>1111</v>
      </c>
      <c r="B2554" t="s">
        <v>5382</v>
      </c>
      <c r="C2554" t="s">
        <v>5383</v>
      </c>
      <c r="D2554" s="12">
        <v>46313</v>
      </c>
      <c r="E2554" s="11">
        <v>144</v>
      </c>
      <c r="F2554" s="11" t="s">
        <v>7463</v>
      </c>
      <c r="G2554">
        <v>20170201</v>
      </c>
      <c r="I2554" s="11" t="s">
        <v>63</v>
      </c>
      <c r="J2554" s="72">
        <v>10342748</v>
      </c>
      <c r="K2554" s="99">
        <f>_xlfn.XLOOKUP(_2__ROI_Daily_Update[[#This Row],[CSM id]],SHP!F:F,SHP!EE:EE,"-")</f>
        <v>0</v>
      </c>
      <c r="L2554" s="12"/>
      <c r="N2554" s="11"/>
      <c r="P2554"/>
      <c r="Q2554"/>
      <c r="W2554" s="28"/>
      <c r="AA2554"/>
    </row>
    <row r="2555" spans="1:27" x14ac:dyDescent="0.45">
      <c r="A2555" s="57">
        <v>1111</v>
      </c>
      <c r="B2555" t="s">
        <v>5382</v>
      </c>
      <c r="C2555" t="s">
        <v>5383</v>
      </c>
      <c r="D2555" s="12">
        <v>46313</v>
      </c>
      <c r="E2555" s="11">
        <v>216</v>
      </c>
      <c r="F2555" s="11" t="s">
        <v>7420</v>
      </c>
      <c r="G2555">
        <v>20170201</v>
      </c>
      <c r="I2555" s="11" t="s">
        <v>63</v>
      </c>
      <c r="J2555" s="72">
        <v>10342748</v>
      </c>
      <c r="K2555" s="99">
        <f>_xlfn.XLOOKUP(_2__ROI_Daily_Update[[#This Row],[CSM id]],SHP!F:F,SHP!EE:EE,"-")</f>
        <v>0</v>
      </c>
      <c r="L2555" s="12"/>
      <c r="N2555" s="11"/>
      <c r="P2555"/>
      <c r="Q2555"/>
      <c r="W2555" s="28"/>
      <c r="AA2555"/>
    </row>
    <row r="2556" spans="1:27" x14ac:dyDescent="0.45">
      <c r="A2556" s="57">
        <v>1111</v>
      </c>
      <c r="B2556" t="s">
        <v>6897</v>
      </c>
      <c r="C2556" t="s">
        <v>6898</v>
      </c>
      <c r="D2556" s="12">
        <v>46313</v>
      </c>
      <c r="E2556" s="11">
        <v>32</v>
      </c>
      <c r="F2556" s="11" t="s">
        <v>7463</v>
      </c>
      <c r="G2556">
        <v>20170201</v>
      </c>
      <c r="I2556" s="11" t="s">
        <v>63</v>
      </c>
      <c r="J2556" s="72">
        <v>10342729</v>
      </c>
      <c r="K2556" s="99">
        <f>_xlfn.XLOOKUP(_2__ROI_Daily_Update[[#This Row],[CSM id]],SHP!F:F,SHP!EE:EE,"-")</f>
        <v>0</v>
      </c>
      <c r="L2556" s="12"/>
      <c r="N2556" s="11"/>
      <c r="P2556"/>
      <c r="Q2556"/>
      <c r="W2556" s="28"/>
      <c r="AA2556"/>
    </row>
    <row r="2557" spans="1:27" x14ac:dyDescent="0.45">
      <c r="A2557" s="57">
        <v>1111</v>
      </c>
      <c r="B2557" t="s">
        <v>1349</v>
      </c>
      <c r="C2557" t="s">
        <v>1350</v>
      </c>
      <c r="D2557" s="12">
        <v>46313</v>
      </c>
      <c r="E2557" s="11">
        <v>84</v>
      </c>
      <c r="F2557" s="11" t="s">
        <v>7430</v>
      </c>
      <c r="G2557">
        <v>20260401</v>
      </c>
      <c r="I2557" s="11" t="s">
        <v>63</v>
      </c>
      <c r="J2557" s="72">
        <v>627803</v>
      </c>
      <c r="K2557" s="99">
        <f>_xlfn.XLOOKUP(_2__ROI_Daily_Update[[#This Row],[CSM id]],SHP!F:F,SHP!EE:EE,"-")</f>
        <v>0</v>
      </c>
      <c r="L2557" s="12"/>
      <c r="N2557" s="11"/>
      <c r="P2557"/>
      <c r="Q2557"/>
      <c r="W2557" s="28"/>
      <c r="AA2557"/>
    </row>
    <row r="2558" spans="1:27" x14ac:dyDescent="0.45">
      <c r="A2558" s="57">
        <v>982</v>
      </c>
      <c r="B2558" t="s">
        <v>955</v>
      </c>
      <c r="C2558" t="s">
        <v>956</v>
      </c>
      <c r="D2558" s="12">
        <v>46313</v>
      </c>
      <c r="E2558" s="11">
        <v>40</v>
      </c>
      <c r="F2558" s="11" t="s">
        <v>7420</v>
      </c>
      <c r="G2558">
        <v>20221001</v>
      </c>
      <c r="H2558" s="12">
        <v>46569</v>
      </c>
      <c r="I2558" s="11" t="s">
        <v>63</v>
      </c>
      <c r="J2558" s="72">
        <v>50528508</v>
      </c>
      <c r="K2558" s="99">
        <f>_xlfn.XLOOKUP(_2__ROI_Daily_Update[[#This Row],[CSM id]],SHP!F:F,SHP!EE:EE,"-")</f>
        <v>0</v>
      </c>
      <c r="L2558" s="12"/>
      <c r="N2558" s="11"/>
      <c r="P2558"/>
      <c r="Q2558"/>
      <c r="W2558" s="28"/>
      <c r="AA2558"/>
    </row>
    <row r="2559" spans="1:27" x14ac:dyDescent="0.45">
      <c r="A2559" s="57">
        <v>1111</v>
      </c>
      <c r="B2559" t="s">
        <v>1347</v>
      </c>
      <c r="C2559" t="s">
        <v>1348</v>
      </c>
      <c r="D2559" s="12">
        <v>46313</v>
      </c>
      <c r="E2559" s="11">
        <v>48</v>
      </c>
      <c r="F2559" s="11" t="s">
        <v>7440</v>
      </c>
      <c r="G2559">
        <v>20260401</v>
      </c>
      <c r="I2559" s="11" t="s">
        <v>63</v>
      </c>
      <c r="J2559" s="72">
        <v>627761</v>
      </c>
      <c r="K2559" s="99">
        <f>_xlfn.XLOOKUP(_2__ROI_Daily_Update[[#This Row],[CSM id]],SHP!F:F,SHP!EE:EE,"-")</f>
        <v>0</v>
      </c>
      <c r="L2559" s="12"/>
      <c r="N2559" s="11"/>
      <c r="P2559"/>
      <c r="Q2559"/>
      <c r="W2559" s="28"/>
      <c r="AA2559"/>
    </row>
    <row r="2560" spans="1:27" x14ac:dyDescent="0.45">
      <c r="A2560" s="57">
        <v>1111</v>
      </c>
      <c r="B2560" t="s">
        <v>1347</v>
      </c>
      <c r="C2560" t="s">
        <v>1348</v>
      </c>
      <c r="D2560" s="12">
        <v>46313</v>
      </c>
      <c r="E2560" s="11">
        <v>12</v>
      </c>
      <c r="F2560" s="11" t="s">
        <v>7400</v>
      </c>
      <c r="G2560">
        <v>20260401</v>
      </c>
      <c r="I2560" s="11" t="s">
        <v>63</v>
      </c>
      <c r="J2560" s="72">
        <v>627761</v>
      </c>
      <c r="K2560" s="99">
        <f>_xlfn.XLOOKUP(_2__ROI_Daily_Update[[#This Row],[CSM id]],SHP!F:F,SHP!EE:EE,"-")</f>
        <v>0</v>
      </c>
      <c r="L2560" s="12"/>
      <c r="N2560" s="11"/>
      <c r="P2560"/>
      <c r="Q2560"/>
      <c r="W2560" s="28"/>
      <c r="AA2560"/>
    </row>
    <row r="2561" spans="1:27" x14ac:dyDescent="0.45">
      <c r="A2561" s="57">
        <v>1111</v>
      </c>
      <c r="B2561" t="s">
        <v>6465</v>
      </c>
      <c r="C2561" t="s">
        <v>6466</v>
      </c>
      <c r="D2561" s="12">
        <v>46313</v>
      </c>
      <c r="E2561" s="11">
        <v>16</v>
      </c>
      <c r="F2561" s="11" t="s">
        <v>7453</v>
      </c>
      <c r="G2561">
        <v>20251001</v>
      </c>
      <c r="I2561" s="11" t="s">
        <v>63</v>
      </c>
      <c r="J2561" s="72">
        <v>616404</v>
      </c>
      <c r="K2561" s="99">
        <f>_xlfn.XLOOKUP(_2__ROI_Daily_Update[[#This Row],[CSM id]],SHP!F:F,SHP!EE:EE,"-")</f>
        <v>0</v>
      </c>
      <c r="L2561" s="12"/>
      <c r="N2561" s="11"/>
      <c r="P2561"/>
      <c r="Q2561"/>
      <c r="W2561" s="28"/>
      <c r="AA2561"/>
    </row>
    <row r="2562" spans="1:27" x14ac:dyDescent="0.45">
      <c r="A2562" s="57">
        <v>1082</v>
      </c>
      <c r="B2562" t="s">
        <v>6979</v>
      </c>
      <c r="C2562" t="s">
        <v>6980</v>
      </c>
      <c r="D2562" s="12">
        <v>46313</v>
      </c>
      <c r="E2562" s="11">
        <v>24</v>
      </c>
      <c r="F2562" s="11" t="s">
        <v>7480</v>
      </c>
      <c r="G2562">
        <v>20260401</v>
      </c>
      <c r="I2562" s="11" t="s">
        <v>63</v>
      </c>
      <c r="J2562" s="72">
        <v>60609410</v>
      </c>
      <c r="K2562" s="99">
        <f>_xlfn.XLOOKUP(_2__ROI_Daily_Update[[#This Row],[CSM id]],SHP!F:F,SHP!EE:EE,"-")</f>
        <v>0</v>
      </c>
      <c r="L2562" s="12"/>
      <c r="N2562" s="11"/>
      <c r="P2562"/>
      <c r="Q2562"/>
      <c r="W2562" s="28"/>
      <c r="AA2562"/>
    </row>
    <row r="2563" spans="1:27" x14ac:dyDescent="0.45">
      <c r="A2563" s="57">
        <v>982</v>
      </c>
      <c r="B2563" t="s">
        <v>5983</v>
      </c>
      <c r="C2563" t="s">
        <v>5984</v>
      </c>
      <c r="D2563" s="12">
        <v>46313</v>
      </c>
      <c r="E2563" s="11">
        <v>70</v>
      </c>
      <c r="F2563" s="11" t="s">
        <v>7463</v>
      </c>
      <c r="G2563">
        <v>20190201</v>
      </c>
      <c r="I2563" s="11" t="s">
        <v>63</v>
      </c>
      <c r="J2563" s="72">
        <v>80434278</v>
      </c>
      <c r="K2563" s="99">
        <f>_xlfn.XLOOKUP(_2__ROI_Daily_Update[[#This Row],[CSM id]],SHP!F:F,SHP!EE:EE,"-")</f>
        <v>0</v>
      </c>
      <c r="L2563" s="12"/>
      <c r="N2563" s="11"/>
      <c r="P2563"/>
      <c r="Q2563"/>
      <c r="W2563" s="28"/>
      <c r="AA2563"/>
    </row>
    <row r="2564" spans="1:27" x14ac:dyDescent="0.45">
      <c r="A2564" s="57">
        <v>1111</v>
      </c>
      <c r="B2564" t="s">
        <v>1333</v>
      </c>
      <c r="C2564" t="s">
        <v>1334</v>
      </c>
      <c r="D2564" s="12">
        <v>46313</v>
      </c>
      <c r="E2564" s="11">
        <v>70</v>
      </c>
      <c r="F2564" s="11" t="s">
        <v>7480</v>
      </c>
      <c r="G2564">
        <v>20171001</v>
      </c>
      <c r="I2564" s="11" t="s">
        <v>63</v>
      </c>
      <c r="J2564" s="72">
        <v>357170</v>
      </c>
      <c r="K2564" s="99">
        <f>_xlfn.XLOOKUP(_2__ROI_Daily_Update[[#This Row],[CSM id]],SHP!F:F,SHP!EE:EE,"-")</f>
        <v>0</v>
      </c>
      <c r="L2564" s="12"/>
      <c r="N2564" s="11"/>
      <c r="P2564"/>
      <c r="Q2564"/>
      <c r="W2564" s="28"/>
      <c r="AA2564"/>
    </row>
    <row r="2565" spans="1:27" x14ac:dyDescent="0.45">
      <c r="A2565" s="57">
        <v>1111</v>
      </c>
      <c r="B2565" t="s">
        <v>6379</v>
      </c>
      <c r="C2565" t="s">
        <v>6380</v>
      </c>
      <c r="D2565" s="12">
        <v>46313</v>
      </c>
      <c r="E2565" s="11">
        <v>60</v>
      </c>
      <c r="F2565" s="11" t="s">
        <v>7453</v>
      </c>
      <c r="G2565">
        <v>20171001</v>
      </c>
      <c r="I2565" s="11" t="s">
        <v>63</v>
      </c>
      <c r="J2565" s="72">
        <v>357311</v>
      </c>
      <c r="K2565" s="99">
        <f>_xlfn.XLOOKUP(_2__ROI_Daily_Update[[#This Row],[CSM id]],SHP!F:F,SHP!EE:EE,"-")</f>
        <v>0</v>
      </c>
      <c r="L2565" s="12"/>
      <c r="N2565" s="11"/>
      <c r="P2565"/>
      <c r="Q2565"/>
      <c r="W2565" s="28"/>
      <c r="AA2565"/>
    </row>
    <row r="2566" spans="1:27" x14ac:dyDescent="0.45">
      <c r="A2566" s="57">
        <v>1111</v>
      </c>
      <c r="B2566" t="s">
        <v>6975</v>
      </c>
      <c r="C2566" t="s">
        <v>6976</v>
      </c>
      <c r="D2566" s="12">
        <v>46313</v>
      </c>
      <c r="E2566" s="11">
        <v>12</v>
      </c>
      <c r="F2566" s="11" t="s">
        <v>7480</v>
      </c>
      <c r="G2566">
        <v>20190801</v>
      </c>
      <c r="I2566" s="11" t="s">
        <v>63</v>
      </c>
      <c r="J2566" s="72">
        <v>442673</v>
      </c>
      <c r="K2566" s="99">
        <f>_xlfn.XLOOKUP(_2__ROI_Daily_Update[[#This Row],[CSM id]],SHP!F:F,SHP!EE:EE,"-")</f>
        <v>0</v>
      </c>
      <c r="L2566" s="12"/>
      <c r="N2566" s="11"/>
      <c r="P2566"/>
      <c r="Q2566"/>
      <c r="W2566" s="28"/>
      <c r="AA2566"/>
    </row>
    <row r="2567" spans="1:27" x14ac:dyDescent="0.45">
      <c r="A2567" s="57">
        <v>1111</v>
      </c>
      <c r="B2567" t="s">
        <v>5725</v>
      </c>
      <c r="C2567" t="s">
        <v>5726</v>
      </c>
      <c r="D2567" s="12">
        <v>46313</v>
      </c>
      <c r="E2567" s="11">
        <v>30</v>
      </c>
      <c r="F2567" s="11" t="s">
        <v>7400</v>
      </c>
      <c r="G2567">
        <v>20221001</v>
      </c>
      <c r="I2567" s="11" t="s">
        <v>63</v>
      </c>
      <c r="J2567" s="72">
        <v>532635</v>
      </c>
      <c r="K2567" s="99">
        <f>_xlfn.XLOOKUP(_2__ROI_Daily_Update[[#This Row],[CSM id]],SHP!F:F,SHP!EE:EE,"-")</f>
        <v>0</v>
      </c>
      <c r="L2567" s="12"/>
      <c r="N2567" s="11"/>
      <c r="P2567"/>
      <c r="Q2567"/>
      <c r="W2567" s="28"/>
      <c r="AA2567"/>
    </row>
    <row r="2568" spans="1:27" x14ac:dyDescent="0.45">
      <c r="A2568" s="57">
        <v>1111</v>
      </c>
      <c r="B2568" t="s">
        <v>1365</v>
      </c>
      <c r="C2568" t="s">
        <v>1366</v>
      </c>
      <c r="D2568" s="12">
        <v>46313</v>
      </c>
      <c r="E2568" s="11">
        <v>20</v>
      </c>
      <c r="F2568" s="11" t="s">
        <v>7430</v>
      </c>
      <c r="G2568">
        <v>20171001</v>
      </c>
      <c r="I2568" s="11" t="s">
        <v>63</v>
      </c>
      <c r="J2568" s="72">
        <v>20356565</v>
      </c>
      <c r="K2568" s="99">
        <f>_xlfn.XLOOKUP(_2__ROI_Daily_Update[[#This Row],[CSM id]],SHP!F:F,SHP!EE:EE,"-")</f>
        <v>0</v>
      </c>
      <c r="L2568" s="12"/>
      <c r="N2568" s="11"/>
      <c r="P2568"/>
      <c r="Q2568"/>
      <c r="W2568" s="28"/>
      <c r="AA2568"/>
    </row>
    <row r="2569" spans="1:27" x14ac:dyDescent="0.45">
      <c r="A2569" s="57">
        <v>1111</v>
      </c>
      <c r="B2569" t="s">
        <v>1337</v>
      </c>
      <c r="C2569" t="s">
        <v>1338</v>
      </c>
      <c r="D2569" s="12">
        <v>46313</v>
      </c>
      <c r="E2569" s="11">
        <v>380</v>
      </c>
      <c r="F2569" s="11" t="s">
        <v>7400</v>
      </c>
      <c r="G2569">
        <v>20220701</v>
      </c>
      <c r="H2569" s="12">
        <v>46478</v>
      </c>
      <c r="I2569" s="11" t="s">
        <v>63</v>
      </c>
      <c r="J2569" s="72">
        <v>537322</v>
      </c>
      <c r="K2569" s="99">
        <f>_xlfn.XLOOKUP(_2__ROI_Daily_Update[[#This Row],[CSM id]],SHP!F:F,SHP!EE:EE,"-")</f>
        <v>0</v>
      </c>
      <c r="L2569" s="12"/>
      <c r="N2569" s="11"/>
      <c r="P2569"/>
      <c r="Q2569"/>
      <c r="W2569" s="28"/>
      <c r="AA2569"/>
    </row>
    <row r="2570" spans="1:27" x14ac:dyDescent="0.45">
      <c r="A2570" s="57">
        <v>982</v>
      </c>
      <c r="B2570" t="s">
        <v>5983</v>
      </c>
      <c r="C2570" t="s">
        <v>5984</v>
      </c>
      <c r="D2570" s="12">
        <v>46313</v>
      </c>
      <c r="E2570" s="11">
        <v>70</v>
      </c>
      <c r="F2570" s="11" t="s">
        <v>6946</v>
      </c>
      <c r="G2570">
        <v>20190201</v>
      </c>
      <c r="I2570" s="11" t="s">
        <v>63</v>
      </c>
      <c r="J2570" s="72">
        <v>80434278</v>
      </c>
      <c r="K2570" s="99">
        <f>_xlfn.XLOOKUP(_2__ROI_Daily_Update[[#This Row],[CSM id]],SHP!F:F,SHP!EE:EE,"-")</f>
        <v>0</v>
      </c>
      <c r="L2570" s="12"/>
      <c r="N2570" s="11"/>
      <c r="P2570"/>
      <c r="Q2570"/>
      <c r="W2570" s="28"/>
      <c r="AA2570"/>
    </row>
    <row r="2571" spans="1:27" x14ac:dyDescent="0.45">
      <c r="A2571" s="57">
        <v>1111</v>
      </c>
      <c r="B2571" t="s">
        <v>1341</v>
      </c>
      <c r="C2571" t="s">
        <v>1342</v>
      </c>
      <c r="D2571" s="12">
        <v>46313</v>
      </c>
      <c r="E2571" s="11">
        <v>36</v>
      </c>
      <c r="F2571" s="11" t="s">
        <v>7430</v>
      </c>
      <c r="G2571">
        <v>20251001</v>
      </c>
      <c r="I2571" s="11" t="s">
        <v>63</v>
      </c>
      <c r="J2571" s="72">
        <v>615744</v>
      </c>
      <c r="K2571" s="99">
        <f>_xlfn.XLOOKUP(_2__ROI_Daily_Update[[#This Row],[CSM id]],SHP!F:F,SHP!EE:EE,"-")</f>
        <v>0</v>
      </c>
      <c r="L2571" s="12"/>
      <c r="N2571" s="11"/>
      <c r="P2571"/>
      <c r="Q2571"/>
      <c r="W2571" s="28"/>
      <c r="AA2571"/>
    </row>
    <row r="2572" spans="1:27" x14ac:dyDescent="0.45">
      <c r="A2572" s="57">
        <v>1111</v>
      </c>
      <c r="B2572" t="s">
        <v>1341</v>
      </c>
      <c r="C2572" t="s">
        <v>1342</v>
      </c>
      <c r="D2572" s="12">
        <v>46313</v>
      </c>
      <c r="E2572" s="11">
        <v>36</v>
      </c>
      <c r="F2572" s="11" t="s">
        <v>7410</v>
      </c>
      <c r="G2572">
        <v>20251001</v>
      </c>
      <c r="I2572" s="11" t="s">
        <v>63</v>
      </c>
      <c r="J2572" s="72">
        <v>615744</v>
      </c>
      <c r="K2572" s="99">
        <f>_xlfn.XLOOKUP(_2__ROI_Daily_Update[[#This Row],[CSM id]],SHP!F:F,SHP!EE:EE,"-")</f>
        <v>0</v>
      </c>
      <c r="L2572" s="12"/>
      <c r="N2572" s="11"/>
      <c r="P2572"/>
      <c r="Q2572"/>
      <c r="W2572" s="28"/>
      <c r="AA2572"/>
    </row>
    <row r="2573" spans="1:27" x14ac:dyDescent="0.45">
      <c r="A2573" s="57">
        <v>1111</v>
      </c>
      <c r="B2573" t="s">
        <v>1341</v>
      </c>
      <c r="C2573" t="s">
        <v>1342</v>
      </c>
      <c r="D2573" s="12">
        <v>46313</v>
      </c>
      <c r="E2573" s="11">
        <v>54</v>
      </c>
      <c r="F2573" s="11" t="s">
        <v>7453</v>
      </c>
      <c r="G2573">
        <v>20251001</v>
      </c>
      <c r="I2573" s="11" t="s">
        <v>63</v>
      </c>
      <c r="J2573" s="72">
        <v>615744</v>
      </c>
      <c r="K2573" s="99">
        <f>_xlfn.XLOOKUP(_2__ROI_Daily_Update[[#This Row],[CSM id]],SHP!F:F,SHP!EE:EE,"-")</f>
        <v>0</v>
      </c>
      <c r="L2573" s="12"/>
      <c r="N2573" s="11"/>
      <c r="P2573"/>
      <c r="Q2573"/>
      <c r="W2573" s="28"/>
      <c r="AA2573"/>
    </row>
    <row r="2574" spans="1:27" x14ac:dyDescent="0.45">
      <c r="A2574" s="57">
        <v>1111</v>
      </c>
      <c r="B2574" t="s">
        <v>1345</v>
      </c>
      <c r="C2574" t="s">
        <v>1346</v>
      </c>
      <c r="D2574" s="12">
        <v>46313</v>
      </c>
      <c r="E2574" s="11">
        <v>8</v>
      </c>
      <c r="F2574" s="11" t="s">
        <v>7410</v>
      </c>
      <c r="G2574">
        <v>20251001</v>
      </c>
      <c r="I2574" s="11" t="s">
        <v>63</v>
      </c>
      <c r="J2574" s="72">
        <v>615777</v>
      </c>
      <c r="K2574" s="99">
        <f>_xlfn.XLOOKUP(_2__ROI_Daily_Update[[#This Row],[CSM id]],SHP!F:F,SHP!EE:EE,"-")</f>
        <v>0</v>
      </c>
      <c r="L2574" s="12"/>
      <c r="N2574" s="11"/>
      <c r="P2574"/>
      <c r="Q2574"/>
      <c r="W2574" s="28"/>
      <c r="AA2574"/>
    </row>
    <row r="2575" spans="1:27" x14ac:dyDescent="0.45">
      <c r="A2575" s="57">
        <v>1111</v>
      </c>
      <c r="B2575" t="s">
        <v>6315</v>
      </c>
      <c r="C2575" t="s">
        <v>6316</v>
      </c>
      <c r="D2575" s="12">
        <v>46313</v>
      </c>
      <c r="E2575" s="11">
        <v>18</v>
      </c>
      <c r="F2575" s="11" t="s">
        <v>7453</v>
      </c>
      <c r="G2575">
        <v>20251001</v>
      </c>
      <c r="I2575" s="11" t="s">
        <v>63</v>
      </c>
      <c r="J2575" s="72">
        <v>615824</v>
      </c>
      <c r="K2575" s="99">
        <f>_xlfn.XLOOKUP(_2__ROI_Daily_Update[[#This Row],[CSM id]],SHP!F:F,SHP!EE:EE,"-")</f>
        <v>0</v>
      </c>
      <c r="L2575" s="12"/>
      <c r="N2575" s="11"/>
      <c r="P2575"/>
      <c r="Q2575"/>
      <c r="W2575" s="28"/>
      <c r="AA2575"/>
    </row>
    <row r="2576" spans="1:27" x14ac:dyDescent="0.45">
      <c r="A2576" s="57">
        <v>1111</v>
      </c>
      <c r="B2576" t="s">
        <v>6967</v>
      </c>
      <c r="C2576" t="s">
        <v>6968</v>
      </c>
      <c r="D2576" s="12">
        <v>46313</v>
      </c>
      <c r="E2576" s="11">
        <v>36</v>
      </c>
      <c r="F2576" s="11" t="s">
        <v>7480</v>
      </c>
      <c r="G2576">
        <v>20251001</v>
      </c>
      <c r="I2576" s="11" t="s">
        <v>63</v>
      </c>
      <c r="J2576" s="72">
        <v>615466</v>
      </c>
      <c r="K2576" s="99">
        <f>_xlfn.XLOOKUP(_2__ROI_Daily_Update[[#This Row],[CSM id]],SHP!F:F,SHP!EE:EE,"-")</f>
        <v>0</v>
      </c>
      <c r="L2576" s="12"/>
      <c r="N2576" s="11"/>
      <c r="P2576"/>
      <c r="Q2576"/>
      <c r="W2576" s="28"/>
      <c r="AA2576"/>
    </row>
    <row r="2577" spans="1:27" x14ac:dyDescent="0.45">
      <c r="A2577" s="57">
        <v>1111</v>
      </c>
      <c r="B2577" t="s">
        <v>1367</v>
      </c>
      <c r="C2577" t="s">
        <v>1368</v>
      </c>
      <c r="D2577" s="12">
        <v>46313</v>
      </c>
      <c r="E2577" s="11">
        <v>12</v>
      </c>
      <c r="F2577" s="11" t="s">
        <v>7410</v>
      </c>
      <c r="G2577">
        <v>20241001</v>
      </c>
      <c r="I2577" s="11" t="s">
        <v>63</v>
      </c>
      <c r="J2577" s="72">
        <v>20590200</v>
      </c>
      <c r="K2577" s="99">
        <f>_xlfn.XLOOKUP(_2__ROI_Daily_Update[[#This Row],[CSM id]],SHP!F:F,SHP!EE:EE,"-")</f>
        <v>0</v>
      </c>
      <c r="L2577" s="12"/>
      <c r="N2577" s="11"/>
      <c r="P2577"/>
      <c r="Q2577"/>
      <c r="W2577" s="28"/>
      <c r="AA2577"/>
    </row>
    <row r="2578" spans="1:27" x14ac:dyDescent="0.45">
      <c r="A2578" s="57">
        <v>1111</v>
      </c>
      <c r="B2578" t="s">
        <v>1367</v>
      </c>
      <c r="C2578" t="s">
        <v>1368</v>
      </c>
      <c r="D2578" s="12">
        <v>46313</v>
      </c>
      <c r="E2578" s="11">
        <v>12</v>
      </c>
      <c r="F2578" s="11" t="s">
        <v>7453</v>
      </c>
      <c r="G2578">
        <v>20241001</v>
      </c>
      <c r="I2578" s="11" t="s">
        <v>63</v>
      </c>
      <c r="J2578" s="72">
        <v>20590200</v>
      </c>
      <c r="K2578" s="99">
        <f>_xlfn.XLOOKUP(_2__ROI_Daily_Update[[#This Row],[CSM id]],SHP!F:F,SHP!EE:EE,"-")</f>
        <v>0</v>
      </c>
      <c r="L2578" s="12"/>
      <c r="N2578" s="11"/>
      <c r="P2578"/>
      <c r="Q2578"/>
      <c r="W2578" s="28"/>
      <c r="AA2578"/>
    </row>
    <row r="2579" spans="1:27" x14ac:dyDescent="0.45">
      <c r="A2579" s="57">
        <v>981</v>
      </c>
      <c r="B2579" t="s">
        <v>6145</v>
      </c>
      <c r="C2579" t="s">
        <v>6146</v>
      </c>
      <c r="D2579" s="12">
        <v>46313</v>
      </c>
      <c r="E2579" s="11">
        <v>42</v>
      </c>
      <c r="F2579" s="11" t="s">
        <v>7485</v>
      </c>
      <c r="G2579">
        <v>20180201</v>
      </c>
      <c r="I2579" s="11" t="s">
        <v>18</v>
      </c>
      <c r="J2579" s="72">
        <v>90382325</v>
      </c>
      <c r="K2579" s="99">
        <f>_xlfn.XLOOKUP(_2__ROI_Daily_Update[[#This Row],[CSM id]],SHP!F:F,SHP!EE:EE,"-")</f>
        <v>0</v>
      </c>
      <c r="L2579" s="12"/>
      <c r="N2579" s="11"/>
      <c r="P2579"/>
      <c r="Q2579"/>
      <c r="W2579" s="28"/>
      <c r="AA2579"/>
    </row>
    <row r="2580" spans="1:27" x14ac:dyDescent="0.45">
      <c r="A2580" s="57">
        <v>1111</v>
      </c>
      <c r="B2580" t="s">
        <v>6285</v>
      </c>
      <c r="C2580" t="s">
        <v>6286</v>
      </c>
      <c r="D2580" s="12">
        <v>46313</v>
      </c>
      <c r="E2580" s="11">
        <v>56</v>
      </c>
      <c r="F2580" s="11" t="s">
        <v>7435</v>
      </c>
      <c r="G2580">
        <v>20201001</v>
      </c>
      <c r="I2580" s="11" t="s">
        <v>63</v>
      </c>
      <c r="J2580" s="72">
        <v>40482445</v>
      </c>
      <c r="K2580" s="99">
        <f>_xlfn.XLOOKUP(_2__ROI_Daily_Update[[#This Row],[CSM id]],SHP!F:F,SHP!EE:EE,"-")</f>
        <v>0</v>
      </c>
      <c r="L2580" s="12"/>
      <c r="N2580" s="11"/>
      <c r="P2580"/>
      <c r="Q2580"/>
      <c r="W2580" s="28"/>
      <c r="AA2580"/>
    </row>
    <row r="2581" spans="1:27" x14ac:dyDescent="0.45">
      <c r="A2581" s="57">
        <v>1111</v>
      </c>
      <c r="B2581" t="s">
        <v>1389</v>
      </c>
      <c r="C2581" t="s">
        <v>1390</v>
      </c>
      <c r="D2581" s="12">
        <v>46313</v>
      </c>
      <c r="E2581" s="11">
        <v>24</v>
      </c>
      <c r="F2581" s="11" t="s">
        <v>7440</v>
      </c>
      <c r="G2581">
        <v>20200701</v>
      </c>
      <c r="I2581" s="11" t="s">
        <v>63</v>
      </c>
      <c r="J2581" s="72">
        <v>40491987</v>
      </c>
      <c r="K2581" s="99">
        <f>_xlfn.XLOOKUP(_2__ROI_Daily_Update[[#This Row],[CSM id]],SHP!F:F,SHP!EE:EE,"-")</f>
        <v>0</v>
      </c>
      <c r="L2581" s="12"/>
      <c r="N2581" s="11"/>
      <c r="P2581"/>
      <c r="Q2581"/>
      <c r="W2581" s="28"/>
      <c r="AA2581"/>
    </row>
    <row r="2582" spans="1:27" x14ac:dyDescent="0.45">
      <c r="A2582" s="57">
        <v>1111</v>
      </c>
      <c r="B2582" t="s">
        <v>5735</v>
      </c>
      <c r="C2582" t="s">
        <v>5736</v>
      </c>
      <c r="D2582" s="12">
        <v>46313</v>
      </c>
      <c r="E2582" s="11">
        <v>48</v>
      </c>
      <c r="F2582" s="11" t="s">
        <v>7440</v>
      </c>
      <c r="G2582">
        <v>20220401</v>
      </c>
      <c r="I2582" s="11" t="s">
        <v>63</v>
      </c>
      <c r="J2582" s="72">
        <v>40535769</v>
      </c>
      <c r="K2582" s="99">
        <f>_xlfn.XLOOKUP(_2__ROI_Daily_Update[[#This Row],[CSM id]],SHP!F:F,SHP!EE:EE,"-")</f>
        <v>0</v>
      </c>
      <c r="L2582" s="12"/>
      <c r="N2582" s="11"/>
      <c r="P2582"/>
      <c r="Q2582"/>
      <c r="W2582" s="28"/>
      <c r="AA2582"/>
    </row>
    <row r="2583" spans="1:27" x14ac:dyDescent="0.45">
      <c r="A2583" s="57">
        <v>1111</v>
      </c>
      <c r="B2583" t="s">
        <v>1391</v>
      </c>
      <c r="C2583" t="s">
        <v>1392</v>
      </c>
      <c r="D2583" s="12">
        <v>46313</v>
      </c>
      <c r="E2583" s="11">
        <v>36</v>
      </c>
      <c r="F2583" s="11" t="s">
        <v>7440</v>
      </c>
      <c r="G2583">
        <v>20251001</v>
      </c>
      <c r="I2583" s="11" t="s">
        <v>63</v>
      </c>
      <c r="J2583" s="72">
        <v>40615407</v>
      </c>
      <c r="K2583" s="99">
        <f>_xlfn.XLOOKUP(_2__ROI_Daily_Update[[#This Row],[CSM id]],SHP!F:F,SHP!EE:EE,"-")</f>
        <v>0</v>
      </c>
      <c r="L2583" s="12"/>
      <c r="N2583" s="11"/>
      <c r="P2583"/>
      <c r="Q2583"/>
      <c r="W2583" s="28"/>
      <c r="AA2583"/>
    </row>
    <row r="2584" spans="1:27" x14ac:dyDescent="0.45">
      <c r="A2584" s="57">
        <v>1111</v>
      </c>
      <c r="B2584" t="s">
        <v>1393</v>
      </c>
      <c r="C2584" t="s">
        <v>1394</v>
      </c>
      <c r="D2584" s="12">
        <v>46313</v>
      </c>
      <c r="E2584" s="11">
        <v>20</v>
      </c>
      <c r="F2584" s="11" t="s">
        <v>7463</v>
      </c>
      <c r="G2584">
        <v>20251001</v>
      </c>
      <c r="I2584" s="11" t="s">
        <v>63</v>
      </c>
      <c r="J2584" s="72">
        <v>40615412</v>
      </c>
      <c r="K2584" s="99">
        <f>_xlfn.XLOOKUP(_2__ROI_Daily_Update[[#This Row],[CSM id]],SHP!F:F,SHP!EE:EE,"-")</f>
        <v>0</v>
      </c>
      <c r="L2584" s="12"/>
      <c r="N2584" s="11"/>
      <c r="P2584"/>
      <c r="Q2584"/>
      <c r="W2584" s="28"/>
      <c r="AA2584"/>
    </row>
    <row r="2585" spans="1:27" x14ac:dyDescent="0.45">
      <c r="A2585" s="57">
        <v>981</v>
      </c>
      <c r="B2585" t="s">
        <v>6568</v>
      </c>
      <c r="C2585" t="s">
        <v>6569</v>
      </c>
      <c r="D2585" s="12">
        <v>46313</v>
      </c>
      <c r="E2585" s="11">
        <v>10</v>
      </c>
      <c r="F2585" s="11" t="s">
        <v>7458</v>
      </c>
      <c r="G2585">
        <v>20261001</v>
      </c>
      <c r="I2585" s="11" t="s">
        <v>63</v>
      </c>
      <c r="J2585" s="72">
        <v>50609236</v>
      </c>
      <c r="K2585" s="99">
        <f>_xlfn.XLOOKUP(_2__ROI_Daily_Update[[#This Row],[CSM id]],SHP!F:F,SHP!EE:EE,"-")</f>
        <v>0</v>
      </c>
      <c r="L2585" s="12"/>
      <c r="N2585" s="11"/>
      <c r="P2585"/>
      <c r="Q2585"/>
      <c r="W2585" s="28"/>
      <c r="AA2585"/>
    </row>
    <row r="2586" spans="1:27" x14ac:dyDescent="0.45">
      <c r="A2586" s="57">
        <v>1111</v>
      </c>
      <c r="B2586" t="s">
        <v>5731</v>
      </c>
      <c r="C2586" t="s">
        <v>5732</v>
      </c>
      <c r="D2586" s="12">
        <v>46313</v>
      </c>
      <c r="E2586" s="11">
        <v>140</v>
      </c>
      <c r="F2586" s="11" t="s">
        <v>7400</v>
      </c>
      <c r="G2586">
        <v>20190801</v>
      </c>
      <c r="I2586" s="11" t="s">
        <v>63</v>
      </c>
      <c r="J2586" s="72">
        <v>40442708</v>
      </c>
      <c r="K2586" s="99">
        <f>_xlfn.XLOOKUP(_2__ROI_Daily_Update[[#This Row],[CSM id]],SHP!F:F,SHP!EE:EE,"-")</f>
        <v>0</v>
      </c>
      <c r="L2586" s="12"/>
      <c r="N2586" s="11"/>
      <c r="P2586"/>
      <c r="Q2586"/>
      <c r="W2586" s="28"/>
      <c r="AA2586"/>
    </row>
    <row r="2587" spans="1:27" x14ac:dyDescent="0.45">
      <c r="A2587" s="57">
        <v>1111</v>
      </c>
      <c r="B2587" t="s">
        <v>1397</v>
      </c>
      <c r="C2587" t="s">
        <v>1398</v>
      </c>
      <c r="D2587" s="12">
        <v>46313</v>
      </c>
      <c r="E2587" s="11">
        <v>64</v>
      </c>
      <c r="F2587" s="11" t="s">
        <v>7410</v>
      </c>
      <c r="G2587">
        <v>20260701</v>
      </c>
      <c r="I2587" s="11" t="s">
        <v>63</v>
      </c>
      <c r="J2587" s="72">
        <v>40632647</v>
      </c>
      <c r="K2587" s="99">
        <f>_xlfn.XLOOKUP(_2__ROI_Daily_Update[[#This Row],[CSM id]],SHP!F:F,SHP!EE:EE,"-")</f>
        <v>0</v>
      </c>
      <c r="L2587" s="12"/>
      <c r="N2587" s="11"/>
      <c r="P2587"/>
      <c r="Q2587"/>
      <c r="W2587" s="28"/>
      <c r="AA2587"/>
    </row>
    <row r="2588" spans="1:27" x14ac:dyDescent="0.45">
      <c r="A2588" s="57">
        <v>1111</v>
      </c>
      <c r="B2588" t="s">
        <v>1399</v>
      </c>
      <c r="C2588" t="s">
        <v>1400</v>
      </c>
      <c r="D2588" s="12">
        <v>46313</v>
      </c>
      <c r="E2588" s="11">
        <v>32</v>
      </c>
      <c r="F2588" s="11" t="s">
        <v>6946</v>
      </c>
      <c r="G2588">
        <v>20260701</v>
      </c>
      <c r="I2588" s="11" t="s">
        <v>63</v>
      </c>
      <c r="J2588" s="72">
        <v>40632713</v>
      </c>
      <c r="K2588" s="99">
        <f>_xlfn.XLOOKUP(_2__ROI_Daily_Update[[#This Row],[CSM id]],SHP!F:F,SHP!EE:EE,"-")</f>
        <v>0</v>
      </c>
      <c r="L2588" s="12"/>
      <c r="N2588" s="11"/>
      <c r="P2588"/>
      <c r="Q2588"/>
      <c r="W2588" s="28"/>
      <c r="AA2588"/>
    </row>
    <row r="2589" spans="1:27" x14ac:dyDescent="0.45">
      <c r="A2589" s="57">
        <v>1111</v>
      </c>
      <c r="B2589" t="s">
        <v>1401</v>
      </c>
      <c r="C2589" t="s">
        <v>1402</v>
      </c>
      <c r="D2589" s="12">
        <v>46313</v>
      </c>
      <c r="E2589" s="11">
        <v>24</v>
      </c>
      <c r="F2589" s="11" t="s">
        <v>7440</v>
      </c>
      <c r="G2589">
        <v>20261001</v>
      </c>
      <c r="I2589" s="11" t="s">
        <v>63</v>
      </c>
      <c r="J2589" s="72">
        <v>40638296</v>
      </c>
      <c r="K2589" s="99">
        <f>_xlfn.XLOOKUP(_2__ROI_Daily_Update[[#This Row],[CSM id]],SHP!F:F,SHP!EE:EE,"-")</f>
        <v>0</v>
      </c>
      <c r="L2589" s="12"/>
      <c r="N2589" s="11"/>
      <c r="P2589"/>
      <c r="Q2589"/>
      <c r="W2589" s="28"/>
      <c r="AA2589"/>
    </row>
    <row r="2590" spans="1:27" x14ac:dyDescent="0.45">
      <c r="A2590" s="57">
        <v>1111</v>
      </c>
      <c r="B2590" t="s">
        <v>1401</v>
      </c>
      <c r="C2590" t="s">
        <v>1402</v>
      </c>
      <c r="D2590" s="12">
        <v>46313</v>
      </c>
      <c r="E2590" s="11">
        <v>12</v>
      </c>
      <c r="F2590" s="11" t="s">
        <v>7463</v>
      </c>
      <c r="G2590">
        <v>20261001</v>
      </c>
      <c r="I2590" s="11" t="s">
        <v>63</v>
      </c>
      <c r="J2590" s="72">
        <v>40638296</v>
      </c>
      <c r="K2590" s="99">
        <f>_xlfn.XLOOKUP(_2__ROI_Daily_Update[[#This Row],[CSM id]],SHP!F:F,SHP!EE:EE,"-")</f>
        <v>0</v>
      </c>
      <c r="L2590" s="12"/>
      <c r="N2590" s="11"/>
      <c r="P2590"/>
      <c r="Q2590"/>
      <c r="W2590" s="28"/>
      <c r="AA2590"/>
    </row>
    <row r="2591" spans="1:27" x14ac:dyDescent="0.45">
      <c r="A2591" s="57">
        <v>981</v>
      </c>
      <c r="B2591" t="s">
        <v>6143</v>
      </c>
      <c r="C2591" t="s">
        <v>6144</v>
      </c>
      <c r="D2591" s="12">
        <v>46313</v>
      </c>
      <c r="E2591" s="11">
        <v>44</v>
      </c>
      <c r="F2591" s="11" t="s">
        <v>7440</v>
      </c>
      <c r="G2591">
        <v>20170401</v>
      </c>
      <c r="I2591" s="11" t="s">
        <v>63</v>
      </c>
      <c r="J2591" s="72">
        <v>40357738</v>
      </c>
      <c r="K2591" s="99">
        <f>_xlfn.XLOOKUP(_2__ROI_Daily_Update[[#This Row],[CSM id]],SHP!F:F,SHP!EE:EE,"-")</f>
        <v>0</v>
      </c>
      <c r="L2591" s="12"/>
      <c r="N2591" s="11"/>
      <c r="P2591"/>
      <c r="Q2591"/>
      <c r="W2591" s="28"/>
      <c r="AA2591"/>
    </row>
    <row r="2592" spans="1:27" x14ac:dyDescent="0.45">
      <c r="A2592" s="57">
        <v>1111</v>
      </c>
      <c r="B2592" t="s">
        <v>1405</v>
      </c>
      <c r="C2592" t="s">
        <v>1406</v>
      </c>
      <c r="D2592" s="12">
        <v>46313</v>
      </c>
      <c r="E2592" s="11">
        <v>20</v>
      </c>
      <c r="F2592" s="11" t="s">
        <v>6946</v>
      </c>
      <c r="G2592">
        <v>20170201</v>
      </c>
      <c r="I2592" s="11" t="s">
        <v>63</v>
      </c>
      <c r="J2592" s="72">
        <v>50336953</v>
      </c>
      <c r="K2592" s="99">
        <f>_xlfn.XLOOKUP(_2__ROI_Daily_Update[[#This Row],[CSM id]],SHP!F:F,SHP!EE:EE,"-")</f>
        <v>0</v>
      </c>
      <c r="L2592" s="12"/>
      <c r="N2592" s="11"/>
      <c r="P2592"/>
      <c r="Q2592"/>
      <c r="W2592" s="28"/>
      <c r="AA2592"/>
    </row>
    <row r="2593" spans="1:27" x14ac:dyDescent="0.45">
      <c r="A2593" s="57">
        <v>1111</v>
      </c>
      <c r="B2593" t="s">
        <v>1407</v>
      </c>
      <c r="C2593" t="s">
        <v>1408</v>
      </c>
      <c r="D2593" s="12">
        <v>46313</v>
      </c>
      <c r="E2593" s="11">
        <v>20</v>
      </c>
      <c r="F2593" s="11" t="s">
        <v>7430</v>
      </c>
      <c r="G2593">
        <v>20170201</v>
      </c>
      <c r="I2593" s="11" t="s">
        <v>63</v>
      </c>
      <c r="J2593" s="72">
        <v>50342727</v>
      </c>
      <c r="K2593" s="99">
        <f>_xlfn.XLOOKUP(_2__ROI_Daily_Update[[#This Row],[CSM id]],SHP!F:F,SHP!EE:EE,"-")</f>
        <v>0</v>
      </c>
      <c r="L2593" s="12"/>
      <c r="N2593" s="11"/>
      <c r="P2593"/>
      <c r="Q2593"/>
      <c r="W2593" s="28"/>
      <c r="AA2593"/>
    </row>
    <row r="2594" spans="1:27" x14ac:dyDescent="0.45">
      <c r="A2594" s="57">
        <v>981</v>
      </c>
      <c r="B2594" t="s">
        <v>5917</v>
      </c>
      <c r="C2594" t="s">
        <v>5918</v>
      </c>
      <c r="D2594" s="12">
        <v>46313</v>
      </c>
      <c r="E2594" s="11">
        <v>24</v>
      </c>
      <c r="F2594" s="11" t="s">
        <v>7468</v>
      </c>
      <c r="G2594">
        <v>20241001</v>
      </c>
      <c r="I2594" s="11" t="s">
        <v>18</v>
      </c>
      <c r="J2594" s="72">
        <v>40581983</v>
      </c>
      <c r="K2594" s="99">
        <f>_xlfn.XLOOKUP(_2__ROI_Daily_Update[[#This Row],[CSM id]],SHP!F:F,SHP!EE:EE,"-")</f>
        <v>0</v>
      </c>
      <c r="L2594" s="12"/>
      <c r="N2594" s="11"/>
      <c r="P2594"/>
      <c r="Q2594"/>
      <c r="W2594" s="28"/>
      <c r="AA2594"/>
    </row>
    <row r="2595" spans="1:27" x14ac:dyDescent="0.45">
      <c r="A2595" s="57">
        <v>1112</v>
      </c>
      <c r="B2595" t="s">
        <v>1479</v>
      </c>
      <c r="C2595" t="s">
        <v>1480</v>
      </c>
      <c r="D2595" s="12">
        <v>46313</v>
      </c>
      <c r="E2595" s="11">
        <v>3</v>
      </c>
      <c r="F2595" s="11" t="s">
        <v>7420</v>
      </c>
      <c r="G2595">
        <v>20251001</v>
      </c>
      <c r="I2595" s="11" t="s">
        <v>63</v>
      </c>
      <c r="J2595" s="72">
        <v>30611278</v>
      </c>
      <c r="K2595" s="99">
        <f>_xlfn.XLOOKUP(_2__ROI_Daily_Update[[#This Row],[CSM id]],SHP!F:F,SHP!EE:EE,"-")</f>
        <v>0</v>
      </c>
      <c r="L2595" s="12"/>
      <c r="N2595" s="11"/>
      <c r="P2595"/>
      <c r="Q2595"/>
      <c r="W2595" s="28"/>
      <c r="AA2595"/>
    </row>
    <row r="2596" spans="1:27" x14ac:dyDescent="0.45">
      <c r="A2596" s="57">
        <v>1111</v>
      </c>
      <c r="B2596" t="s">
        <v>5146</v>
      </c>
      <c r="C2596" t="s">
        <v>5147</v>
      </c>
      <c r="D2596" s="12">
        <v>46313</v>
      </c>
      <c r="E2596" s="11">
        <v>28</v>
      </c>
      <c r="F2596" s="11" t="s">
        <v>7440</v>
      </c>
      <c r="G2596">
        <v>20171001</v>
      </c>
      <c r="I2596" s="11" t="s">
        <v>63</v>
      </c>
      <c r="J2596" s="72">
        <v>40360533</v>
      </c>
      <c r="K2596" s="99">
        <f>_xlfn.XLOOKUP(_2__ROI_Daily_Update[[#This Row],[CSM id]],SHP!F:F,SHP!EE:EE,"-")</f>
        <v>0</v>
      </c>
      <c r="L2596" s="12"/>
      <c r="N2596" s="11"/>
      <c r="P2596"/>
      <c r="Q2596"/>
      <c r="W2596" s="28"/>
      <c r="AA2596"/>
    </row>
    <row r="2597" spans="1:27" x14ac:dyDescent="0.45">
      <c r="A2597" s="57">
        <v>1111</v>
      </c>
      <c r="B2597" t="s">
        <v>5146</v>
      </c>
      <c r="C2597" t="s">
        <v>5147</v>
      </c>
      <c r="D2597" s="12">
        <v>46313</v>
      </c>
      <c r="E2597" s="11">
        <v>14</v>
      </c>
      <c r="F2597" s="11" t="s">
        <v>7430</v>
      </c>
      <c r="G2597">
        <v>20171001</v>
      </c>
      <c r="I2597" s="11" t="s">
        <v>63</v>
      </c>
      <c r="J2597" s="72">
        <v>40360533</v>
      </c>
      <c r="K2597" s="99">
        <f>_xlfn.XLOOKUP(_2__ROI_Daily_Update[[#This Row],[CSM id]],SHP!F:F,SHP!EE:EE,"-")</f>
        <v>0</v>
      </c>
      <c r="L2597" s="12"/>
      <c r="N2597" s="11"/>
      <c r="P2597"/>
      <c r="Q2597"/>
      <c r="W2597" s="28"/>
      <c r="AA2597"/>
    </row>
    <row r="2598" spans="1:27" x14ac:dyDescent="0.45">
      <c r="A2598" s="57">
        <v>1111</v>
      </c>
      <c r="B2598" t="s">
        <v>1371</v>
      </c>
      <c r="C2598" t="s">
        <v>1372</v>
      </c>
      <c r="D2598" s="12">
        <v>46313</v>
      </c>
      <c r="E2598" s="11">
        <v>30</v>
      </c>
      <c r="F2598" s="11" t="s">
        <v>7463</v>
      </c>
      <c r="G2598">
        <v>20251001</v>
      </c>
      <c r="I2598" s="11" t="s">
        <v>63</v>
      </c>
      <c r="J2598" s="72">
        <v>20616399</v>
      </c>
      <c r="K2598" s="99">
        <f>_xlfn.XLOOKUP(_2__ROI_Daily_Update[[#This Row],[CSM id]],SHP!F:F,SHP!EE:EE,"-")</f>
        <v>0</v>
      </c>
      <c r="L2598" s="12"/>
      <c r="N2598" s="11"/>
      <c r="P2598"/>
      <c r="Q2598"/>
      <c r="W2598" s="28"/>
      <c r="AA2598"/>
    </row>
    <row r="2599" spans="1:27" x14ac:dyDescent="0.45">
      <c r="A2599" s="57">
        <v>1832</v>
      </c>
      <c r="B2599" t="s">
        <v>3610</v>
      </c>
      <c r="C2599" t="s">
        <v>3611</v>
      </c>
      <c r="D2599" s="12">
        <v>46313</v>
      </c>
      <c r="E2599" s="11">
        <v>584</v>
      </c>
      <c r="F2599" s="11" t="s">
        <v>7468</v>
      </c>
      <c r="G2599">
        <v>20210201</v>
      </c>
      <c r="I2599" s="11" t="s">
        <v>18</v>
      </c>
      <c r="J2599" s="72">
        <v>20432480</v>
      </c>
      <c r="K2599" s="99">
        <f>_xlfn.XLOOKUP(_2__ROI_Daily_Update[[#This Row],[CSM id]],SHP!F:F,SHP!EE:EE,"-")</f>
        <v>0</v>
      </c>
      <c r="L2599" s="12"/>
      <c r="N2599" s="11"/>
      <c r="P2599"/>
      <c r="Q2599"/>
      <c r="W2599" s="28"/>
      <c r="AA2599"/>
    </row>
    <row r="2600" spans="1:27" x14ac:dyDescent="0.45">
      <c r="A2600" s="57">
        <v>1111</v>
      </c>
      <c r="B2600" t="s">
        <v>1375</v>
      </c>
      <c r="C2600" t="s">
        <v>1376</v>
      </c>
      <c r="D2600" s="12">
        <v>46313</v>
      </c>
      <c r="E2600" s="11">
        <v>14</v>
      </c>
      <c r="F2600" s="11" t="s">
        <v>6946</v>
      </c>
      <c r="G2600">
        <v>20201001</v>
      </c>
      <c r="I2600" s="11" t="s">
        <v>63</v>
      </c>
      <c r="J2600" s="72">
        <v>30482460</v>
      </c>
      <c r="K2600" s="99">
        <f>_xlfn.XLOOKUP(_2__ROI_Daily_Update[[#This Row],[CSM id]],SHP!F:F,SHP!EE:EE,"-")</f>
        <v>0</v>
      </c>
      <c r="L2600" s="12"/>
      <c r="N2600" s="11"/>
      <c r="P2600"/>
      <c r="Q2600"/>
      <c r="W2600" s="28"/>
      <c r="AA2600"/>
    </row>
    <row r="2601" spans="1:27" x14ac:dyDescent="0.45">
      <c r="A2601" s="57">
        <v>981</v>
      </c>
      <c r="B2601" t="s">
        <v>5937</v>
      </c>
      <c r="C2601" t="s">
        <v>5938</v>
      </c>
      <c r="D2601" s="12">
        <v>46313</v>
      </c>
      <c r="E2601" s="11">
        <v>36</v>
      </c>
      <c r="F2601" s="11" t="s">
        <v>7475</v>
      </c>
      <c r="G2601">
        <v>20241001</v>
      </c>
      <c r="I2601" s="11" t="s">
        <v>63</v>
      </c>
      <c r="J2601" s="72">
        <v>80581995</v>
      </c>
      <c r="K2601" s="99">
        <f>_xlfn.XLOOKUP(_2__ROI_Daily_Update[[#This Row],[CSM id]],SHP!F:F,SHP!EE:EE,"-")</f>
        <v>0</v>
      </c>
      <c r="L2601" s="12"/>
      <c r="N2601" s="11"/>
      <c r="P2601"/>
      <c r="Q2601"/>
      <c r="W2601" s="28"/>
      <c r="AA2601"/>
    </row>
    <row r="2602" spans="1:27" x14ac:dyDescent="0.45">
      <c r="A2602" s="57">
        <v>1111</v>
      </c>
      <c r="B2602" t="s">
        <v>1377</v>
      </c>
      <c r="C2602" t="s">
        <v>1378</v>
      </c>
      <c r="D2602" s="12">
        <v>46313</v>
      </c>
      <c r="E2602" s="11">
        <v>24</v>
      </c>
      <c r="F2602" s="11" t="s">
        <v>7453</v>
      </c>
      <c r="G2602">
        <v>20221001</v>
      </c>
      <c r="I2602" s="11" t="s">
        <v>63</v>
      </c>
      <c r="J2602" s="72">
        <v>30532629</v>
      </c>
      <c r="K2602" s="99">
        <f>_xlfn.XLOOKUP(_2__ROI_Daily_Update[[#This Row],[CSM id]],SHP!F:F,SHP!EE:EE,"-")</f>
        <v>0</v>
      </c>
      <c r="L2602" s="12"/>
      <c r="N2602" s="11"/>
      <c r="P2602"/>
      <c r="Q2602"/>
      <c r="W2602" s="28"/>
      <c r="AA2602"/>
    </row>
    <row r="2603" spans="1:27" x14ac:dyDescent="0.45">
      <c r="A2603" s="57">
        <v>981</v>
      </c>
      <c r="B2603" t="s">
        <v>5937</v>
      </c>
      <c r="C2603" t="s">
        <v>5938</v>
      </c>
      <c r="D2603" s="12">
        <v>46313</v>
      </c>
      <c r="E2603" s="11">
        <v>18</v>
      </c>
      <c r="F2603" s="11" t="s">
        <v>6940</v>
      </c>
      <c r="G2603">
        <v>20241001</v>
      </c>
      <c r="I2603" s="11" t="s">
        <v>63</v>
      </c>
      <c r="J2603" s="72">
        <v>80581995</v>
      </c>
      <c r="K2603" s="99">
        <f>_xlfn.XLOOKUP(_2__ROI_Daily_Update[[#This Row],[CSM id]],SHP!F:F,SHP!EE:EE,"-")</f>
        <v>0</v>
      </c>
      <c r="L2603" s="12"/>
      <c r="N2603" s="11"/>
      <c r="P2603"/>
      <c r="Q2603"/>
      <c r="W2603" s="28"/>
      <c r="AA2603"/>
    </row>
    <row r="2604" spans="1:27" x14ac:dyDescent="0.45">
      <c r="A2604" s="57">
        <v>1111</v>
      </c>
      <c r="B2604" t="s">
        <v>5146</v>
      </c>
      <c r="C2604" t="s">
        <v>5147</v>
      </c>
      <c r="D2604" s="12">
        <v>46313</v>
      </c>
      <c r="E2604" s="11">
        <v>14</v>
      </c>
      <c r="F2604" s="11" t="s">
        <v>6946</v>
      </c>
      <c r="G2604">
        <v>20171001</v>
      </c>
      <c r="I2604" s="11" t="s">
        <v>63</v>
      </c>
      <c r="J2604" s="72">
        <v>40360533</v>
      </c>
      <c r="K2604" s="99">
        <f>_xlfn.XLOOKUP(_2__ROI_Daily_Update[[#This Row],[CSM id]],SHP!F:F,SHP!EE:EE,"-")</f>
        <v>0</v>
      </c>
      <c r="L2604" s="12"/>
      <c r="N2604" s="11"/>
      <c r="P2604"/>
      <c r="Q2604"/>
      <c r="W2604" s="28"/>
      <c r="AA2604"/>
    </row>
    <row r="2605" spans="1:27" x14ac:dyDescent="0.45">
      <c r="A2605" s="57">
        <v>1111</v>
      </c>
      <c r="B2605" t="s">
        <v>1379</v>
      </c>
      <c r="C2605" t="s">
        <v>1380</v>
      </c>
      <c r="D2605" s="12">
        <v>46313</v>
      </c>
      <c r="E2605" s="11">
        <v>84</v>
      </c>
      <c r="F2605" s="11" t="s">
        <v>6946</v>
      </c>
      <c r="G2605">
        <v>20221001</v>
      </c>
      <c r="I2605" s="11" t="s">
        <v>63</v>
      </c>
      <c r="J2605" s="72">
        <v>30532667</v>
      </c>
      <c r="K2605" s="99">
        <f>_xlfn.XLOOKUP(_2__ROI_Daily_Update[[#This Row],[CSM id]],SHP!F:F,SHP!EE:EE,"-")</f>
        <v>0</v>
      </c>
      <c r="L2605" s="12"/>
      <c r="N2605" s="11"/>
      <c r="P2605"/>
      <c r="Q2605"/>
      <c r="W2605" s="28"/>
      <c r="AA2605"/>
    </row>
    <row r="2606" spans="1:27" x14ac:dyDescent="0.45">
      <c r="A2606" s="57">
        <v>981</v>
      </c>
      <c r="B2606" t="s">
        <v>6572</v>
      </c>
      <c r="C2606" t="s">
        <v>6573</v>
      </c>
      <c r="D2606" s="12">
        <v>46313</v>
      </c>
      <c r="E2606" s="11">
        <v>10</v>
      </c>
      <c r="F2606" s="11" t="s">
        <v>7458</v>
      </c>
      <c r="G2606">
        <v>20261001</v>
      </c>
      <c r="I2606" s="11" t="s">
        <v>63</v>
      </c>
      <c r="J2606" s="72">
        <v>70609235</v>
      </c>
      <c r="K2606" s="99">
        <f>_xlfn.XLOOKUP(_2__ROI_Daily_Update[[#This Row],[CSM id]],SHP!F:F,SHP!EE:EE,"-")</f>
        <v>0</v>
      </c>
      <c r="L2606" s="12"/>
      <c r="N2606" s="11"/>
      <c r="P2606"/>
      <c r="Q2606"/>
      <c r="W2606" s="28"/>
      <c r="AA2606"/>
    </row>
    <row r="2607" spans="1:27" x14ac:dyDescent="0.45">
      <c r="A2607" s="57">
        <v>1111</v>
      </c>
      <c r="B2607" t="s">
        <v>1383</v>
      </c>
      <c r="C2607" t="s">
        <v>1384</v>
      </c>
      <c r="D2607" s="12">
        <v>46313</v>
      </c>
      <c r="E2607" s="11">
        <v>40</v>
      </c>
      <c r="F2607" s="11" t="s">
        <v>6946</v>
      </c>
      <c r="G2607">
        <v>20251001</v>
      </c>
      <c r="I2607" s="11" t="s">
        <v>63</v>
      </c>
      <c r="J2607" s="72">
        <v>30615766</v>
      </c>
      <c r="K2607" s="99">
        <f>_xlfn.XLOOKUP(_2__ROI_Daily_Update[[#This Row],[CSM id]],SHP!F:F,SHP!EE:EE,"-")</f>
        <v>0</v>
      </c>
      <c r="L2607" s="12"/>
      <c r="N2607" s="11"/>
      <c r="P2607"/>
      <c r="Q2607"/>
      <c r="W2607" s="28"/>
      <c r="AA2607"/>
    </row>
    <row r="2608" spans="1:27" x14ac:dyDescent="0.45">
      <c r="A2608" s="57">
        <v>1111</v>
      </c>
      <c r="B2608" t="s">
        <v>1385</v>
      </c>
      <c r="C2608" t="s">
        <v>1386</v>
      </c>
      <c r="D2608" s="12">
        <v>46313</v>
      </c>
      <c r="E2608" s="11">
        <v>36</v>
      </c>
      <c r="F2608" s="11" t="s">
        <v>7463</v>
      </c>
      <c r="G2608">
        <v>20170201</v>
      </c>
      <c r="I2608" s="11" t="s">
        <v>63</v>
      </c>
      <c r="J2608" s="72">
        <v>40342723</v>
      </c>
      <c r="K2608" s="99">
        <f>_xlfn.XLOOKUP(_2__ROI_Daily_Update[[#This Row],[CSM id]],SHP!F:F,SHP!EE:EE,"-")</f>
        <v>0</v>
      </c>
      <c r="L2608" s="12"/>
      <c r="N2608" s="11"/>
      <c r="P2608"/>
      <c r="Q2608"/>
      <c r="W2608" s="28"/>
      <c r="AA2608"/>
    </row>
    <row r="2609" spans="1:27" x14ac:dyDescent="0.45">
      <c r="A2609" s="57">
        <v>1111</v>
      </c>
      <c r="B2609" t="s">
        <v>6303</v>
      </c>
      <c r="C2609" t="s">
        <v>6304</v>
      </c>
      <c r="D2609" s="12">
        <v>46313</v>
      </c>
      <c r="E2609" s="11">
        <v>28</v>
      </c>
      <c r="F2609" s="11" t="s">
        <v>7453</v>
      </c>
      <c r="G2609">
        <v>20170201</v>
      </c>
      <c r="H2609" s="12">
        <v>46478</v>
      </c>
      <c r="I2609" s="11" t="s">
        <v>63</v>
      </c>
      <c r="J2609" s="72">
        <v>40342775</v>
      </c>
      <c r="K2609" s="99">
        <f>_xlfn.XLOOKUP(_2__ROI_Daily_Update[[#This Row],[CSM id]],SHP!F:F,SHP!EE:EE,"-")</f>
        <v>0</v>
      </c>
      <c r="L2609" s="12"/>
      <c r="N2609" s="11"/>
      <c r="P2609"/>
      <c r="Q2609"/>
      <c r="W2609" s="28"/>
      <c r="AA2609"/>
    </row>
    <row r="2610" spans="1:27" x14ac:dyDescent="0.45">
      <c r="A2610" s="57">
        <v>981</v>
      </c>
      <c r="B2610" t="s">
        <v>6596</v>
      </c>
      <c r="C2610" t="s">
        <v>6597</v>
      </c>
      <c r="D2610" s="12">
        <v>46313</v>
      </c>
      <c r="E2610" s="11">
        <v>26</v>
      </c>
      <c r="F2610" s="11" t="s">
        <v>7463</v>
      </c>
      <c r="G2610">
        <v>20180201</v>
      </c>
      <c r="I2610" s="11" t="s">
        <v>63</v>
      </c>
      <c r="J2610" s="72">
        <v>70365176</v>
      </c>
      <c r="K2610" s="99">
        <f>_xlfn.XLOOKUP(_2__ROI_Daily_Update[[#This Row],[CSM id]],SHP!F:F,SHP!EE:EE,"-")</f>
        <v>0</v>
      </c>
      <c r="L2610" s="12"/>
      <c r="N2610" s="11"/>
      <c r="P2610"/>
      <c r="Q2610"/>
      <c r="W2610" s="28"/>
      <c r="AA2610"/>
    </row>
    <row r="2611" spans="1:27" x14ac:dyDescent="0.45">
      <c r="A2611" s="57">
        <v>1111</v>
      </c>
      <c r="B2611" t="s">
        <v>7003</v>
      </c>
      <c r="C2611" t="s">
        <v>7004</v>
      </c>
      <c r="D2611" s="12">
        <v>46313</v>
      </c>
      <c r="E2611" s="11">
        <v>24</v>
      </c>
      <c r="F2611" s="11" t="s">
        <v>7480</v>
      </c>
      <c r="G2611">
        <v>20171001</v>
      </c>
      <c r="I2611" s="11" t="s">
        <v>63</v>
      </c>
      <c r="J2611" s="72">
        <v>40357248</v>
      </c>
      <c r="K2611" s="99">
        <f>_xlfn.XLOOKUP(_2__ROI_Daily_Update[[#This Row],[CSM id]],SHP!F:F,SHP!EE:EE,"-")</f>
        <v>0</v>
      </c>
      <c r="L2611" s="12"/>
      <c r="N2611" s="11"/>
      <c r="P2611"/>
      <c r="Q2611"/>
      <c r="W2611" s="28"/>
      <c r="AA2611"/>
    </row>
    <row r="2612" spans="1:27" x14ac:dyDescent="0.45">
      <c r="A2612" s="57">
        <v>1111</v>
      </c>
      <c r="B2612" t="s">
        <v>1381</v>
      </c>
      <c r="C2612" t="s">
        <v>1382</v>
      </c>
      <c r="D2612" s="12">
        <v>46313</v>
      </c>
      <c r="E2612" s="11">
        <v>42</v>
      </c>
      <c r="F2612" s="11" t="s">
        <v>7400</v>
      </c>
      <c r="G2612">
        <v>20221001</v>
      </c>
      <c r="I2612" s="11" t="s">
        <v>63</v>
      </c>
      <c r="J2612" s="72">
        <v>30547602</v>
      </c>
      <c r="K2612" s="99">
        <f>_xlfn.XLOOKUP(_2__ROI_Daily_Update[[#This Row],[CSM id]],SHP!F:F,SHP!EE:EE,"-")</f>
        <v>0</v>
      </c>
      <c r="L2612" s="12"/>
      <c r="N2612" s="11"/>
      <c r="P2612"/>
      <c r="Q2612"/>
      <c r="W2612" s="28"/>
      <c r="AA2612"/>
    </row>
    <row r="2613" spans="1:27" x14ac:dyDescent="0.45">
      <c r="A2613" s="57">
        <v>1081</v>
      </c>
      <c r="B2613" t="s">
        <v>5900</v>
      </c>
      <c r="C2613" t="s">
        <v>5901</v>
      </c>
      <c r="D2613" s="12">
        <v>46313</v>
      </c>
      <c r="E2613" s="11">
        <v>40</v>
      </c>
      <c r="F2613" s="11" t="s">
        <v>6946</v>
      </c>
      <c r="G2613">
        <v>20261001</v>
      </c>
      <c r="H2613" s="12">
        <v>46388</v>
      </c>
      <c r="I2613" s="11" t="s">
        <v>63</v>
      </c>
      <c r="J2613" s="72">
        <v>90639953</v>
      </c>
      <c r="K2613" s="99">
        <f>_xlfn.XLOOKUP(_2__ROI_Daily_Update[[#This Row],[CSM id]],SHP!F:F,SHP!EE:EE,"-")</f>
        <v>0</v>
      </c>
      <c r="L2613" s="12"/>
      <c r="N2613" s="11"/>
      <c r="P2613"/>
      <c r="Q2613"/>
      <c r="W2613" s="28"/>
      <c r="AA2613"/>
    </row>
    <row r="2614" spans="1:27" x14ac:dyDescent="0.45">
      <c r="A2614" s="57">
        <v>1112</v>
      </c>
      <c r="B2614" t="s">
        <v>1479</v>
      </c>
      <c r="C2614" t="s">
        <v>1480</v>
      </c>
      <c r="D2614" s="12">
        <v>46313</v>
      </c>
      <c r="E2614" s="11">
        <v>6</v>
      </c>
      <c r="F2614" s="11" t="s">
        <v>7463</v>
      </c>
      <c r="G2614">
        <v>20251001</v>
      </c>
      <c r="I2614" s="11" t="s">
        <v>63</v>
      </c>
      <c r="J2614" s="72">
        <v>30611278</v>
      </c>
      <c r="K2614" s="99">
        <f>_xlfn.XLOOKUP(_2__ROI_Daily_Update[[#This Row],[CSM id]],SHP!F:F,SHP!EE:EE,"-")</f>
        <v>0</v>
      </c>
      <c r="L2614" s="12"/>
      <c r="N2614" s="11"/>
      <c r="P2614"/>
      <c r="Q2614"/>
      <c r="W2614" s="28"/>
      <c r="AA2614"/>
    </row>
    <row r="2615" spans="1:27" x14ac:dyDescent="0.45">
      <c r="A2615" s="57">
        <v>1112</v>
      </c>
      <c r="B2615" t="s">
        <v>1481</v>
      </c>
      <c r="C2615" t="s">
        <v>1482</v>
      </c>
      <c r="D2615" s="12">
        <v>46313</v>
      </c>
      <c r="E2615" s="11">
        <v>10</v>
      </c>
      <c r="F2615" s="11" t="s">
        <v>7430</v>
      </c>
      <c r="G2615">
        <v>20260101</v>
      </c>
      <c r="I2615" s="11" t="s">
        <v>63</v>
      </c>
      <c r="J2615" s="72">
        <v>30621625</v>
      </c>
      <c r="K2615" s="99">
        <f>_xlfn.XLOOKUP(_2__ROI_Daily_Update[[#This Row],[CSM id]],SHP!F:F,SHP!EE:EE,"-")</f>
        <v>0</v>
      </c>
      <c r="L2615" s="12"/>
      <c r="N2615" s="11"/>
      <c r="P2615"/>
      <c r="Q2615"/>
      <c r="W2615" s="28"/>
      <c r="AA2615"/>
    </row>
    <row r="2616" spans="1:27" x14ac:dyDescent="0.45">
      <c r="A2616" s="57">
        <v>1121</v>
      </c>
      <c r="B2616" t="s">
        <v>1569</v>
      </c>
      <c r="C2616" t="s">
        <v>1570</v>
      </c>
      <c r="D2616" s="12">
        <v>46313</v>
      </c>
      <c r="E2616" s="11">
        <v>18</v>
      </c>
      <c r="F2616" s="11" t="s">
        <v>7430</v>
      </c>
      <c r="G2616">
        <v>20200401</v>
      </c>
      <c r="I2616" s="11" t="s">
        <v>63</v>
      </c>
      <c r="J2616" s="72">
        <v>10458734</v>
      </c>
      <c r="K2616" s="99">
        <f>_xlfn.XLOOKUP(_2__ROI_Daily_Update[[#This Row],[CSM id]],SHP!F:F,SHP!EE:EE,"-")</f>
        <v>0</v>
      </c>
      <c r="L2616" s="12"/>
      <c r="N2616" s="11"/>
      <c r="P2616"/>
      <c r="Q2616"/>
      <c r="W2616" s="28"/>
      <c r="AA2616"/>
    </row>
    <row r="2617" spans="1:27" x14ac:dyDescent="0.45">
      <c r="A2617" s="57">
        <v>1121</v>
      </c>
      <c r="B2617" t="s">
        <v>1569</v>
      </c>
      <c r="C2617" t="s">
        <v>1570</v>
      </c>
      <c r="D2617" s="12">
        <v>46313</v>
      </c>
      <c r="E2617" s="11">
        <v>18</v>
      </c>
      <c r="F2617" s="11" t="s">
        <v>7420</v>
      </c>
      <c r="G2617">
        <v>20200401</v>
      </c>
      <c r="I2617" s="11" t="s">
        <v>63</v>
      </c>
      <c r="J2617" s="72">
        <v>10458734</v>
      </c>
      <c r="K2617" s="99">
        <f>_xlfn.XLOOKUP(_2__ROI_Daily_Update[[#This Row],[CSM id]],SHP!F:F,SHP!EE:EE,"-")</f>
        <v>0</v>
      </c>
      <c r="L2617" s="12"/>
      <c r="N2617" s="11"/>
      <c r="P2617"/>
      <c r="Q2617"/>
      <c r="W2617" s="28"/>
      <c r="AA2617"/>
    </row>
    <row r="2618" spans="1:27" x14ac:dyDescent="0.45">
      <c r="A2618" s="57">
        <v>973</v>
      </c>
      <c r="B2618" t="s">
        <v>6233</v>
      </c>
      <c r="C2618" t="s">
        <v>6234</v>
      </c>
      <c r="D2618" s="12">
        <v>46313</v>
      </c>
      <c r="E2618" s="11">
        <v>84</v>
      </c>
      <c r="F2618" s="11" t="s">
        <v>7435</v>
      </c>
      <c r="G2618">
        <v>20200801</v>
      </c>
      <c r="I2618" s="11" t="s">
        <v>63</v>
      </c>
      <c r="J2618" s="72">
        <v>50477622</v>
      </c>
      <c r="K2618" s="99">
        <f>_xlfn.XLOOKUP(_2__ROI_Daily_Update[[#This Row],[CSM id]],SHP!F:F,SHP!EE:EE,"-")</f>
        <v>0</v>
      </c>
      <c r="L2618" s="12"/>
      <c r="N2618" s="11"/>
      <c r="P2618"/>
      <c r="Q2618"/>
      <c r="W2618" s="28"/>
      <c r="AA2618"/>
    </row>
    <row r="2619" spans="1:27" x14ac:dyDescent="0.45">
      <c r="A2619" s="57">
        <v>1121</v>
      </c>
      <c r="B2619" t="s">
        <v>1565</v>
      </c>
      <c r="C2619" t="s">
        <v>1566</v>
      </c>
      <c r="D2619" s="12">
        <v>46313</v>
      </c>
      <c r="E2619" s="11">
        <v>16</v>
      </c>
      <c r="F2619" s="11" t="s">
        <v>7430</v>
      </c>
      <c r="G2619">
        <v>20200401</v>
      </c>
      <c r="I2619" s="11" t="s">
        <v>63</v>
      </c>
      <c r="J2619" s="72">
        <v>458739</v>
      </c>
      <c r="K2619" s="99">
        <f>_xlfn.XLOOKUP(_2__ROI_Daily_Update[[#This Row],[CSM id]],SHP!F:F,SHP!EE:EE,"-")</f>
        <v>0</v>
      </c>
      <c r="L2619" s="12"/>
      <c r="N2619" s="11"/>
      <c r="P2619"/>
      <c r="Q2619"/>
      <c r="W2619" s="28"/>
      <c r="AA2619"/>
    </row>
    <row r="2620" spans="1:27" x14ac:dyDescent="0.45">
      <c r="A2620" s="57">
        <v>1113</v>
      </c>
      <c r="B2620" t="s">
        <v>6991</v>
      </c>
      <c r="C2620" t="s">
        <v>6992</v>
      </c>
      <c r="D2620" s="12">
        <v>46313</v>
      </c>
      <c r="E2620" s="11">
        <v>104</v>
      </c>
      <c r="F2620" s="11" t="s">
        <v>7475</v>
      </c>
      <c r="G2620">
        <v>20190201</v>
      </c>
      <c r="I2620" s="11" t="s">
        <v>63</v>
      </c>
      <c r="J2620" s="72">
        <v>80424383</v>
      </c>
      <c r="K2620" s="99">
        <f>_xlfn.XLOOKUP(_2__ROI_Daily_Update[[#This Row],[CSM id]],SHP!F:F,SHP!EE:EE,"-")</f>
        <v>0</v>
      </c>
      <c r="L2620" s="12"/>
      <c r="N2620" s="11"/>
      <c r="P2620"/>
      <c r="Q2620"/>
      <c r="W2620" s="28"/>
      <c r="AA2620"/>
    </row>
    <row r="2621" spans="1:27" x14ac:dyDescent="0.45">
      <c r="A2621" s="57">
        <v>1113</v>
      </c>
      <c r="B2621" t="s">
        <v>6735</v>
      </c>
      <c r="C2621" t="s">
        <v>6736</v>
      </c>
      <c r="D2621" s="12">
        <v>46313</v>
      </c>
      <c r="E2621" s="11">
        <v>88</v>
      </c>
      <c r="F2621" s="11" t="s">
        <v>7463</v>
      </c>
      <c r="G2621">
        <v>20251001</v>
      </c>
      <c r="I2621" s="11" t="s">
        <v>63</v>
      </c>
      <c r="J2621" s="72">
        <v>60615048</v>
      </c>
      <c r="K2621" s="99">
        <f>_xlfn.XLOOKUP(_2__ROI_Daily_Update[[#This Row],[CSM id]],SHP!F:F,SHP!EE:EE,"-")</f>
        <v>0</v>
      </c>
      <c r="L2621" s="12"/>
      <c r="N2621" s="11"/>
      <c r="P2621"/>
      <c r="Q2621"/>
      <c r="W2621" s="28"/>
      <c r="AA2621"/>
    </row>
    <row r="2622" spans="1:27" x14ac:dyDescent="0.45">
      <c r="A2622" s="57">
        <v>1831</v>
      </c>
      <c r="B2622" t="s">
        <v>5134</v>
      </c>
      <c r="C2622" t="s">
        <v>5135</v>
      </c>
      <c r="D2622" s="12">
        <v>46313</v>
      </c>
      <c r="E2622" s="11">
        <v>80</v>
      </c>
      <c r="F2622" s="11" t="s">
        <v>7430</v>
      </c>
      <c r="G2622">
        <v>20220701</v>
      </c>
      <c r="I2622" s="11" t="s">
        <v>63</v>
      </c>
      <c r="J2622" s="72">
        <v>528515</v>
      </c>
      <c r="K2622" s="99">
        <f>_xlfn.XLOOKUP(_2__ROI_Daily_Update[[#This Row],[CSM id]],SHP!F:F,SHP!EE:EE,"-")</f>
        <v>0</v>
      </c>
      <c r="L2622" s="12"/>
      <c r="N2622" s="11"/>
      <c r="P2622"/>
      <c r="Q2622"/>
      <c r="W2622" s="28"/>
      <c r="AA2622"/>
    </row>
    <row r="2623" spans="1:27" x14ac:dyDescent="0.45">
      <c r="A2623" s="57">
        <v>1113</v>
      </c>
      <c r="B2623" t="s">
        <v>5350</v>
      </c>
      <c r="C2623" t="s">
        <v>5351</v>
      </c>
      <c r="D2623" s="12">
        <v>46313</v>
      </c>
      <c r="E2623" s="11">
        <v>22</v>
      </c>
      <c r="F2623" s="11" t="s">
        <v>7420</v>
      </c>
      <c r="G2623">
        <v>20251001</v>
      </c>
      <c r="I2623" s="11" t="s">
        <v>63</v>
      </c>
      <c r="J2623" s="72">
        <v>20614989</v>
      </c>
      <c r="K2623" s="99">
        <f>_xlfn.XLOOKUP(_2__ROI_Daily_Update[[#This Row],[CSM id]],SHP!F:F,SHP!EE:EE,"-")</f>
        <v>0</v>
      </c>
      <c r="L2623" s="12"/>
      <c r="N2623" s="11"/>
      <c r="P2623"/>
      <c r="Q2623"/>
      <c r="W2623" s="28"/>
      <c r="AA2623"/>
    </row>
    <row r="2624" spans="1:27" x14ac:dyDescent="0.45">
      <c r="A2624" s="57">
        <v>1112</v>
      </c>
      <c r="B2624" t="s">
        <v>6963</v>
      </c>
      <c r="C2624" t="s">
        <v>6964</v>
      </c>
      <c r="D2624" s="12">
        <v>46313</v>
      </c>
      <c r="E2624" s="11">
        <v>10</v>
      </c>
      <c r="F2624" s="11" t="s">
        <v>7475</v>
      </c>
      <c r="G2624">
        <v>20261001</v>
      </c>
      <c r="I2624" s="11" t="s">
        <v>63</v>
      </c>
      <c r="J2624" s="72">
        <v>90637058</v>
      </c>
      <c r="K2624" s="99">
        <f>_xlfn.XLOOKUP(_2__ROI_Daily_Update[[#This Row],[CSM id]],SHP!F:F,SHP!EE:EE,"-")</f>
        <v>0</v>
      </c>
      <c r="L2624" s="12"/>
      <c r="N2624" s="11"/>
      <c r="P2624"/>
      <c r="Q2624"/>
      <c r="W2624" s="28"/>
      <c r="AA2624"/>
    </row>
    <row r="2625" spans="1:27" x14ac:dyDescent="0.45">
      <c r="A2625" s="57">
        <v>1112</v>
      </c>
      <c r="B2625" t="s">
        <v>6971</v>
      </c>
      <c r="C2625" t="s">
        <v>6972</v>
      </c>
      <c r="D2625" s="12">
        <v>46313</v>
      </c>
      <c r="E2625" s="11">
        <v>5</v>
      </c>
      <c r="F2625" s="11" t="s">
        <v>7480</v>
      </c>
      <c r="G2625">
        <v>20260701</v>
      </c>
      <c r="I2625" s="11" t="s">
        <v>63</v>
      </c>
      <c r="J2625" s="72">
        <v>90632616</v>
      </c>
      <c r="K2625" s="99">
        <f>_xlfn.XLOOKUP(_2__ROI_Daily_Update[[#This Row],[CSM id]],SHP!F:F,SHP!EE:EE,"-")</f>
        <v>0</v>
      </c>
      <c r="L2625" s="12"/>
      <c r="N2625" s="11"/>
      <c r="P2625"/>
      <c r="Q2625"/>
      <c r="W2625" s="28"/>
      <c r="AA2625"/>
    </row>
    <row r="2626" spans="1:27" x14ac:dyDescent="0.45">
      <c r="A2626" s="57">
        <v>1112</v>
      </c>
      <c r="B2626" t="s">
        <v>6835</v>
      </c>
      <c r="C2626" t="s">
        <v>6836</v>
      </c>
      <c r="D2626" s="12">
        <v>46313</v>
      </c>
      <c r="E2626" s="11">
        <v>6</v>
      </c>
      <c r="F2626" s="11" t="s">
        <v>7463</v>
      </c>
      <c r="G2626">
        <v>20260701</v>
      </c>
      <c r="I2626" s="11" t="s">
        <v>63</v>
      </c>
      <c r="J2626" s="72">
        <v>90632447</v>
      </c>
      <c r="K2626" s="99">
        <f>_xlfn.XLOOKUP(_2__ROI_Daily_Update[[#This Row],[CSM id]],SHP!F:F,SHP!EE:EE,"-")</f>
        <v>0</v>
      </c>
      <c r="L2626" s="12"/>
      <c r="N2626" s="11"/>
      <c r="P2626"/>
      <c r="Q2626"/>
      <c r="W2626" s="28"/>
      <c r="AA2626"/>
    </row>
    <row r="2627" spans="1:27" x14ac:dyDescent="0.45">
      <c r="A2627" s="57">
        <v>1112</v>
      </c>
      <c r="B2627" t="s">
        <v>5827</v>
      </c>
      <c r="C2627" t="s">
        <v>5828</v>
      </c>
      <c r="D2627" s="12">
        <v>46313</v>
      </c>
      <c r="E2627" s="11">
        <v>6</v>
      </c>
      <c r="F2627" s="11" t="s">
        <v>7475</v>
      </c>
      <c r="G2627">
        <v>20251001</v>
      </c>
      <c r="I2627" s="11" t="s">
        <v>63</v>
      </c>
      <c r="J2627" s="72">
        <v>90614820</v>
      </c>
      <c r="K2627" s="99">
        <f>_xlfn.XLOOKUP(_2__ROI_Daily_Update[[#This Row],[CSM id]],SHP!F:F,SHP!EE:EE,"-")</f>
        <v>0</v>
      </c>
      <c r="L2627" s="12"/>
      <c r="N2627" s="11"/>
      <c r="P2627"/>
      <c r="Q2627"/>
      <c r="W2627" s="28"/>
      <c r="AA2627"/>
    </row>
    <row r="2628" spans="1:27" x14ac:dyDescent="0.45">
      <c r="A2628" s="57">
        <v>1112</v>
      </c>
      <c r="B2628" t="s">
        <v>6965</v>
      </c>
      <c r="C2628" t="s">
        <v>6966</v>
      </c>
      <c r="D2628" s="12">
        <v>46313</v>
      </c>
      <c r="E2628" s="11">
        <v>4</v>
      </c>
      <c r="F2628" s="11" t="s">
        <v>7475</v>
      </c>
      <c r="G2628">
        <v>20251001</v>
      </c>
      <c r="I2628" s="11" t="s">
        <v>63</v>
      </c>
      <c r="J2628" s="72">
        <v>90614735</v>
      </c>
      <c r="K2628" s="99">
        <f>_xlfn.XLOOKUP(_2__ROI_Daily_Update[[#This Row],[CSM id]],SHP!F:F,SHP!EE:EE,"-")</f>
        <v>0</v>
      </c>
      <c r="L2628" s="12"/>
      <c r="N2628" s="11"/>
      <c r="P2628"/>
      <c r="Q2628"/>
      <c r="W2628" s="28"/>
      <c r="AA2628"/>
    </row>
    <row r="2629" spans="1:27" x14ac:dyDescent="0.45">
      <c r="A2629" s="57">
        <v>1112</v>
      </c>
      <c r="B2629" t="s">
        <v>6469</v>
      </c>
      <c r="C2629" t="s">
        <v>6470</v>
      </c>
      <c r="D2629" s="12">
        <v>46313</v>
      </c>
      <c r="E2629" s="11">
        <v>12</v>
      </c>
      <c r="F2629" s="11" t="s">
        <v>7463</v>
      </c>
      <c r="G2629">
        <v>20251001</v>
      </c>
      <c r="H2629" s="12">
        <v>46478</v>
      </c>
      <c r="I2629" s="11" t="s">
        <v>63</v>
      </c>
      <c r="J2629" s="72">
        <v>90612133</v>
      </c>
      <c r="K2629" s="99">
        <f>_xlfn.XLOOKUP(_2__ROI_Daily_Update[[#This Row],[CSM id]],SHP!F:F,SHP!EE:EE,"-")</f>
        <v>0</v>
      </c>
      <c r="L2629" s="12"/>
      <c r="N2629" s="11"/>
      <c r="P2629"/>
      <c r="Q2629"/>
      <c r="W2629" s="28"/>
      <c r="AA2629"/>
    </row>
    <row r="2630" spans="1:27" x14ac:dyDescent="0.45">
      <c r="A2630" s="57">
        <v>1112</v>
      </c>
      <c r="B2630" t="s">
        <v>6843</v>
      </c>
      <c r="C2630" t="s">
        <v>6844</v>
      </c>
      <c r="D2630" s="12">
        <v>46313</v>
      </c>
      <c r="E2630" s="11">
        <v>3</v>
      </c>
      <c r="F2630" s="11" t="s">
        <v>7463</v>
      </c>
      <c r="G2630">
        <v>20251001</v>
      </c>
      <c r="I2630" s="11" t="s">
        <v>63</v>
      </c>
      <c r="J2630" s="72">
        <v>90610916</v>
      </c>
      <c r="K2630" s="99">
        <f>_xlfn.XLOOKUP(_2__ROI_Daily_Update[[#This Row],[CSM id]],SHP!F:F,SHP!EE:EE,"-")</f>
        <v>0</v>
      </c>
      <c r="L2630" s="12"/>
      <c r="N2630" s="11"/>
      <c r="P2630"/>
      <c r="Q2630"/>
      <c r="W2630" s="28"/>
      <c r="AA2630"/>
    </row>
    <row r="2631" spans="1:27" x14ac:dyDescent="0.45">
      <c r="A2631" s="57">
        <v>1112</v>
      </c>
      <c r="B2631" t="s">
        <v>1563</v>
      </c>
      <c r="C2631" t="s">
        <v>1564</v>
      </c>
      <c r="D2631" s="12">
        <v>46313</v>
      </c>
      <c r="E2631" s="11">
        <v>20</v>
      </c>
      <c r="F2631" s="11" t="s">
        <v>7458</v>
      </c>
      <c r="G2631">
        <v>20250701</v>
      </c>
      <c r="H2631" s="12">
        <v>46569</v>
      </c>
      <c r="I2631" s="11" t="s">
        <v>63</v>
      </c>
      <c r="J2631" s="72">
        <v>90600601</v>
      </c>
      <c r="K2631" s="99">
        <f>_xlfn.XLOOKUP(_2__ROI_Daily_Update[[#This Row],[CSM id]],SHP!F:F,SHP!EE:EE,"-")</f>
        <v>0</v>
      </c>
      <c r="L2631" s="12"/>
      <c r="N2631" s="11"/>
      <c r="P2631"/>
      <c r="Q2631"/>
      <c r="W2631" s="28"/>
      <c r="AA2631"/>
    </row>
    <row r="2632" spans="1:27" x14ac:dyDescent="0.45">
      <c r="A2632" s="57">
        <v>1112</v>
      </c>
      <c r="B2632" t="s">
        <v>1561</v>
      </c>
      <c r="C2632" t="s">
        <v>1562</v>
      </c>
      <c r="D2632" s="12">
        <v>46313</v>
      </c>
      <c r="E2632" s="11">
        <v>30</v>
      </c>
      <c r="F2632" s="11" t="s">
        <v>7448</v>
      </c>
      <c r="G2632">
        <v>20250701</v>
      </c>
      <c r="I2632" s="11" t="s">
        <v>63</v>
      </c>
      <c r="J2632" s="72">
        <v>90600516</v>
      </c>
      <c r="K2632" s="99">
        <f>_xlfn.XLOOKUP(_2__ROI_Daily_Update[[#This Row],[CSM id]],SHP!F:F,SHP!EE:EE,"-")</f>
        <v>0</v>
      </c>
      <c r="L2632" s="12"/>
      <c r="N2632" s="11"/>
      <c r="P2632"/>
      <c r="Q2632"/>
      <c r="W2632" s="28"/>
      <c r="AA2632"/>
    </row>
    <row r="2633" spans="1:27" x14ac:dyDescent="0.45">
      <c r="A2633" s="57">
        <v>1112</v>
      </c>
      <c r="B2633" t="s">
        <v>1551</v>
      </c>
      <c r="C2633" t="s">
        <v>1552</v>
      </c>
      <c r="D2633" s="12">
        <v>46313</v>
      </c>
      <c r="E2633" s="11">
        <v>12</v>
      </c>
      <c r="F2633" s="11" t="s">
        <v>7410</v>
      </c>
      <c r="G2633">
        <v>20241001</v>
      </c>
      <c r="I2633" s="11" t="s">
        <v>63</v>
      </c>
      <c r="J2633" s="72">
        <v>80592791</v>
      </c>
      <c r="K2633" s="99">
        <f>_xlfn.XLOOKUP(_2__ROI_Daily_Update[[#This Row],[CSM id]],SHP!F:F,SHP!EE:EE,"-")</f>
        <v>0</v>
      </c>
      <c r="L2633" s="12"/>
      <c r="N2633" s="11"/>
      <c r="P2633"/>
      <c r="Q2633"/>
      <c r="W2633" s="28"/>
      <c r="AA2633"/>
    </row>
    <row r="2634" spans="1:27" x14ac:dyDescent="0.45">
      <c r="A2634" s="57">
        <v>1112</v>
      </c>
      <c r="B2634" t="s">
        <v>1551</v>
      </c>
      <c r="C2634" t="s">
        <v>1552</v>
      </c>
      <c r="D2634" s="12">
        <v>46313</v>
      </c>
      <c r="E2634" s="11">
        <v>16</v>
      </c>
      <c r="F2634" s="11" t="s">
        <v>7400</v>
      </c>
      <c r="G2634">
        <v>20241001</v>
      </c>
      <c r="I2634" s="11" t="s">
        <v>63</v>
      </c>
      <c r="J2634" s="72">
        <v>80592791</v>
      </c>
      <c r="K2634" s="99">
        <f>_xlfn.XLOOKUP(_2__ROI_Daily_Update[[#This Row],[CSM id]],SHP!F:F,SHP!EE:EE,"-")</f>
        <v>0</v>
      </c>
      <c r="L2634" s="12"/>
      <c r="N2634" s="11"/>
      <c r="P2634"/>
      <c r="Q2634"/>
      <c r="W2634" s="28"/>
      <c r="AA2634"/>
    </row>
    <row r="2635" spans="1:27" x14ac:dyDescent="0.45">
      <c r="A2635" s="57">
        <v>1112</v>
      </c>
      <c r="B2635" t="s">
        <v>1551</v>
      </c>
      <c r="C2635" t="s">
        <v>1552</v>
      </c>
      <c r="D2635" s="12">
        <v>46313</v>
      </c>
      <c r="E2635" s="11">
        <v>24</v>
      </c>
      <c r="F2635" s="11" t="s">
        <v>7453</v>
      </c>
      <c r="G2635">
        <v>20241001</v>
      </c>
      <c r="I2635" s="11" t="s">
        <v>63</v>
      </c>
      <c r="J2635" s="72">
        <v>80592791</v>
      </c>
      <c r="K2635" s="99">
        <f>_xlfn.XLOOKUP(_2__ROI_Daily_Update[[#This Row],[CSM id]],SHP!F:F,SHP!EE:EE,"-")</f>
        <v>0</v>
      </c>
      <c r="L2635" s="12"/>
      <c r="N2635" s="11"/>
      <c r="P2635"/>
      <c r="Q2635"/>
      <c r="W2635" s="28"/>
      <c r="AA2635"/>
    </row>
    <row r="2636" spans="1:27" x14ac:dyDescent="0.45">
      <c r="A2636" s="57">
        <v>1112</v>
      </c>
      <c r="B2636" t="s">
        <v>1553</v>
      </c>
      <c r="C2636" t="s">
        <v>1554</v>
      </c>
      <c r="D2636" s="12">
        <v>46313</v>
      </c>
      <c r="E2636" s="11">
        <v>24</v>
      </c>
      <c r="F2636" s="11" t="s">
        <v>7430</v>
      </c>
      <c r="G2636">
        <v>20250701</v>
      </c>
      <c r="I2636" s="11" t="s">
        <v>63</v>
      </c>
      <c r="J2636" s="72">
        <v>80605784</v>
      </c>
      <c r="K2636" s="99">
        <f>_xlfn.XLOOKUP(_2__ROI_Daily_Update[[#This Row],[CSM id]],SHP!F:F,SHP!EE:EE,"-")</f>
        <v>0</v>
      </c>
      <c r="L2636" s="12"/>
      <c r="N2636" s="11"/>
      <c r="P2636"/>
      <c r="Q2636"/>
      <c r="W2636" s="28"/>
      <c r="AA2636"/>
    </row>
    <row r="2637" spans="1:27" x14ac:dyDescent="0.45">
      <c r="A2637" s="57">
        <v>1112</v>
      </c>
      <c r="B2637" t="s">
        <v>1553</v>
      </c>
      <c r="C2637" t="s">
        <v>1554</v>
      </c>
      <c r="D2637" s="12">
        <v>46313</v>
      </c>
      <c r="E2637" s="11">
        <v>24</v>
      </c>
      <c r="F2637" s="11" t="s">
        <v>7440</v>
      </c>
      <c r="G2637">
        <v>20250701</v>
      </c>
      <c r="I2637" s="11" t="s">
        <v>63</v>
      </c>
      <c r="J2637" s="72">
        <v>80605784</v>
      </c>
      <c r="K2637" s="99">
        <f>_xlfn.XLOOKUP(_2__ROI_Daily_Update[[#This Row],[CSM id]],SHP!F:F,SHP!EE:EE,"-")</f>
        <v>0</v>
      </c>
      <c r="L2637" s="12"/>
      <c r="N2637" s="11"/>
      <c r="P2637"/>
      <c r="Q2637"/>
      <c r="W2637" s="28"/>
      <c r="AA2637"/>
    </row>
    <row r="2638" spans="1:27" x14ac:dyDescent="0.45">
      <c r="A2638" s="57">
        <v>973</v>
      </c>
      <c r="B2638" t="s">
        <v>907</v>
      </c>
      <c r="C2638" t="s">
        <v>908</v>
      </c>
      <c r="D2638" s="12">
        <v>46313</v>
      </c>
      <c r="E2638" s="11">
        <v>56</v>
      </c>
      <c r="F2638" s="11" t="s">
        <v>7420</v>
      </c>
      <c r="G2638">
        <v>20230101</v>
      </c>
      <c r="H2638" s="12">
        <v>46388</v>
      </c>
      <c r="I2638" s="11" t="s">
        <v>63</v>
      </c>
      <c r="J2638" s="72">
        <v>60526504</v>
      </c>
      <c r="K2638" s="99">
        <f>_xlfn.XLOOKUP(_2__ROI_Daily_Update[[#This Row],[CSM id]],SHP!F:F,SHP!EE:EE,"-")</f>
        <v>0</v>
      </c>
      <c r="L2638" s="12"/>
      <c r="N2638" s="11"/>
      <c r="P2638"/>
      <c r="Q2638"/>
      <c r="W2638" s="28"/>
      <c r="AA2638"/>
    </row>
    <row r="2639" spans="1:27" x14ac:dyDescent="0.45">
      <c r="A2639" s="57">
        <v>1121</v>
      </c>
      <c r="B2639" t="s">
        <v>1571</v>
      </c>
      <c r="C2639" t="s">
        <v>1572</v>
      </c>
      <c r="D2639" s="12">
        <v>46313</v>
      </c>
      <c r="E2639" s="11">
        <v>32</v>
      </c>
      <c r="F2639" s="11" t="s">
        <v>7420</v>
      </c>
      <c r="G2639">
        <v>20200401</v>
      </c>
      <c r="I2639" s="11" t="s">
        <v>63</v>
      </c>
      <c r="J2639" s="72">
        <v>10459286</v>
      </c>
      <c r="K2639" s="99">
        <f>_xlfn.XLOOKUP(_2__ROI_Daily_Update[[#This Row],[CSM id]],SHP!F:F,SHP!EE:EE,"-")</f>
        <v>0</v>
      </c>
      <c r="L2639" s="12"/>
      <c r="N2639" s="11"/>
      <c r="P2639"/>
      <c r="Q2639"/>
      <c r="W2639" s="28"/>
      <c r="AA2639"/>
    </row>
    <row r="2640" spans="1:27" x14ac:dyDescent="0.45">
      <c r="A2640" s="57">
        <v>1112</v>
      </c>
      <c r="B2640" t="s">
        <v>1555</v>
      </c>
      <c r="C2640" t="s">
        <v>1556</v>
      </c>
      <c r="D2640" s="12">
        <v>46313</v>
      </c>
      <c r="E2640" s="11">
        <v>12</v>
      </c>
      <c r="F2640" s="11" t="s">
        <v>6946</v>
      </c>
      <c r="G2640">
        <v>20251001</v>
      </c>
      <c r="I2640" s="11" t="s">
        <v>63</v>
      </c>
      <c r="J2640" s="72">
        <v>80610945</v>
      </c>
      <c r="K2640" s="99">
        <f>_xlfn.XLOOKUP(_2__ROI_Daily_Update[[#This Row],[CSM id]],SHP!F:F,SHP!EE:EE,"-")</f>
        <v>0</v>
      </c>
      <c r="L2640" s="12"/>
      <c r="N2640" s="11"/>
      <c r="P2640"/>
      <c r="Q2640"/>
      <c r="W2640" s="28"/>
      <c r="AA2640"/>
    </row>
    <row r="2641" spans="1:27" x14ac:dyDescent="0.45">
      <c r="A2641" s="57">
        <v>973</v>
      </c>
      <c r="B2641" t="s">
        <v>5775</v>
      </c>
      <c r="C2641" t="s">
        <v>5776</v>
      </c>
      <c r="D2641" s="12">
        <v>46313</v>
      </c>
      <c r="E2641" s="11">
        <v>50</v>
      </c>
      <c r="F2641" s="11" t="s">
        <v>7435</v>
      </c>
      <c r="G2641">
        <v>20200801</v>
      </c>
      <c r="H2641" s="12">
        <v>46478</v>
      </c>
      <c r="I2641" s="11" t="s">
        <v>63</v>
      </c>
      <c r="J2641" s="72">
        <v>60477631</v>
      </c>
      <c r="K2641" s="99">
        <f>_xlfn.XLOOKUP(_2__ROI_Daily_Update[[#This Row],[CSM id]],SHP!F:F,SHP!EE:EE,"-")</f>
        <v>0</v>
      </c>
      <c r="L2641" s="12"/>
      <c r="N2641" s="11"/>
      <c r="P2641"/>
      <c r="Q2641"/>
      <c r="W2641" s="28"/>
      <c r="AA2641"/>
    </row>
    <row r="2642" spans="1:27" x14ac:dyDescent="0.45">
      <c r="A2642" s="57">
        <v>1112</v>
      </c>
      <c r="B2642" t="s">
        <v>1557</v>
      </c>
      <c r="C2642" t="s">
        <v>1558</v>
      </c>
      <c r="D2642" s="12">
        <v>46313</v>
      </c>
      <c r="E2642" s="11">
        <v>3</v>
      </c>
      <c r="F2642" s="11" t="s">
        <v>7410</v>
      </c>
      <c r="G2642">
        <v>20260701</v>
      </c>
      <c r="I2642" s="11" t="s">
        <v>63</v>
      </c>
      <c r="J2642" s="72">
        <v>80632481</v>
      </c>
      <c r="K2642" s="99">
        <f>_xlfn.XLOOKUP(_2__ROI_Daily_Update[[#This Row],[CSM id]],SHP!F:F,SHP!EE:EE,"-")</f>
        <v>0</v>
      </c>
      <c r="L2642" s="12"/>
      <c r="N2642" s="11"/>
      <c r="P2642"/>
      <c r="Q2642"/>
      <c r="W2642" s="28"/>
      <c r="AA2642"/>
    </row>
    <row r="2643" spans="1:27" x14ac:dyDescent="0.45">
      <c r="A2643" s="57">
        <v>1112</v>
      </c>
      <c r="B2643" t="s">
        <v>1557</v>
      </c>
      <c r="C2643" t="s">
        <v>1558</v>
      </c>
      <c r="D2643" s="12">
        <v>46313</v>
      </c>
      <c r="E2643" s="11">
        <v>6</v>
      </c>
      <c r="F2643" s="11" t="s">
        <v>6946</v>
      </c>
      <c r="G2643">
        <v>20260701</v>
      </c>
      <c r="I2643" s="11" t="s">
        <v>63</v>
      </c>
      <c r="J2643" s="72">
        <v>80632481</v>
      </c>
      <c r="K2643" s="99">
        <f>_xlfn.XLOOKUP(_2__ROI_Daily_Update[[#This Row],[CSM id]],SHP!F:F,SHP!EE:EE,"-")</f>
        <v>0</v>
      </c>
      <c r="L2643" s="12"/>
      <c r="N2643" s="11"/>
      <c r="P2643"/>
      <c r="Q2643"/>
      <c r="W2643" s="28"/>
      <c r="AA2643"/>
    </row>
    <row r="2644" spans="1:27" x14ac:dyDescent="0.45">
      <c r="A2644" s="57">
        <v>1112</v>
      </c>
      <c r="B2644" t="s">
        <v>1559</v>
      </c>
      <c r="C2644" t="s">
        <v>1560</v>
      </c>
      <c r="D2644" s="12">
        <v>46313</v>
      </c>
      <c r="E2644" s="11">
        <v>42</v>
      </c>
      <c r="F2644" s="11" t="s">
        <v>7453</v>
      </c>
      <c r="G2644">
        <v>20190401</v>
      </c>
      <c r="I2644" s="11" t="s">
        <v>63</v>
      </c>
      <c r="J2644" s="72">
        <v>90442621</v>
      </c>
      <c r="K2644" s="99">
        <f>_xlfn.XLOOKUP(_2__ROI_Daily_Update[[#This Row],[CSM id]],SHP!F:F,SHP!EE:EE,"-")</f>
        <v>0</v>
      </c>
      <c r="L2644" s="12"/>
      <c r="N2644" s="11"/>
      <c r="P2644"/>
      <c r="Q2644"/>
      <c r="W2644" s="28"/>
      <c r="AA2644"/>
    </row>
    <row r="2645" spans="1:27" x14ac:dyDescent="0.45">
      <c r="A2645" s="57">
        <v>1112</v>
      </c>
      <c r="B2645" t="s">
        <v>5829</v>
      </c>
      <c r="C2645" t="s">
        <v>5830</v>
      </c>
      <c r="D2645" s="12">
        <v>46313</v>
      </c>
      <c r="E2645" s="11">
        <v>8</v>
      </c>
      <c r="F2645" s="11" t="s">
        <v>7400</v>
      </c>
      <c r="G2645">
        <v>20240701</v>
      </c>
      <c r="H2645" s="12">
        <v>46478</v>
      </c>
      <c r="I2645" s="11" t="s">
        <v>63</v>
      </c>
      <c r="J2645" s="72">
        <v>90579789</v>
      </c>
      <c r="K2645" s="99">
        <f>_xlfn.XLOOKUP(_2__ROI_Daily_Update[[#This Row],[CSM id]],SHP!F:F,SHP!EE:EE,"-")</f>
        <v>0</v>
      </c>
      <c r="L2645" s="12"/>
      <c r="N2645" s="11"/>
      <c r="P2645"/>
      <c r="Q2645"/>
      <c r="W2645" s="28"/>
      <c r="AA2645"/>
    </row>
    <row r="2646" spans="1:27" x14ac:dyDescent="0.45">
      <c r="A2646" s="57">
        <v>1112</v>
      </c>
      <c r="B2646" t="s">
        <v>1561</v>
      </c>
      <c r="C2646" t="s">
        <v>1562</v>
      </c>
      <c r="D2646" s="12">
        <v>46313</v>
      </c>
      <c r="E2646" s="11">
        <v>30</v>
      </c>
      <c r="F2646" s="11" t="s">
        <v>7395</v>
      </c>
      <c r="G2646">
        <v>20250701</v>
      </c>
      <c r="I2646" s="11" t="s">
        <v>63</v>
      </c>
      <c r="J2646" s="72">
        <v>90600516</v>
      </c>
      <c r="K2646" s="99">
        <f>_xlfn.XLOOKUP(_2__ROI_Daily_Update[[#This Row],[CSM id]],SHP!F:F,SHP!EE:EE,"-")</f>
        <v>0</v>
      </c>
      <c r="L2646" s="12"/>
      <c r="N2646" s="11"/>
      <c r="P2646"/>
      <c r="Q2646"/>
      <c r="W2646" s="28"/>
      <c r="AA2646"/>
    </row>
    <row r="2647" spans="1:27" x14ac:dyDescent="0.45">
      <c r="A2647" s="57">
        <v>1112</v>
      </c>
      <c r="B2647" t="s">
        <v>1555</v>
      </c>
      <c r="C2647" t="s">
        <v>1556</v>
      </c>
      <c r="D2647" s="12">
        <v>46313</v>
      </c>
      <c r="E2647" s="11">
        <v>8</v>
      </c>
      <c r="F2647" s="11" t="s">
        <v>7400</v>
      </c>
      <c r="G2647">
        <v>20251001</v>
      </c>
      <c r="I2647" s="11" t="s">
        <v>63</v>
      </c>
      <c r="J2647" s="72">
        <v>80610945</v>
      </c>
      <c r="K2647" s="99">
        <f>_xlfn.XLOOKUP(_2__ROI_Daily_Update[[#This Row],[CSM id]],SHP!F:F,SHP!EE:EE,"-")</f>
        <v>0</v>
      </c>
      <c r="L2647" s="12"/>
      <c r="N2647" s="11"/>
      <c r="P2647"/>
      <c r="Q2647"/>
      <c r="W2647" s="28"/>
      <c r="AA2647"/>
    </row>
    <row r="2648" spans="1:27" x14ac:dyDescent="0.45">
      <c r="A2648" s="57">
        <v>1112</v>
      </c>
      <c r="B2648" t="s">
        <v>5198</v>
      </c>
      <c r="C2648" t="s">
        <v>5199</v>
      </c>
      <c r="D2648" s="12">
        <v>46313</v>
      </c>
      <c r="E2648" s="11">
        <v>20</v>
      </c>
      <c r="F2648" s="11" t="s">
        <v>7420</v>
      </c>
      <c r="G2648">
        <v>20241001</v>
      </c>
      <c r="I2648" s="11" t="s">
        <v>63</v>
      </c>
      <c r="J2648" s="72">
        <v>80585427</v>
      </c>
      <c r="K2648" s="99">
        <f>_xlfn.XLOOKUP(_2__ROI_Daily_Update[[#This Row],[CSM id]],SHP!F:F,SHP!EE:EE,"-")</f>
        <v>0</v>
      </c>
      <c r="L2648" s="12"/>
      <c r="N2648" s="11"/>
      <c r="P2648"/>
      <c r="Q2648"/>
      <c r="W2648" s="28"/>
      <c r="AA2648"/>
    </row>
    <row r="2649" spans="1:27" x14ac:dyDescent="0.45">
      <c r="A2649" s="57">
        <v>973</v>
      </c>
      <c r="B2649" t="s">
        <v>905</v>
      </c>
      <c r="C2649" t="s">
        <v>906</v>
      </c>
      <c r="D2649" s="12">
        <v>46313</v>
      </c>
      <c r="E2649" s="11">
        <v>126</v>
      </c>
      <c r="F2649" s="11" t="s">
        <v>7405</v>
      </c>
      <c r="G2649">
        <v>20140801</v>
      </c>
      <c r="I2649" s="11" t="s">
        <v>63</v>
      </c>
      <c r="J2649" s="72">
        <v>20193272</v>
      </c>
      <c r="K2649" s="99">
        <f>_xlfn.XLOOKUP(_2__ROI_Daily_Update[[#This Row],[CSM id]],SHP!F:F,SHP!EE:EE,"-")</f>
        <v>0</v>
      </c>
      <c r="L2649" s="12"/>
      <c r="N2649" s="11"/>
      <c r="P2649"/>
      <c r="Q2649"/>
      <c r="W2649" s="28"/>
      <c r="AA2649"/>
    </row>
    <row r="2650" spans="1:27" x14ac:dyDescent="0.45">
      <c r="A2650" s="57">
        <v>1832</v>
      </c>
      <c r="B2650" t="s">
        <v>6580</v>
      </c>
      <c r="C2650" t="s">
        <v>6581</v>
      </c>
      <c r="D2650" s="12">
        <v>46313</v>
      </c>
      <c r="E2650" s="11">
        <v>104</v>
      </c>
      <c r="F2650" s="11" t="s">
        <v>7458</v>
      </c>
      <c r="G2650">
        <v>20251001</v>
      </c>
      <c r="I2650" s="11" t="s">
        <v>63</v>
      </c>
      <c r="J2650" s="72">
        <v>30604895</v>
      </c>
      <c r="K2650" s="99">
        <f>_xlfn.XLOOKUP(_2__ROI_Daily_Update[[#This Row],[CSM id]],SHP!F:F,SHP!EE:EE,"-")</f>
        <v>0</v>
      </c>
      <c r="L2650" s="12"/>
      <c r="N2650" s="11"/>
      <c r="P2650"/>
      <c r="Q2650"/>
      <c r="W2650" s="28"/>
      <c r="AA2650"/>
    </row>
    <row r="2651" spans="1:27" x14ac:dyDescent="0.45">
      <c r="A2651" s="57">
        <v>972</v>
      </c>
      <c r="B2651" t="s">
        <v>5743</v>
      </c>
      <c r="C2651" t="s">
        <v>5744</v>
      </c>
      <c r="D2651" s="12">
        <v>46313</v>
      </c>
      <c r="E2651" s="11">
        <v>24</v>
      </c>
      <c r="F2651" s="11" t="s">
        <v>7480</v>
      </c>
      <c r="G2651">
        <v>20260201</v>
      </c>
      <c r="I2651" s="11" t="s">
        <v>63</v>
      </c>
      <c r="J2651" s="72">
        <v>40602042</v>
      </c>
      <c r="K2651" s="99">
        <f>_xlfn.XLOOKUP(_2__ROI_Daily_Update[[#This Row],[CSM id]],SHP!F:F,SHP!EE:EE,"-")</f>
        <v>0</v>
      </c>
      <c r="L2651" s="12"/>
      <c r="N2651" s="11"/>
      <c r="P2651"/>
      <c r="Q2651"/>
      <c r="W2651" s="28"/>
      <c r="AA2651"/>
    </row>
    <row r="2652" spans="1:27" x14ac:dyDescent="0.45">
      <c r="A2652" s="57">
        <v>972</v>
      </c>
      <c r="B2652" t="s">
        <v>5837</v>
      </c>
      <c r="C2652" t="s">
        <v>5838</v>
      </c>
      <c r="D2652" s="12">
        <v>46313</v>
      </c>
      <c r="E2652" s="11">
        <v>184</v>
      </c>
      <c r="F2652" s="11" t="s">
        <v>7395</v>
      </c>
      <c r="G2652">
        <v>20150401</v>
      </c>
      <c r="I2652" s="11" t="s">
        <v>63</v>
      </c>
      <c r="J2652" s="72">
        <v>50302646</v>
      </c>
      <c r="K2652" s="99">
        <f>_xlfn.XLOOKUP(_2__ROI_Daily_Update[[#This Row],[CSM id]],SHP!F:F,SHP!EE:EE,"-")</f>
        <v>0</v>
      </c>
      <c r="L2652" s="12"/>
      <c r="N2652" s="11"/>
      <c r="P2652"/>
      <c r="Q2652"/>
      <c r="W2652" s="28"/>
      <c r="AA2652"/>
    </row>
    <row r="2653" spans="1:27" x14ac:dyDescent="0.45">
      <c r="A2653" s="57">
        <v>1122</v>
      </c>
      <c r="B2653" t="s">
        <v>1609</v>
      </c>
      <c r="C2653" t="s">
        <v>1610</v>
      </c>
      <c r="D2653" s="12">
        <v>46313</v>
      </c>
      <c r="E2653" s="11">
        <v>44</v>
      </c>
      <c r="F2653" s="11" t="s">
        <v>7453</v>
      </c>
      <c r="G2653">
        <v>20241001</v>
      </c>
      <c r="I2653" s="11" t="s">
        <v>63</v>
      </c>
      <c r="J2653" s="72">
        <v>30587141</v>
      </c>
      <c r="K2653" s="99">
        <f>_xlfn.XLOOKUP(_2__ROI_Daily_Update[[#This Row],[CSM id]],SHP!F:F,SHP!EE:EE,"-")</f>
        <v>0</v>
      </c>
      <c r="L2653" s="12"/>
      <c r="N2653" s="11"/>
      <c r="P2653"/>
      <c r="Q2653"/>
      <c r="W2653" s="28"/>
      <c r="AA2653"/>
    </row>
    <row r="2654" spans="1:27" x14ac:dyDescent="0.45">
      <c r="A2654" s="57">
        <v>1122</v>
      </c>
      <c r="B2654" t="s">
        <v>1609</v>
      </c>
      <c r="C2654" t="s">
        <v>1610</v>
      </c>
      <c r="D2654" s="12">
        <v>46313</v>
      </c>
      <c r="E2654" s="11">
        <v>44</v>
      </c>
      <c r="F2654" s="11" t="s">
        <v>7410</v>
      </c>
      <c r="G2654">
        <v>20241001</v>
      </c>
      <c r="I2654" s="11" t="s">
        <v>63</v>
      </c>
      <c r="J2654" s="72">
        <v>30587141</v>
      </c>
      <c r="K2654" s="99">
        <f>_xlfn.XLOOKUP(_2__ROI_Daily_Update[[#This Row],[CSM id]],SHP!F:F,SHP!EE:EE,"-")</f>
        <v>0</v>
      </c>
      <c r="L2654" s="12"/>
      <c r="N2654" s="11"/>
      <c r="P2654"/>
      <c r="Q2654"/>
      <c r="W2654" s="28"/>
      <c r="AA2654"/>
    </row>
    <row r="2655" spans="1:27" x14ac:dyDescent="0.45">
      <c r="A2655" s="57">
        <v>972</v>
      </c>
      <c r="B2655" t="s">
        <v>5308</v>
      </c>
      <c r="C2655" t="s">
        <v>5309</v>
      </c>
      <c r="D2655" s="12">
        <v>46313</v>
      </c>
      <c r="E2655" s="11">
        <v>72</v>
      </c>
      <c r="F2655" s="11" t="s">
        <v>7420</v>
      </c>
      <c r="G2655">
        <v>20251001</v>
      </c>
      <c r="I2655" s="11" t="s">
        <v>63</v>
      </c>
      <c r="J2655" s="72">
        <v>50597498</v>
      </c>
      <c r="K2655" s="99">
        <f>_xlfn.XLOOKUP(_2__ROI_Daily_Update[[#This Row],[CSM id]],SHP!F:F,SHP!EE:EE,"-")</f>
        <v>0</v>
      </c>
      <c r="L2655" s="12"/>
      <c r="N2655" s="11"/>
      <c r="P2655"/>
      <c r="Q2655"/>
      <c r="W2655" s="28"/>
      <c r="AA2655"/>
    </row>
    <row r="2656" spans="1:27" x14ac:dyDescent="0.45">
      <c r="A2656" s="57">
        <v>1122</v>
      </c>
      <c r="B2656" t="s">
        <v>5757</v>
      </c>
      <c r="C2656" t="s">
        <v>5758</v>
      </c>
      <c r="D2656" s="12">
        <v>46313</v>
      </c>
      <c r="E2656" s="11">
        <v>48</v>
      </c>
      <c r="F2656" s="11" t="s">
        <v>7400</v>
      </c>
      <c r="G2656">
        <v>20230101</v>
      </c>
      <c r="I2656" s="11" t="s">
        <v>63</v>
      </c>
      <c r="J2656" s="72">
        <v>30548220</v>
      </c>
      <c r="K2656" s="99">
        <f>_xlfn.XLOOKUP(_2__ROI_Daily_Update[[#This Row],[CSM id]],SHP!F:F,SHP!EE:EE,"-")</f>
        <v>0</v>
      </c>
      <c r="L2656" s="12"/>
      <c r="N2656" s="11"/>
      <c r="P2656"/>
      <c r="Q2656"/>
      <c r="W2656" s="28"/>
      <c r="AA2656"/>
    </row>
    <row r="2657" spans="1:27" x14ac:dyDescent="0.45">
      <c r="A2657" s="57">
        <v>1122</v>
      </c>
      <c r="B2657" t="s">
        <v>1605</v>
      </c>
      <c r="C2657" t="s">
        <v>1606</v>
      </c>
      <c r="D2657" s="12">
        <v>46313</v>
      </c>
      <c r="E2657" s="11">
        <v>30</v>
      </c>
      <c r="F2657" s="11" t="s">
        <v>7468</v>
      </c>
      <c r="G2657">
        <v>20231001</v>
      </c>
      <c r="H2657" s="12">
        <v>46478</v>
      </c>
      <c r="I2657" s="11" t="s">
        <v>18</v>
      </c>
      <c r="J2657" s="72">
        <v>20554283</v>
      </c>
      <c r="K2657" s="99">
        <f>_xlfn.XLOOKUP(_2__ROI_Daily_Update[[#This Row],[CSM id]],SHP!F:F,SHP!EE:EE,"-")</f>
        <v>0</v>
      </c>
      <c r="L2657" s="12"/>
      <c r="N2657" s="11"/>
      <c r="P2657"/>
      <c r="Q2657"/>
      <c r="W2657" s="28"/>
      <c r="AA2657"/>
    </row>
    <row r="2658" spans="1:27" x14ac:dyDescent="0.45">
      <c r="A2658" s="57">
        <v>1122</v>
      </c>
      <c r="B2658" t="s">
        <v>5939</v>
      </c>
      <c r="C2658" t="s">
        <v>5940</v>
      </c>
      <c r="D2658" s="12">
        <v>46313</v>
      </c>
      <c r="E2658" s="11">
        <v>24</v>
      </c>
      <c r="F2658" s="11" t="s">
        <v>6946</v>
      </c>
      <c r="G2658">
        <v>20261001</v>
      </c>
      <c r="I2658" s="11" t="s">
        <v>63</v>
      </c>
      <c r="J2658" s="72">
        <v>10637000</v>
      </c>
      <c r="K2658" s="99">
        <f>_xlfn.XLOOKUP(_2__ROI_Daily_Update[[#This Row],[CSM id]],SHP!F:F,SHP!EE:EE,"-")</f>
        <v>0</v>
      </c>
      <c r="L2658" s="12"/>
      <c r="N2658" s="11"/>
      <c r="P2658"/>
      <c r="Q2658"/>
      <c r="W2658" s="28"/>
      <c r="AA2658"/>
    </row>
    <row r="2659" spans="1:27" x14ac:dyDescent="0.45">
      <c r="A2659" s="57">
        <v>1122</v>
      </c>
      <c r="B2659" t="s">
        <v>1603</v>
      </c>
      <c r="C2659" t="s">
        <v>1604</v>
      </c>
      <c r="D2659" s="12">
        <v>46313</v>
      </c>
      <c r="E2659" s="11">
        <v>32</v>
      </c>
      <c r="F2659" s="11" t="s">
        <v>6946</v>
      </c>
      <c r="G2659">
        <v>20230101</v>
      </c>
      <c r="I2659" s="11" t="s">
        <v>63</v>
      </c>
      <c r="J2659" s="72">
        <v>10547151</v>
      </c>
      <c r="K2659" s="99">
        <f>_xlfn.XLOOKUP(_2__ROI_Daily_Update[[#This Row],[CSM id]],SHP!F:F,SHP!EE:EE,"-")</f>
        <v>0</v>
      </c>
      <c r="L2659" s="12"/>
      <c r="N2659" s="11"/>
      <c r="P2659"/>
      <c r="Q2659"/>
      <c r="W2659" s="28"/>
      <c r="AA2659"/>
    </row>
    <row r="2660" spans="1:27" x14ac:dyDescent="0.45">
      <c r="A2660" s="57">
        <v>972</v>
      </c>
      <c r="B2660" t="s">
        <v>5870</v>
      </c>
      <c r="C2660" t="s">
        <v>5871</v>
      </c>
      <c r="D2660" s="12">
        <v>46313</v>
      </c>
      <c r="E2660" s="11">
        <v>18</v>
      </c>
      <c r="F2660" s="11" t="s">
        <v>6946</v>
      </c>
      <c r="G2660">
        <v>20241001</v>
      </c>
      <c r="H2660" s="12">
        <v>46661</v>
      </c>
      <c r="I2660" s="11" t="s">
        <v>63</v>
      </c>
      <c r="J2660" s="72">
        <v>60578673</v>
      </c>
      <c r="K2660" s="99">
        <f>_xlfn.XLOOKUP(_2__ROI_Daily_Update[[#This Row],[CSM id]],SHP!F:F,SHP!EE:EE,"-")</f>
        <v>0</v>
      </c>
      <c r="L2660" s="12"/>
      <c r="N2660" s="11"/>
      <c r="P2660"/>
      <c r="Q2660"/>
      <c r="W2660" s="28"/>
      <c r="AA2660"/>
    </row>
    <row r="2661" spans="1:27" x14ac:dyDescent="0.45">
      <c r="A2661" s="57">
        <v>1122</v>
      </c>
      <c r="B2661" t="s">
        <v>1601</v>
      </c>
      <c r="C2661" t="s">
        <v>1602</v>
      </c>
      <c r="D2661" s="12">
        <v>46313</v>
      </c>
      <c r="E2661" s="11">
        <v>48</v>
      </c>
      <c r="F2661" s="11" t="s">
        <v>7463</v>
      </c>
      <c r="G2661">
        <v>20200401</v>
      </c>
      <c r="I2661" s="11" t="s">
        <v>63</v>
      </c>
      <c r="J2661" s="72">
        <v>10460591</v>
      </c>
      <c r="K2661" s="99">
        <f>_xlfn.XLOOKUP(_2__ROI_Daily_Update[[#This Row],[CSM id]],SHP!F:F,SHP!EE:EE,"-")</f>
        <v>0</v>
      </c>
      <c r="L2661" s="12"/>
      <c r="N2661" s="11"/>
      <c r="P2661"/>
      <c r="Q2661"/>
      <c r="W2661" s="28"/>
      <c r="AA2661"/>
    </row>
    <row r="2662" spans="1:27" x14ac:dyDescent="0.45">
      <c r="A2662" s="57">
        <v>972</v>
      </c>
      <c r="B2662" t="s">
        <v>895</v>
      </c>
      <c r="C2662" t="s">
        <v>896</v>
      </c>
      <c r="D2662" s="12">
        <v>46313</v>
      </c>
      <c r="E2662" s="11">
        <v>84</v>
      </c>
      <c r="F2662" s="11" t="s">
        <v>7420</v>
      </c>
      <c r="G2662">
        <v>20140801</v>
      </c>
      <c r="H2662" s="12">
        <v>46388</v>
      </c>
      <c r="I2662" s="11" t="s">
        <v>63</v>
      </c>
      <c r="J2662" s="72">
        <v>80190690</v>
      </c>
      <c r="K2662" s="99">
        <f>_xlfn.XLOOKUP(_2__ROI_Daily_Update[[#This Row],[CSM id]],SHP!F:F,SHP!EE:EE,"-")</f>
        <v>0</v>
      </c>
      <c r="L2662" s="12"/>
      <c r="N2662" s="11"/>
      <c r="P2662"/>
      <c r="Q2662"/>
      <c r="W2662" s="28"/>
      <c r="AA2662"/>
    </row>
    <row r="2663" spans="1:27" x14ac:dyDescent="0.45">
      <c r="A2663" s="57">
        <v>1122</v>
      </c>
      <c r="B2663" t="s">
        <v>1597</v>
      </c>
      <c r="C2663" t="s">
        <v>1598</v>
      </c>
      <c r="D2663" s="12">
        <v>46313</v>
      </c>
      <c r="E2663" s="11">
        <v>20</v>
      </c>
      <c r="F2663" s="11" t="s">
        <v>7463</v>
      </c>
      <c r="G2663">
        <v>20220401</v>
      </c>
      <c r="I2663" s="11" t="s">
        <v>63</v>
      </c>
      <c r="J2663" s="72">
        <v>10421000</v>
      </c>
      <c r="K2663" s="99">
        <f>_xlfn.XLOOKUP(_2__ROI_Daily_Update[[#This Row],[CSM id]],SHP!F:F,SHP!EE:EE,"-")</f>
        <v>0</v>
      </c>
      <c r="L2663" s="12"/>
      <c r="N2663" s="11"/>
      <c r="P2663"/>
      <c r="Q2663"/>
      <c r="W2663" s="28"/>
      <c r="AA2663"/>
    </row>
    <row r="2664" spans="1:27" x14ac:dyDescent="0.45">
      <c r="A2664" s="57">
        <v>1122</v>
      </c>
      <c r="B2664" t="s">
        <v>1597</v>
      </c>
      <c r="C2664" t="s">
        <v>1598</v>
      </c>
      <c r="D2664" s="12">
        <v>46313</v>
      </c>
      <c r="E2664" s="11">
        <v>40</v>
      </c>
      <c r="F2664" s="11" t="s">
        <v>6946</v>
      </c>
      <c r="G2664">
        <v>20220401</v>
      </c>
      <c r="I2664" s="11" t="s">
        <v>63</v>
      </c>
      <c r="J2664" s="72">
        <v>10421000</v>
      </c>
      <c r="K2664" s="99">
        <f>_xlfn.XLOOKUP(_2__ROI_Daily_Update[[#This Row],[CSM id]],SHP!F:F,SHP!EE:EE,"-")</f>
        <v>0</v>
      </c>
      <c r="L2664" s="12"/>
      <c r="N2664" s="11"/>
      <c r="P2664"/>
      <c r="Q2664"/>
      <c r="W2664" s="28"/>
      <c r="AA2664"/>
    </row>
    <row r="2665" spans="1:27" x14ac:dyDescent="0.45">
      <c r="A2665" s="57">
        <v>973</v>
      </c>
      <c r="B2665" t="s">
        <v>5376</v>
      </c>
      <c r="C2665" t="s">
        <v>5377</v>
      </c>
      <c r="D2665" s="12">
        <v>46313</v>
      </c>
      <c r="E2665" s="11">
        <v>80</v>
      </c>
      <c r="F2665" s="11" t="s">
        <v>7420</v>
      </c>
      <c r="G2665">
        <v>20231001</v>
      </c>
      <c r="H2665" s="12">
        <v>46478</v>
      </c>
      <c r="I2665" s="11" t="s">
        <v>63</v>
      </c>
      <c r="J2665" s="72">
        <v>544233</v>
      </c>
      <c r="K2665" s="99">
        <f>_xlfn.XLOOKUP(_2__ROI_Daily_Update[[#This Row],[CSM id]],SHP!F:F,SHP!EE:EE,"-")</f>
        <v>0</v>
      </c>
      <c r="L2665" s="12"/>
      <c r="N2665" s="11"/>
      <c r="P2665"/>
      <c r="Q2665"/>
      <c r="W2665" s="28"/>
      <c r="AA2665"/>
    </row>
    <row r="2666" spans="1:27" x14ac:dyDescent="0.45">
      <c r="A2666" s="57">
        <v>1121</v>
      </c>
      <c r="B2666" t="s">
        <v>1595</v>
      </c>
      <c r="C2666" t="s">
        <v>1596</v>
      </c>
      <c r="D2666" s="12">
        <v>46313</v>
      </c>
      <c r="E2666" s="11">
        <v>32</v>
      </c>
      <c r="F2666" s="11" t="s">
        <v>6946</v>
      </c>
      <c r="G2666">
        <v>20200401</v>
      </c>
      <c r="I2666" s="11" t="s">
        <v>63</v>
      </c>
      <c r="J2666" s="72">
        <v>90458725</v>
      </c>
      <c r="K2666" s="99">
        <f>_xlfn.XLOOKUP(_2__ROI_Daily_Update[[#This Row],[CSM id]],SHP!F:F,SHP!EE:EE,"-")</f>
        <v>0</v>
      </c>
      <c r="L2666" s="12"/>
      <c r="N2666" s="11"/>
      <c r="P2666"/>
      <c r="Q2666"/>
      <c r="W2666" s="28"/>
      <c r="AA2666"/>
    </row>
    <row r="2667" spans="1:27" x14ac:dyDescent="0.45">
      <c r="A2667" s="57">
        <v>1121</v>
      </c>
      <c r="B2667" t="s">
        <v>1595</v>
      </c>
      <c r="C2667" t="s">
        <v>1596</v>
      </c>
      <c r="D2667" s="12">
        <v>46313</v>
      </c>
      <c r="E2667" s="11">
        <v>32</v>
      </c>
      <c r="F2667" s="11" t="s">
        <v>7420</v>
      </c>
      <c r="G2667">
        <v>20200401</v>
      </c>
      <c r="I2667" s="11" t="s">
        <v>63</v>
      </c>
      <c r="J2667" s="72">
        <v>90458725</v>
      </c>
      <c r="K2667" s="99">
        <f>_xlfn.XLOOKUP(_2__ROI_Daily_Update[[#This Row],[CSM id]],SHP!F:F,SHP!EE:EE,"-")</f>
        <v>0</v>
      </c>
      <c r="L2667" s="12"/>
      <c r="N2667" s="11"/>
      <c r="P2667"/>
      <c r="Q2667"/>
      <c r="W2667" s="28"/>
      <c r="AA2667"/>
    </row>
    <row r="2668" spans="1:27" x14ac:dyDescent="0.45">
      <c r="A2668" s="57">
        <v>1121</v>
      </c>
      <c r="B2668" t="s">
        <v>1577</v>
      </c>
      <c r="C2668" t="s">
        <v>1578</v>
      </c>
      <c r="D2668" s="12">
        <v>46313</v>
      </c>
      <c r="E2668" s="11">
        <v>22</v>
      </c>
      <c r="F2668" s="11" t="s">
        <v>7420</v>
      </c>
      <c r="G2668">
        <v>20200401</v>
      </c>
      <c r="I2668" s="11" t="s">
        <v>63</v>
      </c>
      <c r="J2668" s="72">
        <v>30459030</v>
      </c>
      <c r="K2668" s="99">
        <f>_xlfn.XLOOKUP(_2__ROI_Daily_Update[[#This Row],[CSM id]],SHP!F:F,SHP!EE:EE,"-")</f>
        <v>0</v>
      </c>
      <c r="L2668" s="12"/>
      <c r="N2668" s="11"/>
      <c r="P2668"/>
      <c r="Q2668"/>
      <c r="W2668" s="28"/>
      <c r="AA2668"/>
    </row>
    <row r="2669" spans="1:27" x14ac:dyDescent="0.45">
      <c r="A2669" s="57">
        <v>1121</v>
      </c>
      <c r="B2669" t="s">
        <v>1577</v>
      </c>
      <c r="C2669" t="s">
        <v>1578</v>
      </c>
      <c r="D2669" s="12">
        <v>46313</v>
      </c>
      <c r="E2669" s="11">
        <v>44</v>
      </c>
      <c r="F2669" s="11" t="s">
        <v>7410</v>
      </c>
      <c r="G2669">
        <v>20200401</v>
      </c>
      <c r="I2669" s="11" t="s">
        <v>63</v>
      </c>
      <c r="J2669" s="72">
        <v>30459030</v>
      </c>
      <c r="K2669" s="99">
        <f>_xlfn.XLOOKUP(_2__ROI_Daily_Update[[#This Row],[CSM id]],SHP!F:F,SHP!EE:EE,"-")</f>
        <v>0</v>
      </c>
      <c r="L2669" s="12"/>
      <c r="N2669" s="11"/>
      <c r="P2669"/>
      <c r="Q2669"/>
      <c r="W2669" s="28"/>
      <c r="AA2669"/>
    </row>
    <row r="2670" spans="1:27" x14ac:dyDescent="0.45">
      <c r="A2670" s="57">
        <v>1121</v>
      </c>
      <c r="B2670" t="s">
        <v>1579</v>
      </c>
      <c r="C2670" t="s">
        <v>1580</v>
      </c>
      <c r="D2670" s="12">
        <v>46313</v>
      </c>
      <c r="E2670" s="11">
        <v>124</v>
      </c>
      <c r="F2670" s="11" t="s">
        <v>7420</v>
      </c>
      <c r="G2670">
        <v>20250401</v>
      </c>
      <c r="I2670" s="11" t="s">
        <v>63</v>
      </c>
      <c r="J2670" s="72">
        <v>30602387</v>
      </c>
      <c r="K2670" s="99">
        <f>_xlfn.XLOOKUP(_2__ROI_Daily_Update[[#This Row],[CSM id]],SHP!F:F,SHP!EE:EE,"-")</f>
        <v>0</v>
      </c>
      <c r="L2670" s="12"/>
      <c r="N2670" s="11"/>
      <c r="P2670"/>
      <c r="Q2670"/>
      <c r="W2670" s="28"/>
      <c r="AA2670"/>
    </row>
    <row r="2671" spans="1:27" x14ac:dyDescent="0.45">
      <c r="A2671" s="57">
        <v>1121</v>
      </c>
      <c r="B2671" t="s">
        <v>1581</v>
      </c>
      <c r="C2671" t="s">
        <v>1582</v>
      </c>
      <c r="D2671" s="12">
        <v>46313</v>
      </c>
      <c r="E2671" s="11">
        <v>40</v>
      </c>
      <c r="F2671" s="11" t="s">
        <v>7420</v>
      </c>
      <c r="G2671">
        <v>20200401</v>
      </c>
      <c r="I2671" s="11" t="s">
        <v>63</v>
      </c>
      <c r="J2671" s="72">
        <v>40458520</v>
      </c>
      <c r="K2671" s="99">
        <f>_xlfn.XLOOKUP(_2__ROI_Daily_Update[[#This Row],[CSM id]],SHP!F:F,SHP!EE:EE,"-")</f>
        <v>0</v>
      </c>
      <c r="L2671" s="12"/>
      <c r="N2671" s="11"/>
      <c r="P2671"/>
      <c r="Q2671"/>
      <c r="W2671" s="28"/>
      <c r="AA2671"/>
    </row>
    <row r="2672" spans="1:27" x14ac:dyDescent="0.45">
      <c r="A2672" s="57">
        <v>1121</v>
      </c>
      <c r="B2672" t="s">
        <v>1581</v>
      </c>
      <c r="C2672" t="s">
        <v>1582</v>
      </c>
      <c r="D2672" s="12">
        <v>46313</v>
      </c>
      <c r="E2672" s="11">
        <v>80</v>
      </c>
      <c r="F2672" s="11" t="s">
        <v>7410</v>
      </c>
      <c r="G2672">
        <v>20200401</v>
      </c>
      <c r="I2672" s="11" t="s">
        <v>63</v>
      </c>
      <c r="J2672" s="72">
        <v>40458520</v>
      </c>
      <c r="K2672" s="99">
        <f>_xlfn.XLOOKUP(_2__ROI_Daily_Update[[#This Row],[CSM id]],SHP!F:F,SHP!EE:EE,"-")</f>
        <v>0</v>
      </c>
      <c r="L2672" s="12"/>
      <c r="N2672" s="11"/>
      <c r="P2672"/>
      <c r="Q2672"/>
      <c r="W2672" s="28"/>
      <c r="AA2672"/>
    </row>
    <row r="2673" spans="1:27" x14ac:dyDescent="0.45">
      <c r="A2673" s="57">
        <v>1121</v>
      </c>
      <c r="B2673" t="s">
        <v>1585</v>
      </c>
      <c r="C2673" t="s">
        <v>1586</v>
      </c>
      <c r="D2673" s="12">
        <v>46313</v>
      </c>
      <c r="E2673" s="11">
        <v>112</v>
      </c>
      <c r="F2673" s="11" t="s">
        <v>7463</v>
      </c>
      <c r="G2673">
        <v>20200401</v>
      </c>
      <c r="I2673" s="11" t="s">
        <v>63</v>
      </c>
      <c r="J2673" s="72">
        <v>50457978</v>
      </c>
      <c r="K2673" s="99">
        <f>_xlfn.XLOOKUP(_2__ROI_Daily_Update[[#This Row],[CSM id]],SHP!F:F,SHP!EE:EE,"-")</f>
        <v>0</v>
      </c>
      <c r="L2673" s="12"/>
      <c r="N2673" s="11"/>
      <c r="P2673"/>
      <c r="Q2673"/>
      <c r="W2673" s="28"/>
      <c r="AA2673"/>
    </row>
    <row r="2674" spans="1:27" x14ac:dyDescent="0.45">
      <c r="A2674" s="57">
        <v>1121</v>
      </c>
      <c r="B2674" t="s">
        <v>1573</v>
      </c>
      <c r="C2674" t="s">
        <v>1574</v>
      </c>
      <c r="D2674" s="12">
        <v>46313</v>
      </c>
      <c r="E2674" s="11">
        <v>32</v>
      </c>
      <c r="F2674" s="11" t="s">
        <v>7485</v>
      </c>
      <c r="G2674">
        <v>20251001</v>
      </c>
      <c r="I2674" s="11" t="s">
        <v>18</v>
      </c>
      <c r="J2674" s="72">
        <v>10607258</v>
      </c>
      <c r="K2674" s="99">
        <f>_xlfn.XLOOKUP(_2__ROI_Daily_Update[[#This Row],[CSM id]],SHP!F:F,SHP!EE:EE,"-")</f>
        <v>0</v>
      </c>
      <c r="L2674" s="12"/>
      <c r="N2674" s="11"/>
      <c r="P2674"/>
      <c r="Q2674"/>
      <c r="W2674" s="28"/>
      <c r="AA2674"/>
    </row>
    <row r="2675" spans="1:27" x14ac:dyDescent="0.45">
      <c r="A2675" s="57">
        <v>973</v>
      </c>
      <c r="B2675" t="s">
        <v>6429</v>
      </c>
      <c r="C2675" t="s">
        <v>6430</v>
      </c>
      <c r="D2675" s="12">
        <v>46313</v>
      </c>
      <c r="E2675" s="11">
        <v>60</v>
      </c>
      <c r="F2675" s="11" t="s">
        <v>7448</v>
      </c>
      <c r="G2675">
        <v>20201001</v>
      </c>
      <c r="I2675" s="11" t="s">
        <v>63</v>
      </c>
      <c r="J2675" s="72">
        <v>10485351</v>
      </c>
      <c r="K2675" s="99">
        <f>_xlfn.XLOOKUP(_2__ROI_Daily_Update[[#This Row],[CSM id]],SHP!F:F,SHP!EE:EE,"-")</f>
        <v>0</v>
      </c>
      <c r="L2675" s="12"/>
      <c r="N2675" s="11"/>
      <c r="P2675"/>
      <c r="Q2675"/>
      <c r="W2675" s="28"/>
      <c r="AA2675"/>
    </row>
    <row r="2676" spans="1:27" x14ac:dyDescent="0.45">
      <c r="A2676" s="57">
        <v>973</v>
      </c>
      <c r="B2676" t="s">
        <v>5170</v>
      </c>
      <c r="C2676" t="s">
        <v>5171</v>
      </c>
      <c r="D2676" s="12">
        <v>46313</v>
      </c>
      <c r="E2676" s="11">
        <v>100</v>
      </c>
      <c r="F2676" s="11" t="s">
        <v>7425</v>
      </c>
      <c r="G2676">
        <v>20140801</v>
      </c>
      <c r="H2676" s="12">
        <v>46478</v>
      </c>
      <c r="I2676" s="11" t="s">
        <v>63</v>
      </c>
      <c r="J2676" s="72">
        <v>10167867</v>
      </c>
      <c r="K2676" s="99">
        <f>_xlfn.XLOOKUP(_2__ROI_Daily_Update[[#This Row],[CSM id]],SHP!F:F,SHP!EE:EE,"-")</f>
        <v>0</v>
      </c>
      <c r="L2676" s="12"/>
      <c r="N2676" s="11"/>
      <c r="P2676"/>
      <c r="Q2676"/>
      <c r="W2676" s="28"/>
      <c r="AA2676"/>
    </row>
    <row r="2677" spans="1:27" x14ac:dyDescent="0.45">
      <c r="A2677" s="57">
        <v>973</v>
      </c>
      <c r="B2677" t="s">
        <v>6141</v>
      </c>
      <c r="C2677" t="s">
        <v>6142</v>
      </c>
      <c r="D2677" s="12">
        <v>46313</v>
      </c>
      <c r="E2677" s="11">
        <v>100</v>
      </c>
      <c r="F2677" s="11" t="s">
        <v>7440</v>
      </c>
      <c r="G2677">
        <v>20261001</v>
      </c>
      <c r="H2677" s="12">
        <v>46661</v>
      </c>
      <c r="I2677" s="11" t="s">
        <v>63</v>
      </c>
      <c r="J2677" s="72">
        <v>625187</v>
      </c>
      <c r="K2677" s="99">
        <f>_xlfn.XLOOKUP(_2__ROI_Daily_Update[[#This Row],[CSM id]],SHP!F:F,SHP!EE:EE,"-")</f>
        <v>0</v>
      </c>
      <c r="L2677" s="12"/>
      <c r="N2677" s="11"/>
      <c r="P2677"/>
      <c r="Q2677"/>
      <c r="W2677" s="28"/>
      <c r="AA2677"/>
    </row>
    <row r="2678" spans="1:27" x14ac:dyDescent="0.45">
      <c r="A2678" s="57">
        <v>1121</v>
      </c>
      <c r="B2678" t="s">
        <v>1593</v>
      </c>
      <c r="C2678" t="s">
        <v>1594</v>
      </c>
      <c r="D2678" s="12">
        <v>46313</v>
      </c>
      <c r="E2678" s="11">
        <v>240</v>
      </c>
      <c r="F2678" s="11" t="s">
        <v>7420</v>
      </c>
      <c r="G2678">
        <v>20200401</v>
      </c>
      <c r="I2678" s="11" t="s">
        <v>63</v>
      </c>
      <c r="J2678" s="72">
        <v>80459283</v>
      </c>
      <c r="K2678" s="99">
        <f>_xlfn.XLOOKUP(_2__ROI_Daily_Update[[#This Row],[CSM id]],SHP!F:F,SHP!EE:EE,"-")</f>
        <v>0</v>
      </c>
      <c r="L2678" s="12"/>
      <c r="N2678" s="11"/>
      <c r="P2678"/>
      <c r="Q2678"/>
      <c r="W2678" s="28"/>
      <c r="AA2678"/>
    </row>
    <row r="2679" spans="1:27" x14ac:dyDescent="0.45">
      <c r="A2679" s="57">
        <v>1121</v>
      </c>
      <c r="B2679" t="s">
        <v>1593</v>
      </c>
      <c r="C2679" t="s">
        <v>1594</v>
      </c>
      <c r="D2679" s="12">
        <v>46313</v>
      </c>
      <c r="E2679" s="11">
        <v>72</v>
      </c>
      <c r="F2679" s="11" t="s">
        <v>6946</v>
      </c>
      <c r="G2679">
        <v>20200401</v>
      </c>
      <c r="I2679" s="11" t="s">
        <v>63</v>
      </c>
      <c r="J2679" s="72">
        <v>80459283</v>
      </c>
      <c r="K2679" s="99">
        <f>_xlfn.XLOOKUP(_2__ROI_Daily_Update[[#This Row],[CSM id]],SHP!F:F,SHP!EE:EE,"-")</f>
        <v>0</v>
      </c>
      <c r="L2679" s="12"/>
      <c r="N2679" s="11"/>
      <c r="P2679"/>
      <c r="Q2679"/>
      <c r="W2679" s="28"/>
      <c r="AA2679"/>
    </row>
    <row r="2680" spans="1:27" x14ac:dyDescent="0.45">
      <c r="A2680" s="57">
        <v>1121</v>
      </c>
      <c r="B2680" t="s">
        <v>1593</v>
      </c>
      <c r="C2680" t="s">
        <v>1594</v>
      </c>
      <c r="D2680" s="12">
        <v>46313</v>
      </c>
      <c r="E2680" s="11">
        <v>24</v>
      </c>
      <c r="F2680" s="11" t="s">
        <v>7440</v>
      </c>
      <c r="G2680">
        <v>20200401</v>
      </c>
      <c r="I2680" s="11" t="s">
        <v>63</v>
      </c>
      <c r="J2680" s="72">
        <v>80459283</v>
      </c>
      <c r="K2680" s="99">
        <f>_xlfn.XLOOKUP(_2__ROI_Daily_Update[[#This Row],[CSM id]],SHP!F:F,SHP!EE:EE,"-")</f>
        <v>0</v>
      </c>
      <c r="L2680" s="12"/>
      <c r="N2680" s="11"/>
      <c r="P2680"/>
      <c r="Q2680"/>
      <c r="W2680" s="28"/>
      <c r="AA2680"/>
    </row>
    <row r="2681" spans="1:27" x14ac:dyDescent="0.45">
      <c r="A2681" s="57">
        <v>1121</v>
      </c>
      <c r="B2681" t="s">
        <v>1593</v>
      </c>
      <c r="C2681" t="s">
        <v>1594</v>
      </c>
      <c r="D2681" s="12">
        <v>46313</v>
      </c>
      <c r="E2681" s="11">
        <v>24</v>
      </c>
      <c r="F2681" s="11" t="s">
        <v>7463</v>
      </c>
      <c r="G2681">
        <v>20200401</v>
      </c>
      <c r="I2681" s="11" t="s">
        <v>63</v>
      </c>
      <c r="J2681" s="72">
        <v>80459283</v>
      </c>
      <c r="K2681" s="99">
        <f>_xlfn.XLOOKUP(_2__ROI_Daily_Update[[#This Row],[CSM id]],SHP!F:F,SHP!EE:EE,"-")</f>
        <v>0</v>
      </c>
      <c r="L2681" s="12"/>
      <c r="N2681" s="11"/>
      <c r="P2681"/>
      <c r="Q2681"/>
      <c r="W2681" s="28"/>
      <c r="AA2681"/>
    </row>
    <row r="2682" spans="1:27" x14ac:dyDescent="0.45">
      <c r="A2682" s="57">
        <v>1121</v>
      </c>
      <c r="B2682" t="s">
        <v>5719</v>
      </c>
      <c r="C2682" t="s">
        <v>5720</v>
      </c>
      <c r="D2682" s="12">
        <v>46313</v>
      </c>
      <c r="E2682" s="11">
        <v>240</v>
      </c>
      <c r="F2682" s="11" t="s">
        <v>7468</v>
      </c>
      <c r="G2682">
        <v>20250101</v>
      </c>
      <c r="I2682" s="11" t="s">
        <v>18</v>
      </c>
      <c r="J2682" s="72">
        <v>60594871</v>
      </c>
      <c r="K2682" s="99">
        <f>_xlfn.XLOOKUP(_2__ROI_Daily_Update[[#This Row],[CSM id]],SHP!F:F,SHP!EE:EE,"-")</f>
        <v>0</v>
      </c>
      <c r="L2682" s="12"/>
      <c r="N2682" s="11"/>
      <c r="P2682"/>
      <c r="Q2682"/>
      <c r="W2682" s="28"/>
      <c r="AA2682"/>
    </row>
    <row r="2683" spans="1:27" x14ac:dyDescent="0.45">
      <c r="A2683" s="57">
        <v>1112</v>
      </c>
      <c r="B2683" t="s">
        <v>1549</v>
      </c>
      <c r="C2683" t="s">
        <v>1550</v>
      </c>
      <c r="D2683" s="12">
        <v>46313</v>
      </c>
      <c r="E2683" s="11">
        <v>90</v>
      </c>
      <c r="F2683" s="11" t="s">
        <v>7463</v>
      </c>
      <c r="G2683">
        <v>20170401</v>
      </c>
      <c r="I2683" s="11" t="s">
        <v>63</v>
      </c>
      <c r="J2683" s="72">
        <v>80337164</v>
      </c>
      <c r="K2683" s="99">
        <f>_xlfn.XLOOKUP(_2__ROI_Daily_Update[[#This Row],[CSM id]],SHP!F:F,SHP!EE:EE,"-")</f>
        <v>0</v>
      </c>
      <c r="L2683" s="12"/>
      <c r="N2683" s="11"/>
      <c r="P2683"/>
      <c r="Q2683"/>
      <c r="W2683" s="28"/>
      <c r="AA2683"/>
    </row>
    <row r="2684" spans="1:27" x14ac:dyDescent="0.45">
      <c r="A2684" s="57">
        <v>973</v>
      </c>
      <c r="B2684" t="s">
        <v>911</v>
      </c>
      <c r="C2684" t="s">
        <v>912</v>
      </c>
      <c r="D2684" s="12">
        <v>46313</v>
      </c>
      <c r="E2684" s="11">
        <v>228</v>
      </c>
      <c r="F2684" s="11" t="s">
        <v>7458</v>
      </c>
      <c r="G2684">
        <v>20140801</v>
      </c>
      <c r="I2684" s="11" t="s">
        <v>63</v>
      </c>
      <c r="J2684" s="72">
        <v>70193316</v>
      </c>
      <c r="K2684" s="99">
        <f>_xlfn.XLOOKUP(_2__ROI_Daily_Update[[#This Row],[CSM id]],SHP!F:F,SHP!EE:EE,"-")</f>
        <v>0</v>
      </c>
      <c r="L2684" s="12"/>
      <c r="N2684" s="11"/>
      <c r="P2684"/>
      <c r="Q2684"/>
      <c r="W2684" s="28"/>
      <c r="AA2684"/>
    </row>
    <row r="2685" spans="1:27" x14ac:dyDescent="0.45">
      <c r="A2685" s="57">
        <v>1112</v>
      </c>
      <c r="B2685" t="s">
        <v>1547</v>
      </c>
      <c r="C2685" t="s">
        <v>1548</v>
      </c>
      <c r="D2685" s="12">
        <v>46313</v>
      </c>
      <c r="E2685" s="11">
        <v>20</v>
      </c>
      <c r="F2685" s="11" t="s">
        <v>7440</v>
      </c>
      <c r="G2685">
        <v>20261001</v>
      </c>
      <c r="I2685" s="11" t="s">
        <v>63</v>
      </c>
      <c r="J2685" s="72">
        <v>70636682</v>
      </c>
      <c r="K2685" s="99">
        <f>_xlfn.XLOOKUP(_2__ROI_Daily_Update[[#This Row],[CSM id]],SHP!F:F,SHP!EE:EE,"-")</f>
        <v>0</v>
      </c>
      <c r="L2685" s="12"/>
      <c r="N2685" s="11"/>
      <c r="P2685"/>
      <c r="Q2685"/>
      <c r="W2685" s="28"/>
      <c r="AA2685"/>
    </row>
    <row r="2686" spans="1:27" x14ac:dyDescent="0.45">
      <c r="A2686" s="57">
        <v>1112</v>
      </c>
      <c r="B2686" t="s">
        <v>1507</v>
      </c>
      <c r="C2686" t="s">
        <v>1508</v>
      </c>
      <c r="D2686" s="12">
        <v>46313</v>
      </c>
      <c r="E2686" s="11">
        <v>6</v>
      </c>
      <c r="F2686" s="11" t="s">
        <v>7440</v>
      </c>
      <c r="G2686">
        <v>20261001</v>
      </c>
      <c r="I2686" s="11" t="s">
        <v>63</v>
      </c>
      <c r="J2686" s="72">
        <v>40636612</v>
      </c>
      <c r="K2686" s="99">
        <f>_xlfn.XLOOKUP(_2__ROI_Daily_Update[[#This Row],[CSM id]],SHP!F:F,SHP!EE:EE,"-")</f>
        <v>0</v>
      </c>
      <c r="L2686" s="12"/>
      <c r="N2686" s="11"/>
      <c r="P2686"/>
      <c r="Q2686"/>
      <c r="W2686" s="28"/>
      <c r="AA2686"/>
    </row>
    <row r="2687" spans="1:27" x14ac:dyDescent="0.45">
      <c r="A2687" s="57">
        <v>1112</v>
      </c>
      <c r="B2687" t="s">
        <v>1505</v>
      </c>
      <c r="C2687" t="s">
        <v>1506</v>
      </c>
      <c r="D2687" s="12">
        <v>46313</v>
      </c>
      <c r="E2687" s="11">
        <v>24</v>
      </c>
      <c r="F2687" s="11" t="s">
        <v>7440</v>
      </c>
      <c r="G2687">
        <v>20260401</v>
      </c>
      <c r="I2687" s="11" t="s">
        <v>63</v>
      </c>
      <c r="J2687" s="72">
        <v>40623775</v>
      </c>
      <c r="K2687" s="99">
        <f>_xlfn.XLOOKUP(_2__ROI_Daily_Update[[#This Row],[CSM id]],SHP!F:F,SHP!EE:EE,"-")</f>
        <v>0</v>
      </c>
      <c r="L2687" s="12"/>
      <c r="N2687" s="11"/>
      <c r="P2687"/>
      <c r="Q2687"/>
      <c r="W2687" s="28"/>
      <c r="AA2687"/>
    </row>
    <row r="2688" spans="1:27" x14ac:dyDescent="0.45">
      <c r="A2688" s="57">
        <v>1231</v>
      </c>
      <c r="B2688" t="s">
        <v>1885</v>
      </c>
      <c r="C2688" t="s">
        <v>1886</v>
      </c>
      <c r="D2688" s="12">
        <v>46313</v>
      </c>
      <c r="E2688" s="11">
        <v>30</v>
      </c>
      <c r="F2688" s="11" t="s">
        <v>6946</v>
      </c>
      <c r="G2688">
        <v>20180801</v>
      </c>
      <c r="I2688" s="11" t="s">
        <v>63</v>
      </c>
      <c r="J2688" s="72">
        <v>50372776</v>
      </c>
      <c r="K2688" s="99">
        <f>_xlfn.XLOOKUP(_2__ROI_Daily_Update[[#This Row],[CSM id]],SHP!F:F,SHP!EE:EE,"-")</f>
        <v>0</v>
      </c>
      <c r="L2688" s="12"/>
      <c r="N2688" s="11"/>
      <c r="P2688"/>
      <c r="Q2688"/>
      <c r="W2688" s="28"/>
      <c r="AA2688"/>
    </row>
    <row r="2689" spans="1:27" x14ac:dyDescent="0.45">
      <c r="A2689" s="57">
        <v>1831</v>
      </c>
      <c r="B2689" t="s">
        <v>3570</v>
      </c>
      <c r="C2689" t="s">
        <v>3571</v>
      </c>
      <c r="D2689" s="12">
        <v>46313</v>
      </c>
      <c r="E2689" s="11">
        <v>80</v>
      </c>
      <c r="F2689" s="11" t="s">
        <v>7475</v>
      </c>
      <c r="G2689">
        <v>20260101</v>
      </c>
      <c r="I2689" s="11" t="s">
        <v>63</v>
      </c>
      <c r="J2689" s="72">
        <v>591050</v>
      </c>
      <c r="K2689" s="99">
        <f>_xlfn.XLOOKUP(_2__ROI_Daily_Update[[#This Row],[CSM id]],SHP!F:F,SHP!EE:EE,"-")</f>
        <v>0</v>
      </c>
      <c r="L2689" s="12"/>
      <c r="N2689" s="11"/>
      <c r="P2689"/>
      <c r="Q2689"/>
      <c r="W2689" s="28"/>
      <c r="AA2689"/>
    </row>
    <row r="2690" spans="1:27" x14ac:dyDescent="0.45">
      <c r="A2690" s="57">
        <v>1112</v>
      </c>
      <c r="B2690" t="s">
        <v>1503</v>
      </c>
      <c r="C2690" t="s">
        <v>1504</v>
      </c>
      <c r="D2690" s="12">
        <v>46313</v>
      </c>
      <c r="E2690" s="11">
        <v>8</v>
      </c>
      <c r="F2690" s="11" t="s">
        <v>7440</v>
      </c>
      <c r="G2690">
        <v>20260401</v>
      </c>
      <c r="I2690" s="11" t="s">
        <v>63</v>
      </c>
      <c r="J2690" s="72">
        <v>40623761</v>
      </c>
      <c r="K2690" s="99">
        <f>_xlfn.XLOOKUP(_2__ROI_Daily_Update[[#This Row],[CSM id]],SHP!F:F,SHP!EE:EE,"-")</f>
        <v>0</v>
      </c>
      <c r="L2690" s="12"/>
      <c r="N2690" s="11"/>
      <c r="P2690"/>
      <c r="Q2690"/>
      <c r="W2690" s="28"/>
      <c r="AA2690"/>
    </row>
    <row r="2691" spans="1:27" x14ac:dyDescent="0.45">
      <c r="A2691" s="57">
        <v>974</v>
      </c>
      <c r="B2691" t="s">
        <v>6015</v>
      </c>
      <c r="C2691" t="s">
        <v>6016</v>
      </c>
      <c r="D2691" s="12">
        <v>46313</v>
      </c>
      <c r="E2691" s="11">
        <v>60</v>
      </c>
      <c r="F2691" s="11" t="s">
        <v>6946</v>
      </c>
      <c r="G2691">
        <v>20220701</v>
      </c>
      <c r="I2691" s="11" t="s">
        <v>63</v>
      </c>
      <c r="J2691" s="72">
        <v>40513890</v>
      </c>
      <c r="K2691" s="99">
        <f>_xlfn.XLOOKUP(_2__ROI_Daily_Update[[#This Row],[CSM id]],SHP!F:F,SHP!EE:EE,"-")</f>
        <v>0</v>
      </c>
      <c r="L2691" s="12"/>
      <c r="N2691" s="11"/>
      <c r="P2691"/>
      <c r="Q2691"/>
      <c r="W2691" s="28"/>
      <c r="AA2691"/>
    </row>
    <row r="2692" spans="1:27" x14ac:dyDescent="0.45">
      <c r="A2692" s="57">
        <v>1112</v>
      </c>
      <c r="B2692" t="s">
        <v>1501</v>
      </c>
      <c r="C2692" t="s">
        <v>1502</v>
      </c>
      <c r="D2692" s="12">
        <v>46313</v>
      </c>
      <c r="E2692" s="11">
        <v>24</v>
      </c>
      <c r="F2692" s="11" t="s">
        <v>7440</v>
      </c>
      <c r="G2692">
        <v>20260401</v>
      </c>
      <c r="I2692" s="11" t="s">
        <v>63</v>
      </c>
      <c r="J2692" s="72">
        <v>40623332</v>
      </c>
      <c r="K2692" s="99">
        <f>_xlfn.XLOOKUP(_2__ROI_Daily_Update[[#This Row],[CSM id]],SHP!F:F,SHP!EE:EE,"-")</f>
        <v>0</v>
      </c>
      <c r="L2692" s="12"/>
      <c r="N2692" s="11"/>
      <c r="P2692"/>
      <c r="Q2692"/>
      <c r="W2692" s="28"/>
      <c r="AA2692"/>
    </row>
    <row r="2693" spans="1:27" x14ac:dyDescent="0.45">
      <c r="A2693" s="57">
        <v>1112</v>
      </c>
      <c r="B2693" t="s">
        <v>1501</v>
      </c>
      <c r="C2693" t="s">
        <v>1502</v>
      </c>
      <c r="D2693" s="12">
        <v>46313</v>
      </c>
      <c r="E2693" s="11">
        <v>12</v>
      </c>
      <c r="F2693" s="11" t="s">
        <v>7410</v>
      </c>
      <c r="G2693">
        <v>20260401</v>
      </c>
      <c r="I2693" s="11" t="s">
        <v>63</v>
      </c>
      <c r="J2693" s="72">
        <v>40623332</v>
      </c>
      <c r="K2693" s="99">
        <f>_xlfn.XLOOKUP(_2__ROI_Daily_Update[[#This Row],[CSM id]],SHP!F:F,SHP!EE:EE,"-")</f>
        <v>0</v>
      </c>
      <c r="L2693" s="12"/>
      <c r="N2693" s="11"/>
      <c r="P2693"/>
      <c r="Q2693"/>
      <c r="W2693" s="28"/>
      <c r="AA2693"/>
    </row>
    <row r="2694" spans="1:27" x14ac:dyDescent="0.45">
      <c r="A2694" s="57">
        <v>1112</v>
      </c>
      <c r="B2694" t="s">
        <v>1499</v>
      </c>
      <c r="C2694" t="s">
        <v>1500</v>
      </c>
      <c r="D2694" s="12">
        <v>46313</v>
      </c>
      <c r="E2694" s="11">
        <v>30</v>
      </c>
      <c r="F2694" s="11" t="s">
        <v>7440</v>
      </c>
      <c r="G2694">
        <v>20251001</v>
      </c>
      <c r="I2694" s="11" t="s">
        <v>63</v>
      </c>
      <c r="J2694" s="72">
        <v>40612197</v>
      </c>
      <c r="K2694" s="99">
        <f>_xlfn.XLOOKUP(_2__ROI_Daily_Update[[#This Row],[CSM id]],SHP!F:F,SHP!EE:EE,"-")</f>
        <v>0</v>
      </c>
      <c r="L2694" s="12"/>
      <c r="N2694" s="11"/>
      <c r="P2694"/>
      <c r="Q2694"/>
      <c r="W2694" s="28"/>
      <c r="AA2694"/>
    </row>
    <row r="2695" spans="1:27" x14ac:dyDescent="0.45">
      <c r="A2695" s="57">
        <v>1112</v>
      </c>
      <c r="B2695" t="s">
        <v>1499</v>
      </c>
      <c r="C2695" t="s">
        <v>1500</v>
      </c>
      <c r="D2695" s="12">
        <v>46313</v>
      </c>
      <c r="E2695" s="11">
        <v>25</v>
      </c>
      <c r="F2695" s="11" t="s">
        <v>7430</v>
      </c>
      <c r="G2695">
        <v>20251001</v>
      </c>
      <c r="I2695" s="11" t="s">
        <v>63</v>
      </c>
      <c r="J2695" s="72">
        <v>40612197</v>
      </c>
      <c r="K2695" s="99">
        <f>_xlfn.XLOOKUP(_2__ROI_Daily_Update[[#This Row],[CSM id]],SHP!F:F,SHP!EE:EE,"-")</f>
        <v>0</v>
      </c>
      <c r="L2695" s="12"/>
      <c r="N2695" s="11"/>
      <c r="P2695"/>
      <c r="Q2695"/>
      <c r="W2695" s="28"/>
      <c r="AA2695"/>
    </row>
    <row r="2696" spans="1:27" x14ac:dyDescent="0.45">
      <c r="A2696" s="57">
        <v>1112</v>
      </c>
      <c r="B2696" t="s">
        <v>6859</v>
      </c>
      <c r="C2696" t="s">
        <v>6860</v>
      </c>
      <c r="D2696" s="12">
        <v>46313</v>
      </c>
      <c r="E2696" s="11">
        <v>3</v>
      </c>
      <c r="F2696" s="11" t="s">
        <v>7463</v>
      </c>
      <c r="G2696">
        <v>20251001</v>
      </c>
      <c r="I2696" s="11" t="s">
        <v>63</v>
      </c>
      <c r="J2696" s="72">
        <v>40610947</v>
      </c>
      <c r="K2696" s="99">
        <f>_xlfn.XLOOKUP(_2__ROI_Daily_Update[[#This Row],[CSM id]],SHP!F:F,SHP!EE:EE,"-")</f>
        <v>0</v>
      </c>
      <c r="L2696" s="12"/>
      <c r="N2696" s="11"/>
      <c r="P2696"/>
      <c r="Q2696"/>
      <c r="W2696" s="28"/>
      <c r="AA2696"/>
    </row>
    <row r="2697" spans="1:27" x14ac:dyDescent="0.45">
      <c r="A2697" s="57">
        <v>1831</v>
      </c>
      <c r="B2697" t="s">
        <v>3572</v>
      </c>
      <c r="C2697" t="s">
        <v>3573</v>
      </c>
      <c r="D2697" s="12">
        <v>46313</v>
      </c>
      <c r="E2697" s="11">
        <v>48</v>
      </c>
      <c r="F2697" s="11" t="s">
        <v>7499</v>
      </c>
      <c r="G2697">
        <v>20140801</v>
      </c>
      <c r="I2697" s="11" t="s">
        <v>18</v>
      </c>
      <c r="J2697" s="72">
        <v>10186390</v>
      </c>
      <c r="K2697" s="99">
        <f>_xlfn.XLOOKUP(_2__ROI_Daily_Update[[#This Row],[CSM id]],SHP!F:F,SHP!EE:EE,"-")</f>
        <v>0</v>
      </c>
      <c r="L2697" s="12"/>
      <c r="N2697" s="11"/>
      <c r="P2697"/>
      <c r="Q2697"/>
      <c r="W2697" s="28"/>
      <c r="AA2697"/>
    </row>
    <row r="2698" spans="1:27" x14ac:dyDescent="0.45">
      <c r="A2698" s="57">
        <v>1831</v>
      </c>
      <c r="B2698" t="s">
        <v>3574</v>
      </c>
      <c r="C2698" t="s">
        <v>3575</v>
      </c>
      <c r="D2698" s="12">
        <v>46313</v>
      </c>
      <c r="E2698" s="11">
        <v>1920</v>
      </c>
      <c r="F2698" s="11" t="s">
        <v>7395</v>
      </c>
      <c r="G2698">
        <v>20190201</v>
      </c>
      <c r="I2698" s="11" t="s">
        <v>63</v>
      </c>
      <c r="J2698" s="72">
        <v>10395384</v>
      </c>
      <c r="K2698" s="99">
        <f>_xlfn.XLOOKUP(_2__ROI_Daily_Update[[#This Row],[CSM id]],SHP!F:F,SHP!EE:EE,"-")</f>
        <v>0</v>
      </c>
      <c r="L2698" s="12"/>
      <c r="N2698" s="11"/>
      <c r="P2698"/>
      <c r="Q2698"/>
      <c r="W2698" s="28"/>
      <c r="AA2698"/>
    </row>
    <row r="2699" spans="1:27" x14ac:dyDescent="0.45">
      <c r="A2699" s="57">
        <v>1112</v>
      </c>
      <c r="B2699" t="s">
        <v>5130</v>
      </c>
      <c r="C2699" t="s">
        <v>5131</v>
      </c>
      <c r="D2699" s="12">
        <v>46313</v>
      </c>
      <c r="E2699" s="11">
        <v>8</v>
      </c>
      <c r="F2699" s="11" t="s">
        <v>7453</v>
      </c>
      <c r="G2699">
        <v>20251001</v>
      </c>
      <c r="I2699" s="11" t="s">
        <v>63</v>
      </c>
      <c r="J2699" s="72">
        <v>40610914</v>
      </c>
      <c r="K2699" s="99">
        <f>_xlfn.XLOOKUP(_2__ROI_Daily_Update[[#This Row],[CSM id]],SHP!F:F,SHP!EE:EE,"-")</f>
        <v>0</v>
      </c>
      <c r="L2699" s="12"/>
      <c r="N2699" s="11"/>
      <c r="P2699"/>
      <c r="Q2699"/>
      <c r="W2699" s="28"/>
      <c r="AA2699"/>
    </row>
    <row r="2700" spans="1:27" x14ac:dyDescent="0.45">
      <c r="A2700" s="57">
        <v>1112</v>
      </c>
      <c r="B2700" t="s">
        <v>5130</v>
      </c>
      <c r="C2700" t="s">
        <v>5131</v>
      </c>
      <c r="D2700" s="12">
        <v>46313</v>
      </c>
      <c r="E2700" s="11">
        <v>8</v>
      </c>
      <c r="F2700" s="11" t="s">
        <v>7430</v>
      </c>
      <c r="G2700">
        <v>20251001</v>
      </c>
      <c r="I2700" s="11" t="s">
        <v>63</v>
      </c>
      <c r="J2700" s="72">
        <v>40610914</v>
      </c>
      <c r="K2700" s="99">
        <f>_xlfn.XLOOKUP(_2__ROI_Daily_Update[[#This Row],[CSM id]],SHP!F:F,SHP!EE:EE,"-")</f>
        <v>0</v>
      </c>
      <c r="L2700" s="12"/>
      <c r="N2700" s="11"/>
      <c r="P2700"/>
      <c r="Q2700"/>
      <c r="W2700" s="28"/>
      <c r="AA2700"/>
    </row>
    <row r="2701" spans="1:27" x14ac:dyDescent="0.45">
      <c r="A2701" s="57">
        <v>1112</v>
      </c>
      <c r="B2701" t="s">
        <v>1497</v>
      </c>
      <c r="C2701" t="s">
        <v>1498</v>
      </c>
      <c r="D2701" s="12">
        <v>46313</v>
      </c>
      <c r="E2701" s="11">
        <v>10</v>
      </c>
      <c r="F2701" s="11" t="s">
        <v>6946</v>
      </c>
      <c r="G2701">
        <v>20250101</v>
      </c>
      <c r="I2701" s="11" t="s">
        <v>63</v>
      </c>
      <c r="J2701" s="72">
        <v>40595824</v>
      </c>
      <c r="K2701" s="99">
        <f>_xlfn.XLOOKUP(_2__ROI_Daily_Update[[#This Row],[CSM id]],SHP!F:F,SHP!EE:EE,"-")</f>
        <v>0</v>
      </c>
      <c r="L2701" s="12"/>
      <c r="N2701" s="11"/>
      <c r="P2701"/>
      <c r="Q2701"/>
      <c r="W2701" s="28"/>
      <c r="AA2701"/>
    </row>
    <row r="2702" spans="1:27" x14ac:dyDescent="0.45">
      <c r="A2702" s="57">
        <v>974</v>
      </c>
      <c r="B2702" t="s">
        <v>6015</v>
      </c>
      <c r="C2702" t="s">
        <v>6016</v>
      </c>
      <c r="D2702" s="12">
        <v>46313</v>
      </c>
      <c r="E2702" s="11">
        <v>180</v>
      </c>
      <c r="F2702" s="11" t="s">
        <v>7480</v>
      </c>
      <c r="G2702">
        <v>20220701</v>
      </c>
      <c r="I2702" s="11" t="s">
        <v>63</v>
      </c>
      <c r="J2702" s="72">
        <v>40513890</v>
      </c>
      <c r="K2702" s="99">
        <f>_xlfn.XLOOKUP(_2__ROI_Daily_Update[[#This Row],[CSM id]],SHP!F:F,SHP!EE:EE,"-")</f>
        <v>0</v>
      </c>
      <c r="L2702" s="12"/>
      <c r="N2702" s="11"/>
      <c r="P2702"/>
      <c r="Q2702"/>
      <c r="W2702" s="28"/>
      <c r="AA2702"/>
    </row>
    <row r="2703" spans="1:27" x14ac:dyDescent="0.45">
      <c r="A2703" s="57">
        <v>1112</v>
      </c>
      <c r="B2703" t="s">
        <v>1481</v>
      </c>
      <c r="C2703" t="s">
        <v>1482</v>
      </c>
      <c r="D2703" s="12">
        <v>46313</v>
      </c>
      <c r="E2703" s="11">
        <v>15</v>
      </c>
      <c r="F2703" s="11" t="s">
        <v>7400</v>
      </c>
      <c r="G2703">
        <v>20260101</v>
      </c>
      <c r="I2703" s="11" t="s">
        <v>63</v>
      </c>
      <c r="J2703" s="72">
        <v>30621625</v>
      </c>
      <c r="K2703" s="99">
        <f>_xlfn.XLOOKUP(_2__ROI_Daily_Update[[#This Row],[CSM id]],SHP!F:F,SHP!EE:EE,"-")</f>
        <v>0</v>
      </c>
      <c r="L2703" s="12"/>
      <c r="N2703" s="11"/>
      <c r="P2703"/>
      <c r="Q2703"/>
      <c r="W2703" s="28"/>
      <c r="AA2703"/>
    </row>
    <row r="2704" spans="1:27" x14ac:dyDescent="0.45">
      <c r="A2704" s="57">
        <v>1112</v>
      </c>
      <c r="B2704" t="s">
        <v>1483</v>
      </c>
      <c r="C2704" t="s">
        <v>1484</v>
      </c>
      <c r="D2704" s="12">
        <v>46313</v>
      </c>
      <c r="E2704" s="11">
        <v>3</v>
      </c>
      <c r="F2704" s="11" t="s">
        <v>7430</v>
      </c>
      <c r="G2704">
        <v>20260101</v>
      </c>
      <c r="H2704" s="12">
        <v>46753</v>
      </c>
      <c r="I2704" s="11" t="s">
        <v>63</v>
      </c>
      <c r="J2704" s="72">
        <v>30621994</v>
      </c>
      <c r="K2704" s="99">
        <f>_xlfn.XLOOKUP(_2__ROI_Daily_Update[[#This Row],[CSM id]],SHP!F:F,SHP!EE:EE,"-")</f>
        <v>0</v>
      </c>
      <c r="L2704" s="12"/>
      <c r="N2704" s="11"/>
      <c r="P2704"/>
      <c r="Q2704"/>
      <c r="W2704" s="28"/>
      <c r="AA2704"/>
    </row>
    <row r="2705" spans="1:27" x14ac:dyDescent="0.45">
      <c r="A2705" s="57">
        <v>1112</v>
      </c>
      <c r="B2705" t="s">
        <v>1483</v>
      </c>
      <c r="C2705" t="s">
        <v>1484</v>
      </c>
      <c r="D2705" s="12">
        <v>46313</v>
      </c>
      <c r="E2705" s="11">
        <v>3</v>
      </c>
      <c r="F2705" s="11" t="s">
        <v>7463</v>
      </c>
      <c r="G2705">
        <v>20260101</v>
      </c>
      <c r="H2705" s="12">
        <v>46753</v>
      </c>
      <c r="I2705" s="11" t="s">
        <v>63</v>
      </c>
      <c r="J2705" s="72">
        <v>30621994</v>
      </c>
      <c r="K2705" s="99">
        <f>_xlfn.XLOOKUP(_2__ROI_Daily_Update[[#This Row],[CSM id]],SHP!F:F,SHP!EE:EE,"-")</f>
        <v>0</v>
      </c>
      <c r="L2705" s="12"/>
      <c r="N2705" s="11"/>
      <c r="P2705"/>
      <c r="Q2705"/>
      <c r="W2705" s="28"/>
      <c r="AA2705"/>
    </row>
    <row r="2706" spans="1:27" x14ac:dyDescent="0.45">
      <c r="A2706" s="57">
        <v>1112</v>
      </c>
      <c r="B2706" t="s">
        <v>1485</v>
      </c>
      <c r="C2706" t="s">
        <v>1486</v>
      </c>
      <c r="D2706" s="12">
        <v>46313</v>
      </c>
      <c r="E2706" s="11">
        <v>12</v>
      </c>
      <c r="F2706" s="11" t="s">
        <v>7425</v>
      </c>
      <c r="G2706">
        <v>20260701</v>
      </c>
      <c r="I2706" s="11" t="s">
        <v>63</v>
      </c>
      <c r="J2706" s="72">
        <v>30632172</v>
      </c>
      <c r="K2706" s="99">
        <f>_xlfn.XLOOKUP(_2__ROI_Daily_Update[[#This Row],[CSM id]],SHP!F:F,SHP!EE:EE,"-")</f>
        <v>0</v>
      </c>
      <c r="L2706" s="12"/>
      <c r="N2706" s="11"/>
      <c r="P2706"/>
      <c r="Q2706"/>
      <c r="W2706" s="28"/>
      <c r="AA2706"/>
    </row>
    <row r="2707" spans="1:27" x14ac:dyDescent="0.45">
      <c r="A2707" s="57">
        <v>1831</v>
      </c>
      <c r="B2707" t="s">
        <v>3574</v>
      </c>
      <c r="C2707" t="s">
        <v>3575</v>
      </c>
      <c r="D2707" s="12">
        <v>46313</v>
      </c>
      <c r="E2707" s="11">
        <v>3840</v>
      </c>
      <c r="F2707" s="11" t="s">
        <v>6940</v>
      </c>
      <c r="G2707">
        <v>20190201</v>
      </c>
      <c r="I2707" s="11" t="s">
        <v>63</v>
      </c>
      <c r="J2707" s="72">
        <v>10395384</v>
      </c>
      <c r="K2707" s="99">
        <f>_xlfn.XLOOKUP(_2__ROI_Daily_Update[[#This Row],[CSM id]],SHP!F:F,SHP!EE:EE,"-")</f>
        <v>0</v>
      </c>
      <c r="L2707" s="12"/>
      <c r="N2707" s="11"/>
      <c r="P2707"/>
      <c r="Q2707"/>
      <c r="W2707" s="28"/>
      <c r="AA2707"/>
    </row>
    <row r="2708" spans="1:27" x14ac:dyDescent="0.45">
      <c r="A2708" s="57">
        <v>974</v>
      </c>
      <c r="B2708" t="s">
        <v>935</v>
      </c>
      <c r="C2708" t="s">
        <v>936</v>
      </c>
      <c r="D2708" s="12">
        <v>46313</v>
      </c>
      <c r="E2708" s="11">
        <v>180</v>
      </c>
      <c r="F2708" s="11" t="s">
        <v>7410</v>
      </c>
      <c r="G2708">
        <v>20220701</v>
      </c>
      <c r="I2708" s="11" t="s">
        <v>63</v>
      </c>
      <c r="J2708" s="72">
        <v>80513893</v>
      </c>
      <c r="K2708" s="99">
        <f>_xlfn.XLOOKUP(_2__ROI_Daily_Update[[#This Row],[CSM id]],SHP!F:F,SHP!EE:EE,"-")</f>
        <v>0</v>
      </c>
      <c r="L2708" s="12"/>
      <c r="N2708" s="11"/>
      <c r="P2708"/>
      <c r="Q2708"/>
      <c r="W2708" s="28"/>
      <c r="AA2708"/>
    </row>
    <row r="2709" spans="1:27" x14ac:dyDescent="0.45">
      <c r="A2709" s="57">
        <v>1112</v>
      </c>
      <c r="B2709" t="s">
        <v>6855</v>
      </c>
      <c r="C2709" t="s">
        <v>6856</v>
      </c>
      <c r="D2709" s="12">
        <v>46313</v>
      </c>
      <c r="E2709" s="11">
        <v>6</v>
      </c>
      <c r="F2709" s="11" t="s">
        <v>7463</v>
      </c>
      <c r="G2709">
        <v>20160801</v>
      </c>
      <c r="I2709" s="11" t="s">
        <v>63</v>
      </c>
      <c r="J2709" s="72">
        <v>50318553</v>
      </c>
      <c r="K2709" s="99">
        <f>_xlfn.XLOOKUP(_2__ROI_Daily_Update[[#This Row],[CSM id]],SHP!F:F,SHP!EE:EE,"-")</f>
        <v>0</v>
      </c>
      <c r="L2709" s="12"/>
      <c r="N2709" s="11"/>
      <c r="P2709"/>
      <c r="Q2709"/>
      <c r="W2709" s="28"/>
      <c r="AA2709"/>
    </row>
    <row r="2710" spans="1:27" x14ac:dyDescent="0.45">
      <c r="A2710" s="57">
        <v>974</v>
      </c>
      <c r="B2710" t="s">
        <v>931</v>
      </c>
      <c r="C2710" t="s">
        <v>932</v>
      </c>
      <c r="D2710" s="12">
        <v>46313</v>
      </c>
      <c r="E2710" s="11">
        <v>72</v>
      </c>
      <c r="F2710" s="11" t="s">
        <v>7415</v>
      </c>
      <c r="G2710">
        <v>20240101</v>
      </c>
      <c r="I2710" s="11" t="s">
        <v>63</v>
      </c>
      <c r="J2710" s="72">
        <v>60580789</v>
      </c>
      <c r="K2710" s="99">
        <f>_xlfn.XLOOKUP(_2__ROI_Daily_Update[[#This Row],[CSM id]],SHP!F:F,SHP!EE:EE,"-")</f>
        <v>0</v>
      </c>
      <c r="L2710" s="12"/>
      <c r="N2710" s="11"/>
      <c r="P2710"/>
      <c r="Q2710"/>
      <c r="W2710" s="28"/>
      <c r="AA2710"/>
    </row>
    <row r="2711" spans="1:27" x14ac:dyDescent="0.45">
      <c r="A2711" s="57">
        <v>1112</v>
      </c>
      <c r="B2711" t="s">
        <v>1489</v>
      </c>
      <c r="C2711" t="s">
        <v>1490</v>
      </c>
      <c r="D2711" s="12">
        <v>46313</v>
      </c>
      <c r="E2711" s="11">
        <v>30</v>
      </c>
      <c r="F2711" s="11" t="s">
        <v>7480</v>
      </c>
      <c r="G2711">
        <v>20260701</v>
      </c>
      <c r="I2711" s="11" t="s">
        <v>63</v>
      </c>
      <c r="J2711" s="72">
        <v>30632445</v>
      </c>
      <c r="K2711" s="99">
        <f>_xlfn.XLOOKUP(_2__ROI_Daily_Update[[#This Row],[CSM id]],SHP!F:F,SHP!EE:EE,"-")</f>
        <v>0</v>
      </c>
      <c r="L2711" s="12"/>
      <c r="N2711" s="11"/>
      <c r="P2711"/>
      <c r="Q2711"/>
      <c r="W2711" s="28"/>
      <c r="AA2711"/>
    </row>
    <row r="2712" spans="1:27" x14ac:dyDescent="0.45">
      <c r="A2712" s="57">
        <v>1112</v>
      </c>
      <c r="B2712" t="s">
        <v>1491</v>
      </c>
      <c r="C2712" t="s">
        <v>1492</v>
      </c>
      <c r="D2712" s="12">
        <v>46313</v>
      </c>
      <c r="E2712" s="11">
        <v>6</v>
      </c>
      <c r="F2712" s="11" t="s">
        <v>7440</v>
      </c>
      <c r="G2712">
        <v>20260701</v>
      </c>
      <c r="I2712" s="11" t="s">
        <v>63</v>
      </c>
      <c r="J2712" s="72">
        <v>30632662</v>
      </c>
      <c r="K2712" s="99">
        <f>_xlfn.XLOOKUP(_2__ROI_Daily_Update[[#This Row],[CSM id]],SHP!F:F,SHP!EE:EE,"-")</f>
        <v>0</v>
      </c>
      <c r="L2712" s="12"/>
      <c r="N2712" s="11"/>
      <c r="P2712"/>
      <c r="Q2712"/>
      <c r="W2712" s="28"/>
      <c r="AA2712"/>
    </row>
    <row r="2713" spans="1:27" x14ac:dyDescent="0.45">
      <c r="A2713" s="57">
        <v>1112</v>
      </c>
      <c r="B2713" t="s">
        <v>1493</v>
      </c>
      <c r="C2713" t="s">
        <v>1494</v>
      </c>
      <c r="D2713" s="12">
        <v>46313</v>
      </c>
      <c r="E2713" s="11">
        <v>3</v>
      </c>
      <c r="F2713" s="11" t="s">
        <v>7430</v>
      </c>
      <c r="G2713">
        <v>20160801</v>
      </c>
      <c r="I2713" s="11" t="s">
        <v>63</v>
      </c>
      <c r="J2713" s="72">
        <v>40318657</v>
      </c>
      <c r="K2713" s="99">
        <f>_xlfn.XLOOKUP(_2__ROI_Daily_Update[[#This Row],[CSM id]],SHP!F:F,SHP!EE:EE,"-")</f>
        <v>0</v>
      </c>
      <c r="L2713" s="12"/>
      <c r="N2713" s="11"/>
      <c r="P2713"/>
      <c r="Q2713"/>
      <c r="W2713" s="28"/>
      <c r="AA2713"/>
    </row>
    <row r="2714" spans="1:27" x14ac:dyDescent="0.45">
      <c r="A2714" s="57">
        <v>1112</v>
      </c>
      <c r="B2714" t="s">
        <v>6899</v>
      </c>
      <c r="C2714" t="s">
        <v>6900</v>
      </c>
      <c r="D2714" s="12">
        <v>46313</v>
      </c>
      <c r="E2714" s="11">
        <v>4</v>
      </c>
      <c r="F2714" s="11" t="s">
        <v>7463</v>
      </c>
      <c r="G2714">
        <v>20240701</v>
      </c>
      <c r="I2714" s="11" t="s">
        <v>63</v>
      </c>
      <c r="J2714" s="72">
        <v>40579089</v>
      </c>
      <c r="K2714" s="99">
        <f>_xlfn.XLOOKUP(_2__ROI_Daily_Update[[#This Row],[CSM id]],SHP!F:F,SHP!EE:EE,"-")</f>
        <v>0</v>
      </c>
      <c r="L2714" s="12"/>
      <c r="N2714" s="11"/>
      <c r="P2714"/>
      <c r="Q2714"/>
      <c r="W2714" s="28"/>
      <c r="AA2714"/>
    </row>
    <row r="2715" spans="1:27" x14ac:dyDescent="0.45">
      <c r="A2715" s="57">
        <v>974</v>
      </c>
      <c r="B2715" t="s">
        <v>929</v>
      </c>
      <c r="C2715" t="s">
        <v>930</v>
      </c>
      <c r="D2715" s="12">
        <v>46313</v>
      </c>
      <c r="E2715" s="11">
        <v>72</v>
      </c>
      <c r="F2715" s="11" t="s">
        <v>6940</v>
      </c>
      <c r="G2715">
        <v>20250401</v>
      </c>
      <c r="I2715" s="11" t="s">
        <v>63</v>
      </c>
      <c r="J2715" s="72">
        <v>40564479</v>
      </c>
      <c r="K2715" s="99">
        <f>_xlfn.XLOOKUP(_2__ROI_Daily_Update[[#This Row],[CSM id]],SHP!F:F,SHP!EE:EE,"-")</f>
        <v>0</v>
      </c>
      <c r="L2715" s="12"/>
      <c r="N2715" s="11"/>
      <c r="P2715"/>
      <c r="Q2715"/>
      <c r="W2715" s="28"/>
      <c r="AA2715"/>
    </row>
    <row r="2716" spans="1:27" x14ac:dyDescent="0.45">
      <c r="A2716" s="57">
        <v>1112</v>
      </c>
      <c r="B2716" t="s">
        <v>1495</v>
      </c>
      <c r="C2716" t="s">
        <v>1496</v>
      </c>
      <c r="D2716" s="12">
        <v>46313</v>
      </c>
      <c r="E2716" s="11">
        <v>24</v>
      </c>
      <c r="F2716" s="11" t="s">
        <v>6946</v>
      </c>
      <c r="G2716">
        <v>20250401</v>
      </c>
      <c r="I2716" s="11" t="s">
        <v>63</v>
      </c>
      <c r="J2716" s="72">
        <v>40591185</v>
      </c>
      <c r="K2716" s="99">
        <f>_xlfn.XLOOKUP(_2__ROI_Daily_Update[[#This Row],[CSM id]],SHP!F:F,SHP!EE:EE,"-")</f>
        <v>0</v>
      </c>
      <c r="L2716" s="12"/>
      <c r="N2716" s="11"/>
      <c r="P2716"/>
      <c r="Q2716"/>
      <c r="W2716" s="28"/>
      <c r="AA2716"/>
    </row>
    <row r="2717" spans="1:27" x14ac:dyDescent="0.45">
      <c r="A2717" s="57">
        <v>1112</v>
      </c>
      <c r="B2717" t="s">
        <v>1489</v>
      </c>
      <c r="C2717" t="s">
        <v>1490</v>
      </c>
      <c r="D2717" s="12">
        <v>46313</v>
      </c>
      <c r="E2717" s="11">
        <v>18</v>
      </c>
      <c r="F2717" s="11" t="s">
        <v>6946</v>
      </c>
      <c r="G2717">
        <v>20260701</v>
      </c>
      <c r="I2717" s="11" t="s">
        <v>63</v>
      </c>
      <c r="J2717" s="72">
        <v>30632445</v>
      </c>
      <c r="K2717" s="99">
        <f>_xlfn.XLOOKUP(_2__ROI_Daily_Update[[#This Row],[CSM id]],SHP!F:F,SHP!EE:EE,"-")</f>
        <v>0</v>
      </c>
      <c r="L2717" s="12"/>
      <c r="N2717" s="11"/>
      <c r="P2717"/>
      <c r="Q2717"/>
      <c r="W2717" s="28"/>
      <c r="AA2717"/>
    </row>
    <row r="2718" spans="1:27" x14ac:dyDescent="0.45">
      <c r="A2718" s="57">
        <v>974</v>
      </c>
      <c r="B2718" t="s">
        <v>5284</v>
      </c>
      <c r="C2718" t="s">
        <v>5285</v>
      </c>
      <c r="D2718" s="12">
        <v>46313</v>
      </c>
      <c r="E2718" s="11">
        <v>18</v>
      </c>
      <c r="F2718" s="11" t="s">
        <v>7420</v>
      </c>
      <c r="G2718">
        <v>20250401</v>
      </c>
      <c r="I2718" s="11" t="s">
        <v>63</v>
      </c>
      <c r="J2718" s="72">
        <v>10564485</v>
      </c>
      <c r="K2718" s="99">
        <f>_xlfn.XLOOKUP(_2__ROI_Daily_Update[[#This Row],[CSM id]],SHP!F:F,SHP!EE:EE,"-")</f>
        <v>0</v>
      </c>
      <c r="L2718" s="12"/>
      <c r="N2718" s="11"/>
      <c r="P2718"/>
      <c r="Q2718"/>
      <c r="W2718" s="28"/>
      <c r="AA2718"/>
    </row>
    <row r="2719" spans="1:27" x14ac:dyDescent="0.45">
      <c r="A2719" s="57">
        <v>1112</v>
      </c>
      <c r="B2719" t="s">
        <v>1509</v>
      </c>
      <c r="C2719" t="s">
        <v>1510</v>
      </c>
      <c r="D2719" s="12">
        <v>46313</v>
      </c>
      <c r="E2719" s="11">
        <v>192</v>
      </c>
      <c r="F2719" s="11" t="s">
        <v>7480</v>
      </c>
      <c r="G2719">
        <v>20160801</v>
      </c>
      <c r="I2719" s="11" t="s">
        <v>63</v>
      </c>
      <c r="J2719" s="72">
        <v>50318567</v>
      </c>
      <c r="K2719" s="99">
        <f>_xlfn.XLOOKUP(_2__ROI_Daily_Update[[#This Row],[CSM id]],SHP!F:F,SHP!EE:EE,"-")</f>
        <v>0</v>
      </c>
      <c r="L2719" s="12"/>
      <c r="N2719" s="11"/>
      <c r="P2719"/>
      <c r="Q2719"/>
      <c r="W2719" s="28"/>
      <c r="AA2719"/>
    </row>
    <row r="2720" spans="1:27" x14ac:dyDescent="0.45">
      <c r="A2720" s="57">
        <v>974</v>
      </c>
      <c r="B2720" t="s">
        <v>925</v>
      </c>
      <c r="C2720" t="s">
        <v>926</v>
      </c>
      <c r="D2720" s="12">
        <v>46313</v>
      </c>
      <c r="E2720" s="11">
        <v>864</v>
      </c>
      <c r="F2720" s="11" t="s">
        <v>7400</v>
      </c>
      <c r="G2720">
        <v>20250401</v>
      </c>
      <c r="I2720" s="11" t="s">
        <v>63</v>
      </c>
      <c r="J2720" s="72">
        <v>597066</v>
      </c>
      <c r="K2720" s="99">
        <f>_xlfn.XLOOKUP(_2__ROI_Daily_Update[[#This Row],[CSM id]],SHP!F:F,SHP!EE:EE,"-")</f>
        <v>0</v>
      </c>
      <c r="L2720" s="12"/>
      <c r="N2720" s="11"/>
      <c r="P2720"/>
      <c r="Q2720"/>
      <c r="W2720" s="28"/>
      <c r="AA2720"/>
    </row>
    <row r="2721" spans="1:27" x14ac:dyDescent="0.45">
      <c r="A2721" s="57">
        <v>1112</v>
      </c>
      <c r="B2721" t="s">
        <v>1529</v>
      </c>
      <c r="C2721" t="s">
        <v>1530</v>
      </c>
      <c r="D2721" s="12">
        <v>46313</v>
      </c>
      <c r="E2721" s="11">
        <v>20</v>
      </c>
      <c r="F2721" s="11" t="s">
        <v>7453</v>
      </c>
      <c r="G2721">
        <v>20261001</v>
      </c>
      <c r="I2721" s="11" t="s">
        <v>63</v>
      </c>
      <c r="J2721" s="72">
        <v>60636625</v>
      </c>
      <c r="K2721" s="99">
        <f>_xlfn.XLOOKUP(_2__ROI_Daily_Update[[#This Row],[CSM id]],SHP!F:F,SHP!EE:EE,"-")</f>
        <v>0</v>
      </c>
      <c r="L2721" s="12"/>
      <c r="N2721" s="11"/>
      <c r="P2721"/>
      <c r="Q2721"/>
      <c r="W2721" s="28"/>
      <c r="AA2721"/>
    </row>
    <row r="2722" spans="1:27" x14ac:dyDescent="0.45">
      <c r="A2722" s="57">
        <v>1831</v>
      </c>
      <c r="B2722" t="s">
        <v>3570</v>
      </c>
      <c r="C2722" t="s">
        <v>3571</v>
      </c>
      <c r="D2722" s="12">
        <v>46313</v>
      </c>
      <c r="E2722" s="11">
        <v>80</v>
      </c>
      <c r="F2722" s="11" t="s">
        <v>7448</v>
      </c>
      <c r="G2722">
        <v>20260101</v>
      </c>
      <c r="I2722" s="11" t="s">
        <v>63</v>
      </c>
      <c r="J2722" s="72">
        <v>591050</v>
      </c>
      <c r="K2722" s="99">
        <f>_xlfn.XLOOKUP(_2__ROI_Daily_Update[[#This Row],[CSM id]],SHP!F:F,SHP!EE:EE,"-")</f>
        <v>0</v>
      </c>
      <c r="L2722" s="12"/>
      <c r="N2722" s="11"/>
      <c r="P2722"/>
      <c r="Q2722"/>
      <c r="W2722" s="28"/>
      <c r="AA2722"/>
    </row>
    <row r="2723" spans="1:27" x14ac:dyDescent="0.45">
      <c r="A2723" s="57">
        <v>973</v>
      </c>
      <c r="B2723" t="s">
        <v>6013</v>
      </c>
      <c r="C2723" t="s">
        <v>6014</v>
      </c>
      <c r="D2723" s="12">
        <v>46313</v>
      </c>
      <c r="E2723" s="11">
        <v>60</v>
      </c>
      <c r="F2723" s="11" t="s">
        <v>7440</v>
      </c>
      <c r="G2723">
        <v>20210701</v>
      </c>
      <c r="H2723" s="12">
        <v>46478</v>
      </c>
      <c r="I2723" s="11" t="s">
        <v>63</v>
      </c>
      <c r="J2723" s="72">
        <v>70495352</v>
      </c>
      <c r="K2723" s="99">
        <f>_xlfn.XLOOKUP(_2__ROI_Daily_Update[[#This Row],[CSM id]],SHP!F:F,SHP!EE:EE,"-")</f>
        <v>0</v>
      </c>
      <c r="L2723" s="12"/>
      <c r="N2723" s="11"/>
      <c r="P2723"/>
      <c r="Q2723"/>
      <c r="W2723" s="28"/>
      <c r="AA2723"/>
    </row>
    <row r="2724" spans="1:27" x14ac:dyDescent="0.45">
      <c r="A2724" s="57">
        <v>1112</v>
      </c>
      <c r="B2724" t="s">
        <v>1535</v>
      </c>
      <c r="C2724" t="s">
        <v>1536</v>
      </c>
      <c r="D2724" s="12">
        <v>46313</v>
      </c>
      <c r="E2724" s="11">
        <v>15</v>
      </c>
      <c r="F2724" s="11" t="s">
        <v>7400</v>
      </c>
      <c r="G2724">
        <v>20241001</v>
      </c>
      <c r="I2724" s="11" t="s">
        <v>63</v>
      </c>
      <c r="J2724" s="72">
        <v>70591971</v>
      </c>
      <c r="K2724" s="99">
        <f>_xlfn.XLOOKUP(_2__ROI_Daily_Update[[#This Row],[CSM id]],SHP!F:F,SHP!EE:EE,"-")</f>
        <v>0</v>
      </c>
      <c r="L2724" s="12"/>
      <c r="N2724" s="11"/>
      <c r="P2724"/>
      <c r="Q2724"/>
      <c r="W2724" s="28"/>
      <c r="AA2724"/>
    </row>
    <row r="2725" spans="1:27" x14ac:dyDescent="0.45">
      <c r="A2725" s="57">
        <v>1112</v>
      </c>
      <c r="B2725" t="s">
        <v>1535</v>
      </c>
      <c r="C2725" t="s">
        <v>1536</v>
      </c>
      <c r="D2725" s="12">
        <v>46313</v>
      </c>
      <c r="E2725" s="11">
        <v>12</v>
      </c>
      <c r="F2725" s="11" t="s">
        <v>7480</v>
      </c>
      <c r="G2725">
        <v>20241001</v>
      </c>
      <c r="I2725" s="11" t="s">
        <v>63</v>
      </c>
      <c r="J2725" s="72">
        <v>70591971</v>
      </c>
      <c r="K2725" s="99">
        <f>_xlfn.XLOOKUP(_2__ROI_Daily_Update[[#This Row],[CSM id]],SHP!F:F,SHP!EE:EE,"-")</f>
        <v>0</v>
      </c>
      <c r="L2725" s="12"/>
      <c r="N2725" s="11"/>
      <c r="P2725"/>
      <c r="Q2725"/>
      <c r="W2725" s="28"/>
      <c r="AA2725"/>
    </row>
    <row r="2726" spans="1:27" x14ac:dyDescent="0.45">
      <c r="A2726" s="57">
        <v>1112</v>
      </c>
      <c r="B2726" t="s">
        <v>1537</v>
      </c>
      <c r="C2726" t="s">
        <v>1538</v>
      </c>
      <c r="D2726" s="12">
        <v>46313</v>
      </c>
      <c r="E2726" s="11">
        <v>4</v>
      </c>
      <c r="F2726" s="11" t="s">
        <v>7430</v>
      </c>
      <c r="G2726">
        <v>20250101</v>
      </c>
      <c r="I2726" s="11" t="s">
        <v>63</v>
      </c>
      <c r="J2726" s="72">
        <v>70595827</v>
      </c>
      <c r="K2726" s="99">
        <f>_xlfn.XLOOKUP(_2__ROI_Daily_Update[[#This Row],[CSM id]],SHP!F:F,SHP!EE:EE,"-")</f>
        <v>0</v>
      </c>
      <c r="L2726" s="12"/>
      <c r="N2726" s="11"/>
      <c r="P2726"/>
      <c r="Q2726"/>
      <c r="W2726" s="28"/>
      <c r="AA2726"/>
    </row>
    <row r="2727" spans="1:27" x14ac:dyDescent="0.45">
      <c r="A2727" s="57">
        <v>1112</v>
      </c>
      <c r="B2727" t="s">
        <v>1527</v>
      </c>
      <c r="C2727" t="s">
        <v>1528</v>
      </c>
      <c r="D2727" s="12">
        <v>46313</v>
      </c>
      <c r="E2727" s="11">
        <v>15</v>
      </c>
      <c r="F2727" s="11" t="s">
        <v>7420</v>
      </c>
      <c r="G2727">
        <v>20260701</v>
      </c>
      <c r="I2727" s="11" t="s">
        <v>63</v>
      </c>
      <c r="J2727" s="72">
        <v>60632905</v>
      </c>
      <c r="K2727" s="99">
        <f>_xlfn.XLOOKUP(_2__ROI_Daily_Update[[#This Row],[CSM id]],SHP!F:F,SHP!EE:EE,"-")</f>
        <v>0</v>
      </c>
      <c r="L2727" s="12"/>
      <c r="N2727" s="11"/>
      <c r="P2727"/>
      <c r="Q2727"/>
      <c r="W2727" s="28"/>
      <c r="AA2727"/>
    </row>
    <row r="2728" spans="1:27" x14ac:dyDescent="0.45">
      <c r="A2728" s="57">
        <v>1112</v>
      </c>
      <c r="B2728" t="s">
        <v>1539</v>
      </c>
      <c r="C2728" t="s">
        <v>1540</v>
      </c>
      <c r="D2728" s="12">
        <v>46313</v>
      </c>
      <c r="E2728" s="11">
        <v>10</v>
      </c>
      <c r="F2728" s="11" t="s">
        <v>7430</v>
      </c>
      <c r="G2728">
        <v>20250401</v>
      </c>
      <c r="I2728" s="11" t="s">
        <v>63</v>
      </c>
      <c r="J2728" s="72">
        <v>70599854</v>
      </c>
      <c r="K2728" s="99">
        <f>_xlfn.XLOOKUP(_2__ROI_Daily_Update[[#This Row],[CSM id]],SHP!F:F,SHP!EE:EE,"-")</f>
        <v>0</v>
      </c>
      <c r="L2728" s="12"/>
      <c r="N2728" s="11"/>
      <c r="P2728"/>
      <c r="Q2728"/>
      <c r="W2728" s="28"/>
      <c r="AA2728"/>
    </row>
    <row r="2729" spans="1:27" x14ac:dyDescent="0.45">
      <c r="A2729" s="57">
        <v>1112</v>
      </c>
      <c r="B2729" t="s">
        <v>1541</v>
      </c>
      <c r="C2729" t="s">
        <v>1542</v>
      </c>
      <c r="D2729" s="12">
        <v>46313</v>
      </c>
      <c r="E2729" s="11">
        <v>12</v>
      </c>
      <c r="F2729" s="11" t="s">
        <v>7410</v>
      </c>
      <c r="G2729">
        <v>20251001</v>
      </c>
      <c r="I2729" s="11" t="s">
        <v>63</v>
      </c>
      <c r="J2729" s="72">
        <v>70611276</v>
      </c>
      <c r="K2729" s="99">
        <f>_xlfn.XLOOKUP(_2__ROI_Daily_Update[[#This Row],[CSM id]],SHP!F:F,SHP!EE:EE,"-")</f>
        <v>0</v>
      </c>
      <c r="L2729" s="12"/>
      <c r="N2729" s="11"/>
      <c r="P2729"/>
      <c r="Q2729"/>
      <c r="W2729" s="28"/>
      <c r="AA2729"/>
    </row>
    <row r="2730" spans="1:27" x14ac:dyDescent="0.45">
      <c r="A2730" s="57">
        <v>1112</v>
      </c>
      <c r="B2730" t="s">
        <v>1541</v>
      </c>
      <c r="C2730" t="s">
        <v>1542</v>
      </c>
      <c r="D2730" s="12">
        <v>46313</v>
      </c>
      <c r="E2730" s="11">
        <v>20</v>
      </c>
      <c r="F2730" s="11" t="s">
        <v>6946</v>
      </c>
      <c r="G2730">
        <v>20251001</v>
      </c>
      <c r="I2730" s="11" t="s">
        <v>63</v>
      </c>
      <c r="J2730" s="72">
        <v>70611276</v>
      </c>
      <c r="K2730" s="99">
        <f>_xlfn.XLOOKUP(_2__ROI_Daily_Update[[#This Row],[CSM id]],SHP!F:F,SHP!EE:EE,"-")</f>
        <v>0</v>
      </c>
      <c r="L2730" s="12"/>
      <c r="N2730" s="11"/>
      <c r="P2730"/>
      <c r="Q2730"/>
      <c r="W2730" s="28"/>
      <c r="AA2730"/>
    </row>
    <row r="2731" spans="1:27" x14ac:dyDescent="0.45">
      <c r="A2731" s="57">
        <v>1112</v>
      </c>
      <c r="B2731" t="s">
        <v>6847</v>
      </c>
      <c r="C2731" t="s">
        <v>6848</v>
      </c>
      <c r="D2731" s="12">
        <v>46313</v>
      </c>
      <c r="E2731" s="11">
        <v>6</v>
      </c>
      <c r="F2731" s="11" t="s">
        <v>7463</v>
      </c>
      <c r="G2731">
        <v>20251001</v>
      </c>
      <c r="I2731" s="11" t="s">
        <v>63</v>
      </c>
      <c r="J2731" s="72">
        <v>70612186</v>
      </c>
      <c r="K2731" s="99">
        <f>_xlfn.XLOOKUP(_2__ROI_Daily_Update[[#This Row],[CSM id]],SHP!F:F,SHP!EE:EE,"-")</f>
        <v>0</v>
      </c>
      <c r="L2731" s="12"/>
      <c r="N2731" s="11"/>
      <c r="P2731"/>
      <c r="Q2731"/>
      <c r="W2731" s="28"/>
      <c r="AA2731"/>
    </row>
    <row r="2732" spans="1:27" x14ac:dyDescent="0.45">
      <c r="A2732" s="57">
        <v>1112</v>
      </c>
      <c r="B2732" t="s">
        <v>5140</v>
      </c>
      <c r="C2732" t="s">
        <v>5141</v>
      </c>
      <c r="D2732" s="12">
        <v>46313</v>
      </c>
      <c r="E2732" s="11">
        <v>3</v>
      </c>
      <c r="F2732" s="11" t="s">
        <v>7420</v>
      </c>
      <c r="G2732">
        <v>20260101</v>
      </c>
      <c r="I2732" s="11" t="s">
        <v>63</v>
      </c>
      <c r="J2732" s="72">
        <v>70621614</v>
      </c>
      <c r="K2732" s="99">
        <f>_xlfn.XLOOKUP(_2__ROI_Daily_Update[[#This Row],[CSM id]],SHP!F:F,SHP!EE:EE,"-")</f>
        <v>0</v>
      </c>
      <c r="L2732" s="12"/>
      <c r="N2732" s="11"/>
      <c r="P2732"/>
      <c r="Q2732"/>
      <c r="W2732" s="28"/>
      <c r="AA2732"/>
    </row>
    <row r="2733" spans="1:27" x14ac:dyDescent="0.45">
      <c r="A2733" s="57">
        <v>1832</v>
      </c>
      <c r="B2733" t="s">
        <v>3612</v>
      </c>
      <c r="C2733" t="s">
        <v>3613</v>
      </c>
      <c r="D2733" s="12">
        <v>46313</v>
      </c>
      <c r="E2733" s="11">
        <v>128</v>
      </c>
      <c r="F2733" s="11" t="s">
        <v>7485</v>
      </c>
      <c r="G2733">
        <v>20150801</v>
      </c>
      <c r="I2733" s="11" t="s">
        <v>18</v>
      </c>
      <c r="J2733" s="72">
        <v>30238538</v>
      </c>
      <c r="K2733" s="99">
        <f>_xlfn.XLOOKUP(_2__ROI_Daily_Update[[#This Row],[CSM id]],SHP!F:F,SHP!EE:EE,"-")</f>
        <v>0</v>
      </c>
      <c r="L2733" s="12"/>
      <c r="N2733" s="11"/>
      <c r="P2733"/>
      <c r="Q2733"/>
      <c r="W2733" s="28"/>
      <c r="AA2733"/>
    </row>
    <row r="2734" spans="1:27" x14ac:dyDescent="0.45">
      <c r="A2734" s="57">
        <v>1112</v>
      </c>
      <c r="B2734" t="s">
        <v>1545</v>
      </c>
      <c r="C2734" t="s">
        <v>1546</v>
      </c>
      <c r="D2734" s="12">
        <v>46313</v>
      </c>
      <c r="E2734" s="11">
        <v>28</v>
      </c>
      <c r="F2734" s="11" t="s">
        <v>7400</v>
      </c>
      <c r="G2734">
        <v>20260701</v>
      </c>
      <c r="I2734" s="11" t="s">
        <v>63</v>
      </c>
      <c r="J2734" s="72">
        <v>70632919</v>
      </c>
      <c r="K2734" s="99">
        <f>_xlfn.XLOOKUP(_2__ROI_Daily_Update[[#This Row],[CSM id]],SHP!F:F,SHP!EE:EE,"-")</f>
        <v>0</v>
      </c>
      <c r="L2734" s="12"/>
      <c r="N2734" s="11"/>
      <c r="P2734"/>
      <c r="Q2734"/>
      <c r="W2734" s="28"/>
      <c r="AA2734"/>
    </row>
    <row r="2735" spans="1:27" x14ac:dyDescent="0.45">
      <c r="A2735" s="57">
        <v>973</v>
      </c>
      <c r="B2735" t="s">
        <v>913</v>
      </c>
      <c r="C2735" t="s">
        <v>914</v>
      </c>
      <c r="D2735" s="12">
        <v>46313</v>
      </c>
      <c r="E2735" s="11">
        <v>60</v>
      </c>
      <c r="F2735" s="11" t="s">
        <v>7410</v>
      </c>
      <c r="G2735">
        <v>20201001</v>
      </c>
      <c r="I2735" s="11" t="s">
        <v>63</v>
      </c>
      <c r="J2735" s="72">
        <v>70477616</v>
      </c>
      <c r="K2735" s="99">
        <f>_xlfn.XLOOKUP(_2__ROI_Daily_Update[[#This Row],[CSM id]],SHP!F:F,SHP!EE:EE,"-")</f>
        <v>0</v>
      </c>
      <c r="L2735" s="12"/>
      <c r="N2735" s="11"/>
      <c r="P2735"/>
      <c r="Q2735"/>
      <c r="W2735" s="28"/>
      <c r="AA2735"/>
    </row>
    <row r="2736" spans="1:27" x14ac:dyDescent="0.45">
      <c r="A2736" s="57">
        <v>974</v>
      </c>
      <c r="B2736" t="s">
        <v>5933</v>
      </c>
      <c r="C2736" t="s">
        <v>5934</v>
      </c>
      <c r="D2736" s="12">
        <v>46313</v>
      </c>
      <c r="E2736" s="11">
        <v>75</v>
      </c>
      <c r="F2736" s="11" t="s">
        <v>6946</v>
      </c>
      <c r="G2736">
        <v>20210401</v>
      </c>
      <c r="I2736" s="11" t="s">
        <v>63</v>
      </c>
      <c r="J2736" s="72">
        <v>90484282</v>
      </c>
      <c r="K2736" s="99">
        <f>_xlfn.XLOOKUP(_2__ROI_Daily_Update[[#This Row],[CSM id]],SHP!F:F,SHP!EE:EE,"-")</f>
        <v>0</v>
      </c>
      <c r="L2736" s="12"/>
      <c r="N2736" s="11"/>
      <c r="P2736"/>
      <c r="Q2736"/>
      <c r="W2736" s="28"/>
      <c r="AA2736"/>
    </row>
    <row r="2737" spans="1:27" x14ac:dyDescent="0.45">
      <c r="A2737" s="57">
        <v>1112</v>
      </c>
      <c r="B2737" t="s">
        <v>1525</v>
      </c>
      <c r="C2737" t="s">
        <v>1526</v>
      </c>
      <c r="D2737" s="12">
        <v>46313</v>
      </c>
      <c r="E2737" s="11">
        <v>28</v>
      </c>
      <c r="F2737" s="11" t="s">
        <v>6946</v>
      </c>
      <c r="G2737">
        <v>20260701</v>
      </c>
      <c r="I2737" s="11" t="s">
        <v>63</v>
      </c>
      <c r="J2737" s="72">
        <v>60632873</v>
      </c>
      <c r="K2737" s="99">
        <f>_xlfn.XLOOKUP(_2__ROI_Daily_Update[[#This Row],[CSM id]],SHP!F:F,SHP!EE:EE,"-")</f>
        <v>0</v>
      </c>
      <c r="L2737" s="12"/>
      <c r="N2737" s="11"/>
      <c r="P2737"/>
      <c r="Q2737"/>
      <c r="W2737" s="28"/>
      <c r="AA2737"/>
    </row>
    <row r="2738" spans="1:27" x14ac:dyDescent="0.45">
      <c r="A2738" s="57">
        <v>1112</v>
      </c>
      <c r="B2738" t="s">
        <v>1521</v>
      </c>
      <c r="C2738" t="s">
        <v>1522</v>
      </c>
      <c r="D2738" s="12">
        <v>46313</v>
      </c>
      <c r="E2738" s="11">
        <v>36</v>
      </c>
      <c r="F2738" s="11" t="s">
        <v>7463</v>
      </c>
      <c r="G2738">
        <v>20260701</v>
      </c>
      <c r="I2738" s="11" t="s">
        <v>63</v>
      </c>
      <c r="J2738" s="72">
        <v>60632458</v>
      </c>
      <c r="K2738" s="99">
        <f>_xlfn.XLOOKUP(_2__ROI_Daily_Update[[#This Row],[CSM id]],SHP!F:F,SHP!EE:EE,"-")</f>
        <v>0</v>
      </c>
      <c r="L2738" s="12"/>
      <c r="N2738" s="11"/>
      <c r="P2738"/>
      <c r="Q2738"/>
      <c r="W2738" s="28"/>
      <c r="AA2738"/>
    </row>
    <row r="2739" spans="1:27" x14ac:dyDescent="0.45">
      <c r="A2739" s="57">
        <v>973</v>
      </c>
      <c r="B2739" t="s">
        <v>923</v>
      </c>
      <c r="C2739" t="s">
        <v>924</v>
      </c>
      <c r="D2739" s="12">
        <v>46313</v>
      </c>
      <c r="E2739" s="11">
        <v>8</v>
      </c>
      <c r="F2739" s="11" t="s">
        <v>7453</v>
      </c>
      <c r="G2739">
        <v>20230701</v>
      </c>
      <c r="H2739" s="12">
        <v>46478</v>
      </c>
      <c r="I2739" s="11" t="s">
        <v>63</v>
      </c>
      <c r="J2739" s="72">
        <v>90544238</v>
      </c>
      <c r="K2739" s="99">
        <f>_xlfn.XLOOKUP(_2__ROI_Daily_Update[[#This Row],[CSM id]],SHP!F:F,SHP!EE:EE,"-")</f>
        <v>0</v>
      </c>
      <c r="L2739" s="12"/>
      <c r="N2739" s="11"/>
      <c r="P2739"/>
      <c r="Q2739"/>
      <c r="W2739" s="28"/>
      <c r="AA2739"/>
    </row>
    <row r="2740" spans="1:27" x14ac:dyDescent="0.45">
      <c r="A2740" s="57">
        <v>1112</v>
      </c>
      <c r="B2740" t="s">
        <v>1511</v>
      </c>
      <c r="C2740" t="s">
        <v>1512</v>
      </c>
      <c r="D2740" s="12">
        <v>46313</v>
      </c>
      <c r="E2740" s="11">
        <v>16</v>
      </c>
      <c r="F2740" s="11" t="s">
        <v>7400</v>
      </c>
      <c r="G2740">
        <v>20160801</v>
      </c>
      <c r="I2740" s="11" t="s">
        <v>63</v>
      </c>
      <c r="J2740" s="72">
        <v>50318671</v>
      </c>
      <c r="K2740" s="99">
        <f>_xlfn.XLOOKUP(_2__ROI_Daily_Update[[#This Row],[CSM id]],SHP!F:F,SHP!EE:EE,"-")</f>
        <v>0</v>
      </c>
      <c r="L2740" s="12"/>
      <c r="N2740" s="11"/>
      <c r="P2740"/>
      <c r="Q2740"/>
      <c r="W2740" s="28"/>
      <c r="AA2740"/>
    </row>
    <row r="2741" spans="1:27" x14ac:dyDescent="0.45">
      <c r="A2741" s="57">
        <v>1112</v>
      </c>
      <c r="B2741" t="s">
        <v>6853</v>
      </c>
      <c r="C2741" t="s">
        <v>6854</v>
      </c>
      <c r="D2741" s="12">
        <v>46313</v>
      </c>
      <c r="E2741" s="11">
        <v>4</v>
      </c>
      <c r="F2741" s="11" t="s">
        <v>7463</v>
      </c>
      <c r="G2741">
        <v>20250401</v>
      </c>
      <c r="I2741" s="11" t="s">
        <v>63</v>
      </c>
      <c r="J2741" s="72">
        <v>50591175</v>
      </c>
      <c r="K2741" s="99">
        <f>_xlfn.XLOOKUP(_2__ROI_Daily_Update[[#This Row],[CSM id]],SHP!F:F,SHP!EE:EE,"-")</f>
        <v>0</v>
      </c>
      <c r="L2741" s="12"/>
      <c r="N2741" s="11"/>
      <c r="P2741"/>
      <c r="Q2741"/>
      <c r="W2741" s="28"/>
      <c r="AA2741"/>
    </row>
    <row r="2742" spans="1:27" x14ac:dyDescent="0.45">
      <c r="A2742" s="57">
        <v>1112</v>
      </c>
      <c r="B2742" t="s">
        <v>1513</v>
      </c>
      <c r="C2742" t="s">
        <v>1514</v>
      </c>
      <c r="D2742" s="12">
        <v>46313</v>
      </c>
      <c r="E2742" s="11">
        <v>5</v>
      </c>
      <c r="F2742" s="11" t="s">
        <v>7430</v>
      </c>
      <c r="G2742">
        <v>20260701</v>
      </c>
      <c r="I2742" s="11" t="s">
        <v>63</v>
      </c>
      <c r="J2742" s="72">
        <v>50632675</v>
      </c>
      <c r="K2742" s="99">
        <f>_xlfn.XLOOKUP(_2__ROI_Daily_Update[[#This Row],[CSM id]],SHP!F:F,SHP!EE:EE,"-")</f>
        <v>0</v>
      </c>
      <c r="L2742" s="12"/>
      <c r="N2742" s="11"/>
      <c r="P2742"/>
      <c r="Q2742"/>
      <c r="W2742" s="28"/>
      <c r="AA2742"/>
    </row>
    <row r="2743" spans="1:27" x14ac:dyDescent="0.45">
      <c r="A2743" s="57">
        <v>1112</v>
      </c>
      <c r="B2743" t="s">
        <v>1513</v>
      </c>
      <c r="C2743" t="s">
        <v>1514</v>
      </c>
      <c r="D2743" s="12">
        <v>46313</v>
      </c>
      <c r="E2743" s="11">
        <v>20</v>
      </c>
      <c r="F2743" s="11" t="s">
        <v>7420</v>
      </c>
      <c r="G2743">
        <v>20260701</v>
      </c>
      <c r="I2743" s="11" t="s">
        <v>63</v>
      </c>
      <c r="J2743" s="72">
        <v>50632675</v>
      </c>
      <c r="K2743" s="99">
        <f>_xlfn.XLOOKUP(_2__ROI_Daily_Update[[#This Row],[CSM id]],SHP!F:F,SHP!EE:EE,"-")</f>
        <v>0</v>
      </c>
      <c r="L2743" s="12"/>
      <c r="N2743" s="11"/>
      <c r="P2743"/>
      <c r="Q2743"/>
      <c r="W2743" s="28"/>
      <c r="AA2743"/>
    </row>
    <row r="2744" spans="1:27" x14ac:dyDescent="0.45">
      <c r="A2744" s="57">
        <v>1112</v>
      </c>
      <c r="B2744" t="s">
        <v>5312</v>
      </c>
      <c r="C2744" t="s">
        <v>5313</v>
      </c>
      <c r="D2744" s="12">
        <v>46313</v>
      </c>
      <c r="E2744" s="11">
        <v>10</v>
      </c>
      <c r="F2744" s="11" t="s">
        <v>7420</v>
      </c>
      <c r="G2744">
        <v>20260701</v>
      </c>
      <c r="I2744" s="11" t="s">
        <v>63</v>
      </c>
      <c r="J2744" s="72">
        <v>50632859</v>
      </c>
      <c r="K2744" s="99">
        <f>_xlfn.XLOOKUP(_2__ROI_Daily_Update[[#This Row],[CSM id]],SHP!F:F,SHP!EE:EE,"-")</f>
        <v>0</v>
      </c>
      <c r="L2744" s="12"/>
      <c r="N2744" s="11"/>
      <c r="P2744"/>
      <c r="Q2744"/>
      <c r="W2744" s="28"/>
      <c r="AA2744"/>
    </row>
    <row r="2745" spans="1:27" x14ac:dyDescent="0.45">
      <c r="A2745" s="57">
        <v>1112</v>
      </c>
      <c r="B2745" t="s">
        <v>1523</v>
      </c>
      <c r="C2745" t="s">
        <v>1524</v>
      </c>
      <c r="D2745" s="12">
        <v>46313</v>
      </c>
      <c r="E2745" s="11">
        <v>3</v>
      </c>
      <c r="F2745" s="11" t="s">
        <v>7480</v>
      </c>
      <c r="G2745">
        <v>20260701</v>
      </c>
      <c r="I2745" s="11" t="s">
        <v>63</v>
      </c>
      <c r="J2745" s="72">
        <v>60632665</v>
      </c>
      <c r="K2745" s="99">
        <f>_xlfn.XLOOKUP(_2__ROI_Daily_Update[[#This Row],[CSM id]],SHP!F:F,SHP!EE:EE,"-")</f>
        <v>0</v>
      </c>
      <c r="L2745" s="12"/>
      <c r="N2745" s="11"/>
      <c r="P2745"/>
      <c r="Q2745"/>
      <c r="W2745" s="28"/>
      <c r="AA2745"/>
    </row>
    <row r="2746" spans="1:27" x14ac:dyDescent="0.45">
      <c r="A2746" s="57">
        <v>1112</v>
      </c>
      <c r="B2746" t="s">
        <v>5312</v>
      </c>
      <c r="C2746" t="s">
        <v>5313</v>
      </c>
      <c r="D2746" s="12">
        <v>46313</v>
      </c>
      <c r="E2746" s="11">
        <v>15</v>
      </c>
      <c r="F2746" s="11" t="s">
        <v>7400</v>
      </c>
      <c r="G2746">
        <v>20260701</v>
      </c>
      <c r="I2746" s="11" t="s">
        <v>63</v>
      </c>
      <c r="J2746" s="72">
        <v>50632859</v>
      </c>
      <c r="K2746" s="99">
        <f>_xlfn.XLOOKUP(_2__ROI_Daily_Update[[#This Row],[CSM id]],SHP!F:F,SHP!EE:EE,"-")</f>
        <v>0</v>
      </c>
      <c r="L2746" s="12"/>
      <c r="N2746" s="11"/>
      <c r="P2746"/>
      <c r="Q2746"/>
      <c r="W2746" s="28"/>
      <c r="AA2746"/>
    </row>
    <row r="2747" spans="1:27" x14ac:dyDescent="0.45">
      <c r="A2747" s="57">
        <v>1112</v>
      </c>
      <c r="B2747" t="s">
        <v>7001</v>
      </c>
      <c r="C2747" t="s">
        <v>7002</v>
      </c>
      <c r="D2747" s="12">
        <v>46313</v>
      </c>
      <c r="E2747" s="11">
        <v>14</v>
      </c>
      <c r="F2747" s="11" t="s">
        <v>7480</v>
      </c>
      <c r="G2747">
        <v>20250101</v>
      </c>
      <c r="I2747" s="11" t="s">
        <v>63</v>
      </c>
      <c r="J2747" s="72">
        <v>60595837</v>
      </c>
      <c r="K2747" s="99">
        <f>_xlfn.XLOOKUP(_2__ROI_Daily_Update[[#This Row],[CSM id]],SHP!F:F,SHP!EE:EE,"-")</f>
        <v>0</v>
      </c>
      <c r="L2747" s="12"/>
      <c r="N2747" s="11"/>
      <c r="P2747"/>
      <c r="Q2747"/>
      <c r="W2747" s="28"/>
      <c r="AA2747"/>
    </row>
    <row r="2748" spans="1:27" x14ac:dyDescent="0.45">
      <c r="A2748" s="57">
        <v>1112</v>
      </c>
      <c r="B2748" t="s">
        <v>1515</v>
      </c>
      <c r="C2748" t="s">
        <v>1516</v>
      </c>
      <c r="D2748" s="12">
        <v>46313</v>
      </c>
      <c r="E2748" s="11">
        <v>6</v>
      </c>
      <c r="F2748" s="11" t="s">
        <v>7430</v>
      </c>
      <c r="G2748">
        <v>20250401</v>
      </c>
      <c r="I2748" s="11" t="s">
        <v>63</v>
      </c>
      <c r="J2748" s="72">
        <v>60599840</v>
      </c>
      <c r="K2748" s="99">
        <f>_xlfn.XLOOKUP(_2__ROI_Daily_Update[[#This Row],[CSM id]],SHP!F:F,SHP!EE:EE,"-")</f>
        <v>0</v>
      </c>
      <c r="L2748" s="12"/>
      <c r="N2748" s="11"/>
      <c r="P2748"/>
      <c r="Q2748"/>
      <c r="W2748" s="28"/>
      <c r="AA2748"/>
    </row>
    <row r="2749" spans="1:27" x14ac:dyDescent="0.45">
      <c r="A2749" s="57">
        <v>973</v>
      </c>
      <c r="B2749" t="s">
        <v>921</v>
      </c>
      <c r="C2749" t="s">
        <v>922</v>
      </c>
      <c r="D2749" s="12">
        <v>46313</v>
      </c>
      <c r="E2749" s="11">
        <v>78</v>
      </c>
      <c r="F2749" s="11" t="s">
        <v>7410</v>
      </c>
      <c r="G2749">
        <v>20230701</v>
      </c>
      <c r="H2749" s="12">
        <v>46388</v>
      </c>
      <c r="I2749" s="11" t="s">
        <v>63</v>
      </c>
      <c r="J2749" s="72">
        <v>90544224</v>
      </c>
      <c r="K2749" s="99">
        <f>_xlfn.XLOOKUP(_2__ROI_Daily_Update[[#This Row],[CSM id]],SHP!F:F,SHP!EE:EE,"-")</f>
        <v>0</v>
      </c>
      <c r="L2749" s="12"/>
      <c r="N2749" s="11"/>
      <c r="P2749"/>
      <c r="Q2749"/>
      <c r="W2749" s="28"/>
      <c r="AA2749"/>
    </row>
    <row r="2750" spans="1:27" x14ac:dyDescent="0.45">
      <c r="A2750" s="57">
        <v>1112</v>
      </c>
      <c r="B2750" t="s">
        <v>1517</v>
      </c>
      <c r="C2750" t="s">
        <v>1518</v>
      </c>
      <c r="D2750" s="12">
        <v>46313</v>
      </c>
      <c r="E2750" s="11">
        <v>3</v>
      </c>
      <c r="F2750" s="11" t="s">
        <v>7463</v>
      </c>
      <c r="G2750">
        <v>20250701</v>
      </c>
      <c r="H2750" s="12">
        <v>46569</v>
      </c>
      <c r="I2750" s="11" t="s">
        <v>63</v>
      </c>
      <c r="J2750" s="72">
        <v>60600589</v>
      </c>
      <c r="K2750" s="99">
        <f>_xlfn.XLOOKUP(_2__ROI_Daily_Update[[#This Row],[CSM id]],SHP!F:F,SHP!EE:EE,"-")</f>
        <v>0</v>
      </c>
      <c r="L2750" s="12"/>
      <c r="N2750" s="11"/>
      <c r="P2750"/>
      <c r="Q2750"/>
      <c r="W2750" s="28"/>
      <c r="AA2750"/>
    </row>
    <row r="2751" spans="1:27" x14ac:dyDescent="0.45">
      <c r="A2751" s="57">
        <v>1112</v>
      </c>
      <c r="B2751" t="s">
        <v>1519</v>
      </c>
      <c r="C2751" t="s">
        <v>1520</v>
      </c>
      <c r="D2751" s="12">
        <v>46313</v>
      </c>
      <c r="E2751" s="11">
        <v>8</v>
      </c>
      <c r="F2751" s="11" t="s">
        <v>7440</v>
      </c>
      <c r="G2751">
        <v>20260401</v>
      </c>
      <c r="I2751" s="11" t="s">
        <v>63</v>
      </c>
      <c r="J2751" s="72">
        <v>60623307</v>
      </c>
      <c r="K2751" s="99">
        <f>_xlfn.XLOOKUP(_2__ROI_Daily_Update[[#This Row],[CSM id]],SHP!F:F,SHP!EE:EE,"-")</f>
        <v>0</v>
      </c>
      <c r="L2751" s="12"/>
      <c r="N2751" s="11"/>
      <c r="P2751"/>
      <c r="Q2751"/>
      <c r="W2751" s="28"/>
      <c r="AA2751"/>
    </row>
    <row r="2752" spans="1:27" x14ac:dyDescent="0.45">
      <c r="A2752" s="57">
        <v>973</v>
      </c>
      <c r="B2752" t="s">
        <v>5546</v>
      </c>
      <c r="C2752" t="s">
        <v>5547</v>
      </c>
      <c r="D2752" s="12">
        <v>46313</v>
      </c>
      <c r="E2752" s="11">
        <v>182</v>
      </c>
      <c r="F2752" s="11" t="s">
        <v>7395</v>
      </c>
      <c r="G2752">
        <v>20210701</v>
      </c>
      <c r="I2752" s="11" t="s">
        <v>63</v>
      </c>
      <c r="J2752" s="72">
        <v>80493668</v>
      </c>
      <c r="K2752" s="99">
        <f>_xlfn.XLOOKUP(_2__ROI_Daily_Update[[#This Row],[CSM id]],SHP!F:F,SHP!EE:EE,"-")</f>
        <v>0</v>
      </c>
      <c r="L2752" s="12"/>
      <c r="N2752" s="11"/>
      <c r="P2752"/>
      <c r="Q2752"/>
      <c r="W2752" s="28"/>
      <c r="AA2752"/>
    </row>
    <row r="2753" spans="1:27" x14ac:dyDescent="0.45">
      <c r="A2753" s="57">
        <v>1112</v>
      </c>
      <c r="B2753" t="s">
        <v>5312</v>
      </c>
      <c r="C2753" t="s">
        <v>5313</v>
      </c>
      <c r="D2753" s="12">
        <v>46313</v>
      </c>
      <c r="E2753" s="11">
        <v>15</v>
      </c>
      <c r="F2753" s="11" t="s">
        <v>7453</v>
      </c>
      <c r="G2753">
        <v>20260701</v>
      </c>
      <c r="I2753" s="11" t="s">
        <v>63</v>
      </c>
      <c r="J2753" s="72">
        <v>50632859</v>
      </c>
      <c r="K2753" s="99">
        <f>_xlfn.XLOOKUP(_2__ROI_Daily_Update[[#This Row],[CSM id]],SHP!F:F,SHP!EE:EE,"-")</f>
        <v>0</v>
      </c>
      <c r="L2753" s="12"/>
      <c r="N2753" s="11"/>
      <c r="P2753"/>
      <c r="Q2753"/>
      <c r="W2753" s="28"/>
      <c r="AA2753"/>
    </row>
    <row r="2754" spans="1:27" x14ac:dyDescent="0.45">
      <c r="A2754" s="57">
        <v>972</v>
      </c>
      <c r="B2754" t="s">
        <v>5743</v>
      </c>
      <c r="C2754" t="s">
        <v>5744</v>
      </c>
      <c r="D2754" s="12">
        <v>46313</v>
      </c>
      <c r="E2754" s="11">
        <v>24</v>
      </c>
      <c r="F2754" s="11" t="s">
        <v>7400</v>
      </c>
      <c r="G2754">
        <v>20260201</v>
      </c>
      <c r="I2754" s="11" t="s">
        <v>63</v>
      </c>
      <c r="J2754" s="72">
        <v>40602042</v>
      </c>
      <c r="K2754" s="99">
        <f>_xlfn.XLOOKUP(_2__ROI_Daily_Update[[#This Row],[CSM id]],SHP!F:F,SHP!EE:EE,"-")</f>
        <v>0</v>
      </c>
      <c r="L2754" s="12"/>
      <c r="N2754" s="11"/>
      <c r="P2754"/>
      <c r="Q2754"/>
      <c r="W2754" s="28"/>
      <c r="AA2754"/>
    </row>
    <row r="2755" spans="1:27" x14ac:dyDescent="0.45">
      <c r="A2755" s="57">
        <v>1081</v>
      </c>
      <c r="B2755" t="s">
        <v>5896</v>
      </c>
      <c r="C2755" t="s">
        <v>5897</v>
      </c>
      <c r="D2755" s="12">
        <v>46313</v>
      </c>
      <c r="E2755" s="11">
        <v>40</v>
      </c>
      <c r="F2755" s="11" t="s">
        <v>6946</v>
      </c>
      <c r="G2755">
        <v>20261001</v>
      </c>
      <c r="H2755" s="12">
        <v>46388</v>
      </c>
      <c r="I2755" s="11" t="s">
        <v>63</v>
      </c>
      <c r="J2755" s="72">
        <v>90639948</v>
      </c>
      <c r="K2755" s="99">
        <f>_xlfn.XLOOKUP(_2__ROI_Daily_Update[[#This Row],[CSM id]],SHP!F:F,SHP!EE:EE,"-")</f>
        <v>0</v>
      </c>
      <c r="L2755" s="12"/>
      <c r="N2755" s="11"/>
      <c r="P2755"/>
      <c r="Q2755"/>
      <c r="W2755" s="28"/>
      <c r="AA2755"/>
    </row>
    <row r="2756" spans="1:27" x14ac:dyDescent="0.45">
      <c r="A2756" s="57">
        <v>1081</v>
      </c>
      <c r="B2756" t="s">
        <v>6459</v>
      </c>
      <c r="C2756" t="s">
        <v>6460</v>
      </c>
      <c r="D2756" s="12">
        <v>46313</v>
      </c>
      <c r="E2756" s="11">
        <v>40</v>
      </c>
      <c r="F2756" s="11" t="s">
        <v>7453</v>
      </c>
      <c r="G2756">
        <v>20261001</v>
      </c>
      <c r="H2756" s="12">
        <v>46388</v>
      </c>
      <c r="I2756" s="11" t="s">
        <v>63</v>
      </c>
      <c r="J2756" s="72">
        <v>90633239</v>
      </c>
      <c r="K2756" s="99">
        <f>_xlfn.XLOOKUP(_2__ROI_Daily_Update[[#This Row],[CSM id]],SHP!F:F,SHP!EE:EE,"-")</f>
        <v>0</v>
      </c>
      <c r="L2756" s="12"/>
      <c r="N2756" s="11"/>
      <c r="P2756"/>
      <c r="Q2756"/>
      <c r="W2756" s="28"/>
      <c r="AA2756"/>
    </row>
    <row r="2757" spans="1:27" x14ac:dyDescent="0.45">
      <c r="A2757" s="57">
        <v>1011</v>
      </c>
      <c r="B2757" t="s">
        <v>1018</v>
      </c>
      <c r="C2757" t="s">
        <v>1019</v>
      </c>
      <c r="D2757" s="12">
        <v>46313</v>
      </c>
      <c r="E2757" s="11">
        <v>40</v>
      </c>
      <c r="F2757" s="11" t="s">
        <v>7420</v>
      </c>
      <c r="G2757">
        <v>20260601</v>
      </c>
      <c r="I2757" s="11" t="s">
        <v>63</v>
      </c>
      <c r="J2757" s="72">
        <v>10608516</v>
      </c>
      <c r="K2757" s="99">
        <f>_xlfn.XLOOKUP(_2__ROI_Daily_Update[[#This Row],[CSM id]],SHP!F:F,SHP!EE:EE,"-")</f>
        <v>0</v>
      </c>
      <c r="L2757" s="12"/>
      <c r="N2757" s="11"/>
      <c r="P2757"/>
      <c r="Q2757"/>
      <c r="W2757" s="28"/>
      <c r="AA2757"/>
    </row>
    <row r="2758" spans="1:27" x14ac:dyDescent="0.45">
      <c r="A2758" s="57">
        <v>1011</v>
      </c>
      <c r="B2758" t="s">
        <v>1022</v>
      </c>
      <c r="C2758" t="s">
        <v>1023</v>
      </c>
      <c r="D2758" s="12">
        <v>46313</v>
      </c>
      <c r="E2758" s="11">
        <v>24</v>
      </c>
      <c r="F2758" s="11" t="s">
        <v>7405</v>
      </c>
      <c r="G2758">
        <v>20140801</v>
      </c>
      <c r="I2758" s="11" t="s">
        <v>63</v>
      </c>
      <c r="J2758" s="72">
        <v>20284248</v>
      </c>
      <c r="K2758" s="99">
        <f>_xlfn.XLOOKUP(_2__ROI_Daily_Update[[#This Row],[CSM id]],SHP!F:F,SHP!EE:EE,"-")</f>
        <v>0</v>
      </c>
      <c r="L2758" s="12"/>
      <c r="N2758" s="11"/>
      <c r="P2758"/>
      <c r="Q2758"/>
      <c r="W2758" s="28"/>
      <c r="AA2758"/>
    </row>
    <row r="2759" spans="1:27" x14ac:dyDescent="0.45">
      <c r="A2759" s="57">
        <v>1018</v>
      </c>
      <c r="B2759" t="s">
        <v>1164</v>
      </c>
      <c r="C2759" t="s">
        <v>1165</v>
      </c>
      <c r="D2759" s="12">
        <v>46313</v>
      </c>
      <c r="E2759" s="11">
        <v>12</v>
      </c>
      <c r="F2759" s="11" t="s">
        <v>7410</v>
      </c>
      <c r="G2759">
        <v>20260701</v>
      </c>
      <c r="I2759" s="11" t="s">
        <v>63</v>
      </c>
      <c r="J2759" s="72">
        <v>90626272</v>
      </c>
      <c r="K2759" s="99">
        <f>_xlfn.XLOOKUP(_2__ROI_Daily_Update[[#This Row],[CSM id]],SHP!F:F,SHP!EE:EE,"-")</f>
        <v>0</v>
      </c>
      <c r="L2759" s="12"/>
      <c r="N2759" s="11"/>
      <c r="P2759"/>
      <c r="Q2759"/>
      <c r="W2759" s="28"/>
      <c r="AA2759"/>
    </row>
    <row r="2760" spans="1:27" x14ac:dyDescent="0.45">
      <c r="A2760" s="57">
        <v>1018</v>
      </c>
      <c r="B2760" t="s">
        <v>6509</v>
      </c>
      <c r="C2760" t="s">
        <v>6510</v>
      </c>
      <c r="D2760" s="12">
        <v>46313</v>
      </c>
      <c r="E2760" s="11">
        <v>72</v>
      </c>
      <c r="F2760" s="11" t="s">
        <v>7453</v>
      </c>
      <c r="G2760">
        <v>20200201</v>
      </c>
      <c r="I2760" s="11" t="s">
        <v>63</v>
      </c>
      <c r="J2760" s="72">
        <v>80440806</v>
      </c>
      <c r="K2760" s="99">
        <f>_xlfn.XLOOKUP(_2__ROI_Daily_Update[[#This Row],[CSM id]],SHP!F:F,SHP!EE:EE,"-")</f>
        <v>0</v>
      </c>
      <c r="L2760" s="12"/>
      <c r="N2760" s="11"/>
      <c r="P2760"/>
      <c r="Q2760"/>
      <c r="W2760" s="28"/>
      <c r="AA2760"/>
    </row>
    <row r="2761" spans="1:27" x14ac:dyDescent="0.45">
      <c r="A2761" s="57">
        <v>1018</v>
      </c>
      <c r="B2761" t="s">
        <v>5634</v>
      </c>
      <c r="C2761" t="s">
        <v>5635</v>
      </c>
      <c r="D2761" s="12">
        <v>46313</v>
      </c>
      <c r="E2761" s="11">
        <v>20</v>
      </c>
      <c r="F2761" s="11" t="s">
        <v>7410</v>
      </c>
      <c r="G2761">
        <v>20230401</v>
      </c>
      <c r="I2761" s="11" t="s">
        <v>63</v>
      </c>
      <c r="J2761" s="72">
        <v>70526570</v>
      </c>
      <c r="K2761" s="99">
        <f>_xlfn.XLOOKUP(_2__ROI_Daily_Update[[#This Row],[CSM id]],SHP!F:F,SHP!EE:EE,"-")</f>
        <v>0</v>
      </c>
      <c r="L2761" s="12"/>
      <c r="N2761" s="11"/>
      <c r="P2761"/>
      <c r="Q2761"/>
      <c r="W2761" s="28"/>
      <c r="AA2761"/>
    </row>
    <row r="2762" spans="1:27" x14ac:dyDescent="0.45">
      <c r="A2762" s="57">
        <v>1018</v>
      </c>
      <c r="B2762" t="s">
        <v>1162</v>
      </c>
      <c r="C2762" t="s">
        <v>1163</v>
      </c>
      <c r="D2762" s="12">
        <v>46313</v>
      </c>
      <c r="E2762" s="11">
        <v>12</v>
      </c>
      <c r="F2762" s="11" t="s">
        <v>7463</v>
      </c>
      <c r="G2762">
        <v>20261001</v>
      </c>
      <c r="I2762" s="11" t="s">
        <v>63</v>
      </c>
      <c r="J2762" s="72">
        <v>60628017</v>
      </c>
      <c r="K2762" s="99">
        <f>_xlfn.XLOOKUP(_2__ROI_Daily_Update[[#This Row],[CSM id]],SHP!F:F,SHP!EE:EE,"-")</f>
        <v>0</v>
      </c>
      <c r="L2762" s="12"/>
      <c r="N2762" s="11"/>
      <c r="P2762"/>
      <c r="Q2762"/>
      <c r="W2762" s="28"/>
      <c r="AA2762"/>
    </row>
    <row r="2763" spans="1:27" x14ac:dyDescent="0.45">
      <c r="A2763" s="57">
        <v>1011</v>
      </c>
      <c r="B2763" t="s">
        <v>1022</v>
      </c>
      <c r="C2763" t="s">
        <v>1023</v>
      </c>
      <c r="D2763" s="12">
        <v>46313</v>
      </c>
      <c r="E2763" s="11">
        <v>24</v>
      </c>
      <c r="F2763" s="11" t="s">
        <v>6940</v>
      </c>
      <c r="G2763">
        <v>20140801</v>
      </c>
      <c r="I2763" s="11" t="s">
        <v>63</v>
      </c>
      <c r="J2763" s="72">
        <v>20284248</v>
      </c>
      <c r="K2763" s="99">
        <f>_xlfn.XLOOKUP(_2__ROI_Daily_Update[[#This Row],[CSM id]],SHP!F:F,SHP!EE:EE,"-")</f>
        <v>0</v>
      </c>
      <c r="L2763" s="12"/>
      <c r="N2763" s="11"/>
      <c r="P2763"/>
      <c r="Q2763"/>
      <c r="W2763" s="28"/>
      <c r="AA2763"/>
    </row>
    <row r="2764" spans="1:27" x14ac:dyDescent="0.45">
      <c r="A2764" s="57">
        <v>1018</v>
      </c>
      <c r="B2764" t="s">
        <v>1160</v>
      </c>
      <c r="C2764" t="s">
        <v>1161</v>
      </c>
      <c r="D2764" s="12">
        <v>46313</v>
      </c>
      <c r="E2764" s="11">
        <v>24</v>
      </c>
      <c r="F2764" s="11" t="s">
        <v>7453</v>
      </c>
      <c r="G2764">
        <v>20250401</v>
      </c>
      <c r="I2764" s="11" t="s">
        <v>63</v>
      </c>
      <c r="J2764" s="72">
        <v>60555233</v>
      </c>
      <c r="K2764" s="99">
        <f>_xlfn.XLOOKUP(_2__ROI_Daily_Update[[#This Row],[CSM id]],SHP!F:F,SHP!EE:EE,"-")</f>
        <v>0</v>
      </c>
      <c r="L2764" s="12"/>
      <c r="N2764" s="11"/>
      <c r="P2764"/>
      <c r="Q2764"/>
      <c r="W2764" s="28"/>
      <c r="AA2764"/>
    </row>
    <row r="2765" spans="1:27" x14ac:dyDescent="0.45">
      <c r="A2765" s="57">
        <v>1018</v>
      </c>
      <c r="B2765" t="s">
        <v>1160</v>
      </c>
      <c r="C2765" t="s">
        <v>1161</v>
      </c>
      <c r="D2765" s="12">
        <v>46313</v>
      </c>
      <c r="E2765" s="11">
        <v>12</v>
      </c>
      <c r="F2765" s="11" t="s">
        <v>7410</v>
      </c>
      <c r="G2765">
        <v>20250401</v>
      </c>
      <c r="I2765" s="11" t="s">
        <v>63</v>
      </c>
      <c r="J2765" s="72">
        <v>60555233</v>
      </c>
      <c r="K2765" s="99">
        <f>_xlfn.XLOOKUP(_2__ROI_Daily_Update[[#This Row],[CSM id]],SHP!F:F,SHP!EE:EE,"-")</f>
        <v>0</v>
      </c>
      <c r="L2765" s="12"/>
      <c r="N2765" s="11"/>
      <c r="P2765"/>
      <c r="Q2765"/>
      <c r="W2765" s="28"/>
      <c r="AA2765"/>
    </row>
    <row r="2766" spans="1:27" x14ac:dyDescent="0.45">
      <c r="A2766" s="57">
        <v>1018</v>
      </c>
      <c r="B2766" t="s">
        <v>6237</v>
      </c>
      <c r="C2766" t="s">
        <v>6238</v>
      </c>
      <c r="D2766" s="12">
        <v>46313</v>
      </c>
      <c r="E2766" s="11">
        <v>12</v>
      </c>
      <c r="F2766" s="11" t="s">
        <v>7440</v>
      </c>
      <c r="G2766">
        <v>20260701</v>
      </c>
      <c r="I2766" s="11" t="s">
        <v>63</v>
      </c>
      <c r="J2766" s="72">
        <v>50628715</v>
      </c>
      <c r="K2766" s="99">
        <f>_xlfn.XLOOKUP(_2__ROI_Daily_Update[[#This Row],[CSM id]],SHP!F:F,SHP!EE:EE,"-")</f>
        <v>0</v>
      </c>
      <c r="L2766" s="12"/>
      <c r="N2766" s="11"/>
      <c r="P2766"/>
      <c r="Q2766"/>
      <c r="W2766" s="28"/>
      <c r="AA2766"/>
    </row>
    <row r="2767" spans="1:27" x14ac:dyDescent="0.45">
      <c r="A2767" s="57">
        <v>1018</v>
      </c>
      <c r="B2767" t="s">
        <v>1158</v>
      </c>
      <c r="C2767" t="s">
        <v>1159</v>
      </c>
      <c r="D2767" s="12">
        <v>46313</v>
      </c>
      <c r="E2767" s="11">
        <v>12</v>
      </c>
      <c r="F2767" s="11" t="s">
        <v>7480</v>
      </c>
      <c r="G2767">
        <v>20250401</v>
      </c>
      <c r="I2767" s="11" t="s">
        <v>63</v>
      </c>
      <c r="J2767" s="72">
        <v>50558779</v>
      </c>
      <c r="K2767" s="99">
        <f>_xlfn.XLOOKUP(_2__ROI_Daily_Update[[#This Row],[CSM id]],SHP!F:F,SHP!EE:EE,"-")</f>
        <v>0</v>
      </c>
      <c r="L2767" s="12"/>
      <c r="N2767" s="11"/>
      <c r="P2767"/>
      <c r="Q2767"/>
      <c r="W2767" s="28"/>
      <c r="AA2767"/>
    </row>
    <row r="2768" spans="1:27" x14ac:dyDescent="0.45">
      <c r="A2768" s="57">
        <v>1011</v>
      </c>
      <c r="B2768" t="s">
        <v>6359</v>
      </c>
      <c r="C2768" t="s">
        <v>6360</v>
      </c>
      <c r="D2768" s="12">
        <v>46313</v>
      </c>
      <c r="E2768" s="11">
        <v>48</v>
      </c>
      <c r="F2768" s="11" t="s">
        <v>7453</v>
      </c>
      <c r="G2768">
        <v>20240401</v>
      </c>
      <c r="I2768" s="11" t="s">
        <v>63</v>
      </c>
      <c r="J2768" s="72">
        <v>20561943</v>
      </c>
      <c r="K2768" s="99">
        <f>_xlfn.XLOOKUP(_2__ROI_Daily_Update[[#This Row],[CSM id]],SHP!F:F,SHP!EE:EE,"-")</f>
        <v>0</v>
      </c>
      <c r="L2768" s="12"/>
      <c r="N2768" s="11"/>
      <c r="P2768"/>
      <c r="Q2768"/>
      <c r="W2768" s="28"/>
      <c r="AA2768"/>
    </row>
    <row r="2769" spans="1:27" x14ac:dyDescent="0.45">
      <c r="A2769" s="57">
        <v>1018</v>
      </c>
      <c r="B2769" t="s">
        <v>1156</v>
      </c>
      <c r="C2769" t="s">
        <v>1157</v>
      </c>
      <c r="D2769" s="12">
        <v>46313</v>
      </c>
      <c r="E2769" s="11">
        <v>18</v>
      </c>
      <c r="F2769" s="11" t="s">
        <v>7410</v>
      </c>
      <c r="G2769">
        <v>20180801</v>
      </c>
      <c r="I2769" s="11" t="s">
        <v>63</v>
      </c>
      <c r="J2769" s="72">
        <v>50325474</v>
      </c>
      <c r="K2769" s="99">
        <f>_xlfn.XLOOKUP(_2__ROI_Daily_Update[[#This Row],[CSM id]],SHP!F:F,SHP!EE:EE,"-")</f>
        <v>0</v>
      </c>
      <c r="L2769" s="12"/>
      <c r="N2769" s="11"/>
      <c r="P2769"/>
      <c r="Q2769"/>
      <c r="W2769" s="28"/>
      <c r="AA2769"/>
    </row>
    <row r="2770" spans="1:27" x14ac:dyDescent="0.45">
      <c r="A2770" s="57">
        <v>1011</v>
      </c>
      <c r="B2770" t="s">
        <v>6439</v>
      </c>
      <c r="C2770" t="s">
        <v>6440</v>
      </c>
      <c r="D2770" s="12">
        <v>46313</v>
      </c>
      <c r="E2770" s="11">
        <v>48</v>
      </c>
      <c r="F2770" s="11" t="s">
        <v>7453</v>
      </c>
      <c r="G2770">
        <v>20240401</v>
      </c>
      <c r="I2770" s="11" t="s">
        <v>63</v>
      </c>
      <c r="J2770" s="72">
        <v>20563579</v>
      </c>
      <c r="K2770" s="99">
        <f>_xlfn.XLOOKUP(_2__ROI_Daily_Update[[#This Row],[CSM id]],SHP!F:F,SHP!EE:EE,"-")</f>
        <v>0</v>
      </c>
      <c r="L2770" s="12"/>
      <c r="N2770" s="11"/>
      <c r="P2770"/>
      <c r="Q2770"/>
      <c r="W2770" s="28"/>
      <c r="AA2770"/>
    </row>
    <row r="2771" spans="1:27" x14ac:dyDescent="0.45">
      <c r="A2771" s="57">
        <v>1011</v>
      </c>
      <c r="B2771" t="s">
        <v>6329</v>
      </c>
      <c r="C2771" t="s">
        <v>6330</v>
      </c>
      <c r="D2771" s="12">
        <v>46313</v>
      </c>
      <c r="E2771" s="11">
        <v>30</v>
      </c>
      <c r="F2771" s="11" t="s">
        <v>7448</v>
      </c>
      <c r="G2771">
        <v>20160201</v>
      </c>
      <c r="H2771" s="12">
        <v>46478</v>
      </c>
      <c r="I2771" s="11" t="s">
        <v>63</v>
      </c>
      <c r="J2771" s="72">
        <v>30309205</v>
      </c>
      <c r="K2771" s="99">
        <f>_xlfn.XLOOKUP(_2__ROI_Daily_Update[[#This Row],[CSM id]],SHP!F:F,SHP!EE:EE,"-")</f>
        <v>0</v>
      </c>
      <c r="L2771" s="12"/>
      <c r="N2771" s="11"/>
      <c r="P2771"/>
      <c r="Q2771"/>
      <c r="W2771" s="28"/>
      <c r="AA2771"/>
    </row>
    <row r="2772" spans="1:27" x14ac:dyDescent="0.45">
      <c r="A2772" s="57">
        <v>1018</v>
      </c>
      <c r="B2772" t="s">
        <v>1152</v>
      </c>
      <c r="C2772" t="s">
        <v>1153</v>
      </c>
      <c r="D2772" s="12">
        <v>46313</v>
      </c>
      <c r="E2772" s="11">
        <v>12</v>
      </c>
      <c r="F2772" s="11" t="s">
        <v>7400</v>
      </c>
      <c r="G2772">
        <v>20200801</v>
      </c>
      <c r="H2772" s="12">
        <v>46569</v>
      </c>
      <c r="I2772" s="11" t="s">
        <v>63</v>
      </c>
      <c r="J2772" s="72">
        <v>40487754</v>
      </c>
      <c r="K2772" s="99">
        <f>_xlfn.XLOOKUP(_2__ROI_Daily_Update[[#This Row],[CSM id]],SHP!F:F,SHP!EE:EE,"-")</f>
        <v>0</v>
      </c>
      <c r="L2772" s="12"/>
      <c r="N2772" s="11"/>
      <c r="P2772"/>
      <c r="Q2772"/>
      <c r="W2772" s="28"/>
      <c r="AA2772"/>
    </row>
    <row r="2773" spans="1:27" x14ac:dyDescent="0.45">
      <c r="A2773" s="57">
        <v>1011</v>
      </c>
      <c r="B2773" t="s">
        <v>6323</v>
      </c>
      <c r="C2773" t="s">
        <v>6324</v>
      </c>
      <c r="D2773" s="12">
        <v>46313</v>
      </c>
      <c r="E2773" s="11">
        <v>72</v>
      </c>
      <c r="F2773" s="11" t="s">
        <v>7453</v>
      </c>
      <c r="G2773">
        <v>20230401</v>
      </c>
      <c r="I2773" s="11" t="s">
        <v>63</v>
      </c>
      <c r="J2773" s="72">
        <v>40556498</v>
      </c>
      <c r="K2773" s="99">
        <f>_xlfn.XLOOKUP(_2__ROI_Daily_Update[[#This Row],[CSM id]],SHP!F:F,SHP!EE:EE,"-")</f>
        <v>0</v>
      </c>
      <c r="L2773" s="12"/>
      <c r="N2773" s="11"/>
      <c r="P2773"/>
      <c r="Q2773"/>
      <c r="W2773" s="28"/>
      <c r="AA2773"/>
    </row>
    <row r="2774" spans="1:27" x14ac:dyDescent="0.45">
      <c r="A2774" s="57">
        <v>1011</v>
      </c>
      <c r="B2774" t="s">
        <v>1026</v>
      </c>
      <c r="C2774" t="s">
        <v>1027</v>
      </c>
      <c r="D2774" s="12">
        <v>46313</v>
      </c>
      <c r="E2774" s="11">
        <v>8</v>
      </c>
      <c r="F2774" s="11" t="s">
        <v>7410</v>
      </c>
      <c r="G2774">
        <v>20260401</v>
      </c>
      <c r="I2774" s="11" t="s">
        <v>63</v>
      </c>
      <c r="J2774" s="72">
        <v>50601216</v>
      </c>
      <c r="K2774" s="99">
        <f>_xlfn.XLOOKUP(_2__ROI_Daily_Update[[#This Row],[CSM id]],SHP!F:F,SHP!EE:EE,"-")</f>
        <v>0</v>
      </c>
      <c r="L2774" s="12"/>
      <c r="N2774" s="11"/>
      <c r="P2774"/>
      <c r="Q2774"/>
      <c r="W2774" s="28"/>
      <c r="AA2774"/>
    </row>
    <row r="2775" spans="1:27" x14ac:dyDescent="0.45">
      <c r="A2775" s="57">
        <v>1014</v>
      </c>
      <c r="B2775" t="s">
        <v>1138</v>
      </c>
      <c r="C2775" t="s">
        <v>1139</v>
      </c>
      <c r="D2775" s="12">
        <v>46313</v>
      </c>
      <c r="E2775" s="11">
        <v>8</v>
      </c>
      <c r="F2775" s="11" t="s">
        <v>7463</v>
      </c>
      <c r="G2775">
        <v>20250101</v>
      </c>
      <c r="I2775" s="11" t="s">
        <v>63</v>
      </c>
      <c r="J2775" s="72">
        <v>90513736</v>
      </c>
      <c r="K2775" s="99">
        <f>_xlfn.XLOOKUP(_2__ROI_Daily_Update[[#This Row],[CSM id]],SHP!F:F,SHP!EE:EE,"-")</f>
        <v>0</v>
      </c>
      <c r="L2775" s="12"/>
      <c r="N2775" s="11"/>
      <c r="P2775"/>
      <c r="Q2775"/>
      <c r="W2775" s="28"/>
      <c r="AA2775"/>
    </row>
    <row r="2776" spans="1:27" x14ac:dyDescent="0.45">
      <c r="A2776" s="57">
        <v>1011</v>
      </c>
      <c r="B2776" t="s">
        <v>1026</v>
      </c>
      <c r="C2776" t="s">
        <v>1027</v>
      </c>
      <c r="D2776" s="12">
        <v>46313</v>
      </c>
      <c r="E2776" s="11">
        <v>8</v>
      </c>
      <c r="F2776" s="11" t="s">
        <v>7430</v>
      </c>
      <c r="G2776">
        <v>20260401</v>
      </c>
      <c r="I2776" s="11" t="s">
        <v>63</v>
      </c>
      <c r="J2776" s="72">
        <v>50601216</v>
      </c>
      <c r="K2776" s="99">
        <f>_xlfn.XLOOKUP(_2__ROI_Daily_Update[[#This Row],[CSM id]],SHP!F:F,SHP!EE:EE,"-")</f>
        <v>0</v>
      </c>
      <c r="L2776" s="12"/>
      <c r="N2776" s="11"/>
      <c r="P2776"/>
      <c r="Q2776"/>
      <c r="W2776" s="28"/>
      <c r="AA2776"/>
    </row>
    <row r="2777" spans="1:27" x14ac:dyDescent="0.45">
      <c r="A2777" s="57">
        <v>1016</v>
      </c>
      <c r="B2777" t="s">
        <v>1140</v>
      </c>
      <c r="C2777" t="s">
        <v>1141</v>
      </c>
      <c r="D2777" s="12">
        <v>46313</v>
      </c>
      <c r="E2777" s="11">
        <v>171</v>
      </c>
      <c r="F2777" s="11" t="s">
        <v>7410</v>
      </c>
      <c r="G2777">
        <v>20260401</v>
      </c>
      <c r="I2777" s="11" t="s">
        <v>63</v>
      </c>
      <c r="J2777" s="72">
        <v>612854</v>
      </c>
      <c r="K2777" s="99">
        <f>_xlfn.XLOOKUP(_2__ROI_Daily_Update[[#This Row],[CSM id]],SHP!F:F,SHP!EE:EE,"-")</f>
        <v>0</v>
      </c>
      <c r="L2777" s="12"/>
      <c r="N2777" s="11"/>
      <c r="P2777"/>
      <c r="Q2777"/>
      <c r="W2777" s="28"/>
      <c r="AA2777"/>
    </row>
    <row r="2778" spans="1:27" x14ac:dyDescent="0.45">
      <c r="A2778" s="57">
        <v>1016</v>
      </c>
      <c r="B2778" t="s">
        <v>5380</v>
      </c>
      <c r="C2778" t="s">
        <v>5381</v>
      </c>
      <c r="D2778" s="12">
        <v>46313</v>
      </c>
      <c r="E2778" s="11">
        <v>6</v>
      </c>
      <c r="F2778" s="11" t="s">
        <v>7420</v>
      </c>
      <c r="G2778">
        <v>20200801</v>
      </c>
      <c r="I2778" s="11" t="s">
        <v>63</v>
      </c>
      <c r="J2778" s="72">
        <v>20428652</v>
      </c>
      <c r="K2778" s="99">
        <f>_xlfn.XLOOKUP(_2__ROI_Daily_Update[[#This Row],[CSM id]],SHP!F:F,SHP!EE:EE,"-")</f>
        <v>0</v>
      </c>
      <c r="L2778" s="12"/>
      <c r="N2778" s="11"/>
      <c r="P2778"/>
      <c r="Q2778"/>
      <c r="W2778" s="28"/>
      <c r="AA2778"/>
    </row>
    <row r="2779" spans="1:27" x14ac:dyDescent="0.45">
      <c r="A2779" s="57">
        <v>1011</v>
      </c>
      <c r="B2779" t="s">
        <v>5693</v>
      </c>
      <c r="C2779" t="s">
        <v>5694</v>
      </c>
      <c r="D2779" s="12">
        <v>46313</v>
      </c>
      <c r="E2779" s="11">
        <v>20</v>
      </c>
      <c r="F2779" s="11" t="s">
        <v>7400</v>
      </c>
      <c r="G2779">
        <v>20250101</v>
      </c>
      <c r="I2779" s="11" t="s">
        <v>63</v>
      </c>
      <c r="J2779" s="72">
        <v>50573355</v>
      </c>
      <c r="K2779" s="99">
        <f>_xlfn.XLOOKUP(_2__ROI_Daily_Update[[#This Row],[CSM id]],SHP!F:F,SHP!EE:EE,"-")</f>
        <v>0</v>
      </c>
      <c r="L2779" s="12"/>
      <c r="N2779" s="11"/>
      <c r="P2779"/>
      <c r="Q2779"/>
      <c r="W2779" s="28"/>
      <c r="AA2779"/>
    </row>
    <row r="2780" spans="1:27" x14ac:dyDescent="0.45">
      <c r="A2780" s="57">
        <v>1019</v>
      </c>
      <c r="B2780" t="s">
        <v>1168</v>
      </c>
      <c r="C2780" t="s">
        <v>1169</v>
      </c>
      <c r="D2780" s="12">
        <v>46313</v>
      </c>
      <c r="E2780" s="11">
        <v>13</v>
      </c>
      <c r="F2780" s="11" t="s">
        <v>7440</v>
      </c>
      <c r="G2780">
        <v>20211001</v>
      </c>
      <c r="H2780" s="12">
        <v>46569</v>
      </c>
      <c r="I2780" s="11" t="s">
        <v>63</v>
      </c>
      <c r="J2780" s="72">
        <v>504294</v>
      </c>
      <c r="K2780" s="99">
        <f>_xlfn.XLOOKUP(_2__ROI_Daily_Update[[#This Row],[CSM id]],SHP!F:F,SHP!EE:EE,"-")</f>
        <v>0</v>
      </c>
      <c r="L2780" s="12"/>
      <c r="N2780" s="11"/>
      <c r="P2780"/>
      <c r="Q2780"/>
      <c r="W2780" s="28"/>
      <c r="AA2780"/>
    </row>
    <row r="2781" spans="1:27" x14ac:dyDescent="0.45">
      <c r="A2781" s="57">
        <v>1016</v>
      </c>
      <c r="B2781" t="s">
        <v>1142</v>
      </c>
      <c r="C2781" t="s">
        <v>1143</v>
      </c>
      <c r="D2781" s="12">
        <v>46313</v>
      </c>
      <c r="E2781" s="11">
        <v>6</v>
      </c>
      <c r="F2781" s="11" t="s">
        <v>7448</v>
      </c>
      <c r="G2781">
        <v>20260701</v>
      </c>
      <c r="I2781" s="11" t="s">
        <v>63</v>
      </c>
      <c r="J2781" s="72">
        <v>60610852</v>
      </c>
      <c r="K2781" s="99">
        <f>_xlfn.XLOOKUP(_2__ROI_Daily_Update[[#This Row],[CSM id]],SHP!F:F,SHP!EE:EE,"-")</f>
        <v>0</v>
      </c>
      <c r="L2781" s="12"/>
      <c r="N2781" s="11"/>
      <c r="P2781"/>
      <c r="Q2781"/>
      <c r="W2781" s="28"/>
      <c r="AA2781"/>
    </row>
    <row r="2782" spans="1:27" x14ac:dyDescent="0.45">
      <c r="A2782" s="57">
        <v>1011</v>
      </c>
      <c r="B2782" t="s">
        <v>1024</v>
      </c>
      <c r="C2782" t="s">
        <v>1025</v>
      </c>
      <c r="D2782" s="12">
        <v>46313</v>
      </c>
      <c r="E2782" s="11">
        <v>16</v>
      </c>
      <c r="F2782" s="11" t="s">
        <v>7453</v>
      </c>
      <c r="G2782">
        <v>20210201</v>
      </c>
      <c r="I2782" s="11" t="s">
        <v>63</v>
      </c>
      <c r="J2782" s="72">
        <v>50455489</v>
      </c>
      <c r="K2782" s="99">
        <f>_xlfn.XLOOKUP(_2__ROI_Daily_Update[[#This Row],[CSM id]],SHP!F:F,SHP!EE:EE,"-")</f>
        <v>0</v>
      </c>
      <c r="L2782" s="12"/>
      <c r="N2782" s="11"/>
      <c r="P2782"/>
      <c r="Q2782"/>
      <c r="W2782" s="28"/>
      <c r="AA2782"/>
    </row>
    <row r="2783" spans="1:27" x14ac:dyDescent="0.45">
      <c r="A2783" s="57">
        <v>1016</v>
      </c>
      <c r="B2783" t="s">
        <v>1144</v>
      </c>
      <c r="C2783" t="s">
        <v>1145</v>
      </c>
      <c r="D2783" s="12">
        <v>46313</v>
      </c>
      <c r="E2783" s="11">
        <v>60</v>
      </c>
      <c r="F2783" s="11" t="s">
        <v>7453</v>
      </c>
      <c r="G2783">
        <v>20190801</v>
      </c>
      <c r="I2783" s="11" t="s">
        <v>63</v>
      </c>
      <c r="J2783" s="72">
        <v>90350126</v>
      </c>
      <c r="K2783" s="99">
        <f>_xlfn.XLOOKUP(_2__ROI_Daily_Update[[#This Row],[CSM id]],SHP!F:F,SHP!EE:EE,"-")</f>
        <v>0</v>
      </c>
      <c r="L2783" s="12"/>
      <c r="N2783" s="11"/>
      <c r="P2783"/>
      <c r="Q2783"/>
      <c r="W2783" s="28"/>
      <c r="AA2783"/>
    </row>
    <row r="2784" spans="1:27" x14ac:dyDescent="0.45">
      <c r="A2784" s="57">
        <v>1011</v>
      </c>
      <c r="B2784" t="s">
        <v>1024</v>
      </c>
      <c r="C2784" t="s">
        <v>1025</v>
      </c>
      <c r="D2784" s="12">
        <v>46313</v>
      </c>
      <c r="E2784" s="11">
        <v>16</v>
      </c>
      <c r="F2784" s="11" t="s">
        <v>7410</v>
      </c>
      <c r="G2784">
        <v>20210201</v>
      </c>
      <c r="I2784" s="11" t="s">
        <v>63</v>
      </c>
      <c r="J2784" s="72">
        <v>50455489</v>
      </c>
      <c r="K2784" s="99">
        <f>_xlfn.XLOOKUP(_2__ROI_Daily_Update[[#This Row],[CSM id]],SHP!F:F,SHP!EE:EE,"-")</f>
        <v>0</v>
      </c>
      <c r="L2784" s="12"/>
      <c r="N2784" s="11"/>
      <c r="P2784"/>
      <c r="Q2784"/>
      <c r="W2784" s="28"/>
      <c r="AA2784"/>
    </row>
    <row r="2785" spans="1:27" x14ac:dyDescent="0.45">
      <c r="A2785" s="57">
        <v>1018</v>
      </c>
      <c r="B2785" t="s">
        <v>1148</v>
      </c>
      <c r="C2785" t="s">
        <v>1149</v>
      </c>
      <c r="D2785" s="12">
        <v>46313</v>
      </c>
      <c r="E2785" s="11">
        <v>48</v>
      </c>
      <c r="F2785" s="11" t="s">
        <v>7430</v>
      </c>
      <c r="G2785">
        <v>20220701</v>
      </c>
      <c r="I2785" s="11" t="s">
        <v>63</v>
      </c>
      <c r="J2785" s="72">
        <v>20516922</v>
      </c>
      <c r="K2785" s="99">
        <f>_xlfn.XLOOKUP(_2__ROI_Daily_Update[[#This Row],[CSM id]],SHP!F:F,SHP!EE:EE,"-")</f>
        <v>0</v>
      </c>
      <c r="L2785" s="12"/>
      <c r="N2785" s="11"/>
      <c r="P2785"/>
      <c r="Q2785"/>
      <c r="W2785" s="28"/>
      <c r="AA2785"/>
    </row>
    <row r="2786" spans="1:27" x14ac:dyDescent="0.45">
      <c r="A2786" s="57">
        <v>1011</v>
      </c>
      <c r="B2786" t="s">
        <v>6147</v>
      </c>
      <c r="C2786" t="s">
        <v>6148</v>
      </c>
      <c r="D2786" s="12">
        <v>46313</v>
      </c>
      <c r="E2786" s="11">
        <v>30</v>
      </c>
      <c r="F2786" s="11" t="s">
        <v>7440</v>
      </c>
      <c r="G2786">
        <v>20261001</v>
      </c>
      <c r="I2786" s="11" t="s">
        <v>63</v>
      </c>
      <c r="J2786" s="72">
        <v>40618811</v>
      </c>
      <c r="K2786" s="99">
        <f>_xlfn.XLOOKUP(_2__ROI_Daily_Update[[#This Row],[CSM id]],SHP!F:F,SHP!EE:EE,"-")</f>
        <v>0</v>
      </c>
      <c r="L2786" s="12"/>
      <c r="N2786" s="11"/>
      <c r="P2786"/>
      <c r="Q2786"/>
      <c r="W2786" s="28"/>
      <c r="AA2786"/>
    </row>
    <row r="2787" spans="1:27" x14ac:dyDescent="0.45">
      <c r="A2787" s="57">
        <v>1018</v>
      </c>
      <c r="B2787" t="s">
        <v>1150</v>
      </c>
      <c r="C2787" t="s">
        <v>1151</v>
      </c>
      <c r="D2787" s="12">
        <v>46313</v>
      </c>
      <c r="E2787" s="11">
        <v>27</v>
      </c>
      <c r="F2787" s="11" t="s">
        <v>7440</v>
      </c>
      <c r="G2787">
        <v>20260201</v>
      </c>
      <c r="I2787" s="11" t="s">
        <v>63</v>
      </c>
      <c r="J2787" s="72">
        <v>20603523</v>
      </c>
      <c r="K2787" s="99">
        <f>_xlfn.XLOOKUP(_2__ROI_Daily_Update[[#This Row],[CSM id]],SHP!F:F,SHP!EE:EE,"-")</f>
        <v>0</v>
      </c>
      <c r="L2787" s="12"/>
      <c r="N2787" s="11"/>
      <c r="P2787"/>
      <c r="Q2787"/>
      <c r="W2787" s="28"/>
      <c r="AA2787"/>
    </row>
    <row r="2788" spans="1:27" x14ac:dyDescent="0.45">
      <c r="A2788" s="57">
        <v>1016</v>
      </c>
      <c r="B2788" t="s">
        <v>5723</v>
      </c>
      <c r="C2788" t="s">
        <v>5724</v>
      </c>
      <c r="D2788" s="12">
        <v>46313</v>
      </c>
      <c r="E2788" s="11">
        <v>20</v>
      </c>
      <c r="F2788" s="11" t="s">
        <v>7400</v>
      </c>
      <c r="G2788">
        <v>20160401</v>
      </c>
      <c r="I2788" s="11" t="s">
        <v>63</v>
      </c>
      <c r="J2788" s="72">
        <v>90321389</v>
      </c>
      <c r="K2788" s="99">
        <f>_xlfn.XLOOKUP(_2__ROI_Daily_Update[[#This Row],[CSM id]],SHP!F:F,SHP!EE:EE,"-")</f>
        <v>0</v>
      </c>
      <c r="L2788" s="12"/>
      <c r="N2788" s="11"/>
      <c r="P2788"/>
      <c r="Q2788"/>
      <c r="W2788" s="28"/>
      <c r="AA2788"/>
    </row>
    <row r="2789" spans="1:27" x14ac:dyDescent="0.45">
      <c r="A2789" s="57">
        <v>1014</v>
      </c>
      <c r="B2789" t="s">
        <v>1136</v>
      </c>
      <c r="C2789" t="s">
        <v>1137</v>
      </c>
      <c r="D2789" s="12">
        <v>46313</v>
      </c>
      <c r="E2789" s="11">
        <v>4</v>
      </c>
      <c r="F2789" s="11" t="s">
        <v>7410</v>
      </c>
      <c r="G2789">
        <v>20260101</v>
      </c>
      <c r="I2789" s="11" t="s">
        <v>63</v>
      </c>
      <c r="J2789" s="72">
        <v>80601583</v>
      </c>
      <c r="K2789" s="99">
        <f>_xlfn.XLOOKUP(_2__ROI_Daily_Update[[#This Row],[CSM id]],SHP!F:F,SHP!EE:EE,"-")</f>
        <v>0</v>
      </c>
      <c r="L2789" s="12"/>
      <c r="N2789" s="11"/>
      <c r="P2789"/>
      <c r="Q2789"/>
      <c r="W2789" s="28"/>
      <c r="AA2789"/>
    </row>
    <row r="2790" spans="1:27" x14ac:dyDescent="0.45">
      <c r="A2790" s="57">
        <v>1019</v>
      </c>
      <c r="B2790" t="s">
        <v>5642</v>
      </c>
      <c r="C2790" t="s">
        <v>5643</v>
      </c>
      <c r="D2790" s="12">
        <v>46313</v>
      </c>
      <c r="E2790" s="11">
        <v>13</v>
      </c>
      <c r="F2790" s="11" t="s">
        <v>7410</v>
      </c>
      <c r="G2790">
        <v>20170401</v>
      </c>
      <c r="I2790" s="11" t="s">
        <v>63</v>
      </c>
      <c r="J2790" s="72">
        <v>10355439</v>
      </c>
      <c r="K2790" s="99">
        <f>_xlfn.XLOOKUP(_2__ROI_Daily_Update[[#This Row],[CSM id]],SHP!F:F,SHP!EE:EE,"-")</f>
        <v>0</v>
      </c>
      <c r="L2790" s="12"/>
      <c r="N2790" s="11"/>
      <c r="P2790"/>
      <c r="Q2790"/>
      <c r="W2790" s="28"/>
      <c r="AA2790"/>
    </row>
    <row r="2791" spans="1:27" x14ac:dyDescent="0.45">
      <c r="A2791" s="57">
        <v>1019</v>
      </c>
      <c r="B2791" t="s">
        <v>5612</v>
      </c>
      <c r="C2791" t="s">
        <v>5613</v>
      </c>
      <c r="D2791" s="12">
        <v>46313</v>
      </c>
      <c r="E2791" s="11">
        <v>8</v>
      </c>
      <c r="F2791" s="11" t="s">
        <v>7410</v>
      </c>
      <c r="G2791">
        <v>20250101</v>
      </c>
      <c r="I2791" s="11" t="s">
        <v>63</v>
      </c>
      <c r="J2791" s="72">
        <v>20582714</v>
      </c>
      <c r="K2791" s="99">
        <f>_xlfn.XLOOKUP(_2__ROI_Daily_Update[[#This Row],[CSM id]],SHP!F:F,SHP!EE:EE,"-")</f>
        <v>0</v>
      </c>
      <c r="L2791" s="12"/>
      <c r="N2791" s="11"/>
      <c r="P2791"/>
      <c r="Q2791"/>
      <c r="W2791" s="28"/>
      <c r="AA2791"/>
    </row>
    <row r="2792" spans="1:27" x14ac:dyDescent="0.45">
      <c r="A2792" s="57">
        <v>1021</v>
      </c>
      <c r="B2792" t="s">
        <v>1204</v>
      </c>
      <c r="C2792" t="s">
        <v>1205</v>
      </c>
      <c r="D2792" s="12">
        <v>46313</v>
      </c>
      <c r="E2792" s="11">
        <v>28</v>
      </c>
      <c r="F2792" s="11" t="s">
        <v>7430</v>
      </c>
      <c r="G2792">
        <v>20251001</v>
      </c>
      <c r="I2792" s="11" t="s">
        <v>63</v>
      </c>
      <c r="J2792" s="72">
        <v>20620136</v>
      </c>
      <c r="K2792" s="99">
        <f>_xlfn.XLOOKUP(_2__ROI_Daily_Update[[#This Row],[CSM id]],SHP!F:F,SHP!EE:EE,"-")</f>
        <v>0</v>
      </c>
      <c r="L2792" s="12"/>
      <c r="N2792" s="11"/>
      <c r="P2792"/>
      <c r="Q2792"/>
      <c r="W2792" s="28"/>
      <c r="AA2792"/>
    </row>
    <row r="2793" spans="1:27" x14ac:dyDescent="0.45">
      <c r="A2793" s="57">
        <v>1011</v>
      </c>
      <c r="B2793" t="s">
        <v>1006</v>
      </c>
      <c r="C2793" t="s">
        <v>1007</v>
      </c>
      <c r="D2793" s="12">
        <v>46313</v>
      </c>
      <c r="E2793" s="11">
        <v>64</v>
      </c>
      <c r="F2793" s="11" t="s">
        <v>7410</v>
      </c>
      <c r="G2793">
        <v>20210701</v>
      </c>
      <c r="I2793" s="11" t="s">
        <v>63</v>
      </c>
      <c r="J2793" s="72">
        <v>486394</v>
      </c>
      <c r="K2793" s="99">
        <f>_xlfn.XLOOKUP(_2__ROI_Daily_Update[[#This Row],[CSM id]],SHP!F:F,SHP!EE:EE,"-")</f>
        <v>0</v>
      </c>
      <c r="L2793" s="12"/>
      <c r="N2793" s="11"/>
      <c r="P2793"/>
      <c r="Q2793"/>
      <c r="W2793" s="28"/>
      <c r="AA2793"/>
    </row>
    <row r="2794" spans="1:27" x14ac:dyDescent="0.45">
      <c r="A2794" s="57">
        <v>1021</v>
      </c>
      <c r="B2794" t="s">
        <v>1202</v>
      </c>
      <c r="C2794" t="s">
        <v>1203</v>
      </c>
      <c r="D2794" s="12">
        <v>46313</v>
      </c>
      <c r="E2794" s="11">
        <v>28</v>
      </c>
      <c r="F2794" s="11" t="s">
        <v>7410</v>
      </c>
      <c r="G2794">
        <v>20251001</v>
      </c>
      <c r="I2794" s="11" t="s">
        <v>63</v>
      </c>
      <c r="J2794" s="72">
        <v>625234</v>
      </c>
      <c r="K2794" s="99">
        <f>_xlfn.XLOOKUP(_2__ROI_Daily_Update[[#This Row],[CSM id]],SHP!F:F,SHP!EE:EE,"-")</f>
        <v>0</v>
      </c>
      <c r="L2794" s="12"/>
      <c r="N2794" s="11"/>
      <c r="P2794"/>
      <c r="Q2794"/>
      <c r="W2794" s="28"/>
      <c r="AA2794"/>
    </row>
    <row r="2795" spans="1:27" x14ac:dyDescent="0.45">
      <c r="A2795" s="57">
        <v>1021</v>
      </c>
      <c r="B2795" t="s">
        <v>1202</v>
      </c>
      <c r="C2795" t="s">
        <v>1203</v>
      </c>
      <c r="D2795" s="12">
        <v>46313</v>
      </c>
      <c r="E2795" s="11">
        <v>28</v>
      </c>
      <c r="F2795" s="11" t="s">
        <v>7430</v>
      </c>
      <c r="G2795">
        <v>20251001</v>
      </c>
      <c r="I2795" s="11" t="s">
        <v>63</v>
      </c>
      <c r="J2795" s="72">
        <v>625234</v>
      </c>
      <c r="K2795" s="99">
        <f>_xlfn.XLOOKUP(_2__ROI_Daily_Update[[#This Row],[CSM id]],SHP!F:F,SHP!EE:EE,"-")</f>
        <v>0</v>
      </c>
      <c r="L2795" s="12"/>
      <c r="N2795" s="11"/>
      <c r="P2795"/>
      <c r="Q2795"/>
      <c r="W2795" s="28"/>
      <c r="AA2795"/>
    </row>
    <row r="2796" spans="1:27" x14ac:dyDescent="0.45">
      <c r="A2796" s="57">
        <v>1021</v>
      </c>
      <c r="B2796" t="s">
        <v>6959</v>
      </c>
      <c r="C2796" t="s">
        <v>6960</v>
      </c>
      <c r="D2796" s="12">
        <v>46313</v>
      </c>
      <c r="E2796" s="11">
        <v>112</v>
      </c>
      <c r="F2796" s="11" t="s">
        <v>7463</v>
      </c>
      <c r="G2796">
        <v>20251001</v>
      </c>
      <c r="I2796" s="11" t="s">
        <v>63</v>
      </c>
      <c r="J2796" s="72">
        <v>619290</v>
      </c>
      <c r="K2796" s="99">
        <f>_xlfn.XLOOKUP(_2__ROI_Daily_Update[[#This Row],[CSM id]],SHP!F:F,SHP!EE:EE,"-")</f>
        <v>0</v>
      </c>
      <c r="L2796" s="12"/>
      <c r="N2796" s="11"/>
      <c r="P2796"/>
      <c r="Q2796"/>
      <c r="W2796" s="28"/>
      <c r="AA2796"/>
    </row>
    <row r="2797" spans="1:27" x14ac:dyDescent="0.45">
      <c r="A2797" s="57">
        <v>1011</v>
      </c>
      <c r="B2797" t="s">
        <v>1008</v>
      </c>
      <c r="C2797" t="s">
        <v>1009</v>
      </c>
      <c r="D2797" s="12">
        <v>46313</v>
      </c>
      <c r="E2797" s="11">
        <v>20</v>
      </c>
      <c r="F2797" s="11" t="s">
        <v>7405</v>
      </c>
      <c r="G2797">
        <v>20230401</v>
      </c>
      <c r="I2797" s="11" t="s">
        <v>63</v>
      </c>
      <c r="J2797" s="72">
        <v>539095</v>
      </c>
      <c r="K2797" s="99">
        <f>_xlfn.XLOOKUP(_2__ROI_Daily_Update[[#This Row],[CSM id]],SHP!F:F,SHP!EE:EE,"-")</f>
        <v>0</v>
      </c>
      <c r="L2797" s="12"/>
      <c r="N2797" s="11"/>
      <c r="P2797"/>
      <c r="Q2797"/>
      <c r="W2797" s="28"/>
      <c r="AA2797"/>
    </row>
    <row r="2798" spans="1:27" x14ac:dyDescent="0.45">
      <c r="A2798" s="57">
        <v>1021</v>
      </c>
      <c r="B2798" t="s">
        <v>5314</v>
      </c>
      <c r="C2798" t="s">
        <v>5315</v>
      </c>
      <c r="D2798" s="12">
        <v>46313</v>
      </c>
      <c r="E2798" s="11">
        <v>400</v>
      </c>
      <c r="F2798" s="11" t="s">
        <v>7420</v>
      </c>
      <c r="G2798">
        <v>20200201</v>
      </c>
      <c r="I2798" s="11" t="s">
        <v>63</v>
      </c>
      <c r="J2798" s="72">
        <v>474536</v>
      </c>
      <c r="K2798" s="99">
        <f>_xlfn.XLOOKUP(_2__ROI_Daily_Update[[#This Row],[CSM id]],SHP!F:F,SHP!EE:EE,"-")</f>
        <v>0</v>
      </c>
      <c r="L2798" s="12"/>
      <c r="N2798" s="11"/>
      <c r="P2798"/>
      <c r="Q2798"/>
      <c r="W2798" s="28"/>
      <c r="AA2798"/>
    </row>
    <row r="2799" spans="1:27" x14ac:dyDescent="0.45">
      <c r="A2799" s="57">
        <v>1021</v>
      </c>
      <c r="B2799" t="s">
        <v>1198</v>
      </c>
      <c r="C2799" t="s">
        <v>1199</v>
      </c>
      <c r="D2799" s="12">
        <v>46313</v>
      </c>
      <c r="E2799" s="11">
        <v>40</v>
      </c>
      <c r="F2799" s="11" t="s">
        <v>6946</v>
      </c>
      <c r="G2799">
        <v>20140801</v>
      </c>
      <c r="I2799" s="11" t="s">
        <v>63</v>
      </c>
      <c r="J2799" s="72">
        <v>283513</v>
      </c>
      <c r="K2799" s="99">
        <f>_xlfn.XLOOKUP(_2__ROI_Daily_Update[[#This Row],[CSM id]],SHP!F:F,SHP!EE:EE,"-")</f>
        <v>0</v>
      </c>
      <c r="L2799" s="12"/>
      <c r="N2799" s="11"/>
      <c r="P2799"/>
      <c r="Q2799"/>
      <c r="W2799" s="28"/>
      <c r="AA2799"/>
    </row>
    <row r="2800" spans="1:27" x14ac:dyDescent="0.45">
      <c r="A2800" s="57">
        <v>1011</v>
      </c>
      <c r="B2800" t="s">
        <v>1010</v>
      </c>
      <c r="C2800" t="s">
        <v>1011</v>
      </c>
      <c r="D2800" s="12">
        <v>46313</v>
      </c>
      <c r="E2800" s="11">
        <v>32</v>
      </c>
      <c r="F2800" s="11" t="s">
        <v>7400</v>
      </c>
      <c r="G2800">
        <v>20260701</v>
      </c>
      <c r="I2800" s="11" t="s">
        <v>63</v>
      </c>
      <c r="J2800" s="72">
        <v>595675</v>
      </c>
      <c r="K2800" s="99">
        <f>_xlfn.XLOOKUP(_2__ROI_Daily_Update[[#This Row],[CSM id]],SHP!F:F,SHP!EE:EE,"-")</f>
        <v>0</v>
      </c>
      <c r="L2800" s="12"/>
      <c r="N2800" s="11"/>
      <c r="P2800"/>
      <c r="Q2800"/>
      <c r="W2800" s="28"/>
      <c r="AA2800"/>
    </row>
    <row r="2801" spans="1:27" x14ac:dyDescent="0.45">
      <c r="A2801" s="57">
        <v>1011</v>
      </c>
      <c r="B2801" t="s">
        <v>1012</v>
      </c>
      <c r="C2801" t="s">
        <v>1013</v>
      </c>
      <c r="D2801" s="12">
        <v>46313</v>
      </c>
      <c r="E2801" s="11">
        <v>12</v>
      </c>
      <c r="F2801" s="11" t="s">
        <v>7420</v>
      </c>
      <c r="G2801">
        <v>20140801</v>
      </c>
      <c r="I2801" s="11" t="s">
        <v>63</v>
      </c>
      <c r="J2801" s="72">
        <v>10284036</v>
      </c>
      <c r="K2801" s="99">
        <f>_xlfn.XLOOKUP(_2__ROI_Daily_Update[[#This Row],[CSM id]],SHP!F:F,SHP!EE:EE,"-")</f>
        <v>0</v>
      </c>
      <c r="L2801" s="12"/>
      <c r="N2801" s="11"/>
      <c r="P2801"/>
      <c r="Q2801"/>
      <c r="W2801" s="28"/>
      <c r="AA2801"/>
    </row>
    <row r="2802" spans="1:27" x14ac:dyDescent="0.45">
      <c r="A2802" s="57">
        <v>1019</v>
      </c>
      <c r="B2802" t="s">
        <v>1194</v>
      </c>
      <c r="C2802" t="s">
        <v>1195</v>
      </c>
      <c r="D2802" s="12">
        <v>46313</v>
      </c>
      <c r="E2802" s="11">
        <v>12</v>
      </c>
      <c r="F2802" s="11" t="s">
        <v>7480</v>
      </c>
      <c r="G2802">
        <v>20211001</v>
      </c>
      <c r="I2802" s="11" t="s">
        <v>63</v>
      </c>
      <c r="J2802" s="72">
        <v>90514359</v>
      </c>
      <c r="K2802" s="99">
        <f>_xlfn.XLOOKUP(_2__ROI_Daily_Update[[#This Row],[CSM id]],SHP!F:F,SHP!EE:EE,"-")</f>
        <v>0</v>
      </c>
      <c r="L2802" s="12"/>
      <c r="N2802" s="11"/>
      <c r="P2802"/>
      <c r="Q2802"/>
      <c r="W2802" s="28"/>
      <c r="AA2802"/>
    </row>
    <row r="2803" spans="1:27" x14ac:dyDescent="0.45">
      <c r="A2803" s="57">
        <v>1019</v>
      </c>
      <c r="B2803" t="s">
        <v>1194</v>
      </c>
      <c r="C2803" t="s">
        <v>1195</v>
      </c>
      <c r="D2803" s="12">
        <v>46313</v>
      </c>
      <c r="E2803" s="11">
        <v>8</v>
      </c>
      <c r="F2803" s="11" t="s">
        <v>7410</v>
      </c>
      <c r="G2803">
        <v>20211001</v>
      </c>
      <c r="I2803" s="11" t="s">
        <v>63</v>
      </c>
      <c r="J2803" s="72">
        <v>90514359</v>
      </c>
      <c r="K2803" s="99">
        <f>_xlfn.XLOOKUP(_2__ROI_Daily_Update[[#This Row],[CSM id]],SHP!F:F,SHP!EE:EE,"-")</f>
        <v>0</v>
      </c>
      <c r="L2803" s="12"/>
      <c r="N2803" s="11"/>
      <c r="P2803"/>
      <c r="Q2803"/>
      <c r="W2803" s="28"/>
      <c r="AA2803"/>
    </row>
    <row r="2804" spans="1:27" x14ac:dyDescent="0.45">
      <c r="A2804" s="57">
        <v>1019</v>
      </c>
      <c r="B2804" t="s">
        <v>1192</v>
      </c>
      <c r="C2804" t="s">
        <v>1193</v>
      </c>
      <c r="D2804" s="12">
        <v>46313</v>
      </c>
      <c r="E2804" s="11">
        <v>160</v>
      </c>
      <c r="F2804" s="11" t="s">
        <v>7453</v>
      </c>
      <c r="G2804">
        <v>20251001</v>
      </c>
      <c r="I2804" s="11" t="s">
        <v>63</v>
      </c>
      <c r="J2804" s="72">
        <v>70612841</v>
      </c>
      <c r="K2804" s="99">
        <f>_xlfn.XLOOKUP(_2__ROI_Daily_Update[[#This Row],[CSM id]],SHP!F:F,SHP!EE:EE,"-")</f>
        <v>0</v>
      </c>
      <c r="L2804" s="12"/>
      <c r="N2804" s="11"/>
      <c r="P2804"/>
      <c r="Q2804"/>
      <c r="W2804" s="28"/>
      <c r="AA2804"/>
    </row>
    <row r="2805" spans="1:27" x14ac:dyDescent="0.45">
      <c r="A2805" s="57">
        <v>1019</v>
      </c>
      <c r="B2805" t="s">
        <v>5604</v>
      </c>
      <c r="C2805" t="s">
        <v>5605</v>
      </c>
      <c r="D2805" s="12">
        <v>46313</v>
      </c>
      <c r="E2805" s="11">
        <v>128</v>
      </c>
      <c r="F2805" s="11" t="s">
        <v>7410</v>
      </c>
      <c r="G2805">
        <v>20230401</v>
      </c>
      <c r="I2805" s="11" t="s">
        <v>63</v>
      </c>
      <c r="J2805" s="72">
        <v>70536461</v>
      </c>
      <c r="K2805" s="99">
        <f>_xlfn.XLOOKUP(_2__ROI_Daily_Update[[#This Row],[CSM id]],SHP!F:F,SHP!EE:EE,"-")</f>
        <v>0</v>
      </c>
      <c r="L2805" s="12"/>
      <c r="N2805" s="11"/>
      <c r="P2805"/>
      <c r="Q2805"/>
      <c r="W2805" s="28"/>
      <c r="AA2805"/>
    </row>
    <row r="2806" spans="1:27" x14ac:dyDescent="0.45">
      <c r="A2806" s="57">
        <v>1019</v>
      </c>
      <c r="B2806" t="s">
        <v>1190</v>
      </c>
      <c r="C2806" t="s">
        <v>1191</v>
      </c>
      <c r="D2806" s="12">
        <v>46313</v>
      </c>
      <c r="E2806" s="11">
        <v>54</v>
      </c>
      <c r="F2806" s="11" t="s">
        <v>7430</v>
      </c>
      <c r="G2806">
        <v>20190401</v>
      </c>
      <c r="I2806" s="11" t="s">
        <v>63</v>
      </c>
      <c r="J2806" s="72">
        <v>70444428</v>
      </c>
      <c r="K2806" s="99">
        <f>_xlfn.XLOOKUP(_2__ROI_Daily_Update[[#This Row],[CSM id]],SHP!F:F,SHP!EE:EE,"-")</f>
        <v>0</v>
      </c>
      <c r="L2806" s="12"/>
      <c r="N2806" s="11"/>
      <c r="P2806"/>
      <c r="Q2806"/>
      <c r="W2806" s="28"/>
      <c r="AA2806"/>
    </row>
    <row r="2807" spans="1:27" x14ac:dyDescent="0.45">
      <c r="A2807" s="57">
        <v>1019</v>
      </c>
      <c r="B2807" t="s">
        <v>1188</v>
      </c>
      <c r="C2807" t="s">
        <v>1189</v>
      </c>
      <c r="D2807" s="12">
        <v>46313</v>
      </c>
      <c r="E2807" s="11">
        <v>24</v>
      </c>
      <c r="F2807" s="11" t="s">
        <v>7453</v>
      </c>
      <c r="G2807">
        <v>20200401</v>
      </c>
      <c r="I2807" s="11" t="s">
        <v>63</v>
      </c>
      <c r="J2807" s="72">
        <v>70408307</v>
      </c>
      <c r="K2807" s="99">
        <f>_xlfn.XLOOKUP(_2__ROI_Daily_Update[[#This Row],[CSM id]],SHP!F:F,SHP!EE:EE,"-")</f>
        <v>0</v>
      </c>
      <c r="L2807" s="12"/>
      <c r="N2807" s="11"/>
      <c r="P2807"/>
      <c r="Q2807"/>
      <c r="W2807" s="28"/>
      <c r="AA2807"/>
    </row>
    <row r="2808" spans="1:27" x14ac:dyDescent="0.45">
      <c r="A2808" s="57">
        <v>1019</v>
      </c>
      <c r="B2808" t="s">
        <v>1186</v>
      </c>
      <c r="C2808" t="s">
        <v>1187</v>
      </c>
      <c r="D2808" s="12">
        <v>46313</v>
      </c>
      <c r="E2808" s="11">
        <v>4</v>
      </c>
      <c r="F2808" s="11" t="s">
        <v>7453</v>
      </c>
      <c r="G2808">
        <v>20140801</v>
      </c>
      <c r="I2808" s="11" t="s">
        <v>63</v>
      </c>
      <c r="J2808" s="72">
        <v>70283996</v>
      </c>
      <c r="K2808" s="99">
        <f>_xlfn.XLOOKUP(_2__ROI_Daily_Update[[#This Row],[CSM id]],SHP!F:F,SHP!EE:EE,"-")</f>
        <v>0</v>
      </c>
      <c r="L2808" s="12"/>
      <c r="N2808" s="11"/>
      <c r="P2808"/>
      <c r="Q2808"/>
      <c r="W2808" s="28"/>
      <c r="AA2808"/>
    </row>
    <row r="2809" spans="1:27" x14ac:dyDescent="0.45">
      <c r="A2809" s="57">
        <v>1019</v>
      </c>
      <c r="B2809" t="s">
        <v>5612</v>
      </c>
      <c r="C2809" t="s">
        <v>5613</v>
      </c>
      <c r="D2809" s="12">
        <v>46313</v>
      </c>
      <c r="E2809" s="11">
        <v>8</v>
      </c>
      <c r="F2809" s="11" t="s">
        <v>7480</v>
      </c>
      <c r="G2809">
        <v>20250101</v>
      </c>
      <c r="I2809" s="11" t="s">
        <v>63</v>
      </c>
      <c r="J2809" s="72">
        <v>20582714</v>
      </c>
      <c r="K2809" s="99">
        <f>_xlfn.XLOOKUP(_2__ROI_Daily_Update[[#This Row],[CSM id]],SHP!F:F,SHP!EE:EE,"-")</f>
        <v>0</v>
      </c>
      <c r="L2809" s="12"/>
      <c r="N2809" s="11"/>
      <c r="P2809"/>
      <c r="Q2809"/>
      <c r="W2809" s="28"/>
      <c r="AA2809"/>
    </row>
    <row r="2810" spans="1:27" x14ac:dyDescent="0.45">
      <c r="A2810" s="57">
        <v>1019</v>
      </c>
      <c r="B2810" t="s">
        <v>1172</v>
      </c>
      <c r="C2810" t="s">
        <v>1173</v>
      </c>
      <c r="D2810" s="12">
        <v>46313</v>
      </c>
      <c r="E2810" s="11">
        <v>54</v>
      </c>
      <c r="F2810" s="11" t="s">
        <v>6946</v>
      </c>
      <c r="G2810">
        <v>20140801</v>
      </c>
      <c r="I2810" s="11" t="s">
        <v>63</v>
      </c>
      <c r="J2810" s="72">
        <v>50283916</v>
      </c>
      <c r="K2810" s="99">
        <f>_xlfn.XLOOKUP(_2__ROI_Daily_Update[[#This Row],[CSM id]],SHP!F:F,SHP!EE:EE,"-")</f>
        <v>0</v>
      </c>
      <c r="L2810" s="12"/>
      <c r="N2810" s="11"/>
      <c r="P2810"/>
      <c r="Q2810"/>
      <c r="W2810" s="28"/>
      <c r="AA2810"/>
    </row>
    <row r="2811" spans="1:27" x14ac:dyDescent="0.45">
      <c r="A2811" s="57">
        <v>1011</v>
      </c>
      <c r="B2811" t="s">
        <v>1014</v>
      </c>
      <c r="C2811" t="s">
        <v>1015</v>
      </c>
      <c r="D2811" s="12">
        <v>46313</v>
      </c>
      <c r="E2811" s="11">
        <v>8</v>
      </c>
      <c r="F2811" s="11" t="s">
        <v>7453</v>
      </c>
      <c r="G2811">
        <v>20200801</v>
      </c>
      <c r="I2811" s="11" t="s">
        <v>63</v>
      </c>
      <c r="J2811" s="72">
        <v>10437751</v>
      </c>
      <c r="K2811" s="99">
        <f>_xlfn.XLOOKUP(_2__ROI_Daily_Update[[#This Row],[CSM id]],SHP!F:F,SHP!EE:EE,"-")</f>
        <v>0</v>
      </c>
      <c r="L2811" s="12"/>
      <c r="N2811" s="11"/>
      <c r="P2811"/>
      <c r="Q2811"/>
      <c r="W2811" s="28"/>
      <c r="AA2811"/>
    </row>
    <row r="2812" spans="1:27" x14ac:dyDescent="0.45">
      <c r="A2812" s="57">
        <v>1011</v>
      </c>
      <c r="B2812" t="s">
        <v>1014</v>
      </c>
      <c r="C2812" t="s">
        <v>1015</v>
      </c>
      <c r="D2812" s="12">
        <v>46313</v>
      </c>
      <c r="E2812" s="11">
        <v>8</v>
      </c>
      <c r="F2812" s="11" t="s">
        <v>6946</v>
      </c>
      <c r="G2812">
        <v>20200801</v>
      </c>
      <c r="I2812" s="11" t="s">
        <v>63</v>
      </c>
      <c r="J2812" s="72">
        <v>10437751</v>
      </c>
      <c r="K2812" s="99">
        <f>_xlfn.XLOOKUP(_2__ROI_Daily_Update[[#This Row],[CSM id]],SHP!F:F,SHP!EE:EE,"-")</f>
        <v>0</v>
      </c>
      <c r="L2812" s="12"/>
      <c r="N2812" s="11"/>
      <c r="P2812"/>
      <c r="Q2812"/>
      <c r="W2812" s="28"/>
      <c r="AA2812"/>
    </row>
    <row r="2813" spans="1:27" x14ac:dyDescent="0.45">
      <c r="A2813" s="57">
        <v>1011</v>
      </c>
      <c r="B2813" t="s">
        <v>1014</v>
      </c>
      <c r="C2813" t="s">
        <v>1015</v>
      </c>
      <c r="D2813" s="12">
        <v>46313</v>
      </c>
      <c r="E2813" s="11">
        <v>8</v>
      </c>
      <c r="F2813" s="11" t="s">
        <v>7400</v>
      </c>
      <c r="G2813">
        <v>20200801</v>
      </c>
      <c r="I2813" s="11" t="s">
        <v>63</v>
      </c>
      <c r="J2813" s="72">
        <v>10437751</v>
      </c>
      <c r="K2813" s="99">
        <f>_xlfn.XLOOKUP(_2__ROI_Daily_Update[[#This Row],[CSM id]],SHP!F:F,SHP!EE:EE,"-")</f>
        <v>0</v>
      </c>
      <c r="L2813" s="12"/>
      <c r="N2813" s="11"/>
      <c r="P2813"/>
      <c r="Q2813"/>
      <c r="W2813" s="28"/>
      <c r="AA2813"/>
    </row>
    <row r="2814" spans="1:27" x14ac:dyDescent="0.45">
      <c r="A2814" s="57">
        <v>1019</v>
      </c>
      <c r="B2814" t="s">
        <v>1178</v>
      </c>
      <c r="C2814" t="s">
        <v>1179</v>
      </c>
      <c r="D2814" s="12">
        <v>46313</v>
      </c>
      <c r="E2814" s="11">
        <v>8</v>
      </c>
      <c r="F2814" s="11" t="s">
        <v>7440</v>
      </c>
      <c r="G2814">
        <v>20250101</v>
      </c>
      <c r="I2814" s="11" t="s">
        <v>63</v>
      </c>
      <c r="J2814" s="72">
        <v>50583439</v>
      </c>
      <c r="K2814" s="99">
        <f>_xlfn.XLOOKUP(_2__ROI_Daily_Update[[#This Row],[CSM id]],SHP!F:F,SHP!EE:EE,"-")</f>
        <v>0</v>
      </c>
      <c r="L2814" s="12"/>
      <c r="N2814" s="11"/>
      <c r="P2814"/>
      <c r="Q2814"/>
      <c r="W2814" s="28"/>
      <c r="AA2814"/>
    </row>
    <row r="2815" spans="1:27" x14ac:dyDescent="0.45">
      <c r="A2815" s="57">
        <v>1011</v>
      </c>
      <c r="B2815" t="s">
        <v>1014</v>
      </c>
      <c r="C2815" t="s">
        <v>1015</v>
      </c>
      <c r="D2815" s="12">
        <v>46313</v>
      </c>
      <c r="E2815" s="11">
        <v>8</v>
      </c>
      <c r="F2815" s="11" t="s">
        <v>7480</v>
      </c>
      <c r="G2815">
        <v>20200801</v>
      </c>
      <c r="I2815" s="11" t="s">
        <v>63</v>
      </c>
      <c r="J2815" s="72">
        <v>10437751</v>
      </c>
      <c r="K2815" s="99">
        <f>_xlfn.XLOOKUP(_2__ROI_Daily_Update[[#This Row],[CSM id]],SHP!F:F,SHP!EE:EE,"-")</f>
        <v>0</v>
      </c>
      <c r="L2815" s="12"/>
      <c r="N2815" s="11"/>
      <c r="P2815"/>
      <c r="Q2815"/>
      <c r="W2815" s="28"/>
      <c r="AA2815"/>
    </row>
    <row r="2816" spans="1:27" x14ac:dyDescent="0.45">
      <c r="A2816" s="57">
        <v>1019</v>
      </c>
      <c r="B2816" t="s">
        <v>1180</v>
      </c>
      <c r="C2816" t="s">
        <v>1181</v>
      </c>
      <c r="D2816" s="12">
        <v>46313</v>
      </c>
      <c r="E2816" s="11">
        <v>26</v>
      </c>
      <c r="F2816" s="11" t="s">
        <v>7430</v>
      </c>
      <c r="G2816">
        <v>20170401</v>
      </c>
      <c r="I2816" s="11" t="s">
        <v>63</v>
      </c>
      <c r="J2816" s="72">
        <v>60355724</v>
      </c>
      <c r="K2816" s="99">
        <f>_xlfn.XLOOKUP(_2__ROI_Daily_Update[[#This Row],[CSM id]],SHP!F:F,SHP!EE:EE,"-")</f>
        <v>0</v>
      </c>
      <c r="L2816" s="12"/>
      <c r="N2816" s="11"/>
      <c r="P2816"/>
      <c r="Q2816"/>
      <c r="W2816" s="28"/>
      <c r="AA2816"/>
    </row>
    <row r="2817" spans="1:27" x14ac:dyDescent="0.45">
      <c r="A2817" s="57">
        <v>1011</v>
      </c>
      <c r="B2817" t="s">
        <v>1014</v>
      </c>
      <c r="C2817" t="s">
        <v>1015</v>
      </c>
      <c r="D2817" s="12">
        <v>46313</v>
      </c>
      <c r="E2817" s="11">
        <v>8</v>
      </c>
      <c r="F2817" s="11" t="s">
        <v>7420</v>
      </c>
      <c r="G2817">
        <v>20200801</v>
      </c>
      <c r="I2817" s="11" t="s">
        <v>63</v>
      </c>
      <c r="J2817" s="72">
        <v>10437751</v>
      </c>
      <c r="K2817" s="99">
        <f>_xlfn.XLOOKUP(_2__ROI_Daily_Update[[#This Row],[CSM id]],SHP!F:F,SHP!EE:EE,"-")</f>
        <v>0</v>
      </c>
      <c r="L2817" s="12"/>
      <c r="N2817" s="11"/>
      <c r="P2817"/>
      <c r="Q2817"/>
      <c r="W2817" s="28"/>
      <c r="AA2817"/>
    </row>
    <row r="2818" spans="1:27" x14ac:dyDescent="0.45">
      <c r="A2818" s="57">
        <v>1019</v>
      </c>
      <c r="B2818" t="s">
        <v>1182</v>
      </c>
      <c r="C2818" t="s">
        <v>1183</v>
      </c>
      <c r="D2818" s="12">
        <v>46313</v>
      </c>
      <c r="E2818" s="11">
        <v>20</v>
      </c>
      <c r="F2818" s="11" t="s">
        <v>7463</v>
      </c>
      <c r="G2818">
        <v>20200401</v>
      </c>
      <c r="I2818" s="11" t="s">
        <v>63</v>
      </c>
      <c r="J2818" s="72">
        <v>60449884</v>
      </c>
      <c r="K2818" s="99">
        <f>_xlfn.XLOOKUP(_2__ROI_Daily_Update[[#This Row],[CSM id]],SHP!F:F,SHP!EE:EE,"-")</f>
        <v>0</v>
      </c>
      <c r="L2818" s="12"/>
      <c r="N2818" s="11"/>
      <c r="P2818"/>
      <c r="Q2818"/>
      <c r="W2818" s="28"/>
      <c r="AA2818"/>
    </row>
    <row r="2819" spans="1:27" x14ac:dyDescent="0.45">
      <c r="A2819" s="57">
        <v>1831</v>
      </c>
      <c r="B2819" t="s">
        <v>3600</v>
      </c>
      <c r="C2819" t="s">
        <v>3601</v>
      </c>
      <c r="D2819" s="12">
        <v>46313</v>
      </c>
      <c r="E2819" s="11">
        <v>82</v>
      </c>
      <c r="F2819" s="11" t="s">
        <v>7485</v>
      </c>
      <c r="G2819">
        <v>20260101</v>
      </c>
      <c r="I2819" s="11" t="s">
        <v>18</v>
      </c>
      <c r="J2819" s="72">
        <v>40591053</v>
      </c>
      <c r="K2819" s="99">
        <f>_xlfn.XLOOKUP(_2__ROI_Daily_Update[[#This Row],[CSM id]],SHP!F:F,SHP!EE:EE,"-")</f>
        <v>0</v>
      </c>
      <c r="L2819" s="12"/>
      <c r="N2819" s="11"/>
      <c r="P2819"/>
      <c r="Q2819"/>
      <c r="W2819" s="28"/>
      <c r="AA2819"/>
    </row>
    <row r="2820" spans="1:27" x14ac:dyDescent="0.45">
      <c r="A2820" s="57">
        <v>1019</v>
      </c>
      <c r="B2820" t="s">
        <v>1184</v>
      </c>
      <c r="C2820" t="s">
        <v>1185</v>
      </c>
      <c r="D2820" s="12">
        <v>46313</v>
      </c>
      <c r="E2820" s="11">
        <v>12</v>
      </c>
      <c r="F2820" s="11" t="s">
        <v>6946</v>
      </c>
      <c r="G2820">
        <v>20251001</v>
      </c>
      <c r="I2820" s="11" t="s">
        <v>63</v>
      </c>
      <c r="J2820" s="72">
        <v>60595658</v>
      </c>
      <c r="K2820" s="99">
        <f>_xlfn.XLOOKUP(_2__ROI_Daily_Update[[#This Row],[CSM id]],SHP!F:F,SHP!EE:EE,"-")</f>
        <v>0</v>
      </c>
      <c r="L2820" s="12"/>
      <c r="N2820" s="11"/>
      <c r="P2820"/>
      <c r="Q2820"/>
      <c r="W2820" s="28"/>
      <c r="AA2820"/>
    </row>
    <row r="2821" spans="1:27" x14ac:dyDescent="0.45">
      <c r="A2821" s="57">
        <v>1019</v>
      </c>
      <c r="B2821" t="s">
        <v>7081</v>
      </c>
      <c r="C2821" t="s">
        <v>7082</v>
      </c>
      <c r="D2821" s="12">
        <v>46313</v>
      </c>
      <c r="E2821" s="11">
        <v>30</v>
      </c>
      <c r="F2821" s="11" t="s">
        <v>7480</v>
      </c>
      <c r="G2821">
        <v>20260701</v>
      </c>
      <c r="I2821" s="11" t="s">
        <v>63</v>
      </c>
      <c r="J2821" s="72">
        <v>60640255</v>
      </c>
      <c r="K2821" s="99">
        <f>_xlfn.XLOOKUP(_2__ROI_Daily_Update[[#This Row],[CSM id]],SHP!F:F,SHP!EE:EE,"-")</f>
        <v>0</v>
      </c>
      <c r="L2821" s="12"/>
      <c r="N2821" s="11"/>
      <c r="P2821"/>
      <c r="Q2821"/>
      <c r="W2821" s="28"/>
      <c r="AA2821"/>
    </row>
    <row r="2822" spans="1:27" x14ac:dyDescent="0.45">
      <c r="A2822" s="57">
        <v>1019</v>
      </c>
      <c r="B2822" t="s">
        <v>1186</v>
      </c>
      <c r="C2822" t="s">
        <v>1187</v>
      </c>
      <c r="D2822" s="12">
        <v>46313</v>
      </c>
      <c r="E2822" s="11">
        <v>4</v>
      </c>
      <c r="F2822" s="11" t="s">
        <v>7420</v>
      </c>
      <c r="G2822">
        <v>20140801</v>
      </c>
      <c r="I2822" s="11" t="s">
        <v>63</v>
      </c>
      <c r="J2822" s="72">
        <v>70283996</v>
      </c>
      <c r="K2822" s="99">
        <f>_xlfn.XLOOKUP(_2__ROI_Daily_Update[[#This Row],[CSM id]],SHP!F:F,SHP!EE:EE,"-")</f>
        <v>0</v>
      </c>
      <c r="L2822" s="12"/>
      <c r="N2822" s="11"/>
      <c r="P2822"/>
      <c r="Q2822"/>
      <c r="W2822" s="28"/>
      <c r="AA2822"/>
    </row>
    <row r="2823" spans="1:27" x14ac:dyDescent="0.45">
      <c r="A2823" s="57">
        <v>1019</v>
      </c>
      <c r="B2823" t="s">
        <v>1180</v>
      </c>
      <c r="C2823" t="s">
        <v>1181</v>
      </c>
      <c r="D2823" s="12">
        <v>46313</v>
      </c>
      <c r="E2823" s="11">
        <v>26</v>
      </c>
      <c r="F2823" s="11" t="s">
        <v>7463</v>
      </c>
      <c r="G2823">
        <v>20170401</v>
      </c>
      <c r="I2823" s="11" t="s">
        <v>63</v>
      </c>
      <c r="J2823" s="72">
        <v>60355724</v>
      </c>
      <c r="K2823" s="99">
        <f>_xlfn.XLOOKUP(_2__ROI_Daily_Update[[#This Row],[CSM id]],SHP!F:F,SHP!EE:EE,"-")</f>
        <v>0</v>
      </c>
      <c r="L2823" s="12"/>
      <c r="N2823" s="11"/>
      <c r="P2823"/>
      <c r="Q2823"/>
      <c r="W2823" s="28"/>
      <c r="AA2823"/>
    </row>
    <row r="2824" spans="1:27" x14ac:dyDescent="0.45">
      <c r="A2824" s="57">
        <v>1011</v>
      </c>
      <c r="B2824" t="s">
        <v>1026</v>
      </c>
      <c r="C2824" t="s">
        <v>1027</v>
      </c>
      <c r="D2824" s="12">
        <v>46313</v>
      </c>
      <c r="E2824" s="11">
        <v>8</v>
      </c>
      <c r="F2824" s="11" t="s">
        <v>7400</v>
      </c>
      <c r="G2824">
        <v>20260401</v>
      </c>
      <c r="I2824" s="11" t="s">
        <v>63</v>
      </c>
      <c r="J2824" s="72">
        <v>50601216</v>
      </c>
      <c r="K2824" s="99">
        <f>_xlfn.XLOOKUP(_2__ROI_Daily_Update[[#This Row],[CSM id]],SHP!F:F,SHP!EE:EE,"-")</f>
        <v>0</v>
      </c>
      <c r="L2824" s="12"/>
      <c r="N2824" s="11"/>
      <c r="P2824"/>
      <c r="Q2824"/>
      <c r="W2824" s="28"/>
      <c r="AA2824"/>
    </row>
    <row r="2825" spans="1:27" x14ac:dyDescent="0.45">
      <c r="A2825" s="57">
        <v>1014</v>
      </c>
      <c r="B2825" t="s">
        <v>1134</v>
      </c>
      <c r="C2825" t="s">
        <v>1135</v>
      </c>
      <c r="D2825" s="12">
        <v>46313</v>
      </c>
      <c r="E2825" s="11">
        <v>10</v>
      </c>
      <c r="F2825" s="11" t="s">
        <v>7410</v>
      </c>
      <c r="G2825">
        <v>20170801</v>
      </c>
      <c r="I2825" s="11" t="s">
        <v>63</v>
      </c>
      <c r="J2825" s="72">
        <v>80337705</v>
      </c>
      <c r="K2825" s="99">
        <f>_xlfn.XLOOKUP(_2__ROI_Daily_Update[[#This Row],[CSM id]],SHP!F:F,SHP!EE:EE,"-")</f>
        <v>0</v>
      </c>
      <c r="L2825" s="12"/>
      <c r="N2825" s="11"/>
      <c r="P2825"/>
      <c r="Q2825"/>
      <c r="W2825" s="28"/>
      <c r="AA2825"/>
    </row>
    <row r="2826" spans="1:27" x14ac:dyDescent="0.45">
      <c r="A2826" s="57">
        <v>1014</v>
      </c>
      <c r="B2826" t="s">
        <v>5468</v>
      </c>
      <c r="C2826" t="s">
        <v>5469</v>
      </c>
      <c r="D2826" s="12">
        <v>46313</v>
      </c>
      <c r="E2826" s="11">
        <v>10</v>
      </c>
      <c r="F2826" s="11" t="s">
        <v>7410</v>
      </c>
      <c r="G2826">
        <v>20250401</v>
      </c>
      <c r="H2826" s="12">
        <v>46935</v>
      </c>
      <c r="I2826" s="11" t="s">
        <v>63</v>
      </c>
      <c r="J2826" s="72">
        <v>70577630</v>
      </c>
      <c r="K2826" s="99">
        <f>_xlfn.XLOOKUP(_2__ROI_Daily_Update[[#This Row],[CSM id]],SHP!F:F,SHP!EE:EE,"-")</f>
        <v>0</v>
      </c>
      <c r="L2826" s="12"/>
      <c r="N2826" s="11"/>
      <c r="P2826"/>
      <c r="Q2826"/>
      <c r="W2826" s="28"/>
      <c r="AA2826"/>
    </row>
    <row r="2827" spans="1:27" x14ac:dyDescent="0.45">
      <c r="A2827" s="57">
        <v>1012</v>
      </c>
      <c r="B2827" t="s">
        <v>6035</v>
      </c>
      <c r="C2827" t="s">
        <v>6036</v>
      </c>
      <c r="D2827" s="12">
        <v>46313</v>
      </c>
      <c r="E2827" s="11">
        <v>8</v>
      </c>
      <c r="F2827" s="11" t="s">
        <v>7458</v>
      </c>
      <c r="G2827">
        <v>20260101</v>
      </c>
      <c r="I2827" s="11" t="s">
        <v>63</v>
      </c>
      <c r="J2827" s="72">
        <v>80597246</v>
      </c>
      <c r="K2827" s="99">
        <f>_xlfn.XLOOKUP(_2__ROI_Daily_Update[[#This Row],[CSM id]],SHP!F:F,SHP!EE:EE,"-")</f>
        <v>0</v>
      </c>
      <c r="L2827" s="12"/>
      <c r="N2827" s="11"/>
      <c r="P2827"/>
      <c r="Q2827"/>
      <c r="W2827" s="28"/>
      <c r="AA2827"/>
    </row>
    <row r="2828" spans="1:27" x14ac:dyDescent="0.45">
      <c r="A2828" s="57">
        <v>1012</v>
      </c>
      <c r="B2828" t="s">
        <v>6035</v>
      </c>
      <c r="C2828" t="s">
        <v>6036</v>
      </c>
      <c r="D2828" s="12">
        <v>46313</v>
      </c>
      <c r="E2828" s="11">
        <v>8</v>
      </c>
      <c r="F2828" s="11" t="s">
        <v>6940</v>
      </c>
      <c r="G2828">
        <v>20260101</v>
      </c>
      <c r="I2828" s="11" t="s">
        <v>63</v>
      </c>
      <c r="J2828" s="72">
        <v>80597246</v>
      </c>
      <c r="K2828" s="99">
        <f>_xlfn.XLOOKUP(_2__ROI_Daily_Update[[#This Row],[CSM id]],SHP!F:F,SHP!EE:EE,"-")</f>
        <v>0</v>
      </c>
      <c r="L2828" s="12"/>
      <c r="N2828" s="11"/>
      <c r="P2828"/>
      <c r="Q2828"/>
      <c r="W2828" s="28"/>
      <c r="AA2828"/>
    </row>
    <row r="2829" spans="1:27" x14ac:dyDescent="0.45">
      <c r="A2829" s="57">
        <v>1012</v>
      </c>
      <c r="B2829" t="s">
        <v>1088</v>
      </c>
      <c r="C2829" t="s">
        <v>1089</v>
      </c>
      <c r="D2829" s="12">
        <v>46313</v>
      </c>
      <c r="E2829" s="11">
        <v>20</v>
      </c>
      <c r="F2829" s="11" t="s">
        <v>7453</v>
      </c>
      <c r="G2829">
        <v>20250701</v>
      </c>
      <c r="H2829" s="12">
        <v>46478</v>
      </c>
      <c r="I2829" s="11" t="s">
        <v>63</v>
      </c>
      <c r="J2829" s="72">
        <v>80594851</v>
      </c>
      <c r="K2829" s="99">
        <f>_xlfn.XLOOKUP(_2__ROI_Daily_Update[[#This Row],[CSM id]],SHP!F:F,SHP!EE:EE,"-")</f>
        <v>0</v>
      </c>
      <c r="L2829" s="12"/>
      <c r="N2829" s="11"/>
      <c r="P2829"/>
      <c r="Q2829"/>
      <c r="W2829" s="28"/>
      <c r="AA2829"/>
    </row>
    <row r="2830" spans="1:27" x14ac:dyDescent="0.45">
      <c r="A2830" s="57">
        <v>1011</v>
      </c>
      <c r="B2830" t="s">
        <v>6349</v>
      </c>
      <c r="C2830" t="s">
        <v>6350</v>
      </c>
      <c r="D2830" s="12">
        <v>46313</v>
      </c>
      <c r="E2830" s="11">
        <v>12</v>
      </c>
      <c r="F2830" s="11" t="s">
        <v>7448</v>
      </c>
      <c r="G2830">
        <v>20260701</v>
      </c>
      <c r="I2830" s="11" t="s">
        <v>63</v>
      </c>
      <c r="J2830" s="72">
        <v>90601224</v>
      </c>
      <c r="K2830" s="99">
        <f>_xlfn.XLOOKUP(_2__ROI_Daily_Update[[#This Row],[CSM id]],SHP!F:F,SHP!EE:EE,"-")</f>
        <v>0</v>
      </c>
      <c r="L2830" s="12"/>
      <c r="N2830" s="11"/>
      <c r="P2830"/>
      <c r="Q2830"/>
      <c r="W2830" s="28"/>
      <c r="AA2830"/>
    </row>
    <row r="2831" spans="1:27" x14ac:dyDescent="0.45">
      <c r="A2831" s="57">
        <v>1012</v>
      </c>
      <c r="B2831" t="s">
        <v>5898</v>
      </c>
      <c r="C2831" t="s">
        <v>5899</v>
      </c>
      <c r="D2831" s="12">
        <v>46313</v>
      </c>
      <c r="E2831" s="11">
        <v>72</v>
      </c>
      <c r="F2831" s="11" t="s">
        <v>6946</v>
      </c>
      <c r="G2831">
        <v>20241001</v>
      </c>
      <c r="I2831" s="11" t="s">
        <v>63</v>
      </c>
      <c r="J2831" s="72">
        <v>80573575</v>
      </c>
      <c r="K2831" s="99">
        <f>_xlfn.XLOOKUP(_2__ROI_Daily_Update[[#This Row],[CSM id]],SHP!F:F,SHP!EE:EE,"-")</f>
        <v>0</v>
      </c>
      <c r="L2831" s="12"/>
      <c r="N2831" s="11"/>
      <c r="P2831"/>
      <c r="Q2831"/>
      <c r="W2831" s="28"/>
      <c r="AA2831"/>
    </row>
    <row r="2832" spans="1:27" x14ac:dyDescent="0.45">
      <c r="A2832" s="57">
        <v>1012</v>
      </c>
      <c r="B2832" t="s">
        <v>1086</v>
      </c>
      <c r="C2832" t="s">
        <v>1087</v>
      </c>
      <c r="D2832" s="12">
        <v>46313</v>
      </c>
      <c r="E2832" s="11">
        <v>56</v>
      </c>
      <c r="F2832" s="11" t="s">
        <v>7430</v>
      </c>
      <c r="G2832">
        <v>20190401</v>
      </c>
      <c r="I2832" s="11" t="s">
        <v>63</v>
      </c>
      <c r="J2832" s="72">
        <v>80323888</v>
      </c>
      <c r="K2832" s="99">
        <f>_xlfn.XLOOKUP(_2__ROI_Daily_Update[[#This Row],[CSM id]],SHP!F:F,SHP!EE:EE,"-")</f>
        <v>0</v>
      </c>
      <c r="L2832" s="12"/>
      <c r="N2832" s="11"/>
      <c r="P2832"/>
      <c r="Q2832"/>
      <c r="W2832" s="28"/>
      <c r="AA2832"/>
    </row>
    <row r="2833" spans="1:27" x14ac:dyDescent="0.45">
      <c r="A2833" s="57">
        <v>1012</v>
      </c>
      <c r="B2833" t="s">
        <v>1084</v>
      </c>
      <c r="C2833" t="s">
        <v>1085</v>
      </c>
      <c r="D2833" s="12">
        <v>46313</v>
      </c>
      <c r="E2833" s="11">
        <v>8</v>
      </c>
      <c r="F2833" s="11" t="s">
        <v>7420</v>
      </c>
      <c r="G2833">
        <v>20250701</v>
      </c>
      <c r="I2833" s="11" t="s">
        <v>63</v>
      </c>
      <c r="J2833" s="72">
        <v>70595634</v>
      </c>
      <c r="K2833" s="99">
        <f>_xlfn.XLOOKUP(_2__ROI_Daily_Update[[#This Row],[CSM id]],SHP!F:F,SHP!EE:EE,"-")</f>
        <v>0</v>
      </c>
      <c r="L2833" s="12"/>
      <c r="N2833" s="11"/>
      <c r="P2833"/>
      <c r="Q2833"/>
      <c r="W2833" s="28"/>
      <c r="AA2833"/>
    </row>
    <row r="2834" spans="1:27" x14ac:dyDescent="0.45">
      <c r="A2834" s="57">
        <v>1012</v>
      </c>
      <c r="B2834" t="s">
        <v>1082</v>
      </c>
      <c r="C2834" t="s">
        <v>1083</v>
      </c>
      <c r="D2834" s="12">
        <v>46313</v>
      </c>
      <c r="E2834" s="11">
        <v>18</v>
      </c>
      <c r="F2834" s="11" t="s">
        <v>7453</v>
      </c>
      <c r="G2834">
        <v>20240701</v>
      </c>
      <c r="H2834" s="12">
        <v>46478</v>
      </c>
      <c r="I2834" s="11" t="s">
        <v>63</v>
      </c>
      <c r="J2834" s="72">
        <v>70575914</v>
      </c>
      <c r="K2834" s="99">
        <f>_xlfn.XLOOKUP(_2__ROI_Daily_Update[[#This Row],[CSM id]],SHP!F:F,SHP!EE:EE,"-")</f>
        <v>0</v>
      </c>
      <c r="L2834" s="12"/>
      <c r="N2834" s="11"/>
      <c r="P2834"/>
      <c r="Q2834"/>
      <c r="W2834" s="28"/>
      <c r="AA2834"/>
    </row>
    <row r="2835" spans="1:27" x14ac:dyDescent="0.45">
      <c r="A2835" s="57">
        <v>1012</v>
      </c>
      <c r="B2835" t="s">
        <v>1082</v>
      </c>
      <c r="C2835" t="s">
        <v>1083</v>
      </c>
      <c r="D2835" s="12">
        <v>46313</v>
      </c>
      <c r="E2835" s="11">
        <v>18</v>
      </c>
      <c r="F2835" s="11" t="s">
        <v>7430</v>
      </c>
      <c r="G2835">
        <v>20240701</v>
      </c>
      <c r="H2835" s="12">
        <v>46478</v>
      </c>
      <c r="I2835" s="11" t="s">
        <v>63</v>
      </c>
      <c r="J2835" s="72">
        <v>70575914</v>
      </c>
      <c r="K2835" s="99">
        <f>_xlfn.XLOOKUP(_2__ROI_Daily_Update[[#This Row],[CSM id]],SHP!F:F,SHP!EE:EE,"-")</f>
        <v>0</v>
      </c>
      <c r="L2835" s="12"/>
      <c r="N2835" s="11"/>
      <c r="P2835"/>
      <c r="Q2835"/>
      <c r="W2835" s="28"/>
      <c r="AA2835"/>
    </row>
    <row r="2836" spans="1:27" x14ac:dyDescent="0.45">
      <c r="A2836" s="57">
        <v>1012</v>
      </c>
      <c r="B2836" t="s">
        <v>1080</v>
      </c>
      <c r="C2836" t="s">
        <v>1081</v>
      </c>
      <c r="D2836" s="12">
        <v>46313</v>
      </c>
      <c r="E2836" s="11">
        <v>18</v>
      </c>
      <c r="F2836" s="11" t="s">
        <v>6946</v>
      </c>
      <c r="G2836">
        <v>20260101</v>
      </c>
      <c r="I2836" s="11" t="s">
        <v>63</v>
      </c>
      <c r="J2836" s="72">
        <v>60592631</v>
      </c>
      <c r="K2836" s="99">
        <f>_xlfn.XLOOKUP(_2__ROI_Daily_Update[[#This Row],[CSM id]],SHP!F:F,SHP!EE:EE,"-")</f>
        <v>0</v>
      </c>
      <c r="L2836" s="12"/>
      <c r="N2836" s="11"/>
      <c r="P2836"/>
      <c r="Q2836"/>
      <c r="W2836" s="28"/>
      <c r="AA2836"/>
    </row>
    <row r="2837" spans="1:27" x14ac:dyDescent="0.45">
      <c r="A2837" s="57">
        <v>1011</v>
      </c>
      <c r="B2837" t="s">
        <v>6349</v>
      </c>
      <c r="C2837" t="s">
        <v>6350</v>
      </c>
      <c r="D2837" s="12">
        <v>46313</v>
      </c>
      <c r="E2837" s="11">
        <v>12</v>
      </c>
      <c r="F2837" s="11" t="s">
        <v>7458</v>
      </c>
      <c r="G2837">
        <v>20260701</v>
      </c>
      <c r="I2837" s="11" t="s">
        <v>63</v>
      </c>
      <c r="J2837" s="72">
        <v>90601224</v>
      </c>
      <c r="K2837" s="99">
        <f>_xlfn.XLOOKUP(_2__ROI_Daily_Update[[#This Row],[CSM id]],SHP!F:F,SHP!EE:EE,"-")</f>
        <v>0</v>
      </c>
      <c r="L2837" s="12"/>
      <c r="N2837" s="11"/>
      <c r="P2837"/>
      <c r="Q2837"/>
      <c r="W2837" s="28"/>
      <c r="AA2837"/>
    </row>
    <row r="2838" spans="1:27" x14ac:dyDescent="0.45">
      <c r="A2838" s="57">
        <v>1012</v>
      </c>
      <c r="B2838" t="s">
        <v>1078</v>
      </c>
      <c r="C2838" t="s">
        <v>1079</v>
      </c>
      <c r="D2838" s="12">
        <v>46313</v>
      </c>
      <c r="E2838" s="11">
        <v>8</v>
      </c>
      <c r="F2838" s="11" t="s">
        <v>7430</v>
      </c>
      <c r="G2838">
        <v>20200801</v>
      </c>
      <c r="I2838" s="11" t="s">
        <v>63</v>
      </c>
      <c r="J2838" s="72">
        <v>60437683</v>
      </c>
      <c r="K2838" s="99">
        <f>_xlfn.XLOOKUP(_2__ROI_Daily_Update[[#This Row],[CSM id]],SHP!F:F,SHP!EE:EE,"-")</f>
        <v>0</v>
      </c>
      <c r="L2838" s="12"/>
      <c r="N2838" s="11"/>
      <c r="P2838"/>
      <c r="Q2838"/>
      <c r="W2838" s="28"/>
      <c r="AA2838"/>
    </row>
    <row r="2839" spans="1:27" x14ac:dyDescent="0.45">
      <c r="A2839" s="57">
        <v>1012</v>
      </c>
      <c r="B2839" t="s">
        <v>1076</v>
      </c>
      <c r="C2839" t="s">
        <v>1077</v>
      </c>
      <c r="D2839" s="12">
        <v>46313</v>
      </c>
      <c r="E2839" s="11">
        <v>12</v>
      </c>
      <c r="F2839" s="11" t="s">
        <v>7480</v>
      </c>
      <c r="G2839">
        <v>20200801</v>
      </c>
      <c r="I2839" s="11" t="s">
        <v>63</v>
      </c>
      <c r="J2839" s="72">
        <v>50437669</v>
      </c>
      <c r="K2839" s="99">
        <f>_xlfn.XLOOKUP(_2__ROI_Daily_Update[[#This Row],[CSM id]],SHP!F:F,SHP!EE:EE,"-")</f>
        <v>0</v>
      </c>
      <c r="L2839" s="12"/>
      <c r="N2839" s="11"/>
      <c r="P2839"/>
      <c r="Q2839"/>
      <c r="W2839" s="28"/>
      <c r="AA2839"/>
    </row>
    <row r="2840" spans="1:27" x14ac:dyDescent="0.45">
      <c r="A2840" s="57">
        <v>1012</v>
      </c>
      <c r="B2840" t="s">
        <v>1076</v>
      </c>
      <c r="C2840" t="s">
        <v>1077</v>
      </c>
      <c r="D2840" s="12">
        <v>46313</v>
      </c>
      <c r="E2840" s="11">
        <v>12</v>
      </c>
      <c r="F2840" s="11" t="s">
        <v>7430</v>
      </c>
      <c r="G2840">
        <v>20200801</v>
      </c>
      <c r="I2840" s="11" t="s">
        <v>63</v>
      </c>
      <c r="J2840" s="72">
        <v>50437669</v>
      </c>
      <c r="K2840" s="99">
        <f>_xlfn.XLOOKUP(_2__ROI_Daily_Update[[#This Row],[CSM id]],SHP!F:F,SHP!EE:EE,"-")</f>
        <v>0</v>
      </c>
      <c r="L2840" s="12"/>
      <c r="N2840" s="11"/>
      <c r="P2840"/>
      <c r="Q2840"/>
      <c r="W2840" s="28"/>
      <c r="AA2840"/>
    </row>
    <row r="2841" spans="1:27" x14ac:dyDescent="0.45">
      <c r="A2841" s="57">
        <v>1012</v>
      </c>
      <c r="B2841" t="s">
        <v>1074</v>
      </c>
      <c r="C2841" t="s">
        <v>1075</v>
      </c>
      <c r="D2841" s="12">
        <v>46313</v>
      </c>
      <c r="E2841" s="11">
        <v>24</v>
      </c>
      <c r="F2841" s="11" t="s">
        <v>7475</v>
      </c>
      <c r="G2841">
        <v>20140801</v>
      </c>
      <c r="I2841" s="11" t="s">
        <v>63</v>
      </c>
      <c r="J2841" s="72">
        <v>50283898</v>
      </c>
      <c r="K2841" s="99">
        <f>_xlfn.XLOOKUP(_2__ROI_Daily_Update[[#This Row],[CSM id]],SHP!F:F,SHP!EE:EE,"-")</f>
        <v>0</v>
      </c>
      <c r="L2841" s="12"/>
      <c r="N2841" s="11"/>
      <c r="P2841"/>
      <c r="Q2841"/>
      <c r="W2841" s="28"/>
      <c r="AA2841"/>
    </row>
    <row r="2842" spans="1:27" x14ac:dyDescent="0.45">
      <c r="A2842" s="57">
        <v>1012</v>
      </c>
      <c r="B2842" t="s">
        <v>1074</v>
      </c>
      <c r="C2842" t="s">
        <v>1075</v>
      </c>
      <c r="D2842" s="12">
        <v>46313</v>
      </c>
      <c r="E2842" s="11">
        <v>24</v>
      </c>
      <c r="F2842" s="11" t="s">
        <v>7448</v>
      </c>
      <c r="G2842">
        <v>20140801</v>
      </c>
      <c r="I2842" s="11" t="s">
        <v>63</v>
      </c>
      <c r="J2842" s="72">
        <v>50283898</v>
      </c>
      <c r="K2842" s="99">
        <f>_xlfn.XLOOKUP(_2__ROI_Daily_Update[[#This Row],[CSM id]],SHP!F:F,SHP!EE:EE,"-")</f>
        <v>0</v>
      </c>
      <c r="L2842" s="12"/>
      <c r="N2842" s="11"/>
      <c r="P2842"/>
      <c r="Q2842"/>
      <c r="W2842" s="28"/>
      <c r="AA2842"/>
    </row>
    <row r="2843" spans="1:27" x14ac:dyDescent="0.45">
      <c r="A2843" s="57">
        <v>1012</v>
      </c>
      <c r="B2843" t="s">
        <v>1074</v>
      </c>
      <c r="C2843" t="s">
        <v>1075</v>
      </c>
      <c r="D2843" s="12">
        <v>46313</v>
      </c>
      <c r="E2843" s="11">
        <v>24</v>
      </c>
      <c r="F2843" s="11" t="s">
        <v>7405</v>
      </c>
      <c r="G2843">
        <v>20140801</v>
      </c>
      <c r="I2843" s="11" t="s">
        <v>63</v>
      </c>
      <c r="J2843" s="72">
        <v>50283898</v>
      </c>
      <c r="K2843" s="99">
        <f>_xlfn.XLOOKUP(_2__ROI_Daily_Update[[#This Row],[CSM id]],SHP!F:F,SHP!EE:EE,"-")</f>
        <v>0</v>
      </c>
      <c r="L2843" s="12"/>
      <c r="N2843" s="11"/>
      <c r="P2843"/>
      <c r="Q2843"/>
      <c r="W2843" s="28"/>
      <c r="AA2843"/>
    </row>
    <row r="2844" spans="1:27" x14ac:dyDescent="0.45">
      <c r="A2844" s="57">
        <v>1012</v>
      </c>
      <c r="B2844" t="s">
        <v>1058</v>
      </c>
      <c r="C2844" t="s">
        <v>1059</v>
      </c>
      <c r="D2844" s="12">
        <v>46313</v>
      </c>
      <c r="E2844" s="11">
        <v>9</v>
      </c>
      <c r="F2844" s="11" t="s">
        <v>7440</v>
      </c>
      <c r="G2844">
        <v>20251001</v>
      </c>
      <c r="I2844" s="11" t="s">
        <v>63</v>
      </c>
      <c r="J2844" s="72">
        <v>10591653</v>
      </c>
      <c r="K2844" s="99">
        <f>_xlfn.XLOOKUP(_2__ROI_Daily_Update[[#This Row],[CSM id]],SHP!F:F,SHP!EE:EE,"-")</f>
        <v>0</v>
      </c>
      <c r="L2844" s="12"/>
      <c r="N2844" s="11"/>
      <c r="P2844"/>
      <c r="Q2844"/>
      <c r="W2844" s="28"/>
      <c r="AA2844"/>
    </row>
    <row r="2845" spans="1:27" x14ac:dyDescent="0.45">
      <c r="A2845" s="57">
        <v>1012</v>
      </c>
      <c r="B2845" t="s">
        <v>1060</v>
      </c>
      <c r="C2845" t="s">
        <v>1061</v>
      </c>
      <c r="D2845" s="12">
        <v>46313</v>
      </c>
      <c r="E2845" s="11">
        <v>12</v>
      </c>
      <c r="F2845" s="11" t="s">
        <v>7410</v>
      </c>
      <c r="G2845">
        <v>20250701</v>
      </c>
      <c r="I2845" s="11" t="s">
        <v>63</v>
      </c>
      <c r="J2845" s="72">
        <v>10594326</v>
      </c>
      <c r="K2845" s="99">
        <f>_xlfn.XLOOKUP(_2__ROI_Daily_Update[[#This Row],[CSM id]],SHP!F:F,SHP!EE:EE,"-")</f>
        <v>0</v>
      </c>
      <c r="L2845" s="12"/>
      <c r="N2845" s="11"/>
      <c r="P2845"/>
      <c r="Q2845"/>
      <c r="W2845" s="28"/>
      <c r="AA2845"/>
    </row>
    <row r="2846" spans="1:27" x14ac:dyDescent="0.45">
      <c r="A2846" s="57">
        <v>1012</v>
      </c>
      <c r="B2846" t="s">
        <v>5182</v>
      </c>
      <c r="C2846" t="s">
        <v>5183</v>
      </c>
      <c r="D2846" s="12">
        <v>46313</v>
      </c>
      <c r="E2846" s="11">
        <v>32</v>
      </c>
      <c r="F2846" s="11" t="s">
        <v>7420</v>
      </c>
      <c r="G2846">
        <v>20220401</v>
      </c>
      <c r="I2846" s="11" t="s">
        <v>63</v>
      </c>
      <c r="J2846" s="72">
        <v>10504566</v>
      </c>
      <c r="K2846" s="99">
        <f>_xlfn.XLOOKUP(_2__ROI_Daily_Update[[#This Row],[CSM id]],SHP!F:F,SHP!EE:EE,"-")</f>
        <v>0</v>
      </c>
      <c r="L2846" s="12"/>
      <c r="N2846" s="11"/>
      <c r="P2846"/>
      <c r="Q2846"/>
      <c r="W2846" s="28"/>
      <c r="AA2846"/>
    </row>
    <row r="2847" spans="1:27" x14ac:dyDescent="0.45">
      <c r="A2847" s="57">
        <v>1012</v>
      </c>
      <c r="B2847" t="s">
        <v>1052</v>
      </c>
      <c r="C2847" t="s">
        <v>1053</v>
      </c>
      <c r="D2847" s="12">
        <v>46313</v>
      </c>
      <c r="E2847" s="11">
        <v>12</v>
      </c>
      <c r="F2847" s="11" t="s">
        <v>7440</v>
      </c>
      <c r="G2847">
        <v>20201001</v>
      </c>
      <c r="I2847" s="11" t="s">
        <v>63</v>
      </c>
      <c r="J2847" s="72">
        <v>10484832</v>
      </c>
      <c r="K2847" s="99">
        <f>_xlfn.XLOOKUP(_2__ROI_Daily_Update[[#This Row],[CSM id]],SHP!F:F,SHP!EE:EE,"-")</f>
        <v>0</v>
      </c>
      <c r="L2847" s="12"/>
      <c r="N2847" s="11"/>
      <c r="P2847"/>
      <c r="Q2847"/>
      <c r="W2847" s="28"/>
      <c r="AA2847"/>
    </row>
    <row r="2848" spans="1:27" x14ac:dyDescent="0.45">
      <c r="A2848" s="57">
        <v>1012</v>
      </c>
      <c r="B2848" t="s">
        <v>1050</v>
      </c>
      <c r="C2848" t="s">
        <v>1051</v>
      </c>
      <c r="D2848" s="12">
        <v>46313</v>
      </c>
      <c r="E2848" s="11">
        <v>24</v>
      </c>
      <c r="F2848" s="11" t="s">
        <v>7453</v>
      </c>
      <c r="G2848">
        <v>20250701</v>
      </c>
      <c r="H2848" s="12">
        <v>46661</v>
      </c>
      <c r="I2848" s="11" t="s">
        <v>63</v>
      </c>
      <c r="J2848" s="72">
        <v>594614</v>
      </c>
      <c r="K2848" s="99">
        <f>_xlfn.XLOOKUP(_2__ROI_Daily_Update[[#This Row],[CSM id]],SHP!F:F,SHP!EE:EE,"-")</f>
        <v>0</v>
      </c>
      <c r="L2848" s="12"/>
      <c r="N2848" s="11"/>
      <c r="P2848"/>
      <c r="Q2848"/>
      <c r="W2848" s="28"/>
      <c r="AA2848"/>
    </row>
    <row r="2849" spans="1:27" x14ac:dyDescent="0.45">
      <c r="A2849" s="57">
        <v>1012</v>
      </c>
      <c r="B2849" t="s">
        <v>1064</v>
      </c>
      <c r="C2849" t="s">
        <v>1065</v>
      </c>
      <c r="D2849" s="12">
        <v>46313</v>
      </c>
      <c r="E2849" s="11">
        <v>18</v>
      </c>
      <c r="F2849" s="11" t="s">
        <v>7468</v>
      </c>
      <c r="G2849">
        <v>20140801</v>
      </c>
      <c r="I2849" s="11" t="s">
        <v>18</v>
      </c>
      <c r="J2849" s="72">
        <v>30283899</v>
      </c>
      <c r="K2849" s="99">
        <f>_xlfn.XLOOKUP(_2__ROI_Daily_Update[[#This Row],[CSM id]],SHP!F:F,SHP!EE:EE,"-")</f>
        <v>0</v>
      </c>
      <c r="L2849" s="12"/>
      <c r="N2849" s="11"/>
      <c r="P2849"/>
      <c r="Q2849"/>
      <c r="W2849" s="28"/>
      <c r="AA2849"/>
    </row>
    <row r="2850" spans="1:27" x14ac:dyDescent="0.45">
      <c r="A2850" s="57">
        <v>1012</v>
      </c>
      <c r="B2850" t="s">
        <v>1092</v>
      </c>
      <c r="C2850" t="s">
        <v>1093</v>
      </c>
      <c r="D2850" s="12">
        <v>46313</v>
      </c>
      <c r="E2850" s="11">
        <v>24</v>
      </c>
      <c r="F2850" s="11" t="s">
        <v>7415</v>
      </c>
      <c r="G2850">
        <v>20260701</v>
      </c>
      <c r="I2850" s="11" t="s">
        <v>63</v>
      </c>
      <c r="J2850" s="72">
        <v>90601238</v>
      </c>
      <c r="K2850" s="99">
        <f>_xlfn.XLOOKUP(_2__ROI_Daily_Update[[#This Row],[CSM id]],SHP!F:F,SHP!EE:EE,"-")</f>
        <v>0</v>
      </c>
      <c r="L2850" s="12"/>
      <c r="N2850" s="11"/>
      <c r="P2850"/>
      <c r="Q2850"/>
      <c r="W2850" s="28"/>
      <c r="AA2850"/>
    </row>
    <row r="2851" spans="1:27" x14ac:dyDescent="0.45">
      <c r="A2851" s="57">
        <v>1012</v>
      </c>
      <c r="B2851" t="s">
        <v>1066</v>
      </c>
      <c r="C2851" t="s">
        <v>1067</v>
      </c>
      <c r="D2851" s="12">
        <v>46313</v>
      </c>
      <c r="E2851" s="11">
        <v>24</v>
      </c>
      <c r="F2851" s="11" t="s">
        <v>7463</v>
      </c>
      <c r="G2851">
        <v>20230401</v>
      </c>
      <c r="I2851" s="11" t="s">
        <v>63</v>
      </c>
      <c r="J2851" s="72">
        <v>30520933</v>
      </c>
      <c r="K2851" s="99">
        <f>_xlfn.XLOOKUP(_2__ROI_Daily_Update[[#This Row],[CSM id]],SHP!F:F,SHP!EE:EE,"-")</f>
        <v>0</v>
      </c>
      <c r="L2851" s="12"/>
      <c r="N2851" s="11"/>
      <c r="P2851"/>
      <c r="Q2851"/>
      <c r="W2851" s="28"/>
      <c r="AA2851"/>
    </row>
    <row r="2852" spans="1:27" x14ac:dyDescent="0.45">
      <c r="A2852" s="57">
        <v>1012</v>
      </c>
      <c r="B2852" t="s">
        <v>1050</v>
      </c>
      <c r="C2852" t="s">
        <v>1051</v>
      </c>
      <c r="D2852" s="12">
        <v>46313</v>
      </c>
      <c r="E2852" s="11">
        <v>24</v>
      </c>
      <c r="F2852" s="11" t="s">
        <v>7420</v>
      </c>
      <c r="G2852">
        <v>20250701</v>
      </c>
      <c r="H2852" s="12">
        <v>46661</v>
      </c>
      <c r="I2852" s="11" t="s">
        <v>63</v>
      </c>
      <c r="J2852" s="72">
        <v>594614</v>
      </c>
      <c r="K2852" s="99">
        <f>_xlfn.XLOOKUP(_2__ROI_Daily_Update[[#This Row],[CSM id]],SHP!F:F,SHP!EE:EE,"-")</f>
        <v>0</v>
      </c>
      <c r="L2852" s="12"/>
      <c r="N2852" s="11"/>
      <c r="P2852"/>
      <c r="Q2852"/>
      <c r="W2852" s="28"/>
      <c r="AA2852"/>
    </row>
    <row r="2853" spans="1:27" x14ac:dyDescent="0.45">
      <c r="A2853" s="57">
        <v>1012</v>
      </c>
      <c r="B2853" t="s">
        <v>1068</v>
      </c>
      <c r="C2853" t="s">
        <v>1069</v>
      </c>
      <c r="D2853" s="12">
        <v>46313</v>
      </c>
      <c r="E2853" s="11">
        <v>84</v>
      </c>
      <c r="F2853" s="11" t="s">
        <v>7440</v>
      </c>
      <c r="G2853">
        <v>20261001</v>
      </c>
      <c r="I2853" s="11" t="s">
        <v>63</v>
      </c>
      <c r="J2853" s="72">
        <v>30614248</v>
      </c>
      <c r="K2853" s="99">
        <f>_xlfn.XLOOKUP(_2__ROI_Daily_Update[[#This Row],[CSM id]],SHP!F:F,SHP!EE:EE,"-")</f>
        <v>0</v>
      </c>
      <c r="L2853" s="12"/>
      <c r="N2853" s="11"/>
      <c r="P2853"/>
      <c r="Q2853"/>
      <c r="W2853" s="28"/>
      <c r="AA2853"/>
    </row>
    <row r="2854" spans="1:27" x14ac:dyDescent="0.45">
      <c r="A2854" s="57">
        <v>1012</v>
      </c>
      <c r="B2854" t="s">
        <v>1070</v>
      </c>
      <c r="C2854" t="s">
        <v>1071</v>
      </c>
      <c r="D2854" s="12">
        <v>46313</v>
      </c>
      <c r="E2854" s="11">
        <v>42</v>
      </c>
      <c r="F2854" s="11" t="s">
        <v>7420</v>
      </c>
      <c r="G2854">
        <v>20251001</v>
      </c>
      <c r="I2854" s="11" t="s">
        <v>63</v>
      </c>
      <c r="J2854" s="72">
        <v>30617609</v>
      </c>
      <c r="K2854" s="99">
        <f>_xlfn.XLOOKUP(_2__ROI_Daily_Update[[#This Row],[CSM id]],SHP!F:F,SHP!EE:EE,"-")</f>
        <v>0</v>
      </c>
      <c r="L2854" s="12"/>
      <c r="N2854" s="11"/>
      <c r="P2854"/>
      <c r="Q2854"/>
      <c r="W2854" s="28"/>
      <c r="AA2854"/>
    </row>
    <row r="2855" spans="1:27" x14ac:dyDescent="0.45">
      <c r="A2855" s="57">
        <v>1012</v>
      </c>
      <c r="B2855" t="s">
        <v>7115</v>
      </c>
      <c r="C2855" t="s">
        <v>7116</v>
      </c>
      <c r="D2855" s="12">
        <v>46313</v>
      </c>
      <c r="E2855" s="11">
        <v>48</v>
      </c>
      <c r="F2855" s="11" t="s">
        <v>7480</v>
      </c>
      <c r="G2855">
        <v>20250101</v>
      </c>
      <c r="I2855" s="11" t="s">
        <v>63</v>
      </c>
      <c r="J2855" s="72">
        <v>40568217</v>
      </c>
      <c r="K2855" s="99">
        <f>_xlfn.XLOOKUP(_2__ROI_Daily_Update[[#This Row],[CSM id]],SHP!F:F,SHP!EE:EE,"-")</f>
        <v>0</v>
      </c>
      <c r="L2855" s="12"/>
      <c r="N2855" s="11"/>
      <c r="P2855"/>
      <c r="Q2855"/>
      <c r="W2855" s="28"/>
      <c r="AA2855"/>
    </row>
    <row r="2856" spans="1:27" x14ac:dyDescent="0.45">
      <c r="A2856" s="57">
        <v>1012</v>
      </c>
      <c r="B2856" t="s">
        <v>1072</v>
      </c>
      <c r="C2856" t="s">
        <v>1073</v>
      </c>
      <c r="D2856" s="12">
        <v>46313</v>
      </c>
      <c r="E2856" s="11">
        <v>18</v>
      </c>
      <c r="F2856" s="11" t="s">
        <v>7453</v>
      </c>
      <c r="G2856">
        <v>20240701</v>
      </c>
      <c r="H2856" s="12">
        <v>46661</v>
      </c>
      <c r="I2856" s="11" t="s">
        <v>63</v>
      </c>
      <c r="J2856" s="72">
        <v>40582572</v>
      </c>
      <c r="K2856" s="99">
        <f>_xlfn.XLOOKUP(_2__ROI_Daily_Update[[#This Row],[CSM id]],SHP!F:F,SHP!EE:EE,"-")</f>
        <v>0</v>
      </c>
      <c r="L2856" s="12"/>
      <c r="N2856" s="11"/>
      <c r="P2856"/>
      <c r="Q2856"/>
      <c r="W2856" s="28"/>
      <c r="AA2856"/>
    </row>
    <row r="2857" spans="1:27" x14ac:dyDescent="0.45">
      <c r="A2857" s="57">
        <v>1012</v>
      </c>
      <c r="B2857" t="s">
        <v>1046</v>
      </c>
      <c r="C2857" t="s">
        <v>1047</v>
      </c>
      <c r="D2857" s="12">
        <v>46313</v>
      </c>
      <c r="E2857" s="11">
        <v>72</v>
      </c>
      <c r="F2857" s="11" t="s">
        <v>7453</v>
      </c>
      <c r="G2857">
        <v>20200201</v>
      </c>
      <c r="I2857" s="11" t="s">
        <v>63</v>
      </c>
      <c r="J2857" s="72">
        <v>358018</v>
      </c>
      <c r="K2857" s="99">
        <f>_xlfn.XLOOKUP(_2__ROI_Daily_Update[[#This Row],[CSM id]],SHP!F:F,SHP!EE:EE,"-")</f>
        <v>0</v>
      </c>
      <c r="L2857" s="12"/>
      <c r="N2857" s="11"/>
      <c r="P2857"/>
      <c r="Q2857"/>
      <c r="W2857" s="28"/>
      <c r="AA2857"/>
    </row>
    <row r="2858" spans="1:27" x14ac:dyDescent="0.45">
      <c r="A2858" s="57">
        <v>1012</v>
      </c>
      <c r="B2858" t="s">
        <v>7123</v>
      </c>
      <c r="C2858" t="s">
        <v>7124</v>
      </c>
      <c r="D2858" s="12">
        <v>46313</v>
      </c>
      <c r="E2858" s="11">
        <v>16</v>
      </c>
      <c r="F2858" s="11" t="s">
        <v>7475</v>
      </c>
      <c r="G2858">
        <v>20230401</v>
      </c>
      <c r="I2858" s="11" t="s">
        <v>63</v>
      </c>
      <c r="J2858" s="72">
        <v>30539206</v>
      </c>
      <c r="K2858" s="99">
        <f>_xlfn.XLOOKUP(_2__ROI_Daily_Update[[#This Row],[CSM id]],SHP!F:F,SHP!EE:EE,"-")</f>
        <v>0</v>
      </c>
      <c r="L2858" s="12"/>
      <c r="N2858" s="11"/>
      <c r="P2858"/>
      <c r="Q2858"/>
      <c r="W2858" s="28"/>
      <c r="AA2858"/>
    </row>
    <row r="2859" spans="1:27" x14ac:dyDescent="0.45">
      <c r="A2859" s="57">
        <v>1012</v>
      </c>
      <c r="B2859" t="s">
        <v>1092</v>
      </c>
      <c r="C2859" t="s">
        <v>1093</v>
      </c>
      <c r="D2859" s="12">
        <v>46313</v>
      </c>
      <c r="E2859" s="11">
        <v>54</v>
      </c>
      <c r="F2859" s="11" t="s">
        <v>7448</v>
      </c>
      <c r="G2859">
        <v>20260701</v>
      </c>
      <c r="I2859" s="11" t="s">
        <v>63</v>
      </c>
      <c r="J2859" s="72">
        <v>90601238</v>
      </c>
      <c r="K2859" s="99">
        <f>_xlfn.XLOOKUP(_2__ROI_Daily_Update[[#This Row],[CSM id]],SHP!F:F,SHP!EE:EE,"-")</f>
        <v>0</v>
      </c>
      <c r="L2859" s="12"/>
      <c r="N2859" s="11"/>
      <c r="P2859"/>
      <c r="Q2859"/>
      <c r="W2859" s="28"/>
      <c r="AA2859"/>
    </row>
    <row r="2860" spans="1:27" x14ac:dyDescent="0.45">
      <c r="A2860" s="57">
        <v>1831</v>
      </c>
      <c r="B2860" t="s">
        <v>3598</v>
      </c>
      <c r="C2860" t="s">
        <v>3599</v>
      </c>
      <c r="D2860" s="12">
        <v>46313</v>
      </c>
      <c r="E2860" s="11">
        <v>82</v>
      </c>
      <c r="F2860" s="11" t="s">
        <v>7425</v>
      </c>
      <c r="G2860">
        <v>20260101</v>
      </c>
      <c r="I2860" s="11" t="s">
        <v>63</v>
      </c>
      <c r="J2860" s="72">
        <v>40591048</v>
      </c>
      <c r="K2860" s="99">
        <f>_xlfn.XLOOKUP(_2__ROI_Daily_Update[[#This Row],[CSM id]],SHP!F:F,SHP!EE:EE,"-")</f>
        <v>0</v>
      </c>
      <c r="L2860" s="12"/>
      <c r="N2860" s="11"/>
      <c r="P2860"/>
      <c r="Q2860"/>
      <c r="W2860" s="28"/>
      <c r="AA2860"/>
    </row>
    <row r="2861" spans="1:27" x14ac:dyDescent="0.45">
      <c r="A2861" s="57">
        <v>1012</v>
      </c>
      <c r="B2861" t="s">
        <v>1094</v>
      </c>
      <c r="C2861" t="s">
        <v>1095</v>
      </c>
      <c r="D2861" s="12">
        <v>46313</v>
      </c>
      <c r="E2861" s="11">
        <v>18</v>
      </c>
      <c r="F2861" s="11" t="s">
        <v>7395</v>
      </c>
      <c r="G2861">
        <v>20260701</v>
      </c>
      <c r="I2861" s="11" t="s">
        <v>63</v>
      </c>
      <c r="J2861" s="72">
        <v>90618390</v>
      </c>
      <c r="K2861" s="99">
        <f>_xlfn.XLOOKUP(_2__ROI_Daily_Update[[#This Row],[CSM id]],SHP!F:F,SHP!EE:EE,"-")</f>
        <v>0</v>
      </c>
      <c r="L2861" s="12"/>
      <c r="N2861" s="11"/>
      <c r="P2861"/>
      <c r="Q2861"/>
      <c r="W2861" s="28"/>
      <c r="AA2861"/>
    </row>
    <row r="2862" spans="1:27" x14ac:dyDescent="0.45">
      <c r="A2862" s="57">
        <v>1831</v>
      </c>
      <c r="B2862" t="s">
        <v>3596</v>
      </c>
      <c r="C2862" t="s">
        <v>3597</v>
      </c>
      <c r="D2862" s="12">
        <v>46313</v>
      </c>
      <c r="E2862" s="11">
        <v>168</v>
      </c>
      <c r="F2862" s="11" t="s">
        <v>7440</v>
      </c>
      <c r="G2862">
        <v>20260701</v>
      </c>
      <c r="I2862" s="11" t="s">
        <v>63</v>
      </c>
      <c r="J2862" s="72">
        <v>30630583</v>
      </c>
      <c r="K2862" s="99">
        <f>_xlfn.XLOOKUP(_2__ROI_Daily_Update[[#This Row],[CSM id]],SHP!F:F,SHP!EE:EE,"-")</f>
        <v>0</v>
      </c>
      <c r="L2862" s="12"/>
      <c r="N2862" s="11"/>
      <c r="P2862"/>
      <c r="Q2862"/>
      <c r="W2862" s="28"/>
      <c r="AA2862"/>
    </row>
    <row r="2863" spans="1:27" x14ac:dyDescent="0.45">
      <c r="A2863" s="57">
        <v>1013</v>
      </c>
      <c r="B2863" t="s">
        <v>1118</v>
      </c>
      <c r="C2863" t="s">
        <v>1119</v>
      </c>
      <c r="D2863" s="12">
        <v>46313</v>
      </c>
      <c r="E2863" s="11">
        <v>8</v>
      </c>
      <c r="F2863" s="11" t="s">
        <v>7420</v>
      </c>
      <c r="G2863">
        <v>20260601</v>
      </c>
      <c r="I2863" s="11" t="s">
        <v>63</v>
      </c>
      <c r="J2863" s="72">
        <v>90617079</v>
      </c>
      <c r="K2863" s="99">
        <f>_xlfn.XLOOKUP(_2__ROI_Daily_Update[[#This Row],[CSM id]],SHP!F:F,SHP!EE:EE,"-")</f>
        <v>0</v>
      </c>
      <c r="L2863" s="12"/>
      <c r="N2863" s="11"/>
      <c r="P2863"/>
      <c r="Q2863"/>
      <c r="W2863" s="28"/>
      <c r="AA2863"/>
    </row>
    <row r="2864" spans="1:27" x14ac:dyDescent="0.45">
      <c r="A2864" s="57">
        <v>1011</v>
      </c>
      <c r="B2864" t="s">
        <v>1034</v>
      </c>
      <c r="C2864" t="s">
        <v>1035</v>
      </c>
      <c r="D2864" s="12">
        <v>46313</v>
      </c>
      <c r="E2864" s="11">
        <v>16</v>
      </c>
      <c r="F2864" s="11" t="s">
        <v>7410</v>
      </c>
      <c r="G2864">
        <v>20210201</v>
      </c>
      <c r="I2864" s="11" t="s">
        <v>63</v>
      </c>
      <c r="J2864" s="72">
        <v>70477739</v>
      </c>
      <c r="K2864" s="99">
        <f>_xlfn.XLOOKUP(_2__ROI_Daily_Update[[#This Row],[CSM id]],SHP!F:F,SHP!EE:EE,"-")</f>
        <v>0</v>
      </c>
      <c r="L2864" s="12"/>
      <c r="N2864" s="11"/>
      <c r="P2864"/>
      <c r="Q2864"/>
      <c r="W2864" s="28"/>
      <c r="AA2864"/>
    </row>
    <row r="2865" spans="1:27" x14ac:dyDescent="0.45">
      <c r="A2865" s="57">
        <v>1014</v>
      </c>
      <c r="B2865" t="s">
        <v>1120</v>
      </c>
      <c r="C2865" t="s">
        <v>1121</v>
      </c>
      <c r="D2865" s="12">
        <v>46313</v>
      </c>
      <c r="E2865" s="11">
        <v>8</v>
      </c>
      <c r="F2865" s="11" t="s">
        <v>7440</v>
      </c>
      <c r="G2865">
        <v>20261001</v>
      </c>
      <c r="I2865" s="11" t="s">
        <v>63</v>
      </c>
      <c r="J2865" s="72">
        <v>640116</v>
      </c>
      <c r="K2865" s="99">
        <f>_xlfn.XLOOKUP(_2__ROI_Daily_Update[[#This Row],[CSM id]],SHP!F:F,SHP!EE:EE,"-")</f>
        <v>0</v>
      </c>
      <c r="L2865" s="12"/>
      <c r="N2865" s="11"/>
      <c r="P2865"/>
      <c r="Q2865"/>
      <c r="W2865" s="28"/>
      <c r="AA2865"/>
    </row>
    <row r="2866" spans="1:27" x14ac:dyDescent="0.45">
      <c r="A2866" s="57">
        <v>1011</v>
      </c>
      <c r="B2866" t="s">
        <v>1032</v>
      </c>
      <c r="C2866" t="s">
        <v>1033</v>
      </c>
      <c r="D2866" s="12">
        <v>46313</v>
      </c>
      <c r="E2866" s="11">
        <v>12</v>
      </c>
      <c r="F2866" s="11" t="s">
        <v>7463</v>
      </c>
      <c r="G2866">
        <v>20161001</v>
      </c>
      <c r="H2866" s="12">
        <v>46569</v>
      </c>
      <c r="I2866" s="11" t="s">
        <v>63</v>
      </c>
      <c r="J2866" s="72">
        <v>70303112</v>
      </c>
      <c r="K2866" s="99">
        <f>_xlfn.XLOOKUP(_2__ROI_Daily_Update[[#This Row],[CSM id]],SHP!F:F,SHP!EE:EE,"-")</f>
        <v>0</v>
      </c>
      <c r="L2866" s="12"/>
      <c r="N2866" s="11"/>
      <c r="P2866"/>
      <c r="Q2866"/>
      <c r="W2866" s="28"/>
      <c r="AA2866"/>
    </row>
    <row r="2867" spans="1:27" x14ac:dyDescent="0.45">
      <c r="A2867" s="57">
        <v>1014</v>
      </c>
      <c r="B2867" t="s">
        <v>6369</v>
      </c>
      <c r="C2867" t="s">
        <v>6370</v>
      </c>
      <c r="D2867" s="12">
        <v>46313</v>
      </c>
      <c r="E2867" s="11">
        <v>12</v>
      </c>
      <c r="F2867" s="11" t="s">
        <v>7453</v>
      </c>
      <c r="G2867">
        <v>20260101</v>
      </c>
      <c r="I2867" s="11" t="s">
        <v>63</v>
      </c>
      <c r="J2867" s="72">
        <v>10599461</v>
      </c>
      <c r="K2867" s="99">
        <f>_xlfn.XLOOKUP(_2__ROI_Daily_Update[[#This Row],[CSM id]],SHP!F:F,SHP!EE:EE,"-")</f>
        <v>0</v>
      </c>
      <c r="L2867" s="12"/>
      <c r="N2867" s="11"/>
      <c r="P2867"/>
      <c r="Q2867"/>
      <c r="W2867" s="28"/>
      <c r="AA2867"/>
    </row>
    <row r="2868" spans="1:27" x14ac:dyDescent="0.45">
      <c r="A2868" s="57">
        <v>1013</v>
      </c>
      <c r="B2868" t="s">
        <v>1116</v>
      </c>
      <c r="C2868" t="s">
        <v>1117</v>
      </c>
      <c r="D2868" s="12">
        <v>46313</v>
      </c>
      <c r="E2868" s="11">
        <v>34</v>
      </c>
      <c r="F2868" s="11" t="s">
        <v>7420</v>
      </c>
      <c r="G2868">
        <v>20200201</v>
      </c>
      <c r="H2868" s="12">
        <v>46569</v>
      </c>
      <c r="I2868" s="11" t="s">
        <v>63</v>
      </c>
      <c r="J2868" s="72">
        <v>90405459</v>
      </c>
      <c r="K2868" s="99">
        <f>_xlfn.XLOOKUP(_2__ROI_Daily_Update[[#This Row],[CSM id]],SHP!F:F,SHP!EE:EE,"-")</f>
        <v>0</v>
      </c>
      <c r="L2868" s="12"/>
      <c r="N2868" s="11"/>
      <c r="P2868"/>
      <c r="Q2868"/>
      <c r="W2868" s="28"/>
      <c r="AA2868"/>
    </row>
    <row r="2869" spans="1:27" x14ac:dyDescent="0.45">
      <c r="A2869" s="57">
        <v>1014</v>
      </c>
      <c r="B2869" t="s">
        <v>1122</v>
      </c>
      <c r="C2869" t="s">
        <v>1123</v>
      </c>
      <c r="D2869" s="12">
        <v>46313</v>
      </c>
      <c r="E2869" s="11">
        <v>8</v>
      </c>
      <c r="F2869" s="11" t="s">
        <v>6946</v>
      </c>
      <c r="G2869">
        <v>20170801</v>
      </c>
      <c r="I2869" s="11" t="s">
        <v>63</v>
      </c>
      <c r="J2869" s="72">
        <v>20336271</v>
      </c>
      <c r="K2869" s="99">
        <f>_xlfn.XLOOKUP(_2__ROI_Daily_Update[[#This Row],[CSM id]],SHP!F:F,SHP!EE:EE,"-")</f>
        <v>0</v>
      </c>
      <c r="L2869" s="12"/>
      <c r="N2869" s="11"/>
      <c r="P2869"/>
      <c r="Q2869"/>
      <c r="W2869" s="28"/>
      <c r="AA2869"/>
    </row>
    <row r="2870" spans="1:27" x14ac:dyDescent="0.45">
      <c r="A2870" s="57">
        <v>1011</v>
      </c>
      <c r="B2870" t="s">
        <v>1030</v>
      </c>
      <c r="C2870" t="s">
        <v>1031</v>
      </c>
      <c r="D2870" s="12">
        <v>46313</v>
      </c>
      <c r="E2870" s="11">
        <v>91</v>
      </c>
      <c r="F2870" s="11" t="s">
        <v>7420</v>
      </c>
      <c r="G2870">
        <v>20260601</v>
      </c>
      <c r="I2870" s="11" t="s">
        <v>63</v>
      </c>
      <c r="J2870" s="72">
        <v>60608528</v>
      </c>
      <c r="K2870" s="99">
        <f>_xlfn.XLOOKUP(_2__ROI_Daily_Update[[#This Row],[CSM id]],SHP!F:F,SHP!EE:EE,"-")</f>
        <v>0</v>
      </c>
      <c r="L2870" s="12"/>
      <c r="N2870" s="11"/>
      <c r="P2870"/>
      <c r="Q2870"/>
      <c r="W2870" s="28"/>
      <c r="AA2870"/>
    </row>
    <row r="2871" spans="1:27" x14ac:dyDescent="0.45">
      <c r="A2871" s="57">
        <v>1014</v>
      </c>
      <c r="B2871" t="s">
        <v>5352</v>
      </c>
      <c r="C2871" t="s">
        <v>5353</v>
      </c>
      <c r="D2871" s="12">
        <v>46313</v>
      </c>
      <c r="E2871" s="11">
        <v>8</v>
      </c>
      <c r="F2871" s="11" t="s">
        <v>7420</v>
      </c>
      <c r="G2871">
        <v>20191001</v>
      </c>
      <c r="I2871" s="11" t="s">
        <v>63</v>
      </c>
      <c r="J2871" s="72">
        <v>40424790</v>
      </c>
      <c r="K2871" s="99">
        <f>_xlfn.XLOOKUP(_2__ROI_Daily_Update[[#This Row],[CSM id]],SHP!F:F,SHP!EE:EE,"-")</f>
        <v>0</v>
      </c>
      <c r="L2871" s="12"/>
      <c r="N2871" s="11"/>
      <c r="P2871"/>
      <c r="Q2871"/>
      <c r="W2871" s="28"/>
      <c r="AA2871"/>
    </row>
    <row r="2872" spans="1:27" x14ac:dyDescent="0.45">
      <c r="A2872" s="57">
        <v>1011</v>
      </c>
      <c r="B2872" t="s">
        <v>1028</v>
      </c>
      <c r="C2872" t="s">
        <v>1029</v>
      </c>
      <c r="D2872" s="12">
        <v>46313</v>
      </c>
      <c r="E2872" s="11">
        <v>8</v>
      </c>
      <c r="F2872" s="11" t="s">
        <v>7430</v>
      </c>
      <c r="G2872">
        <v>20191001</v>
      </c>
      <c r="H2872" s="12">
        <v>46569</v>
      </c>
      <c r="I2872" s="11" t="s">
        <v>63</v>
      </c>
      <c r="J2872" s="72">
        <v>60405984</v>
      </c>
      <c r="K2872" s="99">
        <f>_xlfn.XLOOKUP(_2__ROI_Daily_Update[[#This Row],[CSM id]],SHP!F:F,SHP!EE:EE,"-")</f>
        <v>0</v>
      </c>
      <c r="L2872" s="12"/>
      <c r="N2872" s="11"/>
      <c r="P2872"/>
      <c r="Q2872"/>
      <c r="W2872" s="28"/>
      <c r="AA2872"/>
    </row>
    <row r="2873" spans="1:27" x14ac:dyDescent="0.45">
      <c r="A2873" s="57">
        <v>1011</v>
      </c>
      <c r="B2873" t="s">
        <v>6871</v>
      </c>
      <c r="C2873" t="s">
        <v>6872</v>
      </c>
      <c r="D2873" s="12">
        <v>46313</v>
      </c>
      <c r="E2873" s="11">
        <v>48</v>
      </c>
      <c r="F2873" s="11" t="s">
        <v>7463</v>
      </c>
      <c r="G2873">
        <v>20200201</v>
      </c>
      <c r="I2873" s="11" t="s">
        <v>63</v>
      </c>
      <c r="J2873" s="72">
        <v>60336778</v>
      </c>
      <c r="K2873" s="99">
        <f>_xlfn.XLOOKUP(_2__ROI_Daily_Update[[#This Row],[CSM id]],SHP!F:F,SHP!EE:EE,"-")</f>
        <v>0</v>
      </c>
      <c r="L2873" s="12"/>
      <c r="N2873" s="11"/>
      <c r="P2873"/>
      <c r="Q2873"/>
      <c r="W2873" s="28"/>
      <c r="AA2873"/>
    </row>
    <row r="2874" spans="1:27" x14ac:dyDescent="0.45">
      <c r="A2874" s="57">
        <v>1014</v>
      </c>
      <c r="B2874" t="s">
        <v>1130</v>
      </c>
      <c r="C2874" t="s">
        <v>1131</v>
      </c>
      <c r="D2874" s="12">
        <v>46313</v>
      </c>
      <c r="E2874" s="11">
        <v>4</v>
      </c>
      <c r="F2874" s="11" t="s">
        <v>7440</v>
      </c>
      <c r="G2874">
        <v>20250401</v>
      </c>
      <c r="I2874" s="11" t="s">
        <v>63</v>
      </c>
      <c r="J2874" s="72">
        <v>40592514</v>
      </c>
      <c r="K2874" s="99">
        <f>_xlfn.XLOOKUP(_2__ROI_Daily_Update[[#This Row],[CSM id]],SHP!F:F,SHP!EE:EE,"-")</f>
        <v>0</v>
      </c>
      <c r="L2874" s="12"/>
      <c r="N2874" s="11"/>
      <c r="P2874"/>
      <c r="Q2874"/>
      <c r="W2874" s="28"/>
      <c r="AA2874"/>
    </row>
    <row r="2875" spans="1:27" x14ac:dyDescent="0.45">
      <c r="A2875" s="57">
        <v>1011</v>
      </c>
      <c r="B2875" t="s">
        <v>1026</v>
      </c>
      <c r="C2875" t="s">
        <v>1027</v>
      </c>
      <c r="D2875" s="12">
        <v>46313</v>
      </c>
      <c r="E2875" s="11">
        <v>8</v>
      </c>
      <c r="F2875" s="11" t="s">
        <v>6946</v>
      </c>
      <c r="G2875">
        <v>20260401</v>
      </c>
      <c r="I2875" s="11" t="s">
        <v>63</v>
      </c>
      <c r="J2875" s="72">
        <v>50601216</v>
      </c>
      <c r="K2875" s="99">
        <f>_xlfn.XLOOKUP(_2__ROI_Daily_Update[[#This Row],[CSM id]],SHP!F:F,SHP!EE:EE,"-")</f>
        <v>0</v>
      </c>
      <c r="L2875" s="12"/>
      <c r="N2875" s="11"/>
      <c r="P2875"/>
      <c r="Q2875"/>
      <c r="W2875" s="28"/>
      <c r="AA2875"/>
    </row>
    <row r="2876" spans="1:27" x14ac:dyDescent="0.45">
      <c r="A2876" s="57">
        <v>1011</v>
      </c>
      <c r="B2876" t="s">
        <v>1032</v>
      </c>
      <c r="C2876" t="s">
        <v>1033</v>
      </c>
      <c r="D2876" s="12">
        <v>46313</v>
      </c>
      <c r="E2876" s="11">
        <v>6</v>
      </c>
      <c r="F2876" s="11" t="s">
        <v>7410</v>
      </c>
      <c r="G2876">
        <v>20161001</v>
      </c>
      <c r="H2876" s="12">
        <v>46569</v>
      </c>
      <c r="I2876" s="11" t="s">
        <v>63</v>
      </c>
      <c r="J2876" s="72">
        <v>70303112</v>
      </c>
      <c r="K2876" s="99">
        <f>_xlfn.XLOOKUP(_2__ROI_Daily_Update[[#This Row],[CSM id]],SHP!F:F,SHP!EE:EE,"-")</f>
        <v>0</v>
      </c>
      <c r="L2876" s="12"/>
      <c r="N2876" s="11"/>
      <c r="P2876"/>
      <c r="Q2876"/>
      <c r="W2876" s="28"/>
      <c r="AA2876"/>
    </row>
    <row r="2877" spans="1:27" x14ac:dyDescent="0.45">
      <c r="A2877" s="57">
        <v>1021</v>
      </c>
      <c r="B2877" t="s">
        <v>1204</v>
      </c>
      <c r="C2877" t="s">
        <v>1205</v>
      </c>
      <c r="D2877" s="12">
        <v>46313</v>
      </c>
      <c r="E2877" s="11">
        <v>28</v>
      </c>
      <c r="F2877" s="11" t="s">
        <v>7453</v>
      </c>
      <c r="G2877">
        <v>20251001</v>
      </c>
      <c r="I2877" s="11" t="s">
        <v>63</v>
      </c>
      <c r="J2877" s="72">
        <v>20620136</v>
      </c>
      <c r="K2877" s="99">
        <f>_xlfn.XLOOKUP(_2__ROI_Daily_Update[[#This Row],[CSM id]],SHP!F:F,SHP!EE:EE,"-")</f>
        <v>0</v>
      </c>
      <c r="L2877" s="12"/>
      <c r="N2877" s="11"/>
      <c r="P2877"/>
      <c r="Q2877"/>
      <c r="W2877" s="28"/>
      <c r="AA2877"/>
    </row>
    <row r="2878" spans="1:27" x14ac:dyDescent="0.45">
      <c r="A2878" s="57">
        <v>1013</v>
      </c>
      <c r="B2878" t="s">
        <v>1114</v>
      </c>
      <c r="C2878" t="s">
        <v>1115</v>
      </c>
      <c r="D2878" s="12">
        <v>46313</v>
      </c>
      <c r="E2878" s="11">
        <v>6</v>
      </c>
      <c r="F2878" s="11" t="s">
        <v>7410</v>
      </c>
      <c r="G2878">
        <v>20240401</v>
      </c>
      <c r="I2878" s="11" t="s">
        <v>63</v>
      </c>
      <c r="J2878" s="72">
        <v>80561662</v>
      </c>
      <c r="K2878" s="99">
        <f>_xlfn.XLOOKUP(_2__ROI_Daily_Update[[#This Row],[CSM id]],SHP!F:F,SHP!EE:EE,"-")</f>
        <v>0</v>
      </c>
      <c r="L2878" s="12"/>
      <c r="N2878" s="11"/>
      <c r="P2878"/>
      <c r="Q2878"/>
      <c r="W2878" s="28"/>
      <c r="AA2878"/>
    </row>
    <row r="2879" spans="1:27" x14ac:dyDescent="0.45">
      <c r="A2879" s="57">
        <v>1013</v>
      </c>
      <c r="B2879" t="s">
        <v>1112</v>
      </c>
      <c r="C2879" t="s">
        <v>1113</v>
      </c>
      <c r="D2879" s="12">
        <v>46313</v>
      </c>
      <c r="E2879" s="11">
        <v>28</v>
      </c>
      <c r="F2879" s="11" t="s">
        <v>7425</v>
      </c>
      <c r="G2879">
        <v>20260701</v>
      </c>
      <c r="I2879" s="11" t="s">
        <v>63</v>
      </c>
      <c r="J2879" s="72">
        <v>70610795</v>
      </c>
      <c r="K2879" s="99">
        <f>_xlfn.XLOOKUP(_2__ROI_Daily_Update[[#This Row],[CSM id]],SHP!F:F,SHP!EE:EE,"-")</f>
        <v>0</v>
      </c>
      <c r="L2879" s="12"/>
      <c r="N2879" s="11"/>
      <c r="P2879"/>
      <c r="Q2879"/>
      <c r="W2879" s="28"/>
      <c r="AA2879"/>
    </row>
    <row r="2880" spans="1:27" x14ac:dyDescent="0.45">
      <c r="A2880" s="57">
        <v>1013</v>
      </c>
      <c r="B2880" t="s">
        <v>1096</v>
      </c>
      <c r="C2880" t="s">
        <v>1097</v>
      </c>
      <c r="D2880" s="12">
        <v>46313</v>
      </c>
      <c r="E2880" s="11">
        <v>18</v>
      </c>
      <c r="F2880" s="11" t="s">
        <v>7430</v>
      </c>
      <c r="G2880">
        <v>20180201</v>
      </c>
      <c r="I2880" s="11" t="s">
        <v>63</v>
      </c>
      <c r="J2880" s="72">
        <v>363147</v>
      </c>
      <c r="K2880" s="99">
        <f>_xlfn.XLOOKUP(_2__ROI_Daily_Update[[#This Row],[CSM id]],SHP!F:F,SHP!EE:EE,"-")</f>
        <v>0</v>
      </c>
      <c r="L2880" s="12"/>
      <c r="N2880" s="11"/>
      <c r="P2880"/>
      <c r="Q2880"/>
      <c r="W2880" s="28"/>
      <c r="AA2880"/>
    </row>
    <row r="2881" spans="1:27" x14ac:dyDescent="0.45">
      <c r="A2881" s="57">
        <v>1011</v>
      </c>
      <c r="B2881" t="s">
        <v>6399</v>
      </c>
      <c r="C2881" t="s">
        <v>6400</v>
      </c>
      <c r="D2881" s="12">
        <v>46313</v>
      </c>
      <c r="E2881" s="11">
        <v>14</v>
      </c>
      <c r="F2881" s="11" t="s">
        <v>7453</v>
      </c>
      <c r="G2881">
        <v>20230101</v>
      </c>
      <c r="H2881" s="12">
        <v>46478</v>
      </c>
      <c r="I2881" s="11" t="s">
        <v>63</v>
      </c>
      <c r="J2881" s="72">
        <v>80478125</v>
      </c>
      <c r="K2881" s="99">
        <f>_xlfn.XLOOKUP(_2__ROI_Daily_Update[[#This Row],[CSM id]],SHP!F:F,SHP!EE:EE,"-")</f>
        <v>0</v>
      </c>
      <c r="L2881" s="12"/>
      <c r="N2881" s="11"/>
      <c r="P2881"/>
      <c r="Q2881"/>
      <c r="W2881" s="28"/>
      <c r="AA2881"/>
    </row>
    <row r="2882" spans="1:27" x14ac:dyDescent="0.45">
      <c r="A2882" s="57">
        <v>1013</v>
      </c>
      <c r="B2882" t="s">
        <v>5580</v>
      </c>
      <c r="C2882" t="s">
        <v>5581</v>
      </c>
      <c r="D2882" s="12">
        <v>46313</v>
      </c>
      <c r="E2882" s="11">
        <v>2</v>
      </c>
      <c r="F2882" s="11" t="s">
        <v>7410</v>
      </c>
      <c r="G2882">
        <v>20181001</v>
      </c>
      <c r="I2882" s="11" t="s">
        <v>63</v>
      </c>
      <c r="J2882" s="72">
        <v>10382433</v>
      </c>
      <c r="K2882" s="99">
        <f>_xlfn.XLOOKUP(_2__ROI_Daily_Update[[#This Row],[CSM id]],SHP!F:F,SHP!EE:EE,"-")</f>
        <v>0</v>
      </c>
      <c r="L2882" s="12"/>
      <c r="N2882" s="11"/>
      <c r="P2882"/>
      <c r="Q2882"/>
      <c r="W2882" s="28"/>
      <c r="AA2882"/>
    </row>
    <row r="2883" spans="1:27" x14ac:dyDescent="0.45">
      <c r="A2883" s="57">
        <v>1013</v>
      </c>
      <c r="B2883" t="s">
        <v>5580</v>
      </c>
      <c r="C2883" t="s">
        <v>5581</v>
      </c>
      <c r="D2883" s="12">
        <v>46313</v>
      </c>
      <c r="E2883" s="11">
        <v>2</v>
      </c>
      <c r="F2883" s="11" t="s">
        <v>7463</v>
      </c>
      <c r="G2883">
        <v>20181001</v>
      </c>
      <c r="I2883" s="11" t="s">
        <v>63</v>
      </c>
      <c r="J2883" s="72">
        <v>10382433</v>
      </c>
      <c r="K2883" s="99">
        <f>_xlfn.XLOOKUP(_2__ROI_Daily_Update[[#This Row],[CSM id]],SHP!F:F,SHP!EE:EE,"-")</f>
        <v>0</v>
      </c>
      <c r="L2883" s="12"/>
      <c r="N2883" s="11"/>
      <c r="P2883"/>
      <c r="Q2883"/>
      <c r="W2883" s="28"/>
      <c r="AA2883"/>
    </row>
    <row r="2884" spans="1:27" x14ac:dyDescent="0.45">
      <c r="A2884" s="57">
        <v>1013</v>
      </c>
      <c r="B2884" t="s">
        <v>1100</v>
      </c>
      <c r="C2884" t="s">
        <v>1101</v>
      </c>
      <c r="D2884" s="12">
        <v>46313</v>
      </c>
      <c r="E2884" s="11">
        <v>12</v>
      </c>
      <c r="F2884" s="11" t="s">
        <v>7453</v>
      </c>
      <c r="G2884">
        <v>20240701</v>
      </c>
      <c r="I2884" s="11" t="s">
        <v>63</v>
      </c>
      <c r="J2884" s="72">
        <v>10503821</v>
      </c>
      <c r="K2884" s="99">
        <f>_xlfn.XLOOKUP(_2__ROI_Daily_Update[[#This Row],[CSM id]],SHP!F:F,SHP!EE:EE,"-")</f>
        <v>0</v>
      </c>
      <c r="L2884" s="12"/>
      <c r="N2884" s="11"/>
      <c r="P2884"/>
      <c r="Q2884"/>
      <c r="W2884" s="28"/>
      <c r="AA2884"/>
    </row>
    <row r="2885" spans="1:27" x14ac:dyDescent="0.45">
      <c r="A2885" s="57">
        <v>1011</v>
      </c>
      <c r="B2885" t="s">
        <v>1038</v>
      </c>
      <c r="C2885" t="s">
        <v>1039</v>
      </c>
      <c r="D2885" s="12">
        <v>46313</v>
      </c>
      <c r="E2885" s="11">
        <v>48</v>
      </c>
      <c r="F2885" s="11" t="s">
        <v>7453</v>
      </c>
      <c r="G2885">
        <v>20210201</v>
      </c>
      <c r="I2885" s="11" t="s">
        <v>63</v>
      </c>
      <c r="J2885" s="72">
        <v>80464053</v>
      </c>
      <c r="K2885" s="99">
        <f>_xlfn.XLOOKUP(_2__ROI_Daily_Update[[#This Row],[CSM id]],SHP!F:F,SHP!EE:EE,"-")</f>
        <v>0</v>
      </c>
      <c r="L2885" s="12"/>
      <c r="N2885" s="11"/>
      <c r="P2885"/>
      <c r="Q2885"/>
      <c r="W2885" s="28"/>
      <c r="AA2885"/>
    </row>
    <row r="2886" spans="1:27" x14ac:dyDescent="0.45">
      <c r="A2886" s="57">
        <v>1013</v>
      </c>
      <c r="B2886" t="s">
        <v>5136</v>
      </c>
      <c r="C2886" t="s">
        <v>5137</v>
      </c>
      <c r="D2886" s="12">
        <v>46313</v>
      </c>
      <c r="E2886" s="11">
        <v>30</v>
      </c>
      <c r="F2886" s="11" t="s">
        <v>7425</v>
      </c>
      <c r="G2886">
        <v>20220401</v>
      </c>
      <c r="I2886" s="11" t="s">
        <v>63</v>
      </c>
      <c r="J2886" s="72">
        <v>80515868</v>
      </c>
      <c r="K2886" s="99">
        <f>_xlfn.XLOOKUP(_2__ROI_Daily_Update[[#This Row],[CSM id]],SHP!F:F,SHP!EE:EE,"-")</f>
        <v>0</v>
      </c>
      <c r="L2886" s="12"/>
      <c r="N2886" s="11"/>
      <c r="P2886"/>
      <c r="Q2886"/>
      <c r="W2886" s="28"/>
      <c r="AA2886"/>
    </row>
    <row r="2887" spans="1:27" x14ac:dyDescent="0.45">
      <c r="A2887" s="57">
        <v>1013</v>
      </c>
      <c r="B2887" t="s">
        <v>1102</v>
      </c>
      <c r="C2887" t="s">
        <v>1103</v>
      </c>
      <c r="D2887" s="12">
        <v>46313</v>
      </c>
      <c r="E2887" s="11">
        <v>16</v>
      </c>
      <c r="F2887" s="11" t="s">
        <v>7405</v>
      </c>
      <c r="G2887">
        <v>20210201</v>
      </c>
      <c r="I2887" s="11" t="s">
        <v>63</v>
      </c>
      <c r="J2887" s="72">
        <v>20469119</v>
      </c>
      <c r="K2887" s="99">
        <f>_xlfn.XLOOKUP(_2__ROI_Daily_Update[[#This Row],[CSM id]],SHP!F:F,SHP!EE:EE,"-")</f>
        <v>0</v>
      </c>
      <c r="L2887" s="12"/>
      <c r="N2887" s="11"/>
      <c r="P2887"/>
      <c r="Q2887"/>
      <c r="W2887" s="28"/>
      <c r="AA2887"/>
    </row>
    <row r="2888" spans="1:27" x14ac:dyDescent="0.45">
      <c r="A2888" s="57">
        <v>1013</v>
      </c>
      <c r="B2888" t="s">
        <v>5739</v>
      </c>
      <c r="C2888" t="s">
        <v>5740</v>
      </c>
      <c r="D2888" s="12">
        <v>46313</v>
      </c>
      <c r="E2888" s="11">
        <v>8</v>
      </c>
      <c r="F2888" s="11" t="s">
        <v>7410</v>
      </c>
      <c r="G2888">
        <v>20260101</v>
      </c>
      <c r="I2888" s="11" t="s">
        <v>63</v>
      </c>
      <c r="J2888" s="72">
        <v>30590964</v>
      </c>
      <c r="K2888" s="99">
        <f>_xlfn.XLOOKUP(_2__ROI_Daily_Update[[#This Row],[CSM id]],SHP!F:F,SHP!EE:EE,"-")</f>
        <v>0</v>
      </c>
      <c r="L2888" s="12"/>
      <c r="N2888" s="11"/>
      <c r="P2888"/>
      <c r="Q2888"/>
      <c r="W2888" s="28"/>
      <c r="AA2888"/>
    </row>
    <row r="2889" spans="1:27" x14ac:dyDescent="0.45">
      <c r="A2889" s="57">
        <v>1011</v>
      </c>
      <c r="B2889" t="s">
        <v>1038</v>
      </c>
      <c r="C2889" t="s">
        <v>1039</v>
      </c>
      <c r="D2889" s="12">
        <v>46313</v>
      </c>
      <c r="E2889" s="11">
        <v>48</v>
      </c>
      <c r="F2889" s="11" t="s">
        <v>7410</v>
      </c>
      <c r="G2889">
        <v>20210201</v>
      </c>
      <c r="I2889" s="11" t="s">
        <v>63</v>
      </c>
      <c r="J2889" s="72">
        <v>80464053</v>
      </c>
      <c r="K2889" s="99">
        <f>_xlfn.XLOOKUP(_2__ROI_Daily_Update[[#This Row],[CSM id]],SHP!F:F,SHP!EE:EE,"-")</f>
        <v>0</v>
      </c>
      <c r="L2889" s="12"/>
      <c r="N2889" s="11"/>
      <c r="P2889"/>
      <c r="Q2889"/>
      <c r="W2889" s="28"/>
      <c r="AA2889"/>
    </row>
    <row r="2890" spans="1:27" x14ac:dyDescent="0.45">
      <c r="A2890" s="57">
        <v>1013</v>
      </c>
      <c r="B2890" t="s">
        <v>1110</v>
      </c>
      <c r="C2890" t="s">
        <v>1111</v>
      </c>
      <c r="D2890" s="12">
        <v>46313</v>
      </c>
      <c r="E2890" s="11">
        <v>4</v>
      </c>
      <c r="F2890" s="11" t="s">
        <v>7410</v>
      </c>
      <c r="G2890">
        <v>20251001</v>
      </c>
      <c r="I2890" s="11" t="s">
        <v>63</v>
      </c>
      <c r="J2890" s="72">
        <v>50595687</v>
      </c>
      <c r="K2890" s="99">
        <f>_xlfn.XLOOKUP(_2__ROI_Daily_Update[[#This Row],[CSM id]],SHP!F:F,SHP!EE:EE,"-")</f>
        <v>0</v>
      </c>
      <c r="L2890" s="12"/>
      <c r="N2890" s="11"/>
      <c r="P2890"/>
      <c r="Q2890"/>
      <c r="W2890" s="28"/>
      <c r="AA2890"/>
    </row>
    <row r="2891" spans="1:27" x14ac:dyDescent="0.45">
      <c r="A2891" s="57">
        <v>1013</v>
      </c>
      <c r="B2891" t="s">
        <v>5741</v>
      </c>
      <c r="C2891" t="s">
        <v>5742</v>
      </c>
      <c r="D2891" s="12">
        <v>46313</v>
      </c>
      <c r="E2891" s="11">
        <v>4</v>
      </c>
      <c r="F2891" s="11" t="s">
        <v>7410</v>
      </c>
      <c r="G2891">
        <v>20260401</v>
      </c>
      <c r="I2891" s="11" t="s">
        <v>63</v>
      </c>
      <c r="J2891" s="72">
        <v>50595847</v>
      </c>
      <c r="K2891" s="99">
        <f>_xlfn.XLOOKUP(_2__ROI_Daily_Update[[#This Row],[CSM id]],SHP!F:F,SHP!EE:EE,"-")</f>
        <v>0</v>
      </c>
      <c r="L2891" s="12"/>
      <c r="N2891" s="11"/>
      <c r="P2891"/>
      <c r="Q2891"/>
      <c r="W2891" s="28"/>
      <c r="AA2891"/>
    </row>
    <row r="2892" spans="1:27" x14ac:dyDescent="0.45">
      <c r="A2892" s="57">
        <v>1013</v>
      </c>
      <c r="B2892" t="s">
        <v>5749</v>
      </c>
      <c r="C2892" t="s">
        <v>5750</v>
      </c>
      <c r="D2892" s="12">
        <v>46313</v>
      </c>
      <c r="E2892" s="11">
        <v>8</v>
      </c>
      <c r="F2892" s="11" t="s">
        <v>7395</v>
      </c>
      <c r="G2892">
        <v>20200801</v>
      </c>
      <c r="I2892" s="11" t="s">
        <v>63</v>
      </c>
      <c r="J2892" s="72">
        <v>70441024</v>
      </c>
      <c r="K2892" s="99">
        <f>_xlfn.XLOOKUP(_2__ROI_Daily_Update[[#This Row],[CSM id]],SHP!F:F,SHP!EE:EE,"-")</f>
        <v>0</v>
      </c>
      <c r="L2892" s="12"/>
      <c r="N2892" s="11"/>
      <c r="P2892"/>
      <c r="Q2892"/>
      <c r="W2892" s="28"/>
      <c r="AA2892"/>
    </row>
    <row r="2893" spans="1:27" x14ac:dyDescent="0.45">
      <c r="A2893" s="57">
        <v>1013</v>
      </c>
      <c r="B2893" t="s">
        <v>6523</v>
      </c>
      <c r="C2893" t="s">
        <v>6524</v>
      </c>
      <c r="D2893" s="12">
        <v>46313</v>
      </c>
      <c r="E2893" s="11">
        <v>108</v>
      </c>
      <c r="F2893" s="11" t="s">
        <v>7453</v>
      </c>
      <c r="G2893">
        <v>20250101</v>
      </c>
      <c r="I2893" s="11" t="s">
        <v>63</v>
      </c>
      <c r="J2893" s="72">
        <v>70580072</v>
      </c>
      <c r="K2893" s="99">
        <f>_xlfn.XLOOKUP(_2__ROI_Daily_Update[[#This Row],[CSM id]],SHP!F:F,SHP!EE:EE,"-")</f>
        <v>0</v>
      </c>
      <c r="L2893" s="12"/>
      <c r="N2893" s="11"/>
      <c r="P2893"/>
      <c r="Q2893"/>
      <c r="W2893" s="28"/>
      <c r="AA2893"/>
    </row>
    <row r="2894" spans="1:27" x14ac:dyDescent="0.45">
      <c r="A2894" s="57">
        <v>1013</v>
      </c>
      <c r="B2894" t="s">
        <v>5616</v>
      </c>
      <c r="C2894" t="s">
        <v>5617</v>
      </c>
      <c r="D2894" s="12">
        <v>46313</v>
      </c>
      <c r="E2894" s="11">
        <v>18</v>
      </c>
      <c r="F2894" s="11" t="s">
        <v>7410</v>
      </c>
      <c r="G2894">
        <v>20250101</v>
      </c>
      <c r="I2894" s="11" t="s">
        <v>63</v>
      </c>
      <c r="J2894" s="72">
        <v>20582752</v>
      </c>
      <c r="K2894" s="99">
        <f>_xlfn.XLOOKUP(_2__ROI_Daily_Update[[#This Row],[CSM id]],SHP!F:F,SHP!EE:EE,"-")</f>
        <v>0</v>
      </c>
      <c r="L2894" s="12"/>
      <c r="N2894" s="11"/>
      <c r="P2894"/>
      <c r="Q2894"/>
      <c r="W2894" s="28"/>
      <c r="AA2894"/>
    </row>
    <row r="2895" spans="1:27" x14ac:dyDescent="0.45">
      <c r="A2895" s="57">
        <v>1081</v>
      </c>
      <c r="B2895" t="s">
        <v>1329</v>
      </c>
      <c r="C2895" t="s">
        <v>1330</v>
      </c>
      <c r="D2895" s="12">
        <v>46313</v>
      </c>
      <c r="E2895" s="11">
        <v>48</v>
      </c>
      <c r="F2895" s="11" t="s">
        <v>7453</v>
      </c>
      <c r="G2895">
        <v>20261001</v>
      </c>
      <c r="H2895" s="12">
        <v>46388</v>
      </c>
      <c r="I2895" s="11" t="s">
        <v>63</v>
      </c>
      <c r="J2895" s="72">
        <v>90635375</v>
      </c>
      <c r="K2895" s="99">
        <f>_xlfn.XLOOKUP(_2__ROI_Daily_Update[[#This Row],[CSM id]],SHP!F:F,SHP!EE:EE,"-")</f>
        <v>0</v>
      </c>
      <c r="L2895" s="12"/>
      <c r="N2895" s="11"/>
      <c r="P2895"/>
      <c r="Q2895"/>
      <c r="W2895" s="28"/>
      <c r="AA2895"/>
    </row>
    <row r="2896" spans="1:27" x14ac:dyDescent="0.45">
      <c r="A2896" s="57">
        <v>984</v>
      </c>
      <c r="B2896" t="s">
        <v>6045</v>
      </c>
      <c r="C2896" t="s">
        <v>6046</v>
      </c>
      <c r="D2896" s="12">
        <v>46313</v>
      </c>
      <c r="E2896" s="11">
        <v>60</v>
      </c>
      <c r="F2896" s="11" t="s">
        <v>7440</v>
      </c>
      <c r="G2896">
        <v>20200201</v>
      </c>
      <c r="I2896" s="11" t="s">
        <v>63</v>
      </c>
      <c r="J2896" s="72">
        <v>30443812</v>
      </c>
      <c r="K2896" s="99">
        <f>_xlfn.XLOOKUP(_2__ROI_Daily_Update[[#This Row],[CSM id]],SHP!F:F,SHP!EE:EE,"-")</f>
        <v>0</v>
      </c>
      <c r="L2896" s="12"/>
      <c r="N2896" s="11"/>
      <c r="P2896"/>
      <c r="Q2896"/>
      <c r="W2896" s="28"/>
      <c r="AA2896"/>
    </row>
    <row r="2897" spans="1:27" x14ac:dyDescent="0.45">
      <c r="A2897" s="57">
        <v>984</v>
      </c>
      <c r="B2897" t="s">
        <v>6245</v>
      </c>
      <c r="C2897" t="s">
        <v>6246</v>
      </c>
      <c r="D2897" s="12">
        <v>46313</v>
      </c>
      <c r="E2897" s="11">
        <v>62</v>
      </c>
      <c r="F2897" s="11" t="s">
        <v>7435</v>
      </c>
      <c r="G2897">
        <v>20200801</v>
      </c>
      <c r="I2897" s="11" t="s">
        <v>63</v>
      </c>
      <c r="J2897" s="72">
        <v>20339868</v>
      </c>
      <c r="K2897" s="99">
        <f>_xlfn.XLOOKUP(_2__ROI_Daily_Update[[#This Row],[CSM id]],SHP!F:F,SHP!EE:EE,"-")</f>
        <v>0</v>
      </c>
      <c r="L2897" s="12"/>
      <c r="N2897" s="11"/>
      <c r="P2897"/>
      <c r="Q2897"/>
      <c r="W2897" s="28"/>
      <c r="AA2897"/>
    </row>
    <row r="2898" spans="1:27" x14ac:dyDescent="0.45">
      <c r="A2898" s="57">
        <v>1043</v>
      </c>
      <c r="B2898" t="s">
        <v>1314</v>
      </c>
      <c r="C2898" t="s">
        <v>1315</v>
      </c>
      <c r="D2898" s="12">
        <v>46313</v>
      </c>
      <c r="E2898" s="11">
        <v>16</v>
      </c>
      <c r="F2898" s="11" t="s">
        <v>7410</v>
      </c>
      <c r="G2898">
        <v>20240701</v>
      </c>
      <c r="I2898" s="11" t="s">
        <v>63</v>
      </c>
      <c r="J2898" s="72">
        <v>60565369</v>
      </c>
      <c r="K2898" s="99">
        <f>_xlfn.XLOOKUP(_2__ROI_Daily_Update[[#This Row],[CSM id]],SHP!F:F,SHP!EE:EE,"-")</f>
        <v>0</v>
      </c>
      <c r="L2898" s="12"/>
      <c r="N2898" s="11"/>
      <c r="P2898"/>
      <c r="Q2898"/>
      <c r="W2898" s="28"/>
      <c r="AA2898"/>
    </row>
    <row r="2899" spans="1:27" x14ac:dyDescent="0.45">
      <c r="A2899" s="57">
        <v>1043</v>
      </c>
      <c r="B2899" t="s">
        <v>1310</v>
      </c>
      <c r="C2899" t="s">
        <v>1311</v>
      </c>
      <c r="D2899" s="12">
        <v>46313</v>
      </c>
      <c r="E2899" s="11">
        <v>21</v>
      </c>
      <c r="F2899" s="11" t="s">
        <v>7463</v>
      </c>
      <c r="G2899">
        <v>20250101</v>
      </c>
      <c r="I2899" s="11" t="s">
        <v>63</v>
      </c>
      <c r="J2899" s="72">
        <v>30599139</v>
      </c>
      <c r="K2899" s="99">
        <f>_xlfn.XLOOKUP(_2__ROI_Daily_Update[[#This Row],[CSM id]],SHP!F:F,SHP!EE:EE,"-")</f>
        <v>0</v>
      </c>
      <c r="L2899" s="12"/>
      <c r="N2899" s="11"/>
      <c r="P2899"/>
      <c r="Q2899"/>
      <c r="W2899" s="28"/>
      <c r="AA2899"/>
    </row>
    <row r="2900" spans="1:27" x14ac:dyDescent="0.45">
      <c r="A2900" s="57">
        <v>1043</v>
      </c>
      <c r="B2900" t="s">
        <v>1310</v>
      </c>
      <c r="C2900" t="s">
        <v>1311</v>
      </c>
      <c r="D2900" s="12">
        <v>46313</v>
      </c>
      <c r="E2900" s="11">
        <v>21</v>
      </c>
      <c r="F2900" s="11" t="s">
        <v>7453</v>
      </c>
      <c r="G2900">
        <v>20250101</v>
      </c>
      <c r="I2900" s="11" t="s">
        <v>63</v>
      </c>
      <c r="J2900" s="72">
        <v>30599139</v>
      </c>
      <c r="K2900" s="99">
        <f>_xlfn.XLOOKUP(_2__ROI_Daily_Update[[#This Row],[CSM id]],SHP!F:F,SHP!EE:EE,"-")</f>
        <v>0</v>
      </c>
      <c r="L2900" s="12"/>
      <c r="N2900" s="11"/>
      <c r="P2900"/>
      <c r="Q2900"/>
      <c r="W2900" s="28"/>
      <c r="AA2900"/>
    </row>
    <row r="2901" spans="1:27" x14ac:dyDescent="0.45">
      <c r="A2901" s="57">
        <v>1043</v>
      </c>
      <c r="B2901" t="s">
        <v>1310</v>
      </c>
      <c r="C2901" t="s">
        <v>1311</v>
      </c>
      <c r="D2901" s="12">
        <v>46313</v>
      </c>
      <c r="E2901" s="11">
        <v>21</v>
      </c>
      <c r="F2901" s="11" t="s">
        <v>7430</v>
      </c>
      <c r="G2901">
        <v>20250101</v>
      </c>
      <c r="I2901" s="11" t="s">
        <v>63</v>
      </c>
      <c r="J2901" s="72">
        <v>30599139</v>
      </c>
      <c r="K2901" s="99">
        <f>_xlfn.XLOOKUP(_2__ROI_Daily_Update[[#This Row],[CSM id]],SHP!F:F,SHP!EE:EE,"-")</f>
        <v>0</v>
      </c>
      <c r="L2901" s="12"/>
      <c r="N2901" s="11"/>
      <c r="P2901"/>
      <c r="Q2901"/>
      <c r="W2901" s="28"/>
      <c r="AA2901"/>
    </row>
    <row r="2902" spans="1:27" x14ac:dyDescent="0.45">
      <c r="A2902" s="57">
        <v>1043</v>
      </c>
      <c r="B2902" t="s">
        <v>5841</v>
      </c>
      <c r="C2902" t="s">
        <v>5842</v>
      </c>
      <c r="D2902" s="12">
        <v>46313</v>
      </c>
      <c r="E2902" s="11">
        <v>32</v>
      </c>
      <c r="F2902" s="11" t="s">
        <v>7463</v>
      </c>
      <c r="G2902">
        <v>20240701</v>
      </c>
      <c r="I2902" s="11" t="s">
        <v>63</v>
      </c>
      <c r="J2902" s="72">
        <v>20570565</v>
      </c>
      <c r="K2902" s="99">
        <f>_xlfn.XLOOKUP(_2__ROI_Daily_Update[[#This Row],[CSM id]],SHP!F:F,SHP!EE:EE,"-")</f>
        <v>0</v>
      </c>
      <c r="L2902" s="12"/>
      <c r="N2902" s="11"/>
      <c r="P2902"/>
      <c r="Q2902"/>
      <c r="W2902" s="28"/>
      <c r="AA2902"/>
    </row>
    <row r="2903" spans="1:27" x14ac:dyDescent="0.45">
      <c r="A2903" s="57">
        <v>1043</v>
      </c>
      <c r="B2903" t="s">
        <v>5841</v>
      </c>
      <c r="C2903" t="s">
        <v>5842</v>
      </c>
      <c r="D2903" s="12">
        <v>46313</v>
      </c>
      <c r="E2903" s="11">
        <v>32</v>
      </c>
      <c r="F2903" s="11" t="s">
        <v>7400</v>
      </c>
      <c r="G2903">
        <v>20240701</v>
      </c>
      <c r="I2903" s="11" t="s">
        <v>63</v>
      </c>
      <c r="J2903" s="72">
        <v>20570565</v>
      </c>
      <c r="K2903" s="99">
        <f>_xlfn.XLOOKUP(_2__ROI_Daily_Update[[#This Row],[CSM id]],SHP!F:F,SHP!EE:EE,"-")</f>
        <v>0</v>
      </c>
      <c r="L2903" s="12"/>
      <c r="N2903" s="11"/>
      <c r="P2903"/>
      <c r="Q2903"/>
      <c r="W2903" s="28"/>
      <c r="AA2903"/>
    </row>
    <row r="2904" spans="1:27" x14ac:dyDescent="0.45">
      <c r="A2904" s="57">
        <v>1043</v>
      </c>
      <c r="B2904" t="s">
        <v>1308</v>
      </c>
      <c r="C2904" t="s">
        <v>1309</v>
      </c>
      <c r="D2904" s="12">
        <v>46313</v>
      </c>
      <c r="E2904" s="11">
        <v>84</v>
      </c>
      <c r="F2904" s="11" t="s">
        <v>7463</v>
      </c>
      <c r="G2904">
        <v>20241001</v>
      </c>
      <c r="I2904" s="11" t="s">
        <v>63</v>
      </c>
      <c r="J2904" s="72">
        <v>20565333</v>
      </c>
      <c r="K2904" s="99">
        <f>_xlfn.XLOOKUP(_2__ROI_Daily_Update[[#This Row],[CSM id]],SHP!F:F,SHP!EE:EE,"-")</f>
        <v>0</v>
      </c>
      <c r="L2904" s="12"/>
      <c r="N2904" s="11"/>
      <c r="P2904"/>
      <c r="Q2904"/>
      <c r="W2904" s="28"/>
      <c r="AA2904"/>
    </row>
    <row r="2905" spans="1:27" x14ac:dyDescent="0.45">
      <c r="A2905" s="57">
        <v>1043</v>
      </c>
      <c r="B2905" t="s">
        <v>1308</v>
      </c>
      <c r="C2905" t="s">
        <v>1309</v>
      </c>
      <c r="D2905" s="12">
        <v>46313</v>
      </c>
      <c r="E2905" s="11">
        <v>84</v>
      </c>
      <c r="F2905" s="11" t="s">
        <v>7420</v>
      </c>
      <c r="G2905">
        <v>20241001</v>
      </c>
      <c r="I2905" s="11" t="s">
        <v>63</v>
      </c>
      <c r="J2905" s="72">
        <v>20565333</v>
      </c>
      <c r="K2905" s="99">
        <f>_xlfn.XLOOKUP(_2__ROI_Daily_Update[[#This Row],[CSM id]],SHP!F:F,SHP!EE:EE,"-")</f>
        <v>0</v>
      </c>
      <c r="L2905" s="12"/>
      <c r="N2905" s="11"/>
      <c r="P2905"/>
      <c r="Q2905"/>
      <c r="W2905" s="28"/>
      <c r="AA2905"/>
    </row>
    <row r="2906" spans="1:27" x14ac:dyDescent="0.45">
      <c r="A2906" s="57">
        <v>983</v>
      </c>
      <c r="B2906" t="s">
        <v>5156</v>
      </c>
      <c r="C2906" t="s">
        <v>5157</v>
      </c>
      <c r="D2906" s="12">
        <v>46313</v>
      </c>
      <c r="E2906" s="11">
        <v>78</v>
      </c>
      <c r="F2906" s="11" t="s">
        <v>7425</v>
      </c>
      <c r="G2906">
        <v>20250101</v>
      </c>
      <c r="I2906" s="11" t="s">
        <v>63</v>
      </c>
      <c r="J2906" s="72">
        <v>10573753</v>
      </c>
      <c r="K2906" s="99">
        <f>_xlfn.XLOOKUP(_2__ROI_Daily_Update[[#This Row],[CSM id]],SHP!F:F,SHP!EE:EE,"-")</f>
        <v>0</v>
      </c>
      <c r="L2906" s="12"/>
      <c r="N2906" s="11"/>
      <c r="P2906"/>
      <c r="Q2906"/>
      <c r="W2906" s="28"/>
      <c r="AA2906"/>
    </row>
    <row r="2907" spans="1:27" x14ac:dyDescent="0.45">
      <c r="A2907" s="57">
        <v>1043</v>
      </c>
      <c r="B2907" t="s">
        <v>1306</v>
      </c>
      <c r="C2907" t="s">
        <v>1307</v>
      </c>
      <c r="D2907" s="12">
        <v>46313</v>
      </c>
      <c r="E2907" s="11">
        <v>30</v>
      </c>
      <c r="F2907" s="11" t="s">
        <v>7430</v>
      </c>
      <c r="G2907">
        <v>20200801</v>
      </c>
      <c r="I2907" s="11" t="s">
        <v>63</v>
      </c>
      <c r="J2907" s="72">
        <v>20405844</v>
      </c>
      <c r="K2907" s="99">
        <f>_xlfn.XLOOKUP(_2__ROI_Daily_Update[[#This Row],[CSM id]],SHP!F:F,SHP!EE:EE,"-")</f>
        <v>0</v>
      </c>
      <c r="L2907" s="12"/>
      <c r="N2907" s="11"/>
      <c r="P2907"/>
      <c r="Q2907"/>
      <c r="W2907" s="28"/>
      <c r="AA2907"/>
    </row>
    <row r="2908" spans="1:27" x14ac:dyDescent="0.45">
      <c r="A2908" s="57">
        <v>1043</v>
      </c>
      <c r="B2908" t="s">
        <v>1304</v>
      </c>
      <c r="C2908" t="s">
        <v>1305</v>
      </c>
      <c r="D2908" s="12">
        <v>46313</v>
      </c>
      <c r="E2908" s="11">
        <v>42</v>
      </c>
      <c r="F2908" s="11" t="s">
        <v>7453</v>
      </c>
      <c r="G2908">
        <v>20260701</v>
      </c>
      <c r="I2908" s="11" t="s">
        <v>63</v>
      </c>
      <c r="J2908" s="72">
        <v>633781</v>
      </c>
      <c r="K2908" s="99">
        <f>_xlfn.XLOOKUP(_2__ROI_Daily_Update[[#This Row],[CSM id]],SHP!F:F,SHP!EE:EE,"-")</f>
        <v>0</v>
      </c>
      <c r="L2908" s="12"/>
      <c r="N2908" s="11"/>
      <c r="P2908"/>
      <c r="Q2908"/>
      <c r="W2908" s="28"/>
      <c r="AA2908"/>
    </row>
    <row r="2909" spans="1:27" x14ac:dyDescent="0.45">
      <c r="A2909" s="57">
        <v>983</v>
      </c>
      <c r="B2909" t="s">
        <v>5156</v>
      </c>
      <c r="C2909" t="s">
        <v>5157</v>
      </c>
      <c r="D2909" s="12">
        <v>46313</v>
      </c>
      <c r="E2909" s="11">
        <v>78</v>
      </c>
      <c r="F2909" s="11" t="s">
        <v>6940</v>
      </c>
      <c r="G2909">
        <v>20250101</v>
      </c>
      <c r="I2909" s="11" t="s">
        <v>63</v>
      </c>
      <c r="J2909" s="72">
        <v>10573753</v>
      </c>
      <c r="K2909" s="99">
        <f>_xlfn.XLOOKUP(_2__ROI_Daily_Update[[#This Row],[CSM id]],SHP!F:F,SHP!EE:EE,"-")</f>
        <v>0</v>
      </c>
      <c r="L2909" s="12"/>
      <c r="N2909" s="11"/>
      <c r="P2909"/>
      <c r="Q2909"/>
      <c r="W2909" s="28"/>
      <c r="AA2909"/>
    </row>
    <row r="2910" spans="1:27" x14ac:dyDescent="0.45">
      <c r="A2910" s="57">
        <v>1031</v>
      </c>
      <c r="B2910" t="s">
        <v>1302</v>
      </c>
      <c r="C2910" t="s">
        <v>1303</v>
      </c>
      <c r="D2910" s="12">
        <v>46313</v>
      </c>
      <c r="E2910" s="11">
        <v>960</v>
      </c>
      <c r="F2910" s="11" t="s">
        <v>7430</v>
      </c>
      <c r="G2910">
        <v>20250701</v>
      </c>
      <c r="I2910" s="11" t="s">
        <v>63</v>
      </c>
      <c r="J2910" s="72">
        <v>90591480</v>
      </c>
      <c r="K2910" s="99">
        <f>_xlfn.XLOOKUP(_2__ROI_Daily_Update[[#This Row],[CSM id]],SHP!F:F,SHP!EE:EE,"-")</f>
        <v>0</v>
      </c>
      <c r="L2910" s="12"/>
      <c r="N2910" s="11"/>
      <c r="P2910"/>
      <c r="Q2910"/>
      <c r="W2910" s="28"/>
      <c r="AA2910"/>
    </row>
    <row r="2911" spans="1:27" x14ac:dyDescent="0.45">
      <c r="A2911" s="57">
        <v>1031</v>
      </c>
      <c r="B2911" t="s">
        <v>1300</v>
      </c>
      <c r="C2911" t="s">
        <v>1301</v>
      </c>
      <c r="D2911" s="12">
        <v>46313</v>
      </c>
      <c r="E2911" s="11">
        <v>72</v>
      </c>
      <c r="F2911" s="11" t="s">
        <v>7420</v>
      </c>
      <c r="G2911">
        <v>20230701</v>
      </c>
      <c r="I2911" s="11" t="s">
        <v>63</v>
      </c>
      <c r="J2911" s="72">
        <v>90539246</v>
      </c>
      <c r="K2911" s="99">
        <f>_xlfn.XLOOKUP(_2__ROI_Daily_Update[[#This Row],[CSM id]],SHP!F:F,SHP!EE:EE,"-")</f>
        <v>0</v>
      </c>
      <c r="L2911" s="12"/>
      <c r="N2911" s="11"/>
      <c r="P2911"/>
      <c r="Q2911"/>
      <c r="W2911" s="28"/>
      <c r="AA2911"/>
    </row>
    <row r="2912" spans="1:27" x14ac:dyDescent="0.45">
      <c r="A2912" s="57">
        <v>1031</v>
      </c>
      <c r="B2912" t="s">
        <v>5773</v>
      </c>
      <c r="C2912" t="s">
        <v>5774</v>
      </c>
      <c r="D2912" s="12">
        <v>46313</v>
      </c>
      <c r="E2912" s="11">
        <v>12</v>
      </c>
      <c r="F2912" s="11" t="s">
        <v>7435</v>
      </c>
      <c r="G2912">
        <v>20260401</v>
      </c>
      <c r="I2912" s="11" t="s">
        <v>63</v>
      </c>
      <c r="J2912" s="72">
        <v>80619154</v>
      </c>
      <c r="K2912" s="99">
        <f>_xlfn.XLOOKUP(_2__ROI_Daily_Update[[#This Row],[CSM id]],SHP!F:F,SHP!EE:EE,"-")</f>
        <v>0</v>
      </c>
      <c r="L2912" s="12"/>
      <c r="N2912" s="11"/>
      <c r="P2912"/>
      <c r="Q2912"/>
      <c r="W2912" s="28"/>
      <c r="AA2912"/>
    </row>
    <row r="2913" spans="1:27" x14ac:dyDescent="0.45">
      <c r="A2913" s="57">
        <v>1831</v>
      </c>
      <c r="B2913" t="s">
        <v>5997</v>
      </c>
      <c r="C2913" t="s">
        <v>5998</v>
      </c>
      <c r="D2913" s="12">
        <v>46313</v>
      </c>
      <c r="E2913" s="11">
        <v>96</v>
      </c>
      <c r="F2913" s="11" t="s">
        <v>6940</v>
      </c>
      <c r="G2913">
        <v>20260401</v>
      </c>
      <c r="I2913" s="11" t="s">
        <v>63</v>
      </c>
      <c r="J2913" s="72">
        <v>80621543</v>
      </c>
      <c r="K2913" s="99">
        <f>_xlfn.XLOOKUP(_2__ROI_Daily_Update[[#This Row],[CSM id]],SHP!F:F,SHP!EE:EE,"-")</f>
        <v>0</v>
      </c>
      <c r="L2913" s="12"/>
      <c r="N2913" s="11"/>
      <c r="P2913"/>
      <c r="Q2913"/>
      <c r="W2913" s="28"/>
      <c r="AA2913"/>
    </row>
    <row r="2914" spans="1:27" x14ac:dyDescent="0.45">
      <c r="A2914" s="57">
        <v>1031</v>
      </c>
      <c r="B2914" t="s">
        <v>6739</v>
      </c>
      <c r="C2914" t="s">
        <v>6740</v>
      </c>
      <c r="D2914" s="12">
        <v>46313</v>
      </c>
      <c r="E2914" s="11">
        <v>80</v>
      </c>
      <c r="F2914" s="11" t="s">
        <v>7463</v>
      </c>
      <c r="G2914">
        <v>20260401</v>
      </c>
      <c r="H2914" s="12">
        <v>46478</v>
      </c>
      <c r="I2914" s="11" t="s">
        <v>63</v>
      </c>
      <c r="J2914" s="72">
        <v>70584089</v>
      </c>
      <c r="K2914" s="99">
        <f>_xlfn.XLOOKUP(_2__ROI_Daily_Update[[#This Row],[CSM id]],SHP!F:F,SHP!EE:EE,"-")</f>
        <v>0</v>
      </c>
      <c r="L2914" s="12"/>
      <c r="N2914" s="11"/>
      <c r="P2914"/>
      <c r="Q2914"/>
      <c r="W2914" s="28"/>
      <c r="AA2914"/>
    </row>
    <row r="2915" spans="1:27" x14ac:dyDescent="0.45">
      <c r="A2915" s="57">
        <v>1031</v>
      </c>
      <c r="B2915" t="s">
        <v>6041</v>
      </c>
      <c r="C2915" t="s">
        <v>6042</v>
      </c>
      <c r="D2915" s="12">
        <v>46313</v>
      </c>
      <c r="E2915" s="11">
        <v>6</v>
      </c>
      <c r="F2915" s="11" t="s">
        <v>6946</v>
      </c>
      <c r="G2915">
        <v>20260101</v>
      </c>
      <c r="I2915" s="11" t="s">
        <v>63</v>
      </c>
      <c r="J2915" s="72">
        <v>30613362</v>
      </c>
      <c r="K2915" s="99">
        <f>_xlfn.XLOOKUP(_2__ROI_Daily_Update[[#This Row],[CSM id]],SHP!F:F,SHP!EE:EE,"-")</f>
        <v>0</v>
      </c>
      <c r="L2915" s="12"/>
      <c r="N2915" s="11"/>
      <c r="P2915"/>
      <c r="Q2915"/>
      <c r="W2915" s="28"/>
      <c r="AA2915"/>
    </row>
    <row r="2916" spans="1:27" x14ac:dyDescent="0.45">
      <c r="A2916" s="57">
        <v>1031</v>
      </c>
      <c r="B2916" t="s">
        <v>1288</v>
      </c>
      <c r="C2916" t="s">
        <v>1289</v>
      </c>
      <c r="D2916" s="12">
        <v>46313</v>
      </c>
      <c r="E2916" s="11">
        <v>160</v>
      </c>
      <c r="F2916" s="11" t="s">
        <v>6946</v>
      </c>
      <c r="G2916">
        <v>20250101</v>
      </c>
      <c r="I2916" s="11" t="s">
        <v>63</v>
      </c>
      <c r="J2916" s="72">
        <v>40584043</v>
      </c>
      <c r="K2916" s="99">
        <f>_xlfn.XLOOKUP(_2__ROI_Daily_Update[[#This Row],[CSM id]],SHP!F:F,SHP!EE:EE,"-")</f>
        <v>0</v>
      </c>
      <c r="L2916" s="12"/>
      <c r="N2916" s="11"/>
      <c r="P2916"/>
      <c r="Q2916"/>
      <c r="W2916" s="28"/>
      <c r="AA2916"/>
    </row>
    <row r="2917" spans="1:27" x14ac:dyDescent="0.45">
      <c r="A2917" s="57">
        <v>1031</v>
      </c>
      <c r="B2917" t="s">
        <v>6311</v>
      </c>
      <c r="C2917" t="s">
        <v>6312</v>
      </c>
      <c r="D2917" s="12">
        <v>46313</v>
      </c>
      <c r="E2917" s="11">
        <v>144</v>
      </c>
      <c r="F2917" s="11" t="s">
        <v>7453</v>
      </c>
      <c r="G2917">
        <v>20240101</v>
      </c>
      <c r="I2917" s="11" t="s">
        <v>63</v>
      </c>
      <c r="J2917" s="72">
        <v>50550491</v>
      </c>
      <c r="K2917" s="99">
        <f>_xlfn.XLOOKUP(_2__ROI_Daily_Update[[#This Row],[CSM id]],SHP!F:F,SHP!EE:EE,"-")</f>
        <v>0</v>
      </c>
      <c r="L2917" s="12"/>
      <c r="N2917" s="11"/>
      <c r="P2917"/>
      <c r="Q2917"/>
      <c r="W2917" s="28"/>
      <c r="AA2917"/>
    </row>
    <row r="2918" spans="1:27" x14ac:dyDescent="0.45">
      <c r="A2918" s="57">
        <v>1031</v>
      </c>
      <c r="B2918" t="s">
        <v>7095</v>
      </c>
      <c r="C2918" t="s">
        <v>7096</v>
      </c>
      <c r="D2918" s="12">
        <v>46313</v>
      </c>
      <c r="E2918" s="11">
        <v>192</v>
      </c>
      <c r="F2918" s="11" t="s">
        <v>7480</v>
      </c>
      <c r="G2918">
        <v>20250101</v>
      </c>
      <c r="I2918" s="11" t="s">
        <v>63</v>
      </c>
      <c r="J2918" s="72">
        <v>50583991</v>
      </c>
      <c r="K2918" s="99">
        <f>_xlfn.XLOOKUP(_2__ROI_Daily_Update[[#This Row],[CSM id]],SHP!F:F,SHP!EE:EE,"-")</f>
        <v>0</v>
      </c>
      <c r="L2918" s="12"/>
      <c r="N2918" s="11"/>
      <c r="P2918"/>
      <c r="Q2918"/>
      <c r="W2918" s="28"/>
      <c r="AA2918"/>
    </row>
    <row r="2919" spans="1:27" x14ac:dyDescent="0.45">
      <c r="A2919" s="57">
        <v>1031</v>
      </c>
      <c r="B2919" t="s">
        <v>1290</v>
      </c>
      <c r="C2919" t="s">
        <v>1291</v>
      </c>
      <c r="D2919" s="12">
        <v>46313</v>
      </c>
      <c r="E2919" s="11">
        <v>30</v>
      </c>
      <c r="F2919" s="11" t="s">
        <v>7420</v>
      </c>
      <c r="G2919">
        <v>20260401</v>
      </c>
      <c r="I2919" s="11" t="s">
        <v>63</v>
      </c>
      <c r="J2919" s="72">
        <v>50614841</v>
      </c>
      <c r="K2919" s="99">
        <f>_xlfn.XLOOKUP(_2__ROI_Daily_Update[[#This Row],[CSM id]],SHP!F:F,SHP!EE:EE,"-")</f>
        <v>0</v>
      </c>
      <c r="L2919" s="12"/>
      <c r="N2919" s="11"/>
      <c r="P2919"/>
      <c r="Q2919"/>
      <c r="W2919" s="28"/>
      <c r="AA2919"/>
    </row>
    <row r="2920" spans="1:27" x14ac:dyDescent="0.45">
      <c r="A2920" s="57">
        <v>1031</v>
      </c>
      <c r="B2920" t="s">
        <v>1292</v>
      </c>
      <c r="C2920" t="s">
        <v>1293</v>
      </c>
      <c r="D2920" s="12">
        <v>46313</v>
      </c>
      <c r="E2920" s="11">
        <v>8</v>
      </c>
      <c r="F2920" s="11" t="s">
        <v>7430</v>
      </c>
      <c r="G2920">
        <v>20260401</v>
      </c>
      <c r="I2920" s="11" t="s">
        <v>63</v>
      </c>
      <c r="J2920" s="72">
        <v>50614860</v>
      </c>
      <c r="K2920" s="99">
        <f>_xlfn.XLOOKUP(_2__ROI_Daily_Update[[#This Row],[CSM id]],SHP!F:F,SHP!EE:EE,"-")</f>
        <v>0</v>
      </c>
      <c r="L2920" s="12"/>
      <c r="N2920" s="11"/>
      <c r="P2920"/>
      <c r="Q2920"/>
      <c r="W2920" s="28"/>
      <c r="AA2920"/>
    </row>
    <row r="2921" spans="1:27" x14ac:dyDescent="0.45">
      <c r="A2921" s="57">
        <v>1043</v>
      </c>
      <c r="B2921" t="s">
        <v>1316</v>
      </c>
      <c r="C2921" t="s">
        <v>1317</v>
      </c>
      <c r="D2921" s="12">
        <v>46313</v>
      </c>
      <c r="E2921" s="11">
        <v>15</v>
      </c>
      <c r="F2921" s="11" t="s">
        <v>7420</v>
      </c>
      <c r="G2921">
        <v>20260101</v>
      </c>
      <c r="I2921" s="11" t="s">
        <v>63</v>
      </c>
      <c r="J2921" s="72">
        <v>60609716</v>
      </c>
      <c r="K2921" s="99">
        <f>_xlfn.XLOOKUP(_2__ROI_Daily_Update[[#This Row],[CSM id]],SHP!F:F,SHP!EE:EE,"-")</f>
        <v>0</v>
      </c>
      <c r="L2921" s="12"/>
      <c r="N2921" s="11"/>
      <c r="P2921"/>
      <c r="Q2921"/>
      <c r="W2921" s="28"/>
      <c r="AA2921"/>
    </row>
    <row r="2922" spans="1:27" x14ac:dyDescent="0.45">
      <c r="A2922" s="57">
        <v>1031</v>
      </c>
      <c r="B2922" t="s">
        <v>1292</v>
      </c>
      <c r="C2922" t="s">
        <v>1293</v>
      </c>
      <c r="D2922" s="12">
        <v>46313</v>
      </c>
      <c r="E2922" s="11">
        <v>8</v>
      </c>
      <c r="F2922" s="11" t="s">
        <v>7410</v>
      </c>
      <c r="G2922">
        <v>20260401</v>
      </c>
      <c r="I2922" s="11" t="s">
        <v>63</v>
      </c>
      <c r="J2922" s="72">
        <v>50614860</v>
      </c>
      <c r="K2922" s="99">
        <f>_xlfn.XLOOKUP(_2__ROI_Daily_Update[[#This Row],[CSM id]],SHP!F:F,SHP!EE:EE,"-")</f>
        <v>0</v>
      </c>
      <c r="L2922" s="12"/>
      <c r="N2922" s="11"/>
      <c r="P2922"/>
      <c r="Q2922"/>
      <c r="W2922" s="28"/>
      <c r="AA2922"/>
    </row>
    <row r="2923" spans="1:27" x14ac:dyDescent="0.45">
      <c r="A2923" s="57">
        <v>1831</v>
      </c>
      <c r="B2923" t="s">
        <v>3584</v>
      </c>
      <c r="C2923" t="s">
        <v>3585</v>
      </c>
      <c r="D2923" s="12">
        <v>46313</v>
      </c>
      <c r="E2923" s="11">
        <v>540</v>
      </c>
      <c r="F2923" s="11" t="s">
        <v>7485</v>
      </c>
      <c r="G2923">
        <v>20200201</v>
      </c>
      <c r="I2923" s="11" t="s">
        <v>18</v>
      </c>
      <c r="J2923" s="72">
        <v>20469421</v>
      </c>
      <c r="K2923" s="99">
        <f>_xlfn.XLOOKUP(_2__ROI_Daily_Update[[#This Row],[CSM id]],SHP!F:F,SHP!EE:EE,"-")</f>
        <v>0</v>
      </c>
      <c r="L2923" s="12"/>
      <c r="N2923" s="11"/>
      <c r="P2923"/>
      <c r="Q2923"/>
      <c r="W2923" s="28"/>
      <c r="AA2923"/>
    </row>
    <row r="2924" spans="1:27" x14ac:dyDescent="0.45">
      <c r="A2924" s="57">
        <v>1031</v>
      </c>
      <c r="B2924" t="s">
        <v>6857</v>
      </c>
      <c r="C2924" t="s">
        <v>6858</v>
      </c>
      <c r="D2924" s="12">
        <v>46313</v>
      </c>
      <c r="E2924" s="11">
        <v>160</v>
      </c>
      <c r="F2924" s="11" t="s">
        <v>7463</v>
      </c>
      <c r="G2924">
        <v>20250101</v>
      </c>
      <c r="I2924" s="11" t="s">
        <v>63</v>
      </c>
      <c r="J2924" s="72">
        <v>60584023</v>
      </c>
      <c r="K2924" s="99">
        <f>_xlfn.XLOOKUP(_2__ROI_Daily_Update[[#This Row],[CSM id]],SHP!F:F,SHP!EE:EE,"-")</f>
        <v>0</v>
      </c>
      <c r="L2924" s="12"/>
      <c r="N2924" s="11"/>
      <c r="P2924"/>
      <c r="Q2924"/>
      <c r="W2924" s="28"/>
      <c r="AA2924"/>
    </row>
    <row r="2925" spans="1:27" x14ac:dyDescent="0.45">
      <c r="A2925" s="57">
        <v>1031</v>
      </c>
      <c r="B2925" t="s">
        <v>1296</v>
      </c>
      <c r="C2925" t="s">
        <v>1297</v>
      </c>
      <c r="D2925" s="12">
        <v>46313</v>
      </c>
      <c r="E2925" s="11">
        <v>48</v>
      </c>
      <c r="F2925" s="11" t="s">
        <v>7453</v>
      </c>
      <c r="G2925">
        <v>20250701</v>
      </c>
      <c r="I2925" s="11" t="s">
        <v>63</v>
      </c>
      <c r="J2925" s="72">
        <v>60591504</v>
      </c>
      <c r="K2925" s="99">
        <f>_xlfn.XLOOKUP(_2__ROI_Daily_Update[[#This Row],[CSM id]],SHP!F:F,SHP!EE:EE,"-")</f>
        <v>0</v>
      </c>
      <c r="L2925" s="12"/>
      <c r="N2925" s="11"/>
      <c r="P2925"/>
      <c r="Q2925"/>
      <c r="W2925" s="28"/>
      <c r="AA2925"/>
    </row>
    <row r="2926" spans="1:27" x14ac:dyDescent="0.45">
      <c r="A2926" s="57">
        <v>1831</v>
      </c>
      <c r="B2926" t="s">
        <v>3582</v>
      </c>
      <c r="C2926" t="s">
        <v>3583</v>
      </c>
      <c r="D2926" s="12">
        <v>46313</v>
      </c>
      <c r="E2926" s="11">
        <v>116</v>
      </c>
      <c r="F2926" s="11" t="s">
        <v>7499</v>
      </c>
      <c r="G2926">
        <v>20190201</v>
      </c>
      <c r="I2926" s="11" t="s">
        <v>18</v>
      </c>
      <c r="J2926" s="72">
        <v>20428553</v>
      </c>
      <c r="K2926" s="99">
        <f>_xlfn.XLOOKUP(_2__ROI_Daily_Update[[#This Row],[CSM id]],SHP!F:F,SHP!EE:EE,"-")</f>
        <v>0</v>
      </c>
      <c r="L2926" s="12"/>
      <c r="N2926" s="11"/>
      <c r="P2926"/>
      <c r="Q2926"/>
      <c r="W2926" s="28"/>
      <c r="AA2926"/>
    </row>
    <row r="2927" spans="1:27" x14ac:dyDescent="0.45">
      <c r="A2927" s="57">
        <v>1031</v>
      </c>
      <c r="B2927" t="s">
        <v>5701</v>
      </c>
      <c r="C2927" t="s">
        <v>5702</v>
      </c>
      <c r="D2927" s="12">
        <v>46313</v>
      </c>
      <c r="E2927" s="11">
        <v>12</v>
      </c>
      <c r="F2927" s="11" t="s">
        <v>7463</v>
      </c>
      <c r="G2927">
        <v>20260401</v>
      </c>
      <c r="I2927" s="11" t="s">
        <v>63</v>
      </c>
      <c r="J2927" s="72">
        <v>60619720</v>
      </c>
      <c r="K2927" s="99">
        <f>_xlfn.XLOOKUP(_2__ROI_Daily_Update[[#This Row],[CSM id]],SHP!F:F,SHP!EE:EE,"-")</f>
        <v>0</v>
      </c>
      <c r="L2927" s="12"/>
      <c r="N2927" s="11"/>
      <c r="P2927"/>
      <c r="Q2927"/>
      <c r="W2927" s="28"/>
      <c r="AA2927"/>
    </row>
    <row r="2928" spans="1:27" x14ac:dyDescent="0.45">
      <c r="A2928" s="57">
        <v>983</v>
      </c>
      <c r="B2928" t="s">
        <v>972</v>
      </c>
      <c r="C2928" t="s">
        <v>973</v>
      </c>
      <c r="D2928" s="12">
        <v>46313</v>
      </c>
      <c r="E2928" s="11">
        <v>1008</v>
      </c>
      <c r="F2928" s="11" t="s">
        <v>7492</v>
      </c>
      <c r="G2928">
        <v>20180601</v>
      </c>
      <c r="I2928" s="11" t="s">
        <v>18</v>
      </c>
      <c r="J2928" s="72">
        <v>20378671</v>
      </c>
      <c r="K2928" s="99">
        <f>_xlfn.XLOOKUP(_2__ROI_Daily_Update[[#This Row],[CSM id]],SHP!F:F,SHP!EE:EE,"-")</f>
        <v>0</v>
      </c>
      <c r="L2928" s="12"/>
      <c r="N2928" s="11"/>
      <c r="P2928"/>
      <c r="Q2928"/>
      <c r="W2928" s="28"/>
      <c r="AA2928"/>
    </row>
    <row r="2929" spans="1:27" x14ac:dyDescent="0.45">
      <c r="A2929" s="57">
        <v>1031</v>
      </c>
      <c r="B2929" t="s">
        <v>1294</v>
      </c>
      <c r="C2929" t="s">
        <v>1295</v>
      </c>
      <c r="D2929" s="12">
        <v>46313</v>
      </c>
      <c r="E2929" s="11">
        <v>49</v>
      </c>
      <c r="F2929" s="11" t="s">
        <v>7430</v>
      </c>
      <c r="G2929">
        <v>20260401</v>
      </c>
      <c r="I2929" s="11" t="s">
        <v>63</v>
      </c>
      <c r="J2929" s="72">
        <v>50615317</v>
      </c>
      <c r="K2929" s="99">
        <f>_xlfn.XLOOKUP(_2__ROI_Daily_Update[[#This Row],[CSM id]],SHP!F:F,SHP!EE:EE,"-")</f>
        <v>0</v>
      </c>
      <c r="L2929" s="12"/>
      <c r="N2929" s="11"/>
      <c r="P2929"/>
      <c r="Q2929"/>
      <c r="W2929" s="28"/>
      <c r="AA2929"/>
    </row>
    <row r="2930" spans="1:27" x14ac:dyDescent="0.45">
      <c r="A2930" s="57">
        <v>1031</v>
      </c>
      <c r="B2930" t="s">
        <v>1286</v>
      </c>
      <c r="C2930" t="s">
        <v>1287</v>
      </c>
      <c r="D2930" s="12">
        <v>46313</v>
      </c>
      <c r="E2930" s="11">
        <v>90</v>
      </c>
      <c r="F2930" s="11" t="s">
        <v>7420</v>
      </c>
      <c r="G2930">
        <v>20250701</v>
      </c>
      <c r="I2930" s="11" t="s">
        <v>63</v>
      </c>
      <c r="J2930" s="72">
        <v>30591510</v>
      </c>
      <c r="K2930" s="99">
        <f>_xlfn.XLOOKUP(_2__ROI_Daily_Update[[#This Row],[CSM id]],SHP!F:F,SHP!EE:EE,"-")</f>
        <v>0</v>
      </c>
      <c r="L2930" s="12"/>
      <c r="N2930" s="11"/>
      <c r="P2930"/>
      <c r="Q2930"/>
      <c r="W2930" s="28"/>
      <c r="AA2930"/>
    </row>
    <row r="2931" spans="1:27" x14ac:dyDescent="0.45">
      <c r="A2931" s="57">
        <v>1043</v>
      </c>
      <c r="B2931" t="s">
        <v>1316</v>
      </c>
      <c r="C2931" t="s">
        <v>1317</v>
      </c>
      <c r="D2931" s="12">
        <v>46313</v>
      </c>
      <c r="E2931" s="11">
        <v>15</v>
      </c>
      <c r="F2931" s="11" t="s">
        <v>7463</v>
      </c>
      <c r="G2931">
        <v>20260101</v>
      </c>
      <c r="I2931" s="11" t="s">
        <v>63</v>
      </c>
      <c r="J2931" s="72">
        <v>60609716</v>
      </c>
      <c r="K2931" s="99">
        <f>_xlfn.XLOOKUP(_2__ROI_Daily_Update[[#This Row],[CSM id]],SHP!F:F,SHP!EE:EE,"-")</f>
        <v>0</v>
      </c>
      <c r="L2931" s="12"/>
      <c r="N2931" s="11"/>
      <c r="P2931"/>
      <c r="Q2931"/>
      <c r="W2931" s="28"/>
      <c r="AA2931"/>
    </row>
    <row r="2932" spans="1:27" x14ac:dyDescent="0.45">
      <c r="A2932" s="57">
        <v>1043</v>
      </c>
      <c r="B2932" t="s">
        <v>5196</v>
      </c>
      <c r="C2932" t="s">
        <v>5197</v>
      </c>
      <c r="D2932" s="12">
        <v>46313</v>
      </c>
      <c r="E2932" s="11">
        <v>21</v>
      </c>
      <c r="F2932" s="11" t="s">
        <v>7420</v>
      </c>
      <c r="G2932">
        <v>20250101</v>
      </c>
      <c r="H2932" s="12">
        <v>46478</v>
      </c>
      <c r="I2932" s="11" t="s">
        <v>63</v>
      </c>
      <c r="J2932" s="72">
        <v>70541325</v>
      </c>
      <c r="K2932" s="99">
        <f>_xlfn.XLOOKUP(_2__ROI_Daily_Update[[#This Row],[CSM id]],SHP!F:F,SHP!EE:EE,"-")</f>
        <v>0</v>
      </c>
      <c r="L2932" s="12"/>
      <c r="N2932" s="11"/>
      <c r="P2932"/>
      <c r="Q2932"/>
      <c r="W2932" s="28"/>
      <c r="AA2932"/>
    </row>
    <row r="2933" spans="1:27" x14ac:dyDescent="0.45">
      <c r="A2933" s="57">
        <v>1081</v>
      </c>
      <c r="B2933" t="s">
        <v>6457</v>
      </c>
      <c r="C2933" t="s">
        <v>6458</v>
      </c>
      <c r="D2933" s="12">
        <v>46313</v>
      </c>
      <c r="E2933" s="11">
        <v>40</v>
      </c>
      <c r="F2933" s="11" t="s">
        <v>7453</v>
      </c>
      <c r="G2933">
        <v>20261001</v>
      </c>
      <c r="H2933" s="12">
        <v>46388</v>
      </c>
      <c r="I2933" s="11" t="s">
        <v>63</v>
      </c>
      <c r="J2933" s="72">
        <v>90633215</v>
      </c>
      <c r="K2933" s="99">
        <f>_xlfn.XLOOKUP(_2__ROI_Daily_Update[[#This Row],[CSM id]],SHP!F:F,SHP!EE:EE,"-")</f>
        <v>0</v>
      </c>
      <c r="L2933" s="12"/>
      <c r="N2933" s="11"/>
      <c r="P2933"/>
      <c r="Q2933"/>
      <c r="W2933" s="28"/>
      <c r="AA2933"/>
    </row>
    <row r="2934" spans="1:27" x14ac:dyDescent="0.45">
      <c r="A2934" s="57">
        <v>1081</v>
      </c>
      <c r="B2934" t="s">
        <v>6455</v>
      </c>
      <c r="C2934" t="s">
        <v>6456</v>
      </c>
      <c r="D2934" s="12">
        <v>46313</v>
      </c>
      <c r="E2934" s="11">
        <v>50</v>
      </c>
      <c r="F2934" s="11" t="s">
        <v>7453</v>
      </c>
      <c r="G2934">
        <v>20261001</v>
      </c>
      <c r="H2934" s="12">
        <v>46388</v>
      </c>
      <c r="I2934" s="11" t="s">
        <v>63</v>
      </c>
      <c r="J2934" s="72">
        <v>80639920</v>
      </c>
      <c r="K2934" s="99">
        <f>_xlfn.XLOOKUP(_2__ROI_Daily_Update[[#This Row],[CSM id]],SHP!F:F,SHP!EE:EE,"-")</f>
        <v>0</v>
      </c>
      <c r="L2934" s="12"/>
      <c r="N2934" s="11"/>
      <c r="P2934"/>
      <c r="Q2934"/>
      <c r="W2934" s="28"/>
      <c r="AA2934"/>
    </row>
    <row r="2935" spans="1:27" x14ac:dyDescent="0.45">
      <c r="A2935" s="57">
        <v>982</v>
      </c>
      <c r="B2935" t="s">
        <v>6893</v>
      </c>
      <c r="C2935" t="s">
        <v>6894</v>
      </c>
      <c r="D2935" s="12">
        <v>46313</v>
      </c>
      <c r="E2935" s="11">
        <v>12</v>
      </c>
      <c r="F2935" s="11" t="s">
        <v>7499</v>
      </c>
      <c r="G2935">
        <v>20230101</v>
      </c>
      <c r="I2935" s="11" t="s">
        <v>18</v>
      </c>
      <c r="J2935" s="72">
        <v>80528502</v>
      </c>
      <c r="K2935" s="99">
        <f>_xlfn.XLOOKUP(_2__ROI_Daily_Update[[#This Row],[CSM id]],SHP!F:F,SHP!EE:EE,"-")</f>
        <v>0</v>
      </c>
      <c r="L2935" s="12"/>
      <c r="N2935" s="11"/>
      <c r="P2935"/>
      <c r="Q2935"/>
      <c r="W2935" s="28"/>
      <c r="AA2935"/>
    </row>
    <row r="2936" spans="1:27" x14ac:dyDescent="0.45">
      <c r="A2936" s="57">
        <v>1081</v>
      </c>
      <c r="B2936" t="s">
        <v>5648</v>
      </c>
      <c r="C2936" t="s">
        <v>5649</v>
      </c>
      <c r="D2936" s="12">
        <v>46313</v>
      </c>
      <c r="E2936" s="11">
        <v>40</v>
      </c>
      <c r="F2936" s="11" t="s">
        <v>7410</v>
      </c>
      <c r="G2936">
        <v>20261001</v>
      </c>
      <c r="H2936" s="12">
        <v>46388</v>
      </c>
      <c r="I2936" s="11" t="s">
        <v>63</v>
      </c>
      <c r="J2936" s="72">
        <v>80633268</v>
      </c>
      <c r="K2936" s="99">
        <f>_xlfn.XLOOKUP(_2__ROI_Daily_Update[[#This Row],[CSM id]],SHP!F:F,SHP!EE:EE,"-")</f>
        <v>0</v>
      </c>
      <c r="L2936" s="12"/>
      <c r="N2936" s="11"/>
      <c r="P2936"/>
      <c r="Q2936"/>
      <c r="W2936" s="28"/>
      <c r="AA2936"/>
    </row>
    <row r="2937" spans="1:27" x14ac:dyDescent="0.45">
      <c r="A2937" s="57">
        <v>1081</v>
      </c>
      <c r="B2937" t="s">
        <v>6453</v>
      </c>
      <c r="C2937" t="s">
        <v>6454</v>
      </c>
      <c r="D2937" s="12">
        <v>46313</v>
      </c>
      <c r="E2937" s="11">
        <v>16</v>
      </c>
      <c r="F2937" s="11" t="s">
        <v>7453</v>
      </c>
      <c r="G2937">
        <v>20261001</v>
      </c>
      <c r="H2937" s="12">
        <v>46388</v>
      </c>
      <c r="I2937" s="11" t="s">
        <v>63</v>
      </c>
      <c r="J2937" s="72">
        <v>70638643</v>
      </c>
      <c r="K2937" s="99">
        <f>_xlfn.XLOOKUP(_2__ROI_Daily_Update[[#This Row],[CSM id]],SHP!F:F,SHP!EE:EE,"-")</f>
        <v>0</v>
      </c>
      <c r="L2937" s="12"/>
      <c r="N2937" s="11"/>
      <c r="P2937"/>
      <c r="Q2937"/>
      <c r="W2937" s="28"/>
      <c r="AA2937"/>
    </row>
    <row r="2938" spans="1:27" x14ac:dyDescent="0.45">
      <c r="A2938" s="57">
        <v>1081</v>
      </c>
      <c r="B2938" t="s">
        <v>6507</v>
      </c>
      <c r="C2938" t="s">
        <v>6508</v>
      </c>
      <c r="D2938" s="12">
        <v>46313</v>
      </c>
      <c r="E2938" s="11">
        <v>40</v>
      </c>
      <c r="F2938" s="11" t="s">
        <v>7453</v>
      </c>
      <c r="G2938">
        <v>20261001</v>
      </c>
      <c r="H2938" s="12">
        <v>46388</v>
      </c>
      <c r="I2938" s="11" t="s">
        <v>63</v>
      </c>
      <c r="J2938" s="72">
        <v>70635357</v>
      </c>
      <c r="K2938" s="99">
        <f>_xlfn.XLOOKUP(_2__ROI_Daily_Update[[#This Row],[CSM id]],SHP!F:F,SHP!EE:EE,"-")</f>
        <v>0</v>
      </c>
      <c r="L2938" s="12"/>
      <c r="N2938" s="11"/>
      <c r="P2938"/>
      <c r="Q2938"/>
      <c r="W2938" s="28"/>
      <c r="AA2938"/>
    </row>
    <row r="2939" spans="1:27" x14ac:dyDescent="0.45">
      <c r="A2939" s="57">
        <v>1081</v>
      </c>
      <c r="B2939" t="s">
        <v>6505</v>
      </c>
      <c r="C2939" t="s">
        <v>6506</v>
      </c>
      <c r="D2939" s="12">
        <v>46313</v>
      </c>
      <c r="E2939" s="11">
        <v>50</v>
      </c>
      <c r="F2939" s="11" t="s">
        <v>7453</v>
      </c>
      <c r="G2939">
        <v>20261001</v>
      </c>
      <c r="H2939" s="12">
        <v>46388</v>
      </c>
      <c r="I2939" s="11" t="s">
        <v>63</v>
      </c>
      <c r="J2939" s="72">
        <v>60639940</v>
      </c>
      <c r="K2939" s="99">
        <f>_xlfn.XLOOKUP(_2__ROI_Daily_Update[[#This Row],[CSM id]],SHP!F:F,SHP!EE:EE,"-")</f>
        <v>0</v>
      </c>
      <c r="L2939" s="12"/>
      <c r="N2939" s="11"/>
      <c r="P2939"/>
      <c r="Q2939"/>
      <c r="W2939" s="28"/>
      <c r="AA2939"/>
    </row>
    <row r="2940" spans="1:27" x14ac:dyDescent="0.45">
      <c r="A2940" s="57">
        <v>1081</v>
      </c>
      <c r="B2940" t="s">
        <v>6503</v>
      </c>
      <c r="C2940" t="s">
        <v>6504</v>
      </c>
      <c r="D2940" s="12">
        <v>46313</v>
      </c>
      <c r="E2940" s="11">
        <v>30</v>
      </c>
      <c r="F2940" s="11" t="s">
        <v>7453</v>
      </c>
      <c r="G2940">
        <v>20261001</v>
      </c>
      <c r="H2940" s="12">
        <v>46388</v>
      </c>
      <c r="I2940" s="11" t="s">
        <v>63</v>
      </c>
      <c r="J2940" s="72">
        <v>60639916</v>
      </c>
      <c r="K2940" s="99">
        <f>_xlfn.XLOOKUP(_2__ROI_Daily_Update[[#This Row],[CSM id]],SHP!F:F,SHP!EE:EE,"-")</f>
        <v>0</v>
      </c>
      <c r="L2940" s="12"/>
      <c r="N2940" s="11"/>
      <c r="P2940"/>
      <c r="Q2940"/>
      <c r="W2940" s="28"/>
      <c r="AA2940"/>
    </row>
    <row r="2941" spans="1:27" x14ac:dyDescent="0.45">
      <c r="A2941" s="57">
        <v>1081</v>
      </c>
      <c r="B2941" t="s">
        <v>6501</v>
      </c>
      <c r="C2941" t="s">
        <v>6502</v>
      </c>
      <c r="D2941" s="12">
        <v>46313</v>
      </c>
      <c r="E2941" s="11">
        <v>40</v>
      </c>
      <c r="F2941" s="11" t="s">
        <v>7453</v>
      </c>
      <c r="G2941">
        <v>20261001</v>
      </c>
      <c r="H2941" s="12">
        <v>46388</v>
      </c>
      <c r="I2941" s="11" t="s">
        <v>63</v>
      </c>
      <c r="J2941" s="72">
        <v>60633472</v>
      </c>
      <c r="K2941" s="99">
        <f>_xlfn.XLOOKUP(_2__ROI_Daily_Update[[#This Row],[CSM id]],SHP!F:F,SHP!EE:EE,"-")</f>
        <v>0</v>
      </c>
      <c r="L2941" s="12"/>
      <c r="N2941" s="11"/>
      <c r="P2941"/>
      <c r="Q2941"/>
      <c r="W2941" s="28"/>
      <c r="AA2941"/>
    </row>
    <row r="2942" spans="1:27" x14ac:dyDescent="0.45">
      <c r="A2942" s="57">
        <v>1081</v>
      </c>
      <c r="B2942" t="s">
        <v>6499</v>
      </c>
      <c r="C2942" t="s">
        <v>6500</v>
      </c>
      <c r="D2942" s="12">
        <v>46313</v>
      </c>
      <c r="E2942" s="11">
        <v>40</v>
      </c>
      <c r="F2942" s="11" t="s">
        <v>7453</v>
      </c>
      <c r="G2942">
        <v>20261001</v>
      </c>
      <c r="H2942" s="12">
        <v>46388</v>
      </c>
      <c r="I2942" s="11" t="s">
        <v>63</v>
      </c>
      <c r="J2942" s="72">
        <v>60633231</v>
      </c>
      <c r="K2942" s="99">
        <f>_xlfn.XLOOKUP(_2__ROI_Daily_Update[[#This Row],[CSM id]],SHP!F:F,SHP!EE:EE,"-")</f>
        <v>0</v>
      </c>
      <c r="L2942" s="12"/>
      <c r="N2942" s="11"/>
      <c r="P2942"/>
      <c r="Q2942"/>
      <c r="W2942" s="28"/>
      <c r="AA2942"/>
    </row>
    <row r="2943" spans="1:27" x14ac:dyDescent="0.45">
      <c r="A2943" s="57">
        <v>1081</v>
      </c>
      <c r="B2943" t="s">
        <v>6497</v>
      </c>
      <c r="C2943" t="s">
        <v>6498</v>
      </c>
      <c r="D2943" s="12">
        <v>46313</v>
      </c>
      <c r="E2943" s="11">
        <v>40</v>
      </c>
      <c r="F2943" s="11" t="s">
        <v>7453</v>
      </c>
      <c r="G2943">
        <v>20261001</v>
      </c>
      <c r="H2943" s="12">
        <v>46388</v>
      </c>
      <c r="I2943" s="11" t="s">
        <v>63</v>
      </c>
      <c r="J2943" s="72">
        <v>50635363</v>
      </c>
      <c r="K2943" s="99">
        <f>_xlfn.XLOOKUP(_2__ROI_Daily_Update[[#This Row],[CSM id]],SHP!F:F,SHP!EE:EE,"-")</f>
        <v>0</v>
      </c>
      <c r="L2943" s="12"/>
      <c r="N2943" s="11"/>
      <c r="P2943"/>
      <c r="Q2943"/>
      <c r="W2943" s="28"/>
      <c r="AA2943"/>
    </row>
    <row r="2944" spans="1:27" x14ac:dyDescent="0.45">
      <c r="A2944" s="57">
        <v>1081</v>
      </c>
      <c r="B2944" t="s">
        <v>5925</v>
      </c>
      <c r="C2944" t="s">
        <v>5926</v>
      </c>
      <c r="D2944" s="12">
        <v>46313</v>
      </c>
      <c r="E2944" s="11">
        <v>288</v>
      </c>
      <c r="F2944" s="11" t="s">
        <v>7440</v>
      </c>
      <c r="G2944">
        <v>20161001</v>
      </c>
      <c r="I2944" s="11" t="s">
        <v>63</v>
      </c>
      <c r="J2944" s="72">
        <v>50332747</v>
      </c>
      <c r="K2944" s="99">
        <f>_xlfn.XLOOKUP(_2__ROI_Daily_Update[[#This Row],[CSM id]],SHP!F:F,SHP!EE:EE,"-")</f>
        <v>0</v>
      </c>
      <c r="L2944" s="12"/>
      <c r="N2944" s="11"/>
      <c r="P2944"/>
      <c r="Q2944"/>
      <c r="W2944" s="28"/>
      <c r="AA2944"/>
    </row>
    <row r="2945" spans="1:27" x14ac:dyDescent="0.45">
      <c r="A2945" s="57">
        <v>1081</v>
      </c>
      <c r="B2945" t="s">
        <v>5925</v>
      </c>
      <c r="C2945" t="s">
        <v>5926</v>
      </c>
      <c r="D2945" s="12">
        <v>46313</v>
      </c>
      <c r="E2945" s="11">
        <v>96</v>
      </c>
      <c r="F2945" s="11" t="s">
        <v>6946</v>
      </c>
      <c r="G2945">
        <v>20161001</v>
      </c>
      <c r="I2945" s="11" t="s">
        <v>63</v>
      </c>
      <c r="J2945" s="72">
        <v>50332747</v>
      </c>
      <c r="K2945" s="99">
        <f>_xlfn.XLOOKUP(_2__ROI_Daily_Update[[#This Row],[CSM id]],SHP!F:F,SHP!EE:EE,"-")</f>
        <v>0</v>
      </c>
      <c r="L2945" s="12"/>
      <c r="N2945" s="11"/>
      <c r="P2945"/>
      <c r="Q2945"/>
      <c r="W2945" s="28"/>
      <c r="AA2945"/>
    </row>
    <row r="2946" spans="1:27" x14ac:dyDescent="0.45">
      <c r="A2946" s="57">
        <v>1081</v>
      </c>
      <c r="B2946" t="s">
        <v>6987</v>
      </c>
      <c r="C2946" t="s">
        <v>6988</v>
      </c>
      <c r="D2946" s="12">
        <v>46313</v>
      </c>
      <c r="E2946" s="11">
        <v>10</v>
      </c>
      <c r="F2946" s="11" t="s">
        <v>7480</v>
      </c>
      <c r="G2946">
        <v>20261001</v>
      </c>
      <c r="H2946" s="12">
        <v>46388</v>
      </c>
      <c r="I2946" s="11" t="s">
        <v>63</v>
      </c>
      <c r="J2946" s="72">
        <v>40635194</v>
      </c>
      <c r="K2946" s="99">
        <f>_xlfn.XLOOKUP(_2__ROI_Daily_Update[[#This Row],[CSM id]],SHP!F:F,SHP!EE:EE,"-")</f>
        <v>0</v>
      </c>
      <c r="L2946" s="12"/>
      <c r="N2946" s="11"/>
      <c r="P2946"/>
      <c r="Q2946"/>
      <c r="W2946" s="28"/>
      <c r="AA2946"/>
    </row>
    <row r="2947" spans="1:27" x14ac:dyDescent="0.45">
      <c r="A2947" s="57">
        <v>1831</v>
      </c>
      <c r="B2947" t="s">
        <v>3578</v>
      </c>
      <c r="C2947" t="s">
        <v>3579</v>
      </c>
      <c r="D2947" s="12">
        <v>46313</v>
      </c>
      <c r="E2947" s="11">
        <v>144</v>
      </c>
      <c r="F2947" s="11" t="s">
        <v>7420</v>
      </c>
      <c r="G2947">
        <v>20260701</v>
      </c>
      <c r="I2947" s="11" t="s">
        <v>63</v>
      </c>
      <c r="J2947" s="72">
        <v>10625832</v>
      </c>
      <c r="K2947" s="99">
        <f>_xlfn.XLOOKUP(_2__ROI_Daily_Update[[#This Row],[CSM id]],SHP!F:F,SHP!EE:EE,"-")</f>
        <v>0</v>
      </c>
      <c r="L2947" s="12"/>
      <c r="N2947" s="11"/>
      <c r="P2947"/>
      <c r="Q2947"/>
      <c r="W2947" s="28"/>
      <c r="AA2947"/>
    </row>
    <row r="2948" spans="1:27" x14ac:dyDescent="0.45">
      <c r="A2948" s="57">
        <v>1081</v>
      </c>
      <c r="B2948" t="s">
        <v>6253</v>
      </c>
      <c r="C2948" t="s">
        <v>6254</v>
      </c>
      <c r="D2948" s="12">
        <v>46313</v>
      </c>
      <c r="E2948" s="11">
        <v>10</v>
      </c>
      <c r="F2948" s="11" t="s">
        <v>7440</v>
      </c>
      <c r="G2948">
        <v>20261001</v>
      </c>
      <c r="H2948" s="12">
        <v>46388</v>
      </c>
      <c r="I2948" s="11" t="s">
        <v>63</v>
      </c>
      <c r="J2948" s="72">
        <v>30635203</v>
      </c>
      <c r="K2948" s="99">
        <f>_xlfn.XLOOKUP(_2__ROI_Daily_Update[[#This Row],[CSM id]],SHP!F:F,SHP!EE:EE,"-")</f>
        <v>0</v>
      </c>
      <c r="L2948" s="12"/>
      <c r="N2948" s="11"/>
      <c r="P2948"/>
      <c r="Q2948"/>
      <c r="W2948" s="28"/>
      <c r="AA2948"/>
    </row>
    <row r="2949" spans="1:27" x14ac:dyDescent="0.45">
      <c r="A2949" s="57">
        <v>1081</v>
      </c>
      <c r="B2949" t="s">
        <v>6495</v>
      </c>
      <c r="C2949" t="s">
        <v>6496</v>
      </c>
      <c r="D2949" s="12">
        <v>46313</v>
      </c>
      <c r="E2949" s="11">
        <v>12</v>
      </c>
      <c r="F2949" s="11" t="s">
        <v>7453</v>
      </c>
      <c r="G2949">
        <v>20261001</v>
      </c>
      <c r="H2949" s="12">
        <v>46388</v>
      </c>
      <c r="I2949" s="11" t="s">
        <v>63</v>
      </c>
      <c r="J2949" s="72">
        <v>20639904</v>
      </c>
      <c r="K2949" s="99">
        <f>_xlfn.XLOOKUP(_2__ROI_Daily_Update[[#This Row],[CSM id]],SHP!F:F,SHP!EE:EE,"-")</f>
        <v>0</v>
      </c>
      <c r="L2949" s="12"/>
      <c r="N2949" s="11"/>
      <c r="P2949"/>
      <c r="Q2949"/>
      <c r="W2949" s="28"/>
      <c r="AA2949"/>
    </row>
    <row r="2950" spans="1:27" x14ac:dyDescent="0.45">
      <c r="A2950" s="57">
        <v>1043</v>
      </c>
      <c r="B2950" t="s">
        <v>5196</v>
      </c>
      <c r="C2950" t="s">
        <v>5197</v>
      </c>
      <c r="D2950" s="12">
        <v>46313</v>
      </c>
      <c r="E2950" s="11">
        <v>21</v>
      </c>
      <c r="F2950" s="11" t="s">
        <v>7480</v>
      </c>
      <c r="G2950">
        <v>20250101</v>
      </c>
      <c r="H2950" s="12">
        <v>46478</v>
      </c>
      <c r="I2950" s="11" t="s">
        <v>63</v>
      </c>
      <c r="J2950" s="72">
        <v>70541325</v>
      </c>
      <c r="K2950" s="99">
        <f>_xlfn.XLOOKUP(_2__ROI_Daily_Update[[#This Row],[CSM id]],SHP!F:F,SHP!EE:EE,"-")</f>
        <v>0</v>
      </c>
      <c r="L2950" s="12"/>
      <c r="N2950" s="11"/>
      <c r="P2950"/>
      <c r="Q2950"/>
      <c r="W2950" s="28"/>
      <c r="AA2950"/>
    </row>
    <row r="2951" spans="1:27" x14ac:dyDescent="0.45">
      <c r="A2951" s="57">
        <v>1043</v>
      </c>
      <c r="B2951" t="s">
        <v>1320</v>
      </c>
      <c r="C2951" t="s">
        <v>1321</v>
      </c>
      <c r="D2951" s="12">
        <v>46313</v>
      </c>
      <c r="E2951" s="11">
        <v>63</v>
      </c>
      <c r="F2951" s="11" t="s">
        <v>7410</v>
      </c>
      <c r="G2951">
        <v>20241001</v>
      </c>
      <c r="I2951" s="11" t="s">
        <v>63</v>
      </c>
      <c r="J2951" s="72">
        <v>70571906</v>
      </c>
      <c r="K2951" s="99">
        <f>_xlfn.XLOOKUP(_2__ROI_Daily_Update[[#This Row],[CSM id]],SHP!F:F,SHP!EE:EE,"-")</f>
        <v>0</v>
      </c>
      <c r="L2951" s="12"/>
      <c r="N2951" s="11"/>
      <c r="P2951"/>
      <c r="Q2951"/>
      <c r="W2951" s="28"/>
      <c r="AA2951"/>
    </row>
    <row r="2952" spans="1:27" x14ac:dyDescent="0.45">
      <c r="A2952" s="57">
        <v>1043</v>
      </c>
      <c r="B2952" t="s">
        <v>1320</v>
      </c>
      <c r="C2952" t="s">
        <v>1321</v>
      </c>
      <c r="D2952" s="12">
        <v>46313</v>
      </c>
      <c r="E2952" s="11">
        <v>63</v>
      </c>
      <c r="F2952" s="11" t="s">
        <v>7463</v>
      </c>
      <c r="G2952">
        <v>20241001</v>
      </c>
      <c r="I2952" s="11" t="s">
        <v>63</v>
      </c>
      <c r="J2952" s="72">
        <v>70571906</v>
      </c>
      <c r="K2952" s="99">
        <f>_xlfn.XLOOKUP(_2__ROI_Daily_Update[[#This Row],[CSM id]],SHP!F:F,SHP!EE:EE,"-")</f>
        <v>0</v>
      </c>
      <c r="L2952" s="12"/>
      <c r="N2952" s="11"/>
      <c r="P2952"/>
      <c r="Q2952"/>
      <c r="W2952" s="28"/>
      <c r="AA2952"/>
    </row>
    <row r="2953" spans="1:27" x14ac:dyDescent="0.45">
      <c r="A2953" s="57">
        <v>1832</v>
      </c>
      <c r="B2953" t="s">
        <v>3608</v>
      </c>
      <c r="C2953" t="s">
        <v>3609</v>
      </c>
      <c r="D2953" s="12">
        <v>46313</v>
      </c>
      <c r="E2953" s="11">
        <v>448</v>
      </c>
      <c r="F2953" s="11" t="s">
        <v>7453</v>
      </c>
      <c r="G2953">
        <v>20230101</v>
      </c>
      <c r="I2953" s="11" t="s">
        <v>63</v>
      </c>
      <c r="J2953" s="72">
        <v>10530952</v>
      </c>
      <c r="K2953" s="99">
        <f>_xlfn.XLOOKUP(_2__ROI_Daily_Update[[#This Row],[CSM id]],SHP!F:F,SHP!EE:EE,"-")</f>
        <v>0</v>
      </c>
      <c r="L2953" s="12"/>
      <c r="N2953" s="11"/>
      <c r="P2953"/>
      <c r="Q2953"/>
      <c r="W2953" s="28"/>
      <c r="AA2953"/>
    </row>
    <row r="2954" spans="1:27" x14ac:dyDescent="0.45">
      <c r="A2954" s="57">
        <v>1043</v>
      </c>
      <c r="B2954" t="s">
        <v>1322</v>
      </c>
      <c r="C2954" t="s">
        <v>1323</v>
      </c>
      <c r="D2954" s="12">
        <v>46313</v>
      </c>
      <c r="E2954" s="11">
        <v>60</v>
      </c>
      <c r="F2954" s="11" t="s">
        <v>7440</v>
      </c>
      <c r="G2954">
        <v>20260101</v>
      </c>
      <c r="I2954" s="11" t="s">
        <v>63</v>
      </c>
      <c r="J2954" s="72">
        <v>70609706</v>
      </c>
      <c r="K2954" s="99">
        <f>_xlfn.XLOOKUP(_2__ROI_Daily_Update[[#This Row],[CSM id]],SHP!F:F,SHP!EE:EE,"-")</f>
        <v>0</v>
      </c>
      <c r="L2954" s="12"/>
      <c r="N2954" s="11"/>
      <c r="P2954"/>
      <c r="Q2954"/>
      <c r="W2954" s="28"/>
      <c r="AA2954"/>
    </row>
    <row r="2955" spans="1:27" x14ac:dyDescent="0.45">
      <c r="A2955" s="57">
        <v>983</v>
      </c>
      <c r="B2955" t="s">
        <v>961</v>
      </c>
      <c r="C2955" t="s">
        <v>962</v>
      </c>
      <c r="D2955" s="12">
        <v>46313</v>
      </c>
      <c r="E2955" s="11">
        <v>1600</v>
      </c>
      <c r="F2955" s="11" t="s">
        <v>7492</v>
      </c>
      <c r="G2955">
        <v>20180601</v>
      </c>
      <c r="I2955" s="11" t="s">
        <v>18</v>
      </c>
      <c r="J2955" s="72">
        <v>378672</v>
      </c>
      <c r="K2955" s="99">
        <f>_xlfn.XLOOKUP(_2__ROI_Daily_Update[[#This Row],[CSM id]],SHP!F:F,SHP!EE:EE,"-")</f>
        <v>0</v>
      </c>
      <c r="L2955" s="12"/>
      <c r="N2955" s="11"/>
      <c r="P2955"/>
      <c r="Q2955"/>
      <c r="W2955" s="28"/>
      <c r="AA2955"/>
    </row>
    <row r="2956" spans="1:27" x14ac:dyDescent="0.45">
      <c r="A2956" s="57">
        <v>983</v>
      </c>
      <c r="B2956" t="s">
        <v>6381</v>
      </c>
      <c r="C2956" t="s">
        <v>6382</v>
      </c>
      <c r="D2956" s="12">
        <v>46313</v>
      </c>
      <c r="E2956" s="11">
        <v>180</v>
      </c>
      <c r="F2956" s="11" t="s">
        <v>7453</v>
      </c>
      <c r="G2956">
        <v>20250701</v>
      </c>
      <c r="I2956" s="11" t="s">
        <v>63</v>
      </c>
      <c r="J2956" s="72">
        <v>607145</v>
      </c>
      <c r="K2956" s="99">
        <f>_xlfn.XLOOKUP(_2__ROI_Daily_Update[[#This Row],[CSM id]],SHP!F:F,SHP!EE:EE,"-")</f>
        <v>0</v>
      </c>
      <c r="L2956" s="12"/>
      <c r="N2956" s="11"/>
      <c r="P2956"/>
      <c r="Q2956"/>
      <c r="W2956" s="28"/>
      <c r="AA2956"/>
    </row>
    <row r="2957" spans="1:27" x14ac:dyDescent="0.45">
      <c r="A2957" s="57">
        <v>1043</v>
      </c>
      <c r="B2957" t="s">
        <v>1324</v>
      </c>
      <c r="C2957" t="s">
        <v>1325</v>
      </c>
      <c r="D2957" s="12">
        <v>46313</v>
      </c>
      <c r="E2957" s="11">
        <v>21</v>
      </c>
      <c r="F2957" s="11" t="s">
        <v>7440</v>
      </c>
      <c r="G2957">
        <v>20250101</v>
      </c>
      <c r="I2957" s="11" t="s">
        <v>63</v>
      </c>
      <c r="J2957" s="72">
        <v>90599136</v>
      </c>
      <c r="K2957" s="99">
        <f>_xlfn.XLOOKUP(_2__ROI_Daily_Update[[#This Row],[CSM id]],SHP!F:F,SHP!EE:EE,"-")</f>
        <v>0</v>
      </c>
      <c r="L2957" s="12"/>
      <c r="N2957" s="11"/>
      <c r="P2957"/>
      <c r="Q2957"/>
      <c r="W2957" s="28"/>
      <c r="AA2957"/>
    </row>
    <row r="2958" spans="1:27" x14ac:dyDescent="0.45">
      <c r="A2958" s="57">
        <v>982</v>
      </c>
      <c r="B2958" t="s">
        <v>959</v>
      </c>
      <c r="C2958" t="s">
        <v>960</v>
      </c>
      <c r="D2958" s="12">
        <v>46313</v>
      </c>
      <c r="E2958" s="11">
        <v>88</v>
      </c>
      <c r="F2958" s="11" t="s">
        <v>7430</v>
      </c>
      <c r="G2958">
        <v>20260401</v>
      </c>
      <c r="H2958" s="12">
        <v>46569</v>
      </c>
      <c r="I2958" s="11" t="s">
        <v>63</v>
      </c>
      <c r="J2958" s="72">
        <v>80601432</v>
      </c>
      <c r="K2958" s="99">
        <f>_xlfn.XLOOKUP(_2__ROI_Daily_Update[[#This Row],[CSM id]],SHP!F:F,SHP!EE:EE,"-")</f>
        <v>0</v>
      </c>
      <c r="L2958" s="12"/>
      <c r="N2958" s="11"/>
      <c r="P2958"/>
      <c r="Q2958"/>
      <c r="W2958" s="28"/>
      <c r="AA2958"/>
    </row>
    <row r="2959" spans="1:27" x14ac:dyDescent="0.45">
      <c r="A2959" s="57">
        <v>1081</v>
      </c>
      <c r="B2959" t="s">
        <v>6485</v>
      </c>
      <c r="C2959" t="s">
        <v>6486</v>
      </c>
      <c r="D2959" s="12">
        <v>46313</v>
      </c>
      <c r="E2959" s="11">
        <v>40</v>
      </c>
      <c r="F2959" s="11" t="s">
        <v>7453</v>
      </c>
      <c r="G2959">
        <v>20261001</v>
      </c>
      <c r="H2959" s="12">
        <v>46388</v>
      </c>
      <c r="I2959" s="11" t="s">
        <v>63</v>
      </c>
      <c r="J2959" s="72">
        <v>639957</v>
      </c>
      <c r="K2959" s="99">
        <f>_xlfn.XLOOKUP(_2__ROI_Daily_Update[[#This Row],[CSM id]],SHP!F:F,SHP!EE:EE,"-")</f>
        <v>0</v>
      </c>
      <c r="L2959" s="12"/>
      <c r="N2959" s="11"/>
      <c r="P2959"/>
      <c r="Q2959"/>
      <c r="W2959" s="28"/>
      <c r="AA2959"/>
    </row>
    <row r="2960" spans="1:27" x14ac:dyDescent="0.45">
      <c r="A2960" s="57">
        <v>1081</v>
      </c>
      <c r="B2960" t="s">
        <v>6487</v>
      </c>
      <c r="C2960" t="s">
        <v>6488</v>
      </c>
      <c r="D2960" s="12">
        <v>46313</v>
      </c>
      <c r="E2960" s="11">
        <v>50</v>
      </c>
      <c r="F2960" s="11" t="s">
        <v>7453</v>
      </c>
      <c r="G2960">
        <v>20261001</v>
      </c>
      <c r="H2960" s="12">
        <v>46388</v>
      </c>
      <c r="I2960" s="11" t="s">
        <v>63</v>
      </c>
      <c r="J2960" s="72">
        <v>10639928</v>
      </c>
      <c r="K2960" s="99">
        <f>_xlfn.XLOOKUP(_2__ROI_Daily_Update[[#This Row],[CSM id]],SHP!F:F,SHP!EE:EE,"-")</f>
        <v>0</v>
      </c>
      <c r="L2960" s="12"/>
      <c r="N2960" s="11"/>
      <c r="P2960"/>
      <c r="Q2960"/>
      <c r="W2960" s="28"/>
      <c r="AA2960"/>
    </row>
    <row r="2961" spans="1:27" x14ac:dyDescent="0.45">
      <c r="A2961" s="57">
        <v>1081</v>
      </c>
      <c r="B2961" t="s">
        <v>6489</v>
      </c>
      <c r="C2961" t="s">
        <v>6490</v>
      </c>
      <c r="D2961" s="12">
        <v>46313</v>
      </c>
      <c r="E2961" s="11">
        <v>40</v>
      </c>
      <c r="F2961" s="11" t="s">
        <v>7453</v>
      </c>
      <c r="G2961">
        <v>20261001</v>
      </c>
      <c r="H2961" s="12">
        <v>46388</v>
      </c>
      <c r="I2961" s="11" t="s">
        <v>63</v>
      </c>
      <c r="J2961" s="72">
        <v>10639966</v>
      </c>
      <c r="K2961" s="99">
        <f>_xlfn.XLOOKUP(_2__ROI_Daily_Update[[#This Row],[CSM id]],SHP!F:F,SHP!EE:EE,"-")</f>
        <v>0</v>
      </c>
      <c r="L2961" s="12"/>
      <c r="N2961" s="11"/>
      <c r="P2961"/>
      <c r="Q2961"/>
      <c r="W2961" s="28"/>
      <c r="AA2961"/>
    </row>
    <row r="2962" spans="1:27" x14ac:dyDescent="0.45">
      <c r="A2962" s="57">
        <v>1081</v>
      </c>
      <c r="B2962" t="s">
        <v>6491</v>
      </c>
      <c r="C2962" t="s">
        <v>6492</v>
      </c>
      <c r="D2962" s="12">
        <v>46313</v>
      </c>
      <c r="E2962" s="11">
        <v>8</v>
      </c>
      <c r="F2962" s="11" t="s">
        <v>7453</v>
      </c>
      <c r="G2962">
        <v>20261001</v>
      </c>
      <c r="H2962" s="12">
        <v>46388</v>
      </c>
      <c r="I2962" s="11" t="s">
        <v>63</v>
      </c>
      <c r="J2962" s="72">
        <v>20635213</v>
      </c>
      <c r="K2962" s="99">
        <f>_xlfn.XLOOKUP(_2__ROI_Daily_Update[[#This Row],[CSM id]],SHP!F:F,SHP!EE:EE,"-")</f>
        <v>0</v>
      </c>
      <c r="L2962" s="12"/>
      <c r="N2962" s="11"/>
      <c r="P2962"/>
      <c r="Q2962"/>
      <c r="W2962" s="28"/>
      <c r="AA2962"/>
    </row>
    <row r="2963" spans="1:27" x14ac:dyDescent="0.45">
      <c r="A2963" s="57">
        <v>1081</v>
      </c>
      <c r="B2963" t="s">
        <v>6493</v>
      </c>
      <c r="C2963" t="s">
        <v>6494</v>
      </c>
      <c r="D2963" s="12">
        <v>46313</v>
      </c>
      <c r="E2963" s="11">
        <v>18</v>
      </c>
      <c r="F2963" s="11" t="s">
        <v>7453</v>
      </c>
      <c r="G2963">
        <v>20261001</v>
      </c>
      <c r="H2963" s="12">
        <v>46388</v>
      </c>
      <c r="I2963" s="11" t="s">
        <v>63</v>
      </c>
      <c r="J2963" s="72">
        <v>20635369</v>
      </c>
      <c r="K2963" s="99">
        <f>_xlfn.XLOOKUP(_2__ROI_Daily_Update[[#This Row],[CSM id]],SHP!F:F,SHP!EE:EE,"-")</f>
        <v>0</v>
      </c>
      <c r="L2963" s="12"/>
      <c r="N2963" s="11"/>
      <c r="P2963"/>
      <c r="Q2963"/>
      <c r="W2963" s="28"/>
      <c r="AA2963"/>
    </row>
    <row r="2964" spans="1:27" x14ac:dyDescent="0.45">
      <c r="A2964" s="57">
        <v>1043</v>
      </c>
      <c r="B2964" t="s">
        <v>1324</v>
      </c>
      <c r="C2964" t="s">
        <v>1325</v>
      </c>
      <c r="D2964" s="12">
        <v>46313</v>
      </c>
      <c r="E2964" s="11">
        <v>63</v>
      </c>
      <c r="F2964" s="11" t="s">
        <v>7463</v>
      </c>
      <c r="G2964">
        <v>20250101</v>
      </c>
      <c r="I2964" s="11" t="s">
        <v>63</v>
      </c>
      <c r="J2964" s="72">
        <v>90599136</v>
      </c>
      <c r="K2964" s="99">
        <f>_xlfn.XLOOKUP(_2__ROI_Daily_Update[[#This Row],[CSM id]],SHP!F:F,SHP!EE:EE,"-")</f>
        <v>0</v>
      </c>
      <c r="L2964" s="12"/>
      <c r="N2964" s="11"/>
      <c r="P2964"/>
      <c r="Q2964"/>
      <c r="W2964" s="28"/>
      <c r="AA2964"/>
    </row>
    <row r="2965" spans="1:27" x14ac:dyDescent="0.45">
      <c r="A2965" s="57">
        <v>1031</v>
      </c>
      <c r="B2965" t="s">
        <v>1284</v>
      </c>
      <c r="C2965" t="s">
        <v>1285</v>
      </c>
      <c r="D2965" s="12">
        <v>46313</v>
      </c>
      <c r="E2965" s="11">
        <v>144</v>
      </c>
      <c r="F2965" s="11" t="s">
        <v>7430</v>
      </c>
      <c r="G2965">
        <v>20251001</v>
      </c>
      <c r="I2965" s="11" t="s">
        <v>63</v>
      </c>
      <c r="J2965" s="72">
        <v>20591445</v>
      </c>
      <c r="K2965" s="99">
        <f>_xlfn.XLOOKUP(_2__ROI_Daily_Update[[#This Row],[CSM id]],SHP!F:F,SHP!EE:EE,"-")</f>
        <v>0</v>
      </c>
      <c r="L2965" s="12"/>
      <c r="N2965" s="11"/>
      <c r="P2965"/>
      <c r="Q2965"/>
      <c r="W2965" s="28"/>
      <c r="AA2965"/>
    </row>
    <row r="2966" spans="1:27" x14ac:dyDescent="0.45">
      <c r="A2966" s="57">
        <v>1031</v>
      </c>
      <c r="B2966" t="s">
        <v>5590</v>
      </c>
      <c r="C2966" t="s">
        <v>5591</v>
      </c>
      <c r="D2966" s="12">
        <v>46313</v>
      </c>
      <c r="E2966" s="11">
        <v>48</v>
      </c>
      <c r="F2966" s="11" t="s">
        <v>7405</v>
      </c>
      <c r="G2966">
        <v>20260401</v>
      </c>
      <c r="I2966" s="11" t="s">
        <v>63</v>
      </c>
      <c r="J2966" s="72">
        <v>10619082</v>
      </c>
      <c r="K2966" s="99">
        <f>_xlfn.XLOOKUP(_2__ROI_Daily_Update[[#This Row],[CSM id]],SHP!F:F,SHP!EE:EE,"-")</f>
        <v>0</v>
      </c>
      <c r="L2966" s="12"/>
      <c r="N2966" s="11"/>
      <c r="P2966"/>
      <c r="Q2966"/>
      <c r="W2966" s="28"/>
      <c r="AA2966"/>
    </row>
    <row r="2967" spans="1:27" x14ac:dyDescent="0.45">
      <c r="A2967" s="57">
        <v>1031</v>
      </c>
      <c r="B2967" t="s">
        <v>1282</v>
      </c>
      <c r="C2967" t="s">
        <v>1283</v>
      </c>
      <c r="D2967" s="12">
        <v>46313</v>
      </c>
      <c r="E2967" s="11">
        <v>24</v>
      </c>
      <c r="F2967" s="11" t="s">
        <v>7430</v>
      </c>
      <c r="G2967">
        <v>20260401</v>
      </c>
      <c r="I2967" s="11" t="s">
        <v>63</v>
      </c>
      <c r="J2967" s="72">
        <v>10613377</v>
      </c>
      <c r="K2967" s="99">
        <f>_xlfn.XLOOKUP(_2__ROI_Daily_Update[[#This Row],[CSM id]],SHP!F:F,SHP!EE:EE,"-")</f>
        <v>0</v>
      </c>
      <c r="L2967" s="12"/>
      <c r="N2967" s="11"/>
      <c r="P2967"/>
      <c r="Q2967"/>
      <c r="W2967" s="28"/>
      <c r="AA2967"/>
    </row>
    <row r="2968" spans="1:27" x14ac:dyDescent="0.45">
      <c r="A2968" s="57">
        <v>983</v>
      </c>
      <c r="B2968" t="s">
        <v>988</v>
      </c>
      <c r="C2968" t="s">
        <v>989</v>
      </c>
      <c r="D2968" s="12">
        <v>46313</v>
      </c>
      <c r="E2968" s="11">
        <v>105</v>
      </c>
      <c r="F2968" s="11" t="s">
        <v>7405</v>
      </c>
      <c r="G2968">
        <v>20240701</v>
      </c>
      <c r="I2968" s="11" t="s">
        <v>63</v>
      </c>
      <c r="J2968" s="72">
        <v>50575123</v>
      </c>
      <c r="K2968" s="99">
        <f>_xlfn.XLOOKUP(_2__ROI_Daily_Update[[#This Row],[CSM id]],SHP!F:F,SHP!EE:EE,"-")</f>
        <v>0</v>
      </c>
      <c r="L2968" s="12"/>
      <c r="N2968" s="11"/>
      <c r="P2968"/>
      <c r="Q2968"/>
      <c r="W2968" s="28"/>
      <c r="AA2968"/>
    </row>
    <row r="2969" spans="1:27" x14ac:dyDescent="0.45">
      <c r="A2969" s="57">
        <v>983</v>
      </c>
      <c r="B2969" t="s">
        <v>990</v>
      </c>
      <c r="C2969" t="s">
        <v>991</v>
      </c>
      <c r="D2969" s="12">
        <v>46313</v>
      </c>
      <c r="E2969" s="11">
        <v>60</v>
      </c>
      <c r="F2969" s="11" t="s">
        <v>7463</v>
      </c>
      <c r="G2969">
        <v>20250101</v>
      </c>
      <c r="I2969" s="11" t="s">
        <v>63</v>
      </c>
      <c r="J2969" s="72">
        <v>50595654</v>
      </c>
      <c r="K2969" s="99">
        <f>_xlfn.XLOOKUP(_2__ROI_Daily_Update[[#This Row],[CSM id]],SHP!F:F,SHP!EE:EE,"-")</f>
        <v>0</v>
      </c>
      <c r="L2969" s="12"/>
      <c r="N2969" s="11"/>
      <c r="P2969"/>
      <c r="Q2969"/>
      <c r="W2969" s="28"/>
      <c r="AA2969"/>
    </row>
    <row r="2970" spans="1:27" x14ac:dyDescent="0.45">
      <c r="A2970" s="57">
        <v>1022</v>
      </c>
      <c r="B2970" t="s">
        <v>6361</v>
      </c>
      <c r="C2970" t="s">
        <v>6362</v>
      </c>
      <c r="D2970" s="12">
        <v>46313</v>
      </c>
      <c r="E2970" s="11">
        <v>8</v>
      </c>
      <c r="F2970" s="11" t="s">
        <v>7453</v>
      </c>
      <c r="G2970">
        <v>20260701</v>
      </c>
      <c r="I2970" s="11" t="s">
        <v>63</v>
      </c>
      <c r="J2970" s="72">
        <v>30606333</v>
      </c>
      <c r="K2970" s="99">
        <f>_xlfn.XLOOKUP(_2__ROI_Daily_Update[[#This Row],[CSM id]],SHP!F:F,SHP!EE:EE,"-")</f>
        <v>0</v>
      </c>
      <c r="L2970" s="12"/>
      <c r="N2970" s="11"/>
      <c r="P2970"/>
      <c r="Q2970"/>
      <c r="W2970" s="28"/>
      <c r="AA2970"/>
    </row>
    <row r="2971" spans="1:27" x14ac:dyDescent="0.45">
      <c r="A2971" s="57">
        <v>983</v>
      </c>
      <c r="B2971" t="s">
        <v>992</v>
      </c>
      <c r="C2971" t="s">
        <v>993</v>
      </c>
      <c r="D2971" s="12">
        <v>46313</v>
      </c>
      <c r="E2971" s="11">
        <v>560</v>
      </c>
      <c r="F2971" s="11" t="s">
        <v>7468</v>
      </c>
      <c r="G2971">
        <v>20250701</v>
      </c>
      <c r="I2971" s="11" t="s">
        <v>18</v>
      </c>
      <c r="J2971" s="72">
        <v>50600815</v>
      </c>
      <c r="K2971" s="99">
        <f>_xlfn.XLOOKUP(_2__ROI_Daily_Update[[#This Row],[CSM id]],SHP!F:F,SHP!EE:EE,"-")</f>
        <v>0</v>
      </c>
      <c r="L2971" s="12"/>
      <c r="N2971" s="11"/>
      <c r="P2971"/>
      <c r="Q2971"/>
      <c r="W2971" s="28"/>
      <c r="AA2971"/>
    </row>
    <row r="2972" spans="1:27" x14ac:dyDescent="0.45">
      <c r="A2972" s="57">
        <v>1022</v>
      </c>
      <c r="B2972" t="s">
        <v>1240</v>
      </c>
      <c r="C2972" t="s">
        <v>1241</v>
      </c>
      <c r="D2972" s="12">
        <v>46313</v>
      </c>
      <c r="E2972" s="11">
        <v>80</v>
      </c>
      <c r="F2972" s="11" t="s">
        <v>7410</v>
      </c>
      <c r="G2972">
        <v>20261001</v>
      </c>
      <c r="I2972" s="11" t="s">
        <v>63</v>
      </c>
      <c r="J2972" s="72">
        <v>30605178</v>
      </c>
      <c r="K2972" s="99">
        <f>_xlfn.XLOOKUP(_2__ROI_Daily_Update[[#This Row],[CSM id]],SHP!F:F,SHP!EE:EE,"-")</f>
        <v>0</v>
      </c>
      <c r="L2972" s="12"/>
      <c r="N2972" s="11"/>
      <c r="P2972"/>
      <c r="Q2972"/>
      <c r="W2972" s="28"/>
      <c r="AA2972"/>
    </row>
    <row r="2973" spans="1:27" x14ac:dyDescent="0.45">
      <c r="A2973" s="57">
        <v>1022</v>
      </c>
      <c r="B2973" t="s">
        <v>1238</v>
      </c>
      <c r="C2973" t="s">
        <v>1239</v>
      </c>
      <c r="D2973" s="12">
        <v>46313</v>
      </c>
      <c r="E2973" s="11">
        <v>24</v>
      </c>
      <c r="F2973" s="11" t="s">
        <v>7410</v>
      </c>
      <c r="G2973">
        <v>20260701</v>
      </c>
      <c r="I2973" s="11" t="s">
        <v>63</v>
      </c>
      <c r="J2973" s="72">
        <v>20605292</v>
      </c>
      <c r="K2973" s="99">
        <f>_xlfn.XLOOKUP(_2__ROI_Daily_Update[[#This Row],[CSM id]],SHP!F:F,SHP!EE:EE,"-")</f>
        <v>0</v>
      </c>
      <c r="L2973" s="12"/>
      <c r="N2973" s="11"/>
      <c r="P2973"/>
      <c r="Q2973"/>
      <c r="W2973" s="28"/>
      <c r="AA2973"/>
    </row>
    <row r="2974" spans="1:27" x14ac:dyDescent="0.45">
      <c r="A2974" s="57">
        <v>983</v>
      </c>
      <c r="B2974" t="s">
        <v>994</v>
      </c>
      <c r="C2974" t="s">
        <v>995</v>
      </c>
      <c r="D2974" s="12">
        <v>46313</v>
      </c>
      <c r="E2974" s="11">
        <v>1440</v>
      </c>
      <c r="F2974" s="11" t="s">
        <v>7492</v>
      </c>
      <c r="G2974">
        <v>20180601</v>
      </c>
      <c r="I2974" s="11" t="s">
        <v>18</v>
      </c>
      <c r="J2974" s="72">
        <v>60378669</v>
      </c>
      <c r="K2974" s="99">
        <f>_xlfn.XLOOKUP(_2__ROI_Daily_Update[[#This Row],[CSM id]],SHP!F:F,SHP!EE:EE,"-")</f>
        <v>0</v>
      </c>
      <c r="L2974" s="12"/>
      <c r="N2974" s="11"/>
      <c r="P2974"/>
      <c r="Q2974"/>
      <c r="W2974" s="28"/>
      <c r="AA2974"/>
    </row>
    <row r="2975" spans="1:27" x14ac:dyDescent="0.45">
      <c r="A2975" s="57">
        <v>1021</v>
      </c>
      <c r="B2975" t="s">
        <v>1236</v>
      </c>
      <c r="C2975" t="s">
        <v>1237</v>
      </c>
      <c r="D2975" s="12">
        <v>46313</v>
      </c>
      <c r="E2975" s="11">
        <v>112</v>
      </c>
      <c r="F2975" s="11" t="s">
        <v>7420</v>
      </c>
      <c r="G2975">
        <v>20251001</v>
      </c>
      <c r="I2975" s="11" t="s">
        <v>63</v>
      </c>
      <c r="J2975" s="72">
        <v>90625220</v>
      </c>
      <c r="K2975" s="99">
        <f>_xlfn.XLOOKUP(_2__ROI_Daily_Update[[#This Row],[CSM id]],SHP!F:F,SHP!EE:EE,"-")</f>
        <v>0</v>
      </c>
      <c r="L2975" s="12"/>
      <c r="N2975" s="11"/>
      <c r="P2975"/>
      <c r="Q2975"/>
      <c r="W2975" s="28"/>
      <c r="AA2975"/>
    </row>
    <row r="2976" spans="1:27" x14ac:dyDescent="0.45">
      <c r="A2976" s="57">
        <v>1831</v>
      </c>
      <c r="B2976" t="s">
        <v>3602</v>
      </c>
      <c r="C2976" t="s">
        <v>3603</v>
      </c>
      <c r="D2976" s="12">
        <v>46313</v>
      </c>
      <c r="E2976" s="11">
        <v>288</v>
      </c>
      <c r="F2976" s="11" t="s">
        <v>7410</v>
      </c>
      <c r="G2976">
        <v>20260401</v>
      </c>
      <c r="I2976" s="11" t="s">
        <v>63</v>
      </c>
      <c r="J2976" s="72">
        <v>60611371</v>
      </c>
      <c r="K2976" s="99">
        <f>_xlfn.XLOOKUP(_2__ROI_Daily_Update[[#This Row],[CSM id]],SHP!F:F,SHP!EE:EE,"-")</f>
        <v>0</v>
      </c>
      <c r="L2976" s="12"/>
      <c r="N2976" s="11"/>
      <c r="P2976"/>
      <c r="Q2976"/>
      <c r="W2976" s="28"/>
      <c r="AA2976"/>
    </row>
    <row r="2977" spans="1:27" x14ac:dyDescent="0.45">
      <c r="A2977" s="57">
        <v>1021</v>
      </c>
      <c r="B2977" t="s">
        <v>1234</v>
      </c>
      <c r="C2977" t="s">
        <v>1235</v>
      </c>
      <c r="D2977" s="12">
        <v>46313</v>
      </c>
      <c r="E2977" s="11">
        <v>80</v>
      </c>
      <c r="F2977" s="11" t="s">
        <v>7453</v>
      </c>
      <c r="G2977">
        <v>20251001</v>
      </c>
      <c r="I2977" s="11" t="s">
        <v>63</v>
      </c>
      <c r="J2977" s="72">
        <v>80619309</v>
      </c>
      <c r="K2977" s="99">
        <f>_xlfn.XLOOKUP(_2__ROI_Daily_Update[[#This Row],[CSM id]],SHP!F:F,SHP!EE:EE,"-")</f>
        <v>0</v>
      </c>
      <c r="L2977" s="12"/>
      <c r="N2977" s="11"/>
      <c r="P2977"/>
      <c r="Q2977"/>
      <c r="W2977" s="28"/>
      <c r="AA2977"/>
    </row>
    <row r="2978" spans="1:27" x14ac:dyDescent="0.45">
      <c r="A2978" s="57">
        <v>1021</v>
      </c>
      <c r="B2978" t="s">
        <v>1234</v>
      </c>
      <c r="C2978" t="s">
        <v>1235</v>
      </c>
      <c r="D2978" s="12">
        <v>46313</v>
      </c>
      <c r="E2978" s="11">
        <v>80</v>
      </c>
      <c r="F2978" s="11" t="s">
        <v>7430</v>
      </c>
      <c r="G2978">
        <v>20251001</v>
      </c>
      <c r="I2978" s="11" t="s">
        <v>63</v>
      </c>
      <c r="J2978" s="72">
        <v>80619309</v>
      </c>
      <c r="K2978" s="99">
        <f>_xlfn.XLOOKUP(_2__ROI_Daily_Update[[#This Row],[CSM id]],SHP!F:F,SHP!EE:EE,"-")</f>
        <v>0</v>
      </c>
      <c r="L2978" s="12"/>
      <c r="N2978" s="11"/>
      <c r="P2978"/>
      <c r="Q2978"/>
      <c r="W2978" s="28"/>
      <c r="AA2978"/>
    </row>
    <row r="2979" spans="1:27" x14ac:dyDescent="0.45">
      <c r="A2979" s="57">
        <v>1021</v>
      </c>
      <c r="B2979" t="s">
        <v>7097</v>
      </c>
      <c r="C2979" t="s">
        <v>7098</v>
      </c>
      <c r="D2979" s="12">
        <v>46313</v>
      </c>
      <c r="E2979" s="11">
        <v>52</v>
      </c>
      <c r="F2979" s="11" t="s">
        <v>7480</v>
      </c>
      <c r="G2979">
        <v>20251001</v>
      </c>
      <c r="I2979" s="11" t="s">
        <v>63</v>
      </c>
      <c r="J2979" s="72">
        <v>80595983</v>
      </c>
      <c r="K2979" s="99">
        <f>_xlfn.XLOOKUP(_2__ROI_Daily_Update[[#This Row],[CSM id]],SHP!F:F,SHP!EE:EE,"-")</f>
        <v>0</v>
      </c>
      <c r="L2979" s="12"/>
      <c r="N2979" s="11"/>
      <c r="P2979"/>
      <c r="Q2979"/>
      <c r="W2979" s="28"/>
      <c r="AA2979"/>
    </row>
    <row r="2980" spans="1:27" x14ac:dyDescent="0.45">
      <c r="A2980" s="57">
        <v>1021</v>
      </c>
      <c r="B2980" t="s">
        <v>6809</v>
      </c>
      <c r="C2980" t="s">
        <v>6810</v>
      </c>
      <c r="D2980" s="12">
        <v>46313</v>
      </c>
      <c r="E2980" s="11">
        <v>56</v>
      </c>
      <c r="F2980" s="11" t="s">
        <v>7463</v>
      </c>
      <c r="G2980">
        <v>20251001</v>
      </c>
      <c r="I2980" s="11" t="s">
        <v>63</v>
      </c>
      <c r="J2980" s="72">
        <v>70624797</v>
      </c>
      <c r="K2980" s="99">
        <f>_xlfn.XLOOKUP(_2__ROI_Daily_Update[[#This Row],[CSM id]],SHP!F:F,SHP!EE:EE,"-")</f>
        <v>0</v>
      </c>
      <c r="L2980" s="12"/>
      <c r="N2980" s="11"/>
      <c r="P2980"/>
      <c r="Q2980"/>
      <c r="W2980" s="28"/>
      <c r="AA2980"/>
    </row>
    <row r="2981" spans="1:27" x14ac:dyDescent="0.45">
      <c r="A2981" s="57">
        <v>1021</v>
      </c>
      <c r="B2981" t="s">
        <v>6289</v>
      </c>
      <c r="C2981" t="s">
        <v>6290</v>
      </c>
      <c r="D2981" s="12">
        <v>46313</v>
      </c>
      <c r="E2981" s="11">
        <v>20</v>
      </c>
      <c r="F2981" s="11" t="s">
        <v>7440</v>
      </c>
      <c r="G2981">
        <v>20260701</v>
      </c>
      <c r="I2981" s="11" t="s">
        <v>63</v>
      </c>
      <c r="J2981" s="72">
        <v>70621553</v>
      </c>
      <c r="K2981" s="99">
        <f>_xlfn.XLOOKUP(_2__ROI_Daily_Update[[#This Row],[CSM id]],SHP!F:F,SHP!EE:EE,"-")</f>
        <v>0</v>
      </c>
      <c r="L2981" s="12"/>
      <c r="N2981" s="11"/>
      <c r="P2981"/>
      <c r="Q2981"/>
      <c r="W2981" s="28"/>
      <c r="AA2981"/>
    </row>
    <row r="2982" spans="1:27" x14ac:dyDescent="0.45">
      <c r="A2982" s="57">
        <v>1831</v>
      </c>
      <c r="B2982" t="s">
        <v>6343</v>
      </c>
      <c r="C2982" t="s">
        <v>6344</v>
      </c>
      <c r="D2982" s="12">
        <v>46313</v>
      </c>
      <c r="E2982" s="11">
        <v>15</v>
      </c>
      <c r="F2982" s="11" t="s">
        <v>7448</v>
      </c>
      <c r="G2982">
        <v>20220101</v>
      </c>
      <c r="H2982" s="12">
        <v>46388</v>
      </c>
      <c r="I2982" s="11" t="s">
        <v>63</v>
      </c>
      <c r="J2982" s="72">
        <v>50503923</v>
      </c>
      <c r="K2982" s="99">
        <f>_xlfn.XLOOKUP(_2__ROI_Daily_Update[[#This Row],[CSM id]],SHP!F:F,SHP!EE:EE,"-")</f>
        <v>0</v>
      </c>
      <c r="L2982" s="12"/>
      <c r="N2982" s="11"/>
      <c r="P2982"/>
      <c r="Q2982"/>
      <c r="W2982" s="28"/>
      <c r="AA2982"/>
    </row>
    <row r="2983" spans="1:27" x14ac:dyDescent="0.45">
      <c r="A2983" s="57">
        <v>1021</v>
      </c>
      <c r="B2983" t="s">
        <v>1228</v>
      </c>
      <c r="C2983" t="s">
        <v>1229</v>
      </c>
      <c r="D2983" s="12">
        <v>46313</v>
      </c>
      <c r="E2983" s="11">
        <v>56</v>
      </c>
      <c r="F2983" s="11" t="s">
        <v>7480</v>
      </c>
      <c r="G2983">
        <v>20140801</v>
      </c>
      <c r="I2983" s="11" t="s">
        <v>63</v>
      </c>
      <c r="J2983" s="72">
        <v>60283510</v>
      </c>
      <c r="K2983" s="99">
        <f>_xlfn.XLOOKUP(_2__ROI_Daily_Update[[#This Row],[CSM id]],SHP!F:F,SHP!EE:EE,"-")</f>
        <v>0</v>
      </c>
      <c r="L2983" s="12"/>
      <c r="N2983" s="11"/>
      <c r="P2983"/>
      <c r="Q2983"/>
      <c r="W2983" s="28"/>
      <c r="AA2983"/>
    </row>
    <row r="2984" spans="1:27" x14ac:dyDescent="0.45">
      <c r="A2984" s="57">
        <v>1021</v>
      </c>
      <c r="B2984" t="s">
        <v>1228</v>
      </c>
      <c r="C2984" t="s">
        <v>1229</v>
      </c>
      <c r="D2984" s="12">
        <v>46313</v>
      </c>
      <c r="E2984" s="11">
        <v>56</v>
      </c>
      <c r="F2984" s="11" t="s">
        <v>7440</v>
      </c>
      <c r="G2984">
        <v>20140801</v>
      </c>
      <c r="I2984" s="11" t="s">
        <v>63</v>
      </c>
      <c r="J2984" s="72">
        <v>60283510</v>
      </c>
      <c r="K2984" s="99">
        <f>_xlfn.XLOOKUP(_2__ROI_Daily_Update[[#This Row],[CSM id]],SHP!F:F,SHP!EE:EE,"-")</f>
        <v>0</v>
      </c>
      <c r="L2984" s="12"/>
      <c r="N2984" s="11"/>
      <c r="P2984"/>
      <c r="Q2984"/>
      <c r="W2984" s="28"/>
      <c r="AA2984"/>
    </row>
    <row r="2985" spans="1:27" x14ac:dyDescent="0.45">
      <c r="A2985" s="57">
        <v>1831</v>
      </c>
      <c r="B2985" t="s">
        <v>3590</v>
      </c>
      <c r="C2985" t="s">
        <v>3591</v>
      </c>
      <c r="D2985" s="12">
        <v>46313</v>
      </c>
      <c r="E2985" s="11">
        <v>22</v>
      </c>
      <c r="F2985" s="11" t="s">
        <v>7448</v>
      </c>
      <c r="G2985">
        <v>20140801</v>
      </c>
      <c r="I2985" s="11" t="s">
        <v>63</v>
      </c>
      <c r="J2985" s="72">
        <v>30179464</v>
      </c>
      <c r="K2985" s="99">
        <f>_xlfn.XLOOKUP(_2__ROI_Daily_Update[[#This Row],[CSM id]],SHP!F:F,SHP!EE:EE,"-")</f>
        <v>0</v>
      </c>
      <c r="L2985" s="12"/>
      <c r="N2985" s="11"/>
      <c r="P2985"/>
      <c r="Q2985"/>
      <c r="W2985" s="28"/>
      <c r="AA2985"/>
    </row>
    <row r="2986" spans="1:27" x14ac:dyDescent="0.45">
      <c r="A2986" s="57">
        <v>1021</v>
      </c>
      <c r="B2986" t="s">
        <v>1210</v>
      </c>
      <c r="C2986" t="s">
        <v>1211</v>
      </c>
      <c r="D2986" s="12">
        <v>46313</v>
      </c>
      <c r="E2986" s="11">
        <v>384</v>
      </c>
      <c r="F2986" s="11" t="s">
        <v>7453</v>
      </c>
      <c r="G2986">
        <v>20250401</v>
      </c>
      <c r="I2986" s="11" t="s">
        <v>63</v>
      </c>
      <c r="J2986" s="72">
        <v>30558445</v>
      </c>
      <c r="K2986" s="99">
        <f>_xlfn.XLOOKUP(_2__ROI_Daily_Update[[#This Row],[CSM id]],SHP!F:F,SHP!EE:EE,"-")</f>
        <v>0</v>
      </c>
      <c r="L2986" s="12"/>
      <c r="N2986" s="11"/>
      <c r="P2986"/>
      <c r="Q2986"/>
      <c r="W2986" s="28"/>
      <c r="AA2986"/>
    </row>
    <row r="2987" spans="1:27" x14ac:dyDescent="0.45">
      <c r="A2987" s="57">
        <v>1021</v>
      </c>
      <c r="B2987" t="s">
        <v>6321</v>
      </c>
      <c r="C2987" t="s">
        <v>6322</v>
      </c>
      <c r="D2987" s="12">
        <v>46313</v>
      </c>
      <c r="E2987" s="11">
        <v>56</v>
      </c>
      <c r="F2987" s="11" t="s">
        <v>7453</v>
      </c>
      <c r="G2987">
        <v>20251001</v>
      </c>
      <c r="I2987" s="11" t="s">
        <v>63</v>
      </c>
      <c r="J2987" s="72">
        <v>30625218</v>
      </c>
      <c r="K2987" s="99">
        <f>_xlfn.XLOOKUP(_2__ROI_Daily_Update[[#This Row],[CSM id]],SHP!F:F,SHP!EE:EE,"-")</f>
        <v>0</v>
      </c>
      <c r="L2987" s="12"/>
      <c r="N2987" s="11"/>
      <c r="P2987"/>
      <c r="Q2987"/>
      <c r="W2987" s="28"/>
      <c r="AA2987"/>
    </row>
    <row r="2988" spans="1:27" x14ac:dyDescent="0.45">
      <c r="A2988" s="57">
        <v>984</v>
      </c>
      <c r="B2988" t="s">
        <v>5164</v>
      </c>
      <c r="C2988" t="s">
        <v>5165</v>
      </c>
      <c r="D2988" s="12">
        <v>46313</v>
      </c>
      <c r="E2988" s="11">
        <v>180</v>
      </c>
      <c r="F2988" s="11" t="s">
        <v>6946</v>
      </c>
      <c r="G2988">
        <v>20170401</v>
      </c>
      <c r="I2988" s="11" t="s">
        <v>63</v>
      </c>
      <c r="J2988" s="72">
        <v>349024</v>
      </c>
      <c r="K2988" s="99">
        <f>_xlfn.XLOOKUP(_2__ROI_Daily_Update[[#This Row],[CSM id]],SHP!F:F,SHP!EE:EE,"-")</f>
        <v>0</v>
      </c>
      <c r="L2988" s="12"/>
      <c r="N2988" s="11"/>
      <c r="P2988"/>
      <c r="Q2988"/>
      <c r="W2988" s="28"/>
      <c r="AA2988"/>
    </row>
    <row r="2989" spans="1:27" x14ac:dyDescent="0.45">
      <c r="A2989" s="57">
        <v>984</v>
      </c>
      <c r="B2989" t="s">
        <v>5164</v>
      </c>
      <c r="C2989" t="s">
        <v>5165</v>
      </c>
      <c r="D2989" s="12">
        <v>46313</v>
      </c>
      <c r="E2989" s="11">
        <v>120</v>
      </c>
      <c r="F2989" s="11" t="s">
        <v>7430</v>
      </c>
      <c r="G2989">
        <v>20170401</v>
      </c>
      <c r="I2989" s="11" t="s">
        <v>63</v>
      </c>
      <c r="J2989" s="72">
        <v>349024</v>
      </c>
      <c r="K2989" s="99">
        <f>_xlfn.XLOOKUP(_2__ROI_Daily_Update[[#This Row],[CSM id]],SHP!F:F,SHP!EE:EE,"-")</f>
        <v>0</v>
      </c>
      <c r="L2989" s="12"/>
      <c r="N2989" s="11"/>
      <c r="P2989"/>
      <c r="Q2989"/>
      <c r="W2989" s="28"/>
      <c r="AA2989"/>
    </row>
    <row r="2990" spans="1:27" x14ac:dyDescent="0.45">
      <c r="A2990" s="57">
        <v>1021</v>
      </c>
      <c r="B2990" t="s">
        <v>1214</v>
      </c>
      <c r="C2990" t="s">
        <v>1215</v>
      </c>
      <c r="D2990" s="12">
        <v>46313</v>
      </c>
      <c r="E2990" s="11">
        <v>48</v>
      </c>
      <c r="F2990" s="11" t="s">
        <v>7440</v>
      </c>
      <c r="G2990">
        <v>20231001</v>
      </c>
      <c r="I2990" s="11" t="s">
        <v>63</v>
      </c>
      <c r="J2990" s="72">
        <v>40555738</v>
      </c>
      <c r="K2990" s="99">
        <f>_xlfn.XLOOKUP(_2__ROI_Daily_Update[[#This Row],[CSM id]],SHP!F:F,SHP!EE:EE,"-")</f>
        <v>0</v>
      </c>
      <c r="L2990" s="12"/>
      <c r="N2990" s="11"/>
      <c r="P2990"/>
      <c r="Q2990"/>
      <c r="W2990" s="28"/>
      <c r="AA2990"/>
    </row>
    <row r="2991" spans="1:27" x14ac:dyDescent="0.45">
      <c r="A2991" s="57">
        <v>1022</v>
      </c>
      <c r="B2991" t="s">
        <v>1244</v>
      </c>
      <c r="C2991" t="s">
        <v>1245</v>
      </c>
      <c r="D2991" s="12">
        <v>46313</v>
      </c>
      <c r="E2991" s="11">
        <v>4</v>
      </c>
      <c r="F2991" s="11" t="s">
        <v>7430</v>
      </c>
      <c r="G2991">
        <v>20251001</v>
      </c>
      <c r="H2991" s="12">
        <v>46661</v>
      </c>
      <c r="I2991" s="11" t="s">
        <v>63</v>
      </c>
      <c r="J2991" s="72">
        <v>50604856</v>
      </c>
      <c r="K2991" s="99">
        <f>_xlfn.XLOOKUP(_2__ROI_Daily_Update[[#This Row],[CSM id]],SHP!F:F,SHP!EE:EE,"-")</f>
        <v>0</v>
      </c>
      <c r="L2991" s="12"/>
      <c r="N2991" s="11"/>
      <c r="P2991"/>
      <c r="Q2991"/>
      <c r="W2991" s="28"/>
      <c r="AA2991"/>
    </row>
    <row r="2992" spans="1:27" x14ac:dyDescent="0.45">
      <c r="A2992" s="57">
        <v>1021</v>
      </c>
      <c r="B2992" t="s">
        <v>1216</v>
      </c>
      <c r="C2992" t="s">
        <v>1217</v>
      </c>
      <c r="D2992" s="12">
        <v>46313</v>
      </c>
      <c r="E2992" s="11">
        <v>84</v>
      </c>
      <c r="F2992" s="11" t="s">
        <v>7420</v>
      </c>
      <c r="G2992">
        <v>20260701</v>
      </c>
      <c r="I2992" s="11" t="s">
        <v>63</v>
      </c>
      <c r="J2992" s="72">
        <v>40618458</v>
      </c>
      <c r="K2992" s="99">
        <f>_xlfn.XLOOKUP(_2__ROI_Daily_Update[[#This Row],[CSM id]],SHP!F:F,SHP!EE:EE,"-")</f>
        <v>0</v>
      </c>
      <c r="L2992" s="12"/>
      <c r="N2992" s="11"/>
      <c r="P2992"/>
      <c r="Q2992"/>
      <c r="W2992" s="28"/>
      <c r="AA2992"/>
    </row>
    <row r="2993" spans="1:27" x14ac:dyDescent="0.45">
      <c r="A2993" s="57">
        <v>983</v>
      </c>
      <c r="B2993" t="s">
        <v>6243</v>
      </c>
      <c r="C2993" t="s">
        <v>6244</v>
      </c>
      <c r="D2993" s="12">
        <v>46313</v>
      </c>
      <c r="E2993" s="11">
        <v>24</v>
      </c>
      <c r="F2993" s="11" t="s">
        <v>7475</v>
      </c>
      <c r="G2993">
        <v>20250101</v>
      </c>
      <c r="I2993" s="11" t="s">
        <v>63</v>
      </c>
      <c r="J2993" s="72">
        <v>90598189</v>
      </c>
      <c r="K2993" s="99">
        <f>_xlfn.XLOOKUP(_2__ROI_Daily_Update[[#This Row],[CSM id]],SHP!F:F,SHP!EE:EE,"-")</f>
        <v>0</v>
      </c>
      <c r="L2993" s="12"/>
      <c r="N2993" s="11"/>
      <c r="P2993"/>
      <c r="Q2993"/>
      <c r="W2993" s="28"/>
      <c r="AA2993"/>
    </row>
    <row r="2994" spans="1:27" x14ac:dyDescent="0.45">
      <c r="A2994" s="57">
        <v>1021</v>
      </c>
      <c r="B2994" t="s">
        <v>1220</v>
      </c>
      <c r="C2994" t="s">
        <v>1221</v>
      </c>
      <c r="D2994" s="12">
        <v>46313</v>
      </c>
      <c r="E2994" s="11">
        <v>88</v>
      </c>
      <c r="F2994" s="11" t="s">
        <v>7453</v>
      </c>
      <c r="G2994">
        <v>20231001</v>
      </c>
      <c r="I2994" s="11" t="s">
        <v>63</v>
      </c>
      <c r="J2994" s="72">
        <v>50564209</v>
      </c>
      <c r="K2994" s="99">
        <f>_xlfn.XLOOKUP(_2__ROI_Daily_Update[[#This Row],[CSM id]],SHP!F:F,SHP!EE:EE,"-")</f>
        <v>0</v>
      </c>
      <c r="L2994" s="12"/>
      <c r="N2994" s="11"/>
      <c r="P2994"/>
      <c r="Q2994"/>
      <c r="W2994" s="28"/>
      <c r="AA2994"/>
    </row>
    <row r="2995" spans="1:27" x14ac:dyDescent="0.45">
      <c r="A2995" s="57">
        <v>983</v>
      </c>
      <c r="B2995" t="s">
        <v>6243</v>
      </c>
      <c r="C2995" t="s">
        <v>6244</v>
      </c>
      <c r="D2995" s="12">
        <v>46313</v>
      </c>
      <c r="E2995" s="11">
        <v>24</v>
      </c>
      <c r="F2995" s="11" t="s">
        <v>7435</v>
      </c>
      <c r="G2995">
        <v>20250101</v>
      </c>
      <c r="I2995" s="11" t="s">
        <v>63</v>
      </c>
      <c r="J2995" s="72">
        <v>90598189</v>
      </c>
      <c r="K2995" s="99">
        <f>_xlfn.XLOOKUP(_2__ROI_Daily_Update[[#This Row],[CSM id]],SHP!F:F,SHP!EE:EE,"-")</f>
        <v>0</v>
      </c>
      <c r="L2995" s="12"/>
      <c r="N2995" s="11"/>
      <c r="P2995"/>
      <c r="Q2995"/>
      <c r="W2995" s="28"/>
      <c r="AA2995"/>
    </row>
    <row r="2996" spans="1:27" x14ac:dyDescent="0.45">
      <c r="A2996" s="57">
        <v>1021</v>
      </c>
      <c r="B2996" t="s">
        <v>1224</v>
      </c>
      <c r="C2996" t="s">
        <v>1225</v>
      </c>
      <c r="D2996" s="12">
        <v>46313</v>
      </c>
      <c r="E2996" s="11">
        <v>52</v>
      </c>
      <c r="F2996" s="11" t="s">
        <v>7410</v>
      </c>
      <c r="G2996">
        <v>20251001</v>
      </c>
      <c r="I2996" s="11" t="s">
        <v>63</v>
      </c>
      <c r="J2996" s="72">
        <v>50619297</v>
      </c>
      <c r="K2996" s="99">
        <f>_xlfn.XLOOKUP(_2__ROI_Daily_Update[[#This Row],[CSM id]],SHP!F:F,SHP!EE:EE,"-")</f>
        <v>0</v>
      </c>
      <c r="L2996" s="12"/>
      <c r="N2996" s="11"/>
      <c r="P2996"/>
      <c r="Q2996"/>
      <c r="W2996" s="28"/>
      <c r="AA2996"/>
    </row>
    <row r="2997" spans="1:27" x14ac:dyDescent="0.45">
      <c r="A2997" s="57">
        <v>1021</v>
      </c>
      <c r="B2997" t="s">
        <v>1226</v>
      </c>
      <c r="C2997" t="s">
        <v>1227</v>
      </c>
      <c r="D2997" s="12">
        <v>46313</v>
      </c>
      <c r="E2997" s="11">
        <v>80</v>
      </c>
      <c r="F2997" s="11" t="s">
        <v>7440</v>
      </c>
      <c r="G2997">
        <v>20251001</v>
      </c>
      <c r="I2997" s="11" t="s">
        <v>63</v>
      </c>
      <c r="J2997" s="72">
        <v>50619315</v>
      </c>
      <c r="K2997" s="99">
        <f>_xlfn.XLOOKUP(_2__ROI_Daily_Update[[#This Row],[CSM id]],SHP!F:F,SHP!EE:EE,"-")</f>
        <v>0</v>
      </c>
      <c r="L2997" s="12"/>
      <c r="N2997" s="11"/>
      <c r="P2997"/>
      <c r="Q2997"/>
      <c r="W2997" s="28"/>
      <c r="AA2997"/>
    </row>
    <row r="2998" spans="1:27" x14ac:dyDescent="0.45">
      <c r="A2998" s="57">
        <v>983</v>
      </c>
      <c r="B2998" t="s">
        <v>5192</v>
      </c>
      <c r="C2998" t="s">
        <v>5193</v>
      </c>
      <c r="D2998" s="12">
        <v>46313</v>
      </c>
      <c r="E2998" s="11">
        <v>60</v>
      </c>
      <c r="F2998" s="11" t="s">
        <v>7395</v>
      </c>
      <c r="G2998">
        <v>20240701</v>
      </c>
      <c r="I2998" s="11" t="s">
        <v>63</v>
      </c>
      <c r="J2998" s="72">
        <v>90572410</v>
      </c>
      <c r="K2998" s="99">
        <f>_xlfn.XLOOKUP(_2__ROI_Daily_Update[[#This Row],[CSM id]],SHP!F:F,SHP!EE:EE,"-")</f>
        <v>0</v>
      </c>
      <c r="L2998" s="12"/>
      <c r="N2998" s="11"/>
      <c r="P2998"/>
      <c r="Q2998"/>
      <c r="W2998" s="28"/>
      <c r="AA2998"/>
    </row>
    <row r="2999" spans="1:27" x14ac:dyDescent="0.45">
      <c r="A2999" s="57">
        <v>1021</v>
      </c>
      <c r="B2999" t="s">
        <v>1218</v>
      </c>
      <c r="C2999" t="s">
        <v>1219</v>
      </c>
      <c r="D2999" s="12">
        <v>46313</v>
      </c>
      <c r="E2999" s="11">
        <v>12</v>
      </c>
      <c r="F2999" s="11" t="s">
        <v>7420</v>
      </c>
      <c r="G2999">
        <v>20241001</v>
      </c>
      <c r="I2999" s="11" t="s">
        <v>63</v>
      </c>
      <c r="J2999" s="72">
        <v>50546692</v>
      </c>
      <c r="K2999" s="99">
        <f>_xlfn.XLOOKUP(_2__ROI_Daily_Update[[#This Row],[CSM id]],SHP!F:F,SHP!EE:EE,"-")</f>
        <v>0</v>
      </c>
      <c r="L2999" s="12"/>
      <c r="N2999" s="11"/>
      <c r="P2999"/>
      <c r="Q2999"/>
      <c r="W2999" s="28"/>
      <c r="AA2999"/>
    </row>
    <row r="3000" spans="1:27" x14ac:dyDescent="0.45">
      <c r="A3000" s="57">
        <v>1022</v>
      </c>
      <c r="B3000" t="s">
        <v>1244</v>
      </c>
      <c r="C3000" t="s">
        <v>1245</v>
      </c>
      <c r="D3000" s="12">
        <v>46313</v>
      </c>
      <c r="E3000" s="11">
        <v>4</v>
      </c>
      <c r="F3000" s="11" t="s">
        <v>6946</v>
      </c>
      <c r="G3000">
        <v>20251001</v>
      </c>
      <c r="H3000" s="12">
        <v>46661</v>
      </c>
      <c r="I3000" s="11" t="s">
        <v>63</v>
      </c>
      <c r="J3000" s="72">
        <v>50604856</v>
      </c>
      <c r="K3000" s="99">
        <f>_xlfn.XLOOKUP(_2__ROI_Daily_Update[[#This Row],[CSM id]],SHP!F:F,SHP!EE:EE,"-")</f>
        <v>0</v>
      </c>
      <c r="L3000" s="12"/>
      <c r="N3000" s="11"/>
      <c r="P3000"/>
      <c r="Q3000"/>
      <c r="W3000" s="28"/>
      <c r="AA3000"/>
    </row>
    <row r="3001" spans="1:27" x14ac:dyDescent="0.45">
      <c r="A3001" s="57">
        <v>983</v>
      </c>
      <c r="B3001" t="s">
        <v>986</v>
      </c>
      <c r="C3001" t="s">
        <v>987</v>
      </c>
      <c r="D3001" s="12">
        <v>46313</v>
      </c>
      <c r="E3001" s="11">
        <v>30</v>
      </c>
      <c r="F3001" s="11" t="s">
        <v>7453</v>
      </c>
      <c r="G3001">
        <v>20250101</v>
      </c>
      <c r="I3001" s="11" t="s">
        <v>63</v>
      </c>
      <c r="J3001" s="72">
        <v>50573751</v>
      </c>
      <c r="K3001" s="99">
        <f>_xlfn.XLOOKUP(_2__ROI_Daily_Update[[#This Row],[CSM id]],SHP!F:F,SHP!EE:EE,"-")</f>
        <v>0</v>
      </c>
      <c r="L3001" s="12"/>
      <c r="N3001" s="11"/>
      <c r="P3001"/>
      <c r="Q3001"/>
      <c r="W3001" s="28"/>
      <c r="AA3001"/>
    </row>
    <row r="3002" spans="1:27" x14ac:dyDescent="0.45">
      <c r="A3002" s="57">
        <v>1022</v>
      </c>
      <c r="B3002" t="s">
        <v>1246</v>
      </c>
      <c r="C3002" t="s">
        <v>1247</v>
      </c>
      <c r="D3002" s="12">
        <v>46313</v>
      </c>
      <c r="E3002" s="11">
        <v>9</v>
      </c>
      <c r="F3002" s="11" t="s">
        <v>7420</v>
      </c>
      <c r="G3002">
        <v>20260401</v>
      </c>
      <c r="I3002" s="11" t="s">
        <v>63</v>
      </c>
      <c r="J3002" s="72">
        <v>60604945</v>
      </c>
      <c r="K3002" s="99">
        <f>_xlfn.XLOOKUP(_2__ROI_Daily_Update[[#This Row],[CSM id]],SHP!F:F,SHP!EE:EE,"-")</f>
        <v>0</v>
      </c>
      <c r="L3002" s="12"/>
      <c r="N3002" s="11"/>
      <c r="P3002"/>
      <c r="Q3002"/>
      <c r="W3002" s="28"/>
      <c r="AA3002"/>
    </row>
    <row r="3003" spans="1:27" x14ac:dyDescent="0.45">
      <c r="A3003" s="57">
        <v>1024</v>
      </c>
      <c r="B3003" t="s">
        <v>1264</v>
      </c>
      <c r="C3003" t="s">
        <v>1265</v>
      </c>
      <c r="D3003" s="12">
        <v>46313</v>
      </c>
      <c r="E3003" s="11">
        <v>45</v>
      </c>
      <c r="F3003" s="11" t="s">
        <v>7480</v>
      </c>
      <c r="G3003">
        <v>20260401</v>
      </c>
      <c r="I3003" s="11" t="s">
        <v>63</v>
      </c>
      <c r="J3003" s="72">
        <v>618950</v>
      </c>
      <c r="K3003" s="99">
        <f>_xlfn.XLOOKUP(_2__ROI_Daily_Update[[#This Row],[CSM id]],SHP!F:F,SHP!EE:EE,"-")</f>
        <v>0</v>
      </c>
      <c r="L3003" s="12"/>
      <c r="N3003" s="11"/>
      <c r="P3003"/>
      <c r="Q3003"/>
      <c r="W3003" s="28"/>
      <c r="AA3003"/>
    </row>
    <row r="3004" spans="1:27" x14ac:dyDescent="0.45">
      <c r="A3004" s="57">
        <v>1024</v>
      </c>
      <c r="B3004" t="s">
        <v>5771</v>
      </c>
      <c r="C3004" t="s">
        <v>5772</v>
      </c>
      <c r="D3004" s="12">
        <v>46313</v>
      </c>
      <c r="E3004" s="11">
        <v>35</v>
      </c>
      <c r="F3004" s="11" t="s">
        <v>6940</v>
      </c>
      <c r="G3004">
        <v>20260401</v>
      </c>
      <c r="I3004" s="11" t="s">
        <v>63</v>
      </c>
      <c r="J3004" s="72">
        <v>619450</v>
      </c>
      <c r="K3004" s="99">
        <f>_xlfn.XLOOKUP(_2__ROI_Daily_Update[[#This Row],[CSM id]],SHP!F:F,SHP!EE:EE,"-")</f>
        <v>0</v>
      </c>
      <c r="L3004" s="12"/>
      <c r="N3004" s="11"/>
      <c r="P3004"/>
      <c r="Q3004"/>
      <c r="W3004" s="28"/>
      <c r="AA3004"/>
    </row>
    <row r="3005" spans="1:27" x14ac:dyDescent="0.45">
      <c r="A3005" s="57">
        <v>1024</v>
      </c>
      <c r="B3005" t="s">
        <v>5600</v>
      </c>
      <c r="C3005" t="s">
        <v>5601</v>
      </c>
      <c r="D3005" s="12">
        <v>46313</v>
      </c>
      <c r="E3005" s="11">
        <v>77</v>
      </c>
      <c r="F3005" s="11" t="s">
        <v>7405</v>
      </c>
      <c r="G3005">
        <v>20260401</v>
      </c>
      <c r="I3005" s="11" t="s">
        <v>63</v>
      </c>
      <c r="J3005" s="72">
        <v>10641525</v>
      </c>
      <c r="K3005" s="99">
        <f>_xlfn.XLOOKUP(_2__ROI_Daily_Update[[#This Row],[CSM id]],SHP!F:F,SHP!EE:EE,"-")</f>
        <v>0</v>
      </c>
      <c r="L3005" s="12"/>
      <c r="N3005" s="11"/>
      <c r="P3005"/>
      <c r="Q3005"/>
      <c r="W3005" s="28"/>
      <c r="AA3005"/>
    </row>
    <row r="3006" spans="1:27" x14ac:dyDescent="0.45">
      <c r="A3006" s="57">
        <v>1024</v>
      </c>
      <c r="B3006" t="s">
        <v>5600</v>
      </c>
      <c r="C3006" t="s">
        <v>5601</v>
      </c>
      <c r="D3006" s="12">
        <v>46313</v>
      </c>
      <c r="E3006" s="11">
        <v>77</v>
      </c>
      <c r="F3006" s="11" t="s">
        <v>7448</v>
      </c>
      <c r="G3006">
        <v>20260401</v>
      </c>
      <c r="I3006" s="11" t="s">
        <v>63</v>
      </c>
      <c r="J3006" s="72">
        <v>10641525</v>
      </c>
      <c r="K3006" s="99">
        <f>_xlfn.XLOOKUP(_2__ROI_Daily_Update[[#This Row],[CSM id]],SHP!F:F,SHP!EE:EE,"-")</f>
        <v>0</v>
      </c>
      <c r="L3006" s="12"/>
      <c r="N3006" s="11"/>
      <c r="P3006"/>
      <c r="Q3006"/>
      <c r="W3006" s="28"/>
      <c r="AA3006"/>
    </row>
    <row r="3007" spans="1:27" x14ac:dyDescent="0.45">
      <c r="A3007" s="57">
        <v>1831</v>
      </c>
      <c r="B3007" t="s">
        <v>3586</v>
      </c>
      <c r="C3007" t="s">
        <v>3587</v>
      </c>
      <c r="D3007" s="12">
        <v>46313</v>
      </c>
      <c r="E3007" s="11">
        <v>40</v>
      </c>
      <c r="F3007" s="11" t="s">
        <v>7448</v>
      </c>
      <c r="G3007">
        <v>20251001</v>
      </c>
      <c r="I3007" s="11" t="s">
        <v>63</v>
      </c>
      <c r="J3007" s="72">
        <v>20612259</v>
      </c>
      <c r="K3007" s="99">
        <f>_xlfn.XLOOKUP(_2__ROI_Daily_Update[[#This Row],[CSM id]],SHP!F:F,SHP!EE:EE,"-")</f>
        <v>0</v>
      </c>
      <c r="L3007" s="12"/>
      <c r="N3007" s="11"/>
      <c r="P3007"/>
      <c r="Q3007"/>
      <c r="W3007" s="28"/>
      <c r="AA3007"/>
    </row>
    <row r="3008" spans="1:27" x14ac:dyDescent="0.45">
      <c r="A3008" s="57">
        <v>1831</v>
      </c>
      <c r="B3008" t="s">
        <v>5358</v>
      </c>
      <c r="C3008" t="s">
        <v>5359</v>
      </c>
      <c r="D3008" s="12">
        <v>46313</v>
      </c>
      <c r="E3008" s="11">
        <v>128</v>
      </c>
      <c r="F3008" s="11" t="s">
        <v>7415</v>
      </c>
      <c r="G3008">
        <v>20260401</v>
      </c>
      <c r="I3008" s="11" t="s">
        <v>63</v>
      </c>
      <c r="J3008" s="72">
        <v>70179886</v>
      </c>
      <c r="K3008" s="99">
        <f>_xlfn.XLOOKUP(_2__ROI_Daily_Update[[#This Row],[CSM id]],SHP!F:F,SHP!EE:EE,"-")</f>
        <v>0</v>
      </c>
      <c r="L3008" s="12"/>
      <c r="N3008" s="11"/>
      <c r="P3008"/>
      <c r="Q3008"/>
      <c r="W3008" s="28"/>
      <c r="AA3008"/>
    </row>
    <row r="3009" spans="1:27" x14ac:dyDescent="0.45">
      <c r="A3009" s="57">
        <v>1024</v>
      </c>
      <c r="B3009" t="s">
        <v>1264</v>
      </c>
      <c r="C3009" t="s">
        <v>1265</v>
      </c>
      <c r="D3009" s="12">
        <v>46313</v>
      </c>
      <c r="E3009" s="11">
        <v>45</v>
      </c>
      <c r="F3009" s="11" t="s">
        <v>7440</v>
      </c>
      <c r="G3009">
        <v>20260401</v>
      </c>
      <c r="I3009" s="11" t="s">
        <v>63</v>
      </c>
      <c r="J3009" s="72">
        <v>618950</v>
      </c>
      <c r="K3009" s="99">
        <f>_xlfn.XLOOKUP(_2__ROI_Daily_Update[[#This Row],[CSM id]],SHP!F:F,SHP!EE:EE,"-")</f>
        <v>0</v>
      </c>
      <c r="L3009" s="12"/>
      <c r="N3009" s="11"/>
      <c r="P3009"/>
      <c r="Q3009"/>
      <c r="W3009" s="28"/>
      <c r="AA3009"/>
    </row>
    <row r="3010" spans="1:27" x14ac:dyDescent="0.45">
      <c r="A3010" s="57">
        <v>1024</v>
      </c>
      <c r="B3010" t="s">
        <v>1266</v>
      </c>
      <c r="C3010" t="s">
        <v>1267</v>
      </c>
      <c r="D3010" s="12">
        <v>46313</v>
      </c>
      <c r="E3010" s="11">
        <v>108</v>
      </c>
      <c r="F3010" s="11" t="s">
        <v>6946</v>
      </c>
      <c r="G3010">
        <v>20260401</v>
      </c>
      <c r="I3010" s="11" t="s">
        <v>63</v>
      </c>
      <c r="J3010" s="72">
        <v>50624741</v>
      </c>
      <c r="K3010" s="99">
        <f>_xlfn.XLOOKUP(_2__ROI_Daily_Update[[#This Row],[CSM id]],SHP!F:F,SHP!EE:EE,"-")</f>
        <v>0</v>
      </c>
      <c r="L3010" s="12"/>
      <c r="N3010" s="11"/>
      <c r="P3010"/>
      <c r="Q3010"/>
      <c r="W3010" s="28"/>
      <c r="AA3010"/>
    </row>
    <row r="3011" spans="1:27" x14ac:dyDescent="0.45">
      <c r="A3011" s="57">
        <v>1831</v>
      </c>
      <c r="B3011" t="s">
        <v>5358</v>
      </c>
      <c r="C3011" t="s">
        <v>5359</v>
      </c>
      <c r="D3011" s="12">
        <v>46313</v>
      </c>
      <c r="E3011" s="11">
        <v>128</v>
      </c>
      <c r="F3011" s="11" t="s">
        <v>7405</v>
      </c>
      <c r="G3011">
        <v>20260401</v>
      </c>
      <c r="I3011" s="11" t="s">
        <v>63</v>
      </c>
      <c r="J3011" s="72">
        <v>70179886</v>
      </c>
      <c r="K3011" s="99">
        <f>_xlfn.XLOOKUP(_2__ROI_Daily_Update[[#This Row],[CSM id]],SHP!F:F,SHP!EE:EE,"-")</f>
        <v>0</v>
      </c>
      <c r="L3011" s="12"/>
      <c r="N3011" s="11"/>
      <c r="P3011"/>
      <c r="Q3011"/>
      <c r="W3011" s="28"/>
      <c r="AA3011"/>
    </row>
    <row r="3012" spans="1:27" x14ac:dyDescent="0.45">
      <c r="A3012" s="57">
        <v>1024</v>
      </c>
      <c r="B3012" t="s">
        <v>6363</v>
      </c>
      <c r="C3012" t="s">
        <v>6364</v>
      </c>
      <c r="D3012" s="12">
        <v>46313</v>
      </c>
      <c r="E3012" s="11">
        <v>48</v>
      </c>
      <c r="F3012" s="11" t="s">
        <v>7448</v>
      </c>
      <c r="G3012">
        <v>20260401</v>
      </c>
      <c r="I3012" s="11" t="s">
        <v>63</v>
      </c>
      <c r="J3012" s="72">
        <v>70617768</v>
      </c>
      <c r="K3012" s="99">
        <f>_xlfn.XLOOKUP(_2__ROI_Daily_Update[[#This Row],[CSM id]],SHP!F:F,SHP!EE:EE,"-")</f>
        <v>0</v>
      </c>
      <c r="L3012" s="12"/>
      <c r="N3012" s="11"/>
      <c r="P3012"/>
      <c r="Q3012"/>
      <c r="W3012" s="28"/>
      <c r="AA3012"/>
    </row>
    <row r="3013" spans="1:27" x14ac:dyDescent="0.45">
      <c r="A3013" s="57">
        <v>1031</v>
      </c>
      <c r="B3013" t="s">
        <v>1270</v>
      </c>
      <c r="C3013" t="s">
        <v>1271</v>
      </c>
      <c r="D3013" s="12">
        <v>46313</v>
      </c>
      <c r="E3013" s="11">
        <v>36</v>
      </c>
      <c r="F3013" s="11" t="s">
        <v>7420</v>
      </c>
      <c r="G3013">
        <v>20240101</v>
      </c>
      <c r="I3013" s="11" t="s">
        <v>63</v>
      </c>
      <c r="J3013" s="72">
        <v>548434</v>
      </c>
      <c r="K3013" s="99">
        <f>_xlfn.XLOOKUP(_2__ROI_Daily_Update[[#This Row],[CSM id]],SHP!F:F,SHP!EE:EE,"-")</f>
        <v>0</v>
      </c>
      <c r="L3013" s="12"/>
      <c r="N3013" s="11"/>
      <c r="P3013"/>
      <c r="Q3013"/>
      <c r="W3013" s="28"/>
      <c r="AA3013"/>
    </row>
    <row r="3014" spans="1:27" x14ac:dyDescent="0.45">
      <c r="A3014" s="57">
        <v>1031</v>
      </c>
      <c r="B3014" t="s">
        <v>5588</v>
      </c>
      <c r="C3014" t="s">
        <v>5589</v>
      </c>
      <c r="D3014" s="12">
        <v>46313</v>
      </c>
      <c r="E3014" s="11">
        <v>48</v>
      </c>
      <c r="F3014" s="11" t="s">
        <v>7410</v>
      </c>
      <c r="G3014">
        <v>20260401</v>
      </c>
      <c r="I3014" s="11" t="s">
        <v>63</v>
      </c>
      <c r="J3014" s="72">
        <v>614792</v>
      </c>
      <c r="K3014" s="99">
        <f>_xlfn.XLOOKUP(_2__ROI_Daily_Update[[#This Row],[CSM id]],SHP!F:F,SHP!EE:EE,"-")</f>
        <v>0</v>
      </c>
      <c r="L3014" s="12"/>
      <c r="N3014" s="11"/>
      <c r="P3014"/>
      <c r="Q3014"/>
      <c r="W3014" s="28"/>
      <c r="AA3014"/>
    </row>
    <row r="3015" spans="1:27" x14ac:dyDescent="0.45">
      <c r="A3015" s="57">
        <v>1831</v>
      </c>
      <c r="B3015" t="s">
        <v>5624</v>
      </c>
      <c r="C3015" t="s">
        <v>5625</v>
      </c>
      <c r="D3015" s="12">
        <v>46313</v>
      </c>
      <c r="E3015" s="11">
        <v>84</v>
      </c>
      <c r="F3015" s="11" t="s">
        <v>7468</v>
      </c>
      <c r="G3015">
        <v>20220101</v>
      </c>
      <c r="I3015" s="11" t="s">
        <v>18</v>
      </c>
      <c r="J3015" s="72">
        <v>80503912</v>
      </c>
      <c r="K3015" s="99">
        <f>_xlfn.XLOOKUP(_2__ROI_Daily_Update[[#This Row],[CSM id]],SHP!F:F,SHP!EE:EE,"-")</f>
        <v>0</v>
      </c>
      <c r="L3015" s="12"/>
      <c r="N3015" s="11"/>
      <c r="P3015"/>
      <c r="Q3015"/>
      <c r="W3015" s="28"/>
      <c r="AA3015"/>
    </row>
    <row r="3016" spans="1:27" x14ac:dyDescent="0.45">
      <c r="A3016" s="57">
        <v>983</v>
      </c>
      <c r="B3016" t="s">
        <v>978</v>
      </c>
      <c r="C3016" t="s">
        <v>979</v>
      </c>
      <c r="D3016" s="12">
        <v>46313</v>
      </c>
      <c r="E3016" s="11">
        <v>12</v>
      </c>
      <c r="F3016" s="11" t="s">
        <v>7475</v>
      </c>
      <c r="G3016">
        <v>20140801</v>
      </c>
      <c r="I3016" s="11" t="s">
        <v>63</v>
      </c>
      <c r="J3016" s="72">
        <v>30165216</v>
      </c>
      <c r="K3016" s="99">
        <f>_xlfn.XLOOKUP(_2__ROI_Daily_Update[[#This Row],[CSM id]],SHP!F:F,SHP!EE:EE,"-")</f>
        <v>0</v>
      </c>
      <c r="L3016" s="12"/>
      <c r="N3016" s="11"/>
      <c r="P3016"/>
      <c r="Q3016"/>
      <c r="W3016" s="28"/>
      <c r="AA3016"/>
    </row>
    <row r="3017" spans="1:27" x14ac:dyDescent="0.45">
      <c r="A3017" s="57">
        <v>1024</v>
      </c>
      <c r="B3017" t="s">
        <v>6231</v>
      </c>
      <c r="C3017" t="s">
        <v>6232</v>
      </c>
      <c r="D3017" s="12">
        <v>46313</v>
      </c>
      <c r="E3017" s="11">
        <v>36</v>
      </c>
      <c r="F3017" s="11" t="s">
        <v>7435</v>
      </c>
      <c r="G3017">
        <v>20260401</v>
      </c>
      <c r="I3017" s="11" t="s">
        <v>63</v>
      </c>
      <c r="J3017" s="72">
        <v>60641523</v>
      </c>
      <c r="K3017" s="99">
        <f>_xlfn.XLOOKUP(_2__ROI_Daily_Update[[#This Row],[CSM id]],SHP!F:F,SHP!EE:EE,"-")</f>
        <v>0</v>
      </c>
      <c r="L3017" s="12"/>
      <c r="N3017" s="11"/>
      <c r="P3017"/>
      <c r="Q3017"/>
      <c r="W3017" s="28"/>
      <c r="AA3017"/>
    </row>
    <row r="3018" spans="1:27" x14ac:dyDescent="0.45">
      <c r="A3018" s="57">
        <v>1021</v>
      </c>
      <c r="B3018" t="s">
        <v>5761</v>
      </c>
      <c r="C3018" t="s">
        <v>5762</v>
      </c>
      <c r="D3018" s="12">
        <v>46313</v>
      </c>
      <c r="E3018" s="11">
        <v>22</v>
      </c>
      <c r="F3018" s="11" t="s">
        <v>7480</v>
      </c>
      <c r="G3018">
        <v>20240401</v>
      </c>
      <c r="I3018" s="11" t="s">
        <v>63</v>
      </c>
      <c r="J3018" s="72">
        <v>30501270</v>
      </c>
      <c r="K3018" s="99">
        <f>_xlfn.XLOOKUP(_2__ROI_Daily_Update[[#This Row],[CSM id]],SHP!F:F,SHP!EE:EE,"-")</f>
        <v>0</v>
      </c>
      <c r="L3018" s="12"/>
      <c r="N3018" s="11"/>
      <c r="P3018"/>
      <c r="Q3018"/>
      <c r="W3018" s="28"/>
      <c r="AA3018"/>
    </row>
    <row r="3019" spans="1:27" x14ac:dyDescent="0.45">
      <c r="A3019" s="57">
        <v>1024</v>
      </c>
      <c r="B3019" t="s">
        <v>1264</v>
      </c>
      <c r="C3019" t="s">
        <v>1265</v>
      </c>
      <c r="D3019" s="12">
        <v>46313</v>
      </c>
      <c r="E3019" s="11">
        <v>45</v>
      </c>
      <c r="F3019" s="11" t="s">
        <v>7410</v>
      </c>
      <c r="G3019">
        <v>20260401</v>
      </c>
      <c r="I3019" s="11" t="s">
        <v>63</v>
      </c>
      <c r="J3019" s="72">
        <v>618950</v>
      </c>
      <c r="K3019" s="99">
        <f>_xlfn.XLOOKUP(_2__ROI_Daily_Update[[#This Row],[CSM id]],SHP!F:F,SHP!EE:EE,"-")</f>
        <v>0</v>
      </c>
      <c r="L3019" s="12"/>
      <c r="N3019" s="11"/>
      <c r="P3019"/>
      <c r="Q3019"/>
      <c r="W3019" s="28"/>
      <c r="AA3019"/>
    </row>
    <row r="3020" spans="1:27" x14ac:dyDescent="0.45">
      <c r="A3020" s="57">
        <v>1023</v>
      </c>
      <c r="B3020" t="s">
        <v>1262</v>
      </c>
      <c r="C3020" t="s">
        <v>1263</v>
      </c>
      <c r="D3020" s="12">
        <v>46313</v>
      </c>
      <c r="E3020" s="11">
        <v>44</v>
      </c>
      <c r="F3020" s="11" t="s">
        <v>6946</v>
      </c>
      <c r="G3020">
        <v>20230401</v>
      </c>
      <c r="I3020" s="11" t="s">
        <v>63</v>
      </c>
      <c r="J3020" s="72">
        <v>70551499</v>
      </c>
      <c r="K3020" s="99">
        <f>_xlfn.XLOOKUP(_2__ROI_Daily_Update[[#This Row],[CSM id]],SHP!F:F,SHP!EE:EE,"-")</f>
        <v>0</v>
      </c>
      <c r="L3020" s="12"/>
      <c r="N3020" s="11"/>
      <c r="P3020"/>
      <c r="Q3020"/>
      <c r="W3020" s="28"/>
      <c r="AA3020"/>
    </row>
    <row r="3021" spans="1:27" x14ac:dyDescent="0.45">
      <c r="A3021" s="57">
        <v>1022</v>
      </c>
      <c r="B3021" t="s">
        <v>1248</v>
      </c>
      <c r="C3021" t="s">
        <v>1249</v>
      </c>
      <c r="D3021" s="12">
        <v>46313</v>
      </c>
      <c r="E3021" s="11">
        <v>6</v>
      </c>
      <c r="F3021" s="11" t="s">
        <v>7410</v>
      </c>
      <c r="G3021">
        <v>20260401</v>
      </c>
      <c r="I3021" s="11" t="s">
        <v>63</v>
      </c>
      <c r="J3021" s="72">
        <v>70604964</v>
      </c>
      <c r="K3021" s="99">
        <f>_xlfn.XLOOKUP(_2__ROI_Daily_Update[[#This Row],[CSM id]],SHP!F:F,SHP!EE:EE,"-")</f>
        <v>0</v>
      </c>
      <c r="L3021" s="12"/>
      <c r="N3021" s="11"/>
      <c r="P3021"/>
      <c r="Q3021"/>
      <c r="W3021" s="28"/>
      <c r="AA3021"/>
    </row>
    <row r="3022" spans="1:27" x14ac:dyDescent="0.45">
      <c r="A3022" s="57">
        <v>1022</v>
      </c>
      <c r="B3022" t="s">
        <v>1250</v>
      </c>
      <c r="C3022" t="s">
        <v>1251</v>
      </c>
      <c r="D3022" s="12">
        <v>46313</v>
      </c>
      <c r="E3022" s="11">
        <v>80</v>
      </c>
      <c r="F3022" s="11" t="s">
        <v>7410</v>
      </c>
      <c r="G3022">
        <v>20261001</v>
      </c>
      <c r="I3022" s="11" t="s">
        <v>63</v>
      </c>
      <c r="J3022" s="72">
        <v>70605119</v>
      </c>
      <c r="K3022" s="99">
        <f>_xlfn.XLOOKUP(_2__ROI_Daily_Update[[#This Row],[CSM id]],SHP!F:F,SHP!EE:EE,"-")</f>
        <v>0</v>
      </c>
      <c r="L3022" s="12"/>
      <c r="N3022" s="11"/>
      <c r="P3022"/>
      <c r="Q3022"/>
      <c r="W3022" s="28"/>
      <c r="AA3022"/>
    </row>
    <row r="3023" spans="1:27" x14ac:dyDescent="0.45">
      <c r="A3023" s="57">
        <v>1022</v>
      </c>
      <c r="B3023" t="s">
        <v>1250</v>
      </c>
      <c r="C3023" t="s">
        <v>1251</v>
      </c>
      <c r="D3023" s="12">
        <v>46313</v>
      </c>
      <c r="E3023" s="11">
        <v>40</v>
      </c>
      <c r="F3023" s="11" t="s">
        <v>7480</v>
      </c>
      <c r="G3023">
        <v>20261001</v>
      </c>
      <c r="I3023" s="11" t="s">
        <v>63</v>
      </c>
      <c r="J3023" s="72">
        <v>70605119</v>
      </c>
      <c r="K3023" s="99">
        <f>_xlfn.XLOOKUP(_2__ROI_Daily_Update[[#This Row],[CSM id]],SHP!F:F,SHP!EE:EE,"-")</f>
        <v>0</v>
      </c>
      <c r="L3023" s="12"/>
      <c r="N3023" s="11"/>
      <c r="P3023"/>
      <c r="Q3023"/>
      <c r="W3023" s="28"/>
      <c r="AA3023"/>
    </row>
    <row r="3024" spans="1:27" x14ac:dyDescent="0.45">
      <c r="A3024" s="57">
        <v>1831</v>
      </c>
      <c r="B3024" t="s">
        <v>3602</v>
      </c>
      <c r="C3024" t="s">
        <v>3603</v>
      </c>
      <c r="D3024" s="12">
        <v>46313</v>
      </c>
      <c r="E3024" s="11">
        <v>288</v>
      </c>
      <c r="F3024" s="11" t="s">
        <v>7440</v>
      </c>
      <c r="G3024">
        <v>20260401</v>
      </c>
      <c r="I3024" s="11" t="s">
        <v>63</v>
      </c>
      <c r="J3024" s="72">
        <v>60611371</v>
      </c>
      <c r="K3024" s="99">
        <f>_xlfn.XLOOKUP(_2__ROI_Daily_Update[[#This Row],[CSM id]],SHP!F:F,SHP!EE:EE,"-")</f>
        <v>0</v>
      </c>
      <c r="L3024" s="12"/>
      <c r="N3024" s="11"/>
      <c r="P3024"/>
      <c r="Q3024"/>
      <c r="W3024" s="28"/>
      <c r="AA3024"/>
    </row>
    <row r="3025" spans="1:27" x14ac:dyDescent="0.45">
      <c r="A3025" s="57">
        <v>1022</v>
      </c>
      <c r="B3025" t="s">
        <v>1252</v>
      </c>
      <c r="C3025" t="s">
        <v>1253</v>
      </c>
      <c r="D3025" s="12">
        <v>46313</v>
      </c>
      <c r="E3025" s="11">
        <v>8</v>
      </c>
      <c r="F3025" s="11" t="s">
        <v>7420</v>
      </c>
      <c r="G3025">
        <v>20260701</v>
      </c>
      <c r="I3025" s="11" t="s">
        <v>63</v>
      </c>
      <c r="J3025" s="72">
        <v>70605275</v>
      </c>
      <c r="K3025" s="99">
        <f>_xlfn.XLOOKUP(_2__ROI_Daily_Update[[#This Row],[CSM id]],SHP!F:F,SHP!EE:EE,"-")</f>
        <v>0</v>
      </c>
      <c r="L3025" s="12"/>
      <c r="N3025" s="11"/>
      <c r="P3025"/>
      <c r="Q3025"/>
      <c r="W3025" s="28"/>
      <c r="AA3025"/>
    </row>
    <row r="3026" spans="1:27" x14ac:dyDescent="0.45">
      <c r="A3026" s="57">
        <v>1022</v>
      </c>
      <c r="B3026" t="s">
        <v>1252</v>
      </c>
      <c r="C3026" t="s">
        <v>1253</v>
      </c>
      <c r="D3026" s="12">
        <v>46313</v>
      </c>
      <c r="E3026" s="11">
        <v>12</v>
      </c>
      <c r="F3026" s="11" t="s">
        <v>7400</v>
      </c>
      <c r="G3026">
        <v>20260701</v>
      </c>
      <c r="I3026" s="11" t="s">
        <v>63</v>
      </c>
      <c r="J3026" s="72">
        <v>70605275</v>
      </c>
      <c r="K3026" s="99">
        <f>_xlfn.XLOOKUP(_2__ROI_Daily_Update[[#This Row],[CSM id]],SHP!F:F,SHP!EE:EE,"-")</f>
        <v>0</v>
      </c>
      <c r="L3026" s="12"/>
      <c r="N3026" s="11"/>
      <c r="P3026"/>
      <c r="Q3026"/>
      <c r="W3026" s="28"/>
      <c r="AA3026"/>
    </row>
    <row r="3027" spans="1:27" x14ac:dyDescent="0.45">
      <c r="A3027" s="57">
        <v>1023</v>
      </c>
      <c r="B3027" t="s">
        <v>5338</v>
      </c>
      <c r="C3027" t="s">
        <v>5339</v>
      </c>
      <c r="D3027" s="12">
        <v>46313</v>
      </c>
      <c r="E3027" s="11">
        <v>12</v>
      </c>
      <c r="F3027" s="11" t="s">
        <v>7420</v>
      </c>
      <c r="G3027">
        <v>20211001</v>
      </c>
      <c r="H3027" s="12">
        <v>46753</v>
      </c>
      <c r="I3027" s="11" t="s">
        <v>63</v>
      </c>
      <c r="J3027" s="72">
        <v>80488068</v>
      </c>
      <c r="K3027" s="99">
        <f>_xlfn.XLOOKUP(_2__ROI_Daily_Update[[#This Row],[CSM id]],SHP!F:F,SHP!EE:EE,"-")</f>
        <v>0</v>
      </c>
      <c r="L3027" s="12"/>
      <c r="N3027" s="11"/>
      <c r="P3027"/>
      <c r="Q3027"/>
      <c r="W3027" s="28"/>
      <c r="AA3027"/>
    </row>
    <row r="3028" spans="1:27" x14ac:dyDescent="0.45">
      <c r="A3028" s="57">
        <v>1022</v>
      </c>
      <c r="B3028" t="s">
        <v>1254</v>
      </c>
      <c r="C3028" t="s">
        <v>1255</v>
      </c>
      <c r="D3028" s="12">
        <v>46313</v>
      </c>
      <c r="E3028" s="11">
        <v>20</v>
      </c>
      <c r="F3028" s="11" t="s">
        <v>7410</v>
      </c>
      <c r="G3028">
        <v>20260701</v>
      </c>
      <c r="H3028" s="12">
        <v>46569</v>
      </c>
      <c r="I3028" s="11" t="s">
        <v>63</v>
      </c>
      <c r="J3028" s="72">
        <v>80605878</v>
      </c>
      <c r="K3028" s="99">
        <f>_xlfn.XLOOKUP(_2__ROI_Daily_Update[[#This Row],[CSM id]],SHP!F:F,SHP!EE:EE,"-")</f>
        <v>0</v>
      </c>
      <c r="L3028" s="12"/>
      <c r="N3028" s="11"/>
      <c r="P3028"/>
      <c r="Q3028"/>
      <c r="W3028" s="28"/>
      <c r="AA3028"/>
    </row>
    <row r="3029" spans="1:27" x14ac:dyDescent="0.45">
      <c r="A3029" s="57">
        <v>1022</v>
      </c>
      <c r="B3029" t="s">
        <v>1256</v>
      </c>
      <c r="C3029" t="s">
        <v>1257</v>
      </c>
      <c r="D3029" s="12">
        <v>46313</v>
      </c>
      <c r="E3029" s="11">
        <v>80</v>
      </c>
      <c r="F3029" s="11" t="s">
        <v>7410</v>
      </c>
      <c r="G3029">
        <v>20261001</v>
      </c>
      <c r="I3029" s="11" t="s">
        <v>63</v>
      </c>
      <c r="J3029" s="72">
        <v>90605104</v>
      </c>
      <c r="K3029" s="99">
        <f>_xlfn.XLOOKUP(_2__ROI_Daily_Update[[#This Row],[CSM id]],SHP!F:F,SHP!EE:EE,"-")</f>
        <v>0</v>
      </c>
      <c r="L3029" s="12"/>
      <c r="N3029" s="11"/>
      <c r="P3029"/>
      <c r="Q3029"/>
      <c r="W3029" s="28"/>
      <c r="AA3029"/>
    </row>
    <row r="3030" spans="1:27" x14ac:dyDescent="0.45">
      <c r="A3030" s="57">
        <v>1022</v>
      </c>
      <c r="B3030" t="s">
        <v>1256</v>
      </c>
      <c r="C3030" t="s">
        <v>1257</v>
      </c>
      <c r="D3030" s="12">
        <v>46313</v>
      </c>
      <c r="E3030" s="11">
        <v>40</v>
      </c>
      <c r="F3030" s="11" t="s">
        <v>7440</v>
      </c>
      <c r="G3030">
        <v>20261001</v>
      </c>
      <c r="I3030" s="11" t="s">
        <v>63</v>
      </c>
      <c r="J3030" s="72">
        <v>90605104</v>
      </c>
      <c r="K3030" s="99">
        <f>_xlfn.XLOOKUP(_2__ROI_Daily_Update[[#This Row],[CSM id]],SHP!F:F,SHP!EE:EE,"-")</f>
        <v>0</v>
      </c>
      <c r="L3030" s="12"/>
      <c r="N3030" s="11"/>
      <c r="P3030"/>
      <c r="Q3030"/>
      <c r="W3030" s="28"/>
      <c r="AA3030"/>
    </row>
    <row r="3031" spans="1:27" x14ac:dyDescent="0.45">
      <c r="A3031" s="57">
        <v>1023</v>
      </c>
      <c r="B3031" t="s">
        <v>1258</v>
      </c>
      <c r="C3031" t="s">
        <v>1259</v>
      </c>
      <c r="D3031" s="12">
        <v>46313</v>
      </c>
      <c r="E3031" s="11">
        <v>10</v>
      </c>
      <c r="F3031" s="11" t="s">
        <v>7420</v>
      </c>
      <c r="G3031">
        <v>20221001</v>
      </c>
      <c r="I3031" s="11" t="s">
        <v>63</v>
      </c>
      <c r="J3031" s="72">
        <v>493610</v>
      </c>
      <c r="K3031" s="99">
        <f>_xlfn.XLOOKUP(_2__ROI_Daily_Update[[#This Row],[CSM id]],SHP!F:F,SHP!EE:EE,"-")</f>
        <v>0</v>
      </c>
      <c r="L3031" s="12"/>
      <c r="N3031" s="11"/>
      <c r="P3031"/>
      <c r="Q3031"/>
      <c r="W3031" s="28"/>
      <c r="AA3031"/>
    </row>
    <row r="3032" spans="1:27" x14ac:dyDescent="0.45">
      <c r="A3032" s="57">
        <v>1023</v>
      </c>
      <c r="B3032" t="s">
        <v>6475</v>
      </c>
      <c r="C3032" t="s">
        <v>6476</v>
      </c>
      <c r="D3032" s="12">
        <v>46313</v>
      </c>
      <c r="E3032" s="11">
        <v>34</v>
      </c>
      <c r="F3032" s="11" t="s">
        <v>7453</v>
      </c>
      <c r="G3032">
        <v>20211001</v>
      </c>
      <c r="I3032" s="11" t="s">
        <v>63</v>
      </c>
      <c r="J3032" s="72">
        <v>30492299</v>
      </c>
      <c r="K3032" s="99">
        <f>_xlfn.XLOOKUP(_2__ROI_Daily_Update[[#This Row],[CSM id]],SHP!F:F,SHP!EE:EE,"-")</f>
        <v>0</v>
      </c>
      <c r="L3032" s="12"/>
      <c r="N3032" s="11"/>
      <c r="P3032"/>
      <c r="Q3032"/>
      <c r="W3032" s="28"/>
      <c r="AA3032"/>
    </row>
    <row r="3033" spans="1:27" x14ac:dyDescent="0.45">
      <c r="A3033" s="57">
        <v>1023</v>
      </c>
      <c r="B3033" t="s">
        <v>1260</v>
      </c>
      <c r="C3033" t="s">
        <v>1261</v>
      </c>
      <c r="D3033" s="12">
        <v>46313</v>
      </c>
      <c r="E3033" s="11">
        <v>60</v>
      </c>
      <c r="F3033" s="11" t="s">
        <v>7420</v>
      </c>
      <c r="G3033">
        <v>20211001</v>
      </c>
      <c r="I3033" s="11" t="s">
        <v>63</v>
      </c>
      <c r="J3033" s="72">
        <v>50492298</v>
      </c>
      <c r="K3033" s="99">
        <f>_xlfn.XLOOKUP(_2__ROI_Daily_Update[[#This Row],[CSM id]],SHP!F:F,SHP!EE:EE,"-")</f>
        <v>0</v>
      </c>
      <c r="L3033" s="12"/>
      <c r="N3033" s="11"/>
      <c r="P3033"/>
      <c r="Q3033"/>
      <c r="W3033" s="28"/>
      <c r="AA3033"/>
    </row>
    <row r="3034" spans="1:27" x14ac:dyDescent="0.45">
      <c r="A3034" s="57">
        <v>983</v>
      </c>
      <c r="B3034" t="s">
        <v>982</v>
      </c>
      <c r="C3034" t="s">
        <v>983</v>
      </c>
      <c r="D3034" s="12">
        <v>46313</v>
      </c>
      <c r="E3034" s="11">
        <v>1020</v>
      </c>
      <c r="F3034" s="11" t="s">
        <v>7492</v>
      </c>
      <c r="G3034">
        <v>20180601</v>
      </c>
      <c r="I3034" s="11" t="s">
        <v>18</v>
      </c>
      <c r="J3034" s="72">
        <v>40378670</v>
      </c>
      <c r="K3034" s="99">
        <f>_xlfn.XLOOKUP(_2__ROI_Daily_Update[[#This Row],[CSM id]],SHP!F:F,SHP!EE:EE,"-")</f>
        <v>0</v>
      </c>
      <c r="L3034" s="12"/>
      <c r="N3034" s="11"/>
      <c r="P3034"/>
      <c r="Q3034"/>
      <c r="W3034" s="28"/>
      <c r="AA3034"/>
    </row>
    <row r="3035" spans="1:27" x14ac:dyDescent="0.45">
      <c r="A3035" s="57">
        <v>1022</v>
      </c>
      <c r="B3035" t="s">
        <v>1254</v>
      </c>
      <c r="C3035" t="s">
        <v>1255</v>
      </c>
      <c r="D3035" s="12">
        <v>46313</v>
      </c>
      <c r="E3035" s="11">
        <v>20</v>
      </c>
      <c r="F3035" s="11" t="s">
        <v>7463</v>
      </c>
      <c r="G3035">
        <v>20260701</v>
      </c>
      <c r="H3035" s="12">
        <v>46569</v>
      </c>
      <c r="I3035" s="11" t="s">
        <v>63</v>
      </c>
      <c r="J3035" s="72">
        <v>80605878</v>
      </c>
      <c r="K3035" s="99">
        <f>_xlfn.XLOOKUP(_2__ROI_Daily_Update[[#This Row],[CSM id]],SHP!F:F,SHP!EE:EE,"-")</f>
        <v>0</v>
      </c>
      <c r="L3035" s="12"/>
      <c r="N3035" s="11"/>
      <c r="P3035"/>
      <c r="Q3035"/>
      <c r="W3035" s="28"/>
      <c r="AA3035"/>
    </row>
    <row r="3036" spans="1:27" x14ac:dyDescent="0.45">
      <c r="A3036" s="57">
        <v>1122</v>
      </c>
      <c r="B3036" t="s">
        <v>1611</v>
      </c>
      <c r="C3036" t="s">
        <v>1612</v>
      </c>
      <c r="D3036" s="12">
        <v>46313</v>
      </c>
      <c r="E3036" s="11">
        <v>160</v>
      </c>
      <c r="F3036" s="11" t="s">
        <v>7480</v>
      </c>
      <c r="G3036">
        <v>20260401</v>
      </c>
      <c r="I3036" s="11" t="s">
        <v>63</v>
      </c>
      <c r="J3036" s="72">
        <v>30627199</v>
      </c>
      <c r="K3036" s="99">
        <f>_xlfn.XLOOKUP(_2__ROI_Daily_Update[[#This Row],[CSM id]],SHP!F:F,SHP!EE:EE,"-")</f>
        <v>0</v>
      </c>
      <c r="L3036" s="12"/>
      <c r="N3036" s="11"/>
      <c r="P3036"/>
      <c r="Q3036"/>
      <c r="W3036" s="28"/>
      <c r="AA3036"/>
    </row>
    <row r="3037" spans="1:27" x14ac:dyDescent="0.45">
      <c r="A3037" s="57">
        <v>1641</v>
      </c>
      <c r="B3037" t="s">
        <v>3173</v>
      </c>
      <c r="C3037" t="s">
        <v>3174</v>
      </c>
      <c r="D3037" s="12">
        <v>46313</v>
      </c>
      <c r="E3037" s="11">
        <v>48</v>
      </c>
      <c r="F3037" s="11" t="s">
        <v>7440</v>
      </c>
      <c r="G3037">
        <v>20180201</v>
      </c>
      <c r="I3037" s="11" t="s">
        <v>63</v>
      </c>
      <c r="J3037" s="72">
        <v>70387121</v>
      </c>
      <c r="K3037" s="99">
        <f>_xlfn.XLOOKUP(_2__ROI_Daily_Update[[#This Row],[CSM id]],SHP!F:F,SHP!EE:EE,"-")</f>
        <v>0</v>
      </c>
      <c r="L3037" s="12"/>
      <c r="N3037" s="11"/>
      <c r="P3037"/>
      <c r="Q3037"/>
      <c r="W3037" s="28"/>
      <c r="AA3037"/>
    </row>
    <row r="3038" spans="1:27" x14ac:dyDescent="0.45">
      <c r="A3038" s="57">
        <v>971</v>
      </c>
      <c r="B3038" t="s">
        <v>811</v>
      </c>
      <c r="C3038" t="s">
        <v>812</v>
      </c>
      <c r="D3038" s="12">
        <v>46313</v>
      </c>
      <c r="E3038" s="11">
        <v>72</v>
      </c>
      <c r="F3038" s="11" t="s">
        <v>7448</v>
      </c>
      <c r="G3038">
        <v>20221001</v>
      </c>
      <c r="I3038" s="11" t="s">
        <v>63</v>
      </c>
      <c r="J3038" s="72">
        <v>522108</v>
      </c>
      <c r="K3038" s="99">
        <f>_xlfn.XLOOKUP(_2__ROI_Daily_Update[[#This Row],[CSM id]],SHP!F:F,SHP!EE:EE,"-")</f>
        <v>0</v>
      </c>
      <c r="L3038" s="12"/>
      <c r="N3038" s="11"/>
      <c r="P3038"/>
      <c r="Q3038"/>
      <c r="W3038" s="28"/>
      <c r="AA3038"/>
    </row>
    <row r="3039" spans="1:27" x14ac:dyDescent="0.45">
      <c r="A3039" s="57">
        <v>1131</v>
      </c>
      <c r="B3039" t="s">
        <v>1651</v>
      </c>
      <c r="C3039" t="s">
        <v>1652</v>
      </c>
      <c r="D3039" s="12">
        <v>46313</v>
      </c>
      <c r="E3039" s="11">
        <v>72</v>
      </c>
      <c r="F3039" s="11" t="s">
        <v>7453</v>
      </c>
      <c r="G3039">
        <v>20240701</v>
      </c>
      <c r="I3039" s="11" t="s">
        <v>63</v>
      </c>
      <c r="J3039" s="72">
        <v>40579701</v>
      </c>
      <c r="K3039" s="99">
        <f>_xlfn.XLOOKUP(_2__ROI_Daily_Update[[#This Row],[CSM id]],SHP!F:F,SHP!EE:EE,"-")</f>
        <v>0</v>
      </c>
      <c r="L3039" s="12"/>
      <c r="N3039" s="11"/>
      <c r="P3039"/>
      <c r="Q3039"/>
      <c r="W3039" s="28"/>
      <c r="AA3039"/>
    </row>
    <row r="3040" spans="1:27" x14ac:dyDescent="0.45">
      <c r="A3040" s="57">
        <v>1131</v>
      </c>
      <c r="B3040" t="s">
        <v>1651</v>
      </c>
      <c r="C3040" t="s">
        <v>1652</v>
      </c>
      <c r="D3040" s="12">
        <v>46313</v>
      </c>
      <c r="E3040" s="11">
        <v>72</v>
      </c>
      <c r="F3040" s="11" t="s">
        <v>7430</v>
      </c>
      <c r="G3040">
        <v>20240701</v>
      </c>
      <c r="I3040" s="11" t="s">
        <v>63</v>
      </c>
      <c r="J3040" s="72">
        <v>40579701</v>
      </c>
      <c r="K3040" s="99">
        <f>_xlfn.XLOOKUP(_2__ROI_Daily_Update[[#This Row],[CSM id]],SHP!F:F,SHP!EE:EE,"-")</f>
        <v>0</v>
      </c>
      <c r="L3040" s="12"/>
      <c r="N3040" s="11"/>
      <c r="P3040"/>
      <c r="Q3040"/>
      <c r="W3040" s="28"/>
      <c r="AA3040"/>
    </row>
    <row r="3041" spans="1:27" x14ac:dyDescent="0.45">
      <c r="A3041" s="57">
        <v>1131</v>
      </c>
      <c r="B3041" t="s">
        <v>1649</v>
      </c>
      <c r="C3041" t="s">
        <v>1650</v>
      </c>
      <c r="D3041" s="12">
        <v>46313</v>
      </c>
      <c r="E3041" s="11">
        <v>144</v>
      </c>
      <c r="F3041" s="11" t="s">
        <v>6946</v>
      </c>
      <c r="G3041">
        <v>20260101</v>
      </c>
      <c r="H3041" s="12">
        <v>46569</v>
      </c>
      <c r="I3041" s="11" t="s">
        <v>63</v>
      </c>
      <c r="J3041" s="72">
        <v>30614371</v>
      </c>
      <c r="K3041" s="99">
        <f>_xlfn.XLOOKUP(_2__ROI_Daily_Update[[#This Row],[CSM id]],SHP!F:F,SHP!EE:EE,"-")</f>
        <v>0</v>
      </c>
      <c r="L3041" s="12"/>
      <c r="N3041" s="11"/>
      <c r="P3041"/>
      <c r="Q3041"/>
      <c r="W3041" s="28"/>
      <c r="AA3041"/>
    </row>
    <row r="3042" spans="1:27" x14ac:dyDescent="0.45">
      <c r="A3042" s="57">
        <v>1221</v>
      </c>
      <c r="B3042" t="s">
        <v>7029</v>
      </c>
      <c r="C3042" t="s">
        <v>7030</v>
      </c>
      <c r="D3042" s="12">
        <v>46313</v>
      </c>
      <c r="E3042" s="11">
        <v>6</v>
      </c>
      <c r="F3042" s="11" t="s">
        <v>7475</v>
      </c>
      <c r="G3042">
        <v>20260701</v>
      </c>
      <c r="I3042" s="11" t="s">
        <v>63</v>
      </c>
      <c r="J3042" s="72">
        <v>70635526</v>
      </c>
      <c r="K3042" s="99">
        <f>_xlfn.XLOOKUP(_2__ROI_Daily_Update[[#This Row],[CSM id]],SHP!F:F,SHP!EE:EE,"-")</f>
        <v>0</v>
      </c>
      <c r="L3042" s="12"/>
      <c r="N3042" s="11"/>
      <c r="P3042"/>
      <c r="Q3042"/>
      <c r="W3042" s="28"/>
      <c r="AA3042"/>
    </row>
    <row r="3043" spans="1:27" x14ac:dyDescent="0.45">
      <c r="A3043" s="57">
        <v>971</v>
      </c>
      <c r="B3043" t="s">
        <v>855</v>
      </c>
      <c r="C3043" t="s">
        <v>856</v>
      </c>
      <c r="D3043" s="12">
        <v>46313</v>
      </c>
      <c r="E3043" s="11">
        <v>80</v>
      </c>
      <c r="F3043" s="11" t="s">
        <v>7400</v>
      </c>
      <c r="G3043">
        <v>20261001</v>
      </c>
      <c r="I3043" s="11" t="s">
        <v>63</v>
      </c>
      <c r="J3043" s="72">
        <v>90620642</v>
      </c>
      <c r="K3043" s="99">
        <f>_xlfn.XLOOKUP(_2__ROI_Daily_Update[[#This Row],[CSM id]],SHP!F:F,SHP!EE:EE,"-")</f>
        <v>0</v>
      </c>
      <c r="L3043" s="12"/>
      <c r="N3043" s="11"/>
      <c r="P3043"/>
      <c r="Q3043"/>
      <c r="W3043" s="28"/>
      <c r="AA3043"/>
    </row>
    <row r="3044" spans="1:27" x14ac:dyDescent="0.45">
      <c r="A3044" s="57">
        <v>1211</v>
      </c>
      <c r="B3044" t="s">
        <v>1779</v>
      </c>
      <c r="C3044" t="s">
        <v>1780</v>
      </c>
      <c r="D3044" s="12">
        <v>46313</v>
      </c>
      <c r="E3044" s="11">
        <v>180</v>
      </c>
      <c r="F3044" s="11" t="s">
        <v>7430</v>
      </c>
      <c r="G3044">
        <v>20260101</v>
      </c>
      <c r="I3044" s="11" t="s">
        <v>63</v>
      </c>
      <c r="J3044" s="72">
        <v>90629322</v>
      </c>
      <c r="K3044" s="99">
        <f>_xlfn.XLOOKUP(_2__ROI_Daily_Update[[#This Row],[CSM id]],SHP!F:F,SHP!EE:EE,"-")</f>
        <v>0</v>
      </c>
      <c r="L3044" s="12"/>
      <c r="N3044" s="11"/>
      <c r="P3044"/>
      <c r="Q3044"/>
      <c r="W3044" s="28"/>
      <c r="AA3044"/>
    </row>
    <row r="3045" spans="1:27" x14ac:dyDescent="0.45">
      <c r="A3045" s="57">
        <v>1231</v>
      </c>
      <c r="B3045" t="s">
        <v>7037</v>
      </c>
      <c r="C3045" t="s">
        <v>7038</v>
      </c>
      <c r="D3045" s="12">
        <v>46313</v>
      </c>
      <c r="E3045" s="11">
        <v>26</v>
      </c>
      <c r="F3045" s="11" t="s">
        <v>7475</v>
      </c>
      <c r="G3045">
        <v>20230401</v>
      </c>
      <c r="I3045" s="11" t="s">
        <v>63</v>
      </c>
      <c r="J3045" s="72">
        <v>548293</v>
      </c>
      <c r="K3045" s="99">
        <f>_xlfn.XLOOKUP(_2__ROI_Daily_Update[[#This Row],[CSM id]],SHP!F:F,SHP!EE:EE,"-")</f>
        <v>0</v>
      </c>
      <c r="L3045" s="12"/>
      <c r="N3045" s="11"/>
      <c r="P3045"/>
      <c r="Q3045"/>
      <c r="W3045" s="28"/>
      <c r="AA3045"/>
    </row>
    <row r="3046" spans="1:27" x14ac:dyDescent="0.45">
      <c r="A3046" s="57">
        <v>1211</v>
      </c>
      <c r="B3046" t="s">
        <v>6057</v>
      </c>
      <c r="C3046" t="s">
        <v>6058</v>
      </c>
      <c r="D3046" s="12">
        <v>46313</v>
      </c>
      <c r="E3046" s="11">
        <v>8</v>
      </c>
      <c r="F3046" s="11" t="s">
        <v>7453</v>
      </c>
      <c r="G3046">
        <v>20181001</v>
      </c>
      <c r="I3046" s="11" t="s">
        <v>63</v>
      </c>
      <c r="J3046" s="72">
        <v>20423414</v>
      </c>
      <c r="K3046" s="99">
        <f>_xlfn.XLOOKUP(_2__ROI_Daily_Update[[#This Row],[CSM id]],SHP!F:F,SHP!EE:EE,"-")</f>
        <v>0</v>
      </c>
      <c r="L3046" s="12"/>
      <c r="N3046" s="11"/>
      <c r="P3046"/>
      <c r="Q3046"/>
      <c r="W3046" s="28"/>
      <c r="AA3046"/>
    </row>
    <row r="3047" spans="1:27" x14ac:dyDescent="0.45">
      <c r="A3047" s="57">
        <v>1211</v>
      </c>
      <c r="B3047" t="s">
        <v>6173</v>
      </c>
      <c r="C3047" t="s">
        <v>6174</v>
      </c>
      <c r="D3047" s="12">
        <v>46313</v>
      </c>
      <c r="E3047" s="11">
        <v>12</v>
      </c>
      <c r="F3047" s="11" t="s">
        <v>7440</v>
      </c>
      <c r="G3047">
        <v>20230401</v>
      </c>
      <c r="H3047" s="12">
        <v>46388</v>
      </c>
      <c r="I3047" s="11" t="s">
        <v>63</v>
      </c>
      <c r="J3047" s="72">
        <v>20539061</v>
      </c>
      <c r="K3047" s="99">
        <f>_xlfn.XLOOKUP(_2__ROI_Daily_Update[[#This Row],[CSM id]],SHP!F:F,SHP!EE:EE,"-")</f>
        <v>0</v>
      </c>
      <c r="L3047" s="12"/>
      <c r="N3047" s="11"/>
      <c r="P3047"/>
      <c r="Q3047"/>
      <c r="W3047" s="28"/>
      <c r="AA3047"/>
    </row>
    <row r="3048" spans="1:27" x14ac:dyDescent="0.45">
      <c r="A3048" s="57">
        <v>1131</v>
      </c>
      <c r="B3048" t="s">
        <v>1653</v>
      </c>
      <c r="C3048" t="s">
        <v>1654</v>
      </c>
      <c r="D3048" s="12">
        <v>46313</v>
      </c>
      <c r="E3048" s="11">
        <v>42</v>
      </c>
      <c r="F3048" s="11" t="s">
        <v>7410</v>
      </c>
      <c r="G3048">
        <v>20251001</v>
      </c>
      <c r="H3048" s="12">
        <v>46478</v>
      </c>
      <c r="I3048" s="11" t="s">
        <v>63</v>
      </c>
      <c r="J3048" s="72">
        <v>40612017</v>
      </c>
      <c r="K3048" s="99">
        <f>_xlfn.XLOOKUP(_2__ROI_Daily_Update[[#This Row],[CSM id]],SHP!F:F,SHP!EE:EE,"-")</f>
        <v>0</v>
      </c>
      <c r="L3048" s="12"/>
      <c r="N3048" s="11"/>
      <c r="P3048"/>
      <c r="Q3048"/>
      <c r="W3048" s="28"/>
      <c r="AA3048"/>
    </row>
    <row r="3049" spans="1:27" x14ac:dyDescent="0.45">
      <c r="A3049" s="57">
        <v>971</v>
      </c>
      <c r="B3049" t="s">
        <v>7083</v>
      </c>
      <c r="C3049" t="s">
        <v>7084</v>
      </c>
      <c r="D3049" s="12">
        <v>46313</v>
      </c>
      <c r="E3049" s="11">
        <v>144</v>
      </c>
      <c r="F3049" s="11" t="s">
        <v>7499</v>
      </c>
      <c r="G3049">
        <v>20251001</v>
      </c>
      <c r="I3049" s="11" t="s">
        <v>18</v>
      </c>
      <c r="J3049" s="72">
        <v>10603081</v>
      </c>
      <c r="K3049" s="99">
        <f>_xlfn.XLOOKUP(_2__ROI_Daily_Update[[#This Row],[CSM id]],SHP!F:F,SHP!EE:EE,"-")</f>
        <v>0</v>
      </c>
      <c r="L3049" s="12"/>
      <c r="N3049" s="11"/>
      <c r="P3049"/>
      <c r="Q3049"/>
      <c r="W3049" s="28"/>
      <c r="AA3049"/>
    </row>
    <row r="3050" spans="1:27" x14ac:dyDescent="0.45">
      <c r="A3050" s="57">
        <v>1211</v>
      </c>
      <c r="B3050" t="s">
        <v>5685</v>
      </c>
      <c r="C3050" t="s">
        <v>5686</v>
      </c>
      <c r="D3050" s="12">
        <v>46313</v>
      </c>
      <c r="E3050" s="11">
        <v>64</v>
      </c>
      <c r="F3050" s="11" t="s">
        <v>7395</v>
      </c>
      <c r="G3050">
        <v>20251001</v>
      </c>
      <c r="I3050" s="11" t="s">
        <v>63</v>
      </c>
      <c r="J3050" s="72">
        <v>90614938</v>
      </c>
      <c r="K3050" s="99">
        <f>_xlfn.XLOOKUP(_2__ROI_Daily_Update[[#This Row],[CSM id]],SHP!F:F,SHP!EE:EE,"-")</f>
        <v>0</v>
      </c>
      <c r="L3050" s="12"/>
      <c r="N3050" s="11"/>
      <c r="P3050"/>
      <c r="Q3050"/>
      <c r="W3050" s="28"/>
      <c r="AA3050"/>
    </row>
    <row r="3051" spans="1:27" x14ac:dyDescent="0.45">
      <c r="A3051" s="57">
        <v>1131</v>
      </c>
      <c r="B3051" t="s">
        <v>5715</v>
      </c>
      <c r="C3051" t="s">
        <v>5716</v>
      </c>
      <c r="D3051" s="12">
        <v>46313</v>
      </c>
      <c r="E3051" s="11">
        <v>128</v>
      </c>
      <c r="F3051" s="11" t="s">
        <v>7400</v>
      </c>
      <c r="G3051">
        <v>20251001</v>
      </c>
      <c r="I3051" s="11" t="s">
        <v>63</v>
      </c>
      <c r="J3051" s="72">
        <v>20612075</v>
      </c>
      <c r="K3051" s="99">
        <f>_xlfn.XLOOKUP(_2__ROI_Daily_Update[[#This Row],[CSM id]],SHP!F:F,SHP!EE:EE,"-")</f>
        <v>0</v>
      </c>
      <c r="L3051" s="12"/>
      <c r="N3051" s="11"/>
      <c r="P3051"/>
      <c r="Q3051"/>
      <c r="W3051" s="28"/>
      <c r="AA3051"/>
    </row>
    <row r="3052" spans="1:27" x14ac:dyDescent="0.45">
      <c r="A3052" s="57">
        <v>1131</v>
      </c>
      <c r="B3052" t="s">
        <v>5208</v>
      </c>
      <c r="C3052" t="s">
        <v>5209</v>
      </c>
      <c r="D3052" s="12">
        <v>46313</v>
      </c>
      <c r="E3052" s="11">
        <v>100</v>
      </c>
      <c r="F3052" s="11" t="s">
        <v>7420</v>
      </c>
      <c r="G3052">
        <v>20240701</v>
      </c>
      <c r="I3052" s="11" t="s">
        <v>63</v>
      </c>
      <c r="J3052" s="72">
        <v>20579698</v>
      </c>
      <c r="K3052" s="99">
        <f>_xlfn.XLOOKUP(_2__ROI_Daily_Update[[#This Row],[CSM id]],SHP!F:F,SHP!EE:EE,"-")</f>
        <v>0</v>
      </c>
      <c r="L3052" s="12"/>
      <c r="N3052" s="11"/>
      <c r="P3052"/>
      <c r="Q3052"/>
      <c r="W3052" s="28"/>
      <c r="AA3052"/>
    </row>
    <row r="3053" spans="1:27" x14ac:dyDescent="0.45">
      <c r="A3053" s="57">
        <v>1131</v>
      </c>
      <c r="B3053" t="s">
        <v>1645</v>
      </c>
      <c r="C3053" t="s">
        <v>1646</v>
      </c>
      <c r="D3053" s="12">
        <v>46313</v>
      </c>
      <c r="E3053" s="11">
        <v>105</v>
      </c>
      <c r="F3053" s="11" t="s">
        <v>6946</v>
      </c>
      <c r="G3053">
        <v>20260101</v>
      </c>
      <c r="I3053" s="11" t="s">
        <v>63</v>
      </c>
      <c r="J3053" s="72">
        <v>10614414</v>
      </c>
      <c r="K3053" s="99">
        <f>_xlfn.XLOOKUP(_2__ROI_Daily_Update[[#This Row],[CSM id]],SHP!F:F,SHP!EE:EE,"-")</f>
        <v>0</v>
      </c>
      <c r="L3053" s="12"/>
      <c r="N3053" s="11"/>
      <c r="P3053"/>
      <c r="Q3053"/>
      <c r="W3053" s="28"/>
      <c r="AA3053"/>
    </row>
    <row r="3054" spans="1:27" x14ac:dyDescent="0.45">
      <c r="A3054" s="57">
        <v>1131</v>
      </c>
      <c r="B3054" t="s">
        <v>1645</v>
      </c>
      <c r="C3054" t="s">
        <v>1646</v>
      </c>
      <c r="D3054" s="12">
        <v>46313</v>
      </c>
      <c r="E3054" s="11">
        <v>42</v>
      </c>
      <c r="F3054" s="11" t="s">
        <v>7420</v>
      </c>
      <c r="G3054">
        <v>20260101</v>
      </c>
      <c r="I3054" s="11" t="s">
        <v>63</v>
      </c>
      <c r="J3054" s="72">
        <v>10614414</v>
      </c>
      <c r="K3054" s="99">
        <f>_xlfn.XLOOKUP(_2__ROI_Daily_Update[[#This Row],[CSM id]],SHP!F:F,SHP!EE:EE,"-")</f>
        <v>0</v>
      </c>
      <c r="L3054" s="12"/>
      <c r="N3054" s="11"/>
      <c r="P3054"/>
      <c r="Q3054"/>
      <c r="W3054" s="28"/>
      <c r="AA3054"/>
    </row>
    <row r="3055" spans="1:27" x14ac:dyDescent="0.45">
      <c r="A3055" s="57">
        <v>972</v>
      </c>
      <c r="B3055" t="s">
        <v>857</v>
      </c>
      <c r="C3055" t="s">
        <v>858</v>
      </c>
      <c r="D3055" s="12">
        <v>46313</v>
      </c>
      <c r="E3055" s="11">
        <v>84</v>
      </c>
      <c r="F3055" s="11" t="s">
        <v>7430</v>
      </c>
      <c r="G3055">
        <v>20140801</v>
      </c>
      <c r="H3055" s="12">
        <v>46388</v>
      </c>
      <c r="I3055" s="11" t="s">
        <v>63</v>
      </c>
      <c r="J3055" s="72">
        <v>167839</v>
      </c>
      <c r="K3055" s="99">
        <f>_xlfn.XLOOKUP(_2__ROI_Daily_Update[[#This Row],[CSM id]],SHP!F:F,SHP!EE:EE,"-")</f>
        <v>0</v>
      </c>
      <c r="L3055" s="12"/>
      <c r="N3055" s="11"/>
      <c r="P3055"/>
      <c r="Q3055"/>
      <c r="W3055" s="28"/>
      <c r="AA3055"/>
    </row>
    <row r="3056" spans="1:27" x14ac:dyDescent="0.45">
      <c r="A3056" s="57">
        <v>1131</v>
      </c>
      <c r="B3056" t="s">
        <v>5584</v>
      </c>
      <c r="C3056" t="s">
        <v>5585</v>
      </c>
      <c r="D3056" s="12">
        <v>46313</v>
      </c>
      <c r="E3056" s="11">
        <v>42</v>
      </c>
      <c r="F3056" s="11" t="s">
        <v>7453</v>
      </c>
      <c r="G3056">
        <v>20251001</v>
      </c>
      <c r="I3056" s="11" t="s">
        <v>63</v>
      </c>
      <c r="J3056" s="72">
        <v>10612066</v>
      </c>
      <c r="K3056" s="99">
        <f>_xlfn.XLOOKUP(_2__ROI_Daily_Update[[#This Row],[CSM id]],SHP!F:F,SHP!EE:EE,"-")</f>
        <v>0</v>
      </c>
      <c r="L3056" s="12"/>
      <c r="N3056" s="11"/>
      <c r="P3056"/>
      <c r="Q3056"/>
      <c r="W3056" s="28"/>
      <c r="AA3056"/>
    </row>
    <row r="3057" spans="1:27" x14ac:dyDescent="0.45">
      <c r="A3057" s="57">
        <v>1231</v>
      </c>
      <c r="B3057" t="s">
        <v>1829</v>
      </c>
      <c r="C3057" t="s">
        <v>1830</v>
      </c>
      <c r="D3057" s="12">
        <v>46313</v>
      </c>
      <c r="E3057" s="11">
        <v>132</v>
      </c>
      <c r="F3057" s="11" t="s">
        <v>7410</v>
      </c>
      <c r="G3057">
        <v>20250401</v>
      </c>
      <c r="I3057" s="11" t="s">
        <v>63</v>
      </c>
      <c r="J3057" s="72">
        <v>598730</v>
      </c>
      <c r="K3057" s="99">
        <f>_xlfn.XLOOKUP(_2__ROI_Daily_Update[[#This Row],[CSM id]],SHP!F:F,SHP!EE:EE,"-")</f>
        <v>0</v>
      </c>
      <c r="L3057" s="12"/>
      <c r="N3057" s="11"/>
      <c r="P3057"/>
      <c r="Q3057"/>
      <c r="W3057" s="28"/>
      <c r="AA3057"/>
    </row>
    <row r="3058" spans="1:27" x14ac:dyDescent="0.45">
      <c r="A3058" s="57">
        <v>1131</v>
      </c>
      <c r="B3058" t="s">
        <v>5584</v>
      </c>
      <c r="C3058" t="s">
        <v>5585</v>
      </c>
      <c r="D3058" s="12">
        <v>46313</v>
      </c>
      <c r="E3058" s="11">
        <v>28</v>
      </c>
      <c r="F3058" s="11" t="s">
        <v>7410</v>
      </c>
      <c r="G3058">
        <v>20251001</v>
      </c>
      <c r="I3058" s="11" t="s">
        <v>63</v>
      </c>
      <c r="J3058" s="72">
        <v>10612066</v>
      </c>
      <c r="K3058" s="99">
        <f>_xlfn.XLOOKUP(_2__ROI_Daily_Update[[#This Row],[CSM id]],SHP!F:F,SHP!EE:EE,"-")</f>
        <v>0</v>
      </c>
      <c r="L3058" s="12"/>
      <c r="N3058" s="11"/>
      <c r="P3058"/>
      <c r="Q3058"/>
      <c r="W3058" s="28"/>
      <c r="AA3058"/>
    </row>
    <row r="3059" spans="1:27" x14ac:dyDescent="0.45">
      <c r="A3059" s="57">
        <v>1131</v>
      </c>
      <c r="B3059" t="s">
        <v>1647</v>
      </c>
      <c r="C3059" t="s">
        <v>1648</v>
      </c>
      <c r="D3059" s="12">
        <v>46313</v>
      </c>
      <c r="E3059" s="11">
        <v>19</v>
      </c>
      <c r="F3059" s="11" t="s">
        <v>7420</v>
      </c>
      <c r="G3059">
        <v>20260101</v>
      </c>
      <c r="H3059" s="12">
        <v>46569</v>
      </c>
      <c r="I3059" s="11" t="s">
        <v>63</v>
      </c>
      <c r="J3059" s="72">
        <v>20614357</v>
      </c>
      <c r="K3059" s="99">
        <f>_xlfn.XLOOKUP(_2__ROI_Daily_Update[[#This Row],[CSM id]],SHP!F:F,SHP!EE:EE,"-")</f>
        <v>0</v>
      </c>
      <c r="L3059" s="12"/>
      <c r="N3059" s="11"/>
      <c r="P3059"/>
      <c r="Q3059"/>
      <c r="W3059" s="28"/>
      <c r="AA3059"/>
    </row>
    <row r="3060" spans="1:27" x14ac:dyDescent="0.45">
      <c r="A3060" s="57">
        <v>1211</v>
      </c>
      <c r="B3060" t="s">
        <v>1781</v>
      </c>
      <c r="C3060" t="s">
        <v>1782</v>
      </c>
      <c r="D3060" s="12">
        <v>46313</v>
      </c>
      <c r="E3060" s="11">
        <v>10</v>
      </c>
      <c r="F3060" s="11" t="s">
        <v>7400</v>
      </c>
      <c r="G3060">
        <v>20261001</v>
      </c>
      <c r="I3060" s="11" t="s">
        <v>63</v>
      </c>
      <c r="J3060" s="72">
        <v>90640923</v>
      </c>
      <c r="K3060" s="99">
        <f>_xlfn.XLOOKUP(_2__ROI_Daily_Update[[#This Row],[CSM id]],SHP!F:F,SHP!EE:EE,"-")</f>
        <v>0</v>
      </c>
      <c r="L3060" s="12"/>
      <c r="N3060" s="11"/>
      <c r="P3060"/>
      <c r="Q3060"/>
      <c r="W3060" s="28"/>
      <c r="AA3060"/>
    </row>
    <row r="3061" spans="1:27" x14ac:dyDescent="0.45">
      <c r="A3061" s="57">
        <v>1211</v>
      </c>
      <c r="B3061" t="s">
        <v>6057</v>
      </c>
      <c r="C3061" t="s">
        <v>6058</v>
      </c>
      <c r="D3061" s="12">
        <v>46313</v>
      </c>
      <c r="E3061" s="11">
        <v>12</v>
      </c>
      <c r="F3061" s="11" t="s">
        <v>7440</v>
      </c>
      <c r="G3061">
        <v>20181001</v>
      </c>
      <c r="I3061" s="11" t="s">
        <v>63</v>
      </c>
      <c r="J3061" s="72">
        <v>20423414</v>
      </c>
      <c r="K3061" s="99">
        <f>_xlfn.XLOOKUP(_2__ROI_Daily_Update[[#This Row],[CSM id]],SHP!F:F,SHP!EE:EE,"-")</f>
        <v>0</v>
      </c>
      <c r="L3061" s="12"/>
      <c r="N3061" s="11"/>
      <c r="P3061"/>
      <c r="Q3061"/>
      <c r="W3061" s="28"/>
      <c r="AA3061"/>
    </row>
    <row r="3062" spans="1:27" x14ac:dyDescent="0.45">
      <c r="A3062" s="57">
        <v>1221</v>
      </c>
      <c r="B3062" t="s">
        <v>6341</v>
      </c>
      <c r="C3062" t="s">
        <v>6342</v>
      </c>
      <c r="D3062" s="12">
        <v>46313</v>
      </c>
      <c r="E3062" s="11">
        <v>20</v>
      </c>
      <c r="F3062" s="11" t="s">
        <v>7448</v>
      </c>
      <c r="G3062">
        <v>20260601</v>
      </c>
      <c r="I3062" s="11" t="s">
        <v>63</v>
      </c>
      <c r="J3062" s="72">
        <v>20617582</v>
      </c>
      <c r="K3062" s="99">
        <f>_xlfn.XLOOKUP(_2__ROI_Daily_Update[[#This Row],[CSM id]],SHP!F:F,SHP!EE:EE,"-")</f>
        <v>0</v>
      </c>
      <c r="L3062" s="12"/>
      <c r="N3062" s="11"/>
      <c r="P3062"/>
      <c r="Q3062"/>
      <c r="W3062" s="28"/>
      <c r="AA3062"/>
    </row>
    <row r="3063" spans="1:27" x14ac:dyDescent="0.45">
      <c r="A3063" s="57">
        <v>1211</v>
      </c>
      <c r="B3063" t="s">
        <v>6059</v>
      </c>
      <c r="C3063" t="s">
        <v>6060</v>
      </c>
      <c r="D3063" s="12">
        <v>46313</v>
      </c>
      <c r="E3063" s="11">
        <v>15</v>
      </c>
      <c r="F3063" s="11" t="s">
        <v>7475</v>
      </c>
      <c r="G3063">
        <v>20260101</v>
      </c>
      <c r="I3063" s="11" t="s">
        <v>63</v>
      </c>
      <c r="J3063" s="72">
        <v>10629321</v>
      </c>
      <c r="K3063" s="99">
        <f>_xlfn.XLOOKUP(_2__ROI_Daily_Update[[#This Row],[CSM id]],SHP!F:F,SHP!EE:EE,"-")</f>
        <v>0</v>
      </c>
      <c r="L3063" s="12"/>
      <c r="N3063" s="11"/>
      <c r="P3063"/>
      <c r="Q3063"/>
      <c r="W3063" s="28"/>
      <c r="AA3063"/>
    </row>
    <row r="3064" spans="1:27" x14ac:dyDescent="0.45">
      <c r="A3064" s="57">
        <v>1131</v>
      </c>
      <c r="B3064" t="s">
        <v>1667</v>
      </c>
      <c r="C3064" t="s">
        <v>1668</v>
      </c>
      <c r="D3064" s="12">
        <v>46313</v>
      </c>
      <c r="E3064" s="11">
        <v>108</v>
      </c>
      <c r="F3064" s="11" t="s">
        <v>6946</v>
      </c>
      <c r="G3064">
        <v>20240701</v>
      </c>
      <c r="I3064" s="11" t="s">
        <v>63</v>
      </c>
      <c r="J3064" s="72">
        <v>70576032</v>
      </c>
      <c r="K3064" s="99">
        <f>_xlfn.XLOOKUP(_2__ROI_Daily_Update[[#This Row],[CSM id]],SHP!F:F,SHP!EE:EE,"-")</f>
        <v>0</v>
      </c>
      <c r="L3064" s="12"/>
      <c r="N3064" s="11"/>
      <c r="P3064"/>
      <c r="Q3064"/>
      <c r="W3064" s="28"/>
      <c r="AA3064"/>
    </row>
    <row r="3065" spans="1:27" x14ac:dyDescent="0.45">
      <c r="A3065" s="57">
        <v>1214</v>
      </c>
      <c r="B3065" t="s">
        <v>5558</v>
      </c>
      <c r="C3065" t="s">
        <v>5559</v>
      </c>
      <c r="D3065" s="12">
        <v>46313</v>
      </c>
      <c r="E3065" s="11">
        <v>12</v>
      </c>
      <c r="F3065" s="11" t="s">
        <v>7410</v>
      </c>
      <c r="G3065">
        <v>20210401</v>
      </c>
      <c r="H3065" s="12">
        <v>46478</v>
      </c>
      <c r="I3065" s="11" t="s">
        <v>63</v>
      </c>
      <c r="J3065" s="72">
        <v>90489538</v>
      </c>
      <c r="K3065" s="99">
        <f>_xlfn.XLOOKUP(_2__ROI_Daily_Update[[#This Row],[CSM id]],SHP!F:F,SHP!EE:EE,"-")</f>
        <v>0</v>
      </c>
      <c r="L3065" s="12"/>
      <c r="N3065" s="11"/>
      <c r="P3065"/>
      <c r="Q3065"/>
      <c r="W3065" s="28"/>
      <c r="AA3065"/>
    </row>
    <row r="3066" spans="1:27" x14ac:dyDescent="0.45">
      <c r="A3066" s="57">
        <v>1131</v>
      </c>
      <c r="B3066" t="s">
        <v>1667</v>
      </c>
      <c r="C3066" t="s">
        <v>1668</v>
      </c>
      <c r="D3066" s="12">
        <v>46313</v>
      </c>
      <c r="E3066" s="11">
        <v>72</v>
      </c>
      <c r="F3066" s="11" t="s">
        <v>7430</v>
      </c>
      <c r="G3066">
        <v>20240701</v>
      </c>
      <c r="I3066" s="11" t="s">
        <v>63</v>
      </c>
      <c r="J3066" s="72">
        <v>70576032</v>
      </c>
      <c r="K3066" s="99">
        <f>_xlfn.XLOOKUP(_2__ROI_Daily_Update[[#This Row],[CSM id]],SHP!F:F,SHP!EE:EE,"-")</f>
        <v>0</v>
      </c>
      <c r="L3066" s="12"/>
      <c r="N3066" s="11"/>
      <c r="P3066"/>
      <c r="Q3066"/>
      <c r="W3066" s="28"/>
      <c r="AA3066"/>
    </row>
    <row r="3067" spans="1:27" x14ac:dyDescent="0.45">
      <c r="A3067" s="57">
        <v>971</v>
      </c>
      <c r="B3067" t="s">
        <v>814</v>
      </c>
      <c r="C3067" t="s">
        <v>815</v>
      </c>
      <c r="D3067" s="12">
        <v>46313</v>
      </c>
      <c r="E3067" s="11">
        <v>36</v>
      </c>
      <c r="F3067" s="11" t="s">
        <v>7448</v>
      </c>
      <c r="G3067">
        <v>20261001</v>
      </c>
      <c r="I3067" s="11" t="s">
        <v>63</v>
      </c>
      <c r="J3067" s="72">
        <v>603048</v>
      </c>
      <c r="K3067" s="99">
        <f>_xlfn.XLOOKUP(_2__ROI_Daily_Update[[#This Row],[CSM id]],SHP!F:F,SHP!EE:EE,"-")</f>
        <v>0</v>
      </c>
      <c r="L3067" s="12"/>
      <c r="N3067" s="11"/>
      <c r="P3067"/>
      <c r="Q3067"/>
      <c r="W3067" s="28"/>
      <c r="AA3067"/>
    </row>
    <row r="3068" spans="1:27" x14ac:dyDescent="0.45">
      <c r="A3068" s="57">
        <v>1214</v>
      </c>
      <c r="B3068" t="s">
        <v>5558</v>
      </c>
      <c r="C3068" t="s">
        <v>5559</v>
      </c>
      <c r="D3068" s="12">
        <v>46313</v>
      </c>
      <c r="E3068" s="11">
        <v>12</v>
      </c>
      <c r="F3068" s="11" t="s">
        <v>7400</v>
      </c>
      <c r="G3068">
        <v>20210401</v>
      </c>
      <c r="H3068" s="12">
        <v>46478</v>
      </c>
      <c r="I3068" s="11" t="s">
        <v>63</v>
      </c>
      <c r="J3068" s="72">
        <v>90489538</v>
      </c>
      <c r="K3068" s="99">
        <f>_xlfn.XLOOKUP(_2__ROI_Daily_Update[[#This Row],[CSM id]],SHP!F:F,SHP!EE:EE,"-")</f>
        <v>0</v>
      </c>
      <c r="L3068" s="12"/>
      <c r="N3068" s="11"/>
      <c r="P3068"/>
      <c r="Q3068"/>
      <c r="W3068" s="28"/>
      <c r="AA3068"/>
    </row>
    <row r="3069" spans="1:27" x14ac:dyDescent="0.45">
      <c r="A3069" s="57">
        <v>971</v>
      </c>
      <c r="B3069" t="s">
        <v>851</v>
      </c>
      <c r="C3069" t="s">
        <v>852</v>
      </c>
      <c r="D3069" s="12">
        <v>46313</v>
      </c>
      <c r="E3069" s="11">
        <v>96</v>
      </c>
      <c r="F3069" s="11" t="s">
        <v>7395</v>
      </c>
      <c r="G3069">
        <v>20251001</v>
      </c>
      <c r="I3069" s="11" t="s">
        <v>63</v>
      </c>
      <c r="J3069" s="72">
        <v>80603073</v>
      </c>
      <c r="K3069" s="99">
        <f>_xlfn.XLOOKUP(_2__ROI_Daily_Update[[#This Row],[CSM id]],SHP!F:F,SHP!EE:EE,"-")</f>
        <v>0</v>
      </c>
      <c r="L3069" s="12"/>
      <c r="N3069" s="11"/>
      <c r="P3069"/>
      <c r="Q3069"/>
      <c r="W3069" s="28"/>
      <c r="AA3069"/>
    </row>
    <row r="3070" spans="1:27" x14ac:dyDescent="0.45">
      <c r="A3070" s="57">
        <v>1131</v>
      </c>
      <c r="B3070" t="s">
        <v>1665</v>
      </c>
      <c r="C3070" t="s">
        <v>1666</v>
      </c>
      <c r="D3070" s="12">
        <v>46313</v>
      </c>
      <c r="E3070" s="11">
        <v>42</v>
      </c>
      <c r="F3070" s="11" t="s">
        <v>7400</v>
      </c>
      <c r="G3070">
        <v>20251001</v>
      </c>
      <c r="I3070" s="11" t="s">
        <v>63</v>
      </c>
      <c r="J3070" s="72">
        <v>60612097</v>
      </c>
      <c r="K3070" s="99">
        <f>_xlfn.XLOOKUP(_2__ROI_Daily_Update[[#This Row],[CSM id]],SHP!F:F,SHP!EE:EE,"-")</f>
        <v>0</v>
      </c>
      <c r="L3070" s="12"/>
      <c r="N3070" s="11"/>
      <c r="P3070"/>
      <c r="Q3070"/>
      <c r="W3070" s="28"/>
      <c r="AA3070"/>
    </row>
    <row r="3071" spans="1:27" x14ac:dyDescent="0.45">
      <c r="A3071" s="57">
        <v>1211</v>
      </c>
      <c r="B3071" t="s">
        <v>1731</v>
      </c>
      <c r="C3071" t="s">
        <v>1732</v>
      </c>
      <c r="D3071" s="12">
        <v>46313</v>
      </c>
      <c r="E3071" s="11">
        <v>32</v>
      </c>
      <c r="F3071" s="11" t="s">
        <v>7400</v>
      </c>
      <c r="G3071">
        <v>20261001</v>
      </c>
      <c r="I3071" s="11" t="s">
        <v>63</v>
      </c>
      <c r="J3071" s="72">
        <v>10637156</v>
      </c>
      <c r="K3071" s="99">
        <f>_xlfn.XLOOKUP(_2__ROI_Daily_Update[[#This Row],[CSM id]],SHP!F:F,SHP!EE:EE,"-")</f>
        <v>0</v>
      </c>
      <c r="L3071" s="12"/>
      <c r="N3071" s="11"/>
      <c r="P3071"/>
      <c r="Q3071"/>
      <c r="W3071" s="28"/>
      <c r="AA3071"/>
    </row>
    <row r="3072" spans="1:27" x14ac:dyDescent="0.45">
      <c r="A3072" s="57">
        <v>971</v>
      </c>
      <c r="B3072" t="s">
        <v>851</v>
      </c>
      <c r="C3072" t="s">
        <v>852</v>
      </c>
      <c r="D3072" s="12">
        <v>46313</v>
      </c>
      <c r="E3072" s="11">
        <v>48</v>
      </c>
      <c r="F3072" s="11" t="s">
        <v>7448</v>
      </c>
      <c r="G3072">
        <v>20251001</v>
      </c>
      <c r="I3072" s="11" t="s">
        <v>63</v>
      </c>
      <c r="J3072" s="72">
        <v>80603073</v>
      </c>
      <c r="K3072" s="99">
        <f>_xlfn.XLOOKUP(_2__ROI_Daily_Update[[#This Row],[CSM id]],SHP!F:F,SHP!EE:EE,"-")</f>
        <v>0</v>
      </c>
      <c r="L3072" s="12"/>
      <c r="N3072" s="11"/>
      <c r="P3072"/>
      <c r="Q3072"/>
      <c r="W3072" s="28"/>
      <c r="AA3072"/>
    </row>
    <row r="3073" spans="1:27" x14ac:dyDescent="0.45">
      <c r="A3073" s="57">
        <v>1131</v>
      </c>
      <c r="B3073" t="s">
        <v>1663</v>
      </c>
      <c r="C3073" t="s">
        <v>1664</v>
      </c>
      <c r="D3073" s="12">
        <v>46313</v>
      </c>
      <c r="E3073" s="11">
        <v>50</v>
      </c>
      <c r="F3073" s="11" t="s">
        <v>7453</v>
      </c>
      <c r="G3073">
        <v>20260101</v>
      </c>
      <c r="H3073" s="12">
        <v>46569</v>
      </c>
      <c r="I3073" s="11" t="s">
        <v>63</v>
      </c>
      <c r="J3073" s="72">
        <v>50614365</v>
      </c>
      <c r="K3073" s="99">
        <f>_xlfn.XLOOKUP(_2__ROI_Daily_Update[[#This Row],[CSM id]],SHP!F:F,SHP!EE:EE,"-")</f>
        <v>0</v>
      </c>
      <c r="L3073" s="12"/>
      <c r="N3073" s="11"/>
      <c r="P3073"/>
      <c r="Q3073"/>
      <c r="W3073" s="28"/>
      <c r="AA3073"/>
    </row>
    <row r="3074" spans="1:27" x14ac:dyDescent="0.45">
      <c r="A3074" s="57">
        <v>1214</v>
      </c>
      <c r="B3074" t="s">
        <v>5556</v>
      </c>
      <c r="C3074" t="s">
        <v>5557</v>
      </c>
      <c r="D3074" s="12">
        <v>46313</v>
      </c>
      <c r="E3074" s="11">
        <v>48</v>
      </c>
      <c r="F3074" s="11" t="s">
        <v>7410</v>
      </c>
      <c r="G3074">
        <v>20260701</v>
      </c>
      <c r="I3074" s="11" t="s">
        <v>63</v>
      </c>
      <c r="J3074" s="72">
        <v>90623947</v>
      </c>
      <c r="K3074" s="99">
        <f>_xlfn.XLOOKUP(_2__ROI_Daily_Update[[#This Row],[CSM id]],SHP!F:F,SHP!EE:EE,"-")</f>
        <v>0</v>
      </c>
      <c r="L3074" s="12"/>
      <c r="N3074" s="11"/>
      <c r="P3074"/>
      <c r="Q3074"/>
      <c r="W3074" s="28"/>
      <c r="AA3074"/>
    </row>
    <row r="3075" spans="1:27" x14ac:dyDescent="0.45">
      <c r="A3075" s="57">
        <v>971</v>
      </c>
      <c r="B3075" t="s">
        <v>851</v>
      </c>
      <c r="C3075" t="s">
        <v>852</v>
      </c>
      <c r="D3075" s="12">
        <v>46313</v>
      </c>
      <c r="E3075" s="11">
        <v>96</v>
      </c>
      <c r="F3075" s="11" t="s">
        <v>7458</v>
      </c>
      <c r="G3075">
        <v>20251001</v>
      </c>
      <c r="I3075" s="11" t="s">
        <v>63</v>
      </c>
      <c r="J3075" s="72">
        <v>80603073</v>
      </c>
      <c r="K3075" s="99">
        <f>_xlfn.XLOOKUP(_2__ROI_Daily_Update[[#This Row],[CSM id]],SHP!F:F,SHP!EE:EE,"-")</f>
        <v>0</v>
      </c>
      <c r="L3075" s="12"/>
      <c r="N3075" s="11"/>
      <c r="P3075"/>
      <c r="Q3075"/>
      <c r="W3075" s="28"/>
      <c r="AA3075"/>
    </row>
    <row r="3076" spans="1:27" x14ac:dyDescent="0.45">
      <c r="A3076" s="57">
        <v>1822</v>
      </c>
      <c r="B3076" t="s">
        <v>3566</v>
      </c>
      <c r="C3076" t="s">
        <v>3567</v>
      </c>
      <c r="D3076" s="12">
        <v>46313</v>
      </c>
      <c r="E3076" s="11">
        <v>80</v>
      </c>
      <c r="F3076" s="11" t="s">
        <v>7405</v>
      </c>
      <c r="G3076">
        <v>20231001</v>
      </c>
      <c r="I3076" s="11" t="s">
        <v>63</v>
      </c>
      <c r="J3076" s="72">
        <v>90563712</v>
      </c>
      <c r="K3076" s="99">
        <f>_xlfn.XLOOKUP(_2__ROI_Daily_Update[[#This Row],[CSM id]],SHP!F:F,SHP!EE:EE,"-")</f>
        <v>0</v>
      </c>
      <c r="L3076" s="12"/>
      <c r="N3076" s="11"/>
      <c r="P3076"/>
      <c r="Q3076"/>
      <c r="W3076" s="28"/>
      <c r="AA3076"/>
    </row>
    <row r="3077" spans="1:27" x14ac:dyDescent="0.45">
      <c r="A3077" s="57">
        <v>1131</v>
      </c>
      <c r="B3077" t="s">
        <v>6407</v>
      </c>
      <c r="C3077" t="s">
        <v>6408</v>
      </c>
      <c r="D3077" s="12">
        <v>46313</v>
      </c>
      <c r="E3077" s="11">
        <v>110</v>
      </c>
      <c r="F3077" s="11" t="s">
        <v>7453</v>
      </c>
      <c r="G3077">
        <v>20251001</v>
      </c>
      <c r="I3077" s="11" t="s">
        <v>63</v>
      </c>
      <c r="J3077" s="72">
        <v>50612050</v>
      </c>
      <c r="K3077" s="99">
        <f>_xlfn.XLOOKUP(_2__ROI_Daily_Update[[#This Row],[CSM id]],SHP!F:F,SHP!EE:EE,"-")</f>
        <v>0</v>
      </c>
      <c r="L3077" s="12"/>
      <c r="N3077" s="11"/>
      <c r="P3077"/>
      <c r="Q3077"/>
      <c r="W3077" s="28"/>
      <c r="AA3077"/>
    </row>
    <row r="3078" spans="1:27" x14ac:dyDescent="0.45">
      <c r="A3078" s="57">
        <v>1221</v>
      </c>
      <c r="B3078" t="s">
        <v>1825</v>
      </c>
      <c r="C3078" t="s">
        <v>1826</v>
      </c>
      <c r="D3078" s="12">
        <v>46313</v>
      </c>
      <c r="E3078" s="11">
        <v>10</v>
      </c>
      <c r="F3078" s="11" t="s">
        <v>7425</v>
      </c>
      <c r="G3078">
        <v>20260101</v>
      </c>
      <c r="I3078" s="11" t="s">
        <v>63</v>
      </c>
      <c r="J3078" s="72">
        <v>579821</v>
      </c>
      <c r="K3078" s="99">
        <f>_xlfn.XLOOKUP(_2__ROI_Daily_Update[[#This Row],[CSM id]],SHP!F:F,SHP!EE:EE,"-")</f>
        <v>0</v>
      </c>
      <c r="L3078" s="12"/>
      <c r="N3078" s="11"/>
      <c r="P3078"/>
      <c r="Q3078"/>
      <c r="W3078" s="28"/>
      <c r="AA3078"/>
    </row>
    <row r="3079" spans="1:27" x14ac:dyDescent="0.45">
      <c r="A3079" s="57">
        <v>1211</v>
      </c>
      <c r="B3079" t="s">
        <v>5959</v>
      </c>
      <c r="C3079" t="s">
        <v>5960</v>
      </c>
      <c r="D3079" s="12">
        <v>46313</v>
      </c>
      <c r="E3079" s="11">
        <v>48</v>
      </c>
      <c r="F3079" s="11" t="s">
        <v>6940</v>
      </c>
      <c r="G3079">
        <v>20261001</v>
      </c>
      <c r="I3079" s="11" t="s">
        <v>63</v>
      </c>
      <c r="J3079" s="72">
        <v>10637161</v>
      </c>
      <c r="K3079" s="99">
        <f>_xlfn.XLOOKUP(_2__ROI_Daily_Update[[#This Row],[CSM id]],SHP!F:F,SHP!EE:EE,"-")</f>
        <v>0</v>
      </c>
      <c r="L3079" s="12"/>
      <c r="N3079" s="11"/>
      <c r="P3079"/>
      <c r="Q3079"/>
      <c r="W3079" s="28"/>
      <c r="AA3079"/>
    </row>
    <row r="3080" spans="1:27" x14ac:dyDescent="0.45">
      <c r="A3080" s="57">
        <v>1131</v>
      </c>
      <c r="B3080" t="s">
        <v>1661</v>
      </c>
      <c r="C3080" t="s">
        <v>1662</v>
      </c>
      <c r="D3080" s="12">
        <v>46313</v>
      </c>
      <c r="E3080" s="11">
        <v>42</v>
      </c>
      <c r="F3080" s="11" t="s">
        <v>7400</v>
      </c>
      <c r="G3080">
        <v>20251001</v>
      </c>
      <c r="I3080" s="11" t="s">
        <v>63</v>
      </c>
      <c r="J3080" s="72">
        <v>50612045</v>
      </c>
      <c r="K3080" s="99">
        <f>_xlfn.XLOOKUP(_2__ROI_Daily_Update[[#This Row],[CSM id]],SHP!F:F,SHP!EE:EE,"-")</f>
        <v>0</v>
      </c>
      <c r="L3080" s="12"/>
      <c r="N3080" s="11"/>
      <c r="P3080"/>
      <c r="Q3080"/>
      <c r="W3080" s="28"/>
      <c r="AA3080"/>
    </row>
    <row r="3081" spans="1:27" x14ac:dyDescent="0.45">
      <c r="A3081" s="57">
        <v>971</v>
      </c>
      <c r="B3081" t="s">
        <v>6297</v>
      </c>
      <c r="C3081" t="s">
        <v>6298</v>
      </c>
      <c r="D3081" s="12">
        <v>46313</v>
      </c>
      <c r="E3081" s="11">
        <v>82</v>
      </c>
      <c r="F3081" s="11" t="s">
        <v>7448</v>
      </c>
      <c r="G3081">
        <v>20180401</v>
      </c>
      <c r="I3081" s="11" t="s">
        <v>63</v>
      </c>
      <c r="J3081" s="72">
        <v>90402837</v>
      </c>
      <c r="K3081" s="99">
        <f>_xlfn.XLOOKUP(_2__ROI_Daily_Update[[#This Row],[CSM id]],SHP!F:F,SHP!EE:EE,"-")</f>
        <v>0</v>
      </c>
      <c r="L3081" s="12"/>
      <c r="N3081" s="11"/>
      <c r="P3081"/>
      <c r="Q3081"/>
      <c r="W3081" s="28"/>
      <c r="AA3081"/>
    </row>
    <row r="3082" spans="1:27" x14ac:dyDescent="0.45">
      <c r="A3082" s="57">
        <v>1221</v>
      </c>
      <c r="B3082" t="s">
        <v>6325</v>
      </c>
      <c r="C3082" t="s">
        <v>6326</v>
      </c>
      <c r="D3082" s="12">
        <v>46313</v>
      </c>
      <c r="E3082" s="11">
        <v>20</v>
      </c>
      <c r="F3082" s="11" t="s">
        <v>7448</v>
      </c>
      <c r="G3082">
        <v>20260601</v>
      </c>
      <c r="I3082" s="11" t="s">
        <v>63</v>
      </c>
      <c r="J3082" s="72">
        <v>10617506</v>
      </c>
      <c r="K3082" s="99">
        <f>_xlfn.XLOOKUP(_2__ROI_Daily_Update[[#This Row],[CSM id]],SHP!F:F,SHP!EE:EE,"-")</f>
        <v>0</v>
      </c>
      <c r="L3082" s="12"/>
      <c r="N3082" s="11"/>
      <c r="P3082"/>
      <c r="Q3082"/>
      <c r="W3082" s="28"/>
      <c r="AA3082"/>
    </row>
    <row r="3083" spans="1:27" x14ac:dyDescent="0.45">
      <c r="A3083" s="57">
        <v>1131</v>
      </c>
      <c r="B3083" t="s">
        <v>1655</v>
      </c>
      <c r="C3083" t="s">
        <v>1656</v>
      </c>
      <c r="D3083" s="12">
        <v>46313</v>
      </c>
      <c r="E3083" s="11">
        <v>48</v>
      </c>
      <c r="F3083" s="11" t="s">
        <v>7415</v>
      </c>
      <c r="G3083">
        <v>20251001</v>
      </c>
      <c r="I3083" s="11" t="s">
        <v>63</v>
      </c>
      <c r="J3083" s="72">
        <v>40612102</v>
      </c>
      <c r="K3083" s="99">
        <f>_xlfn.XLOOKUP(_2__ROI_Daily_Update[[#This Row],[CSM id]],SHP!F:F,SHP!EE:EE,"-")</f>
        <v>0</v>
      </c>
      <c r="L3083" s="12"/>
      <c r="N3083" s="11"/>
      <c r="P3083"/>
      <c r="Q3083"/>
      <c r="W3083" s="28"/>
      <c r="AA3083"/>
    </row>
    <row r="3084" spans="1:27" x14ac:dyDescent="0.45">
      <c r="A3084" s="57">
        <v>1211</v>
      </c>
      <c r="B3084" t="s">
        <v>1735</v>
      </c>
      <c r="C3084" t="s">
        <v>1736</v>
      </c>
      <c r="D3084" s="12">
        <v>46313</v>
      </c>
      <c r="E3084" s="11">
        <v>30</v>
      </c>
      <c r="F3084" s="11" t="s">
        <v>7480</v>
      </c>
      <c r="G3084">
        <v>20250401</v>
      </c>
      <c r="I3084" s="11" t="s">
        <v>63</v>
      </c>
      <c r="J3084" s="72">
        <v>20597169</v>
      </c>
      <c r="K3084" s="99">
        <f>_xlfn.XLOOKUP(_2__ROI_Daily_Update[[#This Row],[CSM id]],SHP!F:F,SHP!EE:EE,"-")</f>
        <v>0</v>
      </c>
      <c r="L3084" s="12"/>
      <c r="N3084" s="11"/>
      <c r="P3084"/>
      <c r="Q3084"/>
      <c r="W3084" s="28"/>
      <c r="AA3084"/>
    </row>
    <row r="3085" spans="1:27" x14ac:dyDescent="0.45">
      <c r="A3085" s="57">
        <v>1231</v>
      </c>
      <c r="B3085" t="s">
        <v>1831</v>
      </c>
      <c r="C3085" t="s">
        <v>1832</v>
      </c>
      <c r="D3085" s="12">
        <v>46313</v>
      </c>
      <c r="E3085" s="11">
        <v>44</v>
      </c>
      <c r="F3085" s="11" t="s">
        <v>7440</v>
      </c>
      <c r="G3085">
        <v>20250401</v>
      </c>
      <c r="H3085" s="12">
        <v>46388</v>
      </c>
      <c r="I3085" s="11" t="s">
        <v>63</v>
      </c>
      <c r="J3085" s="72">
        <v>598754</v>
      </c>
      <c r="K3085" s="99">
        <f>_xlfn.XLOOKUP(_2__ROI_Daily_Update[[#This Row],[CSM id]],SHP!F:F,SHP!EE:EE,"-")</f>
        <v>0</v>
      </c>
      <c r="L3085" s="12"/>
      <c r="N3085" s="11"/>
      <c r="P3085"/>
      <c r="Q3085"/>
      <c r="W3085" s="28"/>
      <c r="AA3085"/>
    </row>
    <row r="3086" spans="1:27" x14ac:dyDescent="0.45">
      <c r="A3086" s="57">
        <v>1211</v>
      </c>
      <c r="B3086" t="s">
        <v>1777</v>
      </c>
      <c r="C3086" t="s">
        <v>1778</v>
      </c>
      <c r="D3086" s="12">
        <v>46313</v>
      </c>
      <c r="E3086" s="11">
        <v>6</v>
      </c>
      <c r="F3086" s="11" t="s">
        <v>7453</v>
      </c>
      <c r="G3086">
        <v>20250401</v>
      </c>
      <c r="I3086" s="11" t="s">
        <v>63</v>
      </c>
      <c r="J3086" s="72">
        <v>90597156</v>
      </c>
      <c r="K3086" s="99">
        <f>_xlfn.XLOOKUP(_2__ROI_Daily_Update[[#This Row],[CSM id]],SHP!F:F,SHP!EE:EE,"-")</f>
        <v>0</v>
      </c>
      <c r="L3086" s="12"/>
      <c r="N3086" s="11"/>
      <c r="P3086"/>
      <c r="Q3086"/>
      <c r="W3086" s="28"/>
      <c r="AA3086"/>
    </row>
    <row r="3087" spans="1:27" x14ac:dyDescent="0.45">
      <c r="A3087" s="57">
        <v>1213</v>
      </c>
      <c r="B3087" t="s">
        <v>5456</v>
      </c>
      <c r="C3087" t="s">
        <v>5457</v>
      </c>
      <c r="D3087" s="12">
        <v>46313</v>
      </c>
      <c r="E3087" s="11">
        <v>6</v>
      </c>
      <c r="F3087" s="11" t="s">
        <v>7463</v>
      </c>
      <c r="G3087">
        <v>20260401</v>
      </c>
      <c r="I3087" s="11" t="s">
        <v>63</v>
      </c>
      <c r="J3087" s="72">
        <v>70636564</v>
      </c>
      <c r="K3087" s="99">
        <f>_xlfn.XLOOKUP(_2__ROI_Daily_Update[[#This Row],[CSM id]],SHP!F:F,SHP!EE:EE,"-")</f>
        <v>0</v>
      </c>
      <c r="L3087" s="12"/>
      <c r="N3087" s="11"/>
      <c r="P3087"/>
      <c r="Q3087"/>
      <c r="W3087" s="28"/>
      <c r="AA3087"/>
    </row>
    <row r="3088" spans="1:27" x14ac:dyDescent="0.45">
      <c r="A3088" s="57">
        <v>1231</v>
      </c>
      <c r="B3088" t="s">
        <v>1845</v>
      </c>
      <c r="C3088" t="s">
        <v>1846</v>
      </c>
      <c r="D3088" s="12">
        <v>46313</v>
      </c>
      <c r="E3088" s="11">
        <v>100</v>
      </c>
      <c r="F3088" s="11" t="s">
        <v>7410</v>
      </c>
      <c r="G3088">
        <v>20260701</v>
      </c>
      <c r="H3088" s="12">
        <v>46569</v>
      </c>
      <c r="I3088" s="11" t="s">
        <v>63</v>
      </c>
      <c r="J3088" s="72">
        <v>625446</v>
      </c>
      <c r="K3088" s="99">
        <f>_xlfn.XLOOKUP(_2__ROI_Daily_Update[[#This Row],[CSM id]],SHP!F:F,SHP!EE:EE,"-")</f>
        <v>0</v>
      </c>
      <c r="L3088" s="12"/>
      <c r="N3088" s="11"/>
      <c r="P3088"/>
      <c r="Q3088"/>
      <c r="W3088" s="28"/>
      <c r="AA3088"/>
    </row>
    <row r="3089" spans="1:27" x14ac:dyDescent="0.45">
      <c r="A3089" s="57">
        <v>1231</v>
      </c>
      <c r="B3089" t="s">
        <v>1847</v>
      </c>
      <c r="C3089" t="s">
        <v>1848</v>
      </c>
      <c r="D3089" s="12">
        <v>46313</v>
      </c>
      <c r="E3089" s="11">
        <v>56</v>
      </c>
      <c r="F3089" s="11" t="s">
        <v>7430</v>
      </c>
      <c r="G3089">
        <v>20260401</v>
      </c>
      <c r="I3089" s="11" t="s">
        <v>63</v>
      </c>
      <c r="J3089" s="72">
        <v>626417</v>
      </c>
      <c r="K3089" s="99">
        <f>_xlfn.XLOOKUP(_2__ROI_Daily_Update[[#This Row],[CSM id]],SHP!F:F,SHP!EE:EE,"-")</f>
        <v>0</v>
      </c>
      <c r="L3089" s="12"/>
      <c r="N3089" s="11"/>
      <c r="P3089"/>
      <c r="Q3089"/>
      <c r="W3089" s="28"/>
      <c r="AA3089"/>
    </row>
    <row r="3090" spans="1:27" x14ac:dyDescent="0.45">
      <c r="A3090" s="57">
        <v>1123</v>
      </c>
      <c r="B3090" t="s">
        <v>6421</v>
      </c>
      <c r="C3090" t="s">
        <v>6422</v>
      </c>
      <c r="D3090" s="12">
        <v>46313</v>
      </c>
      <c r="E3090" s="11">
        <v>92</v>
      </c>
      <c r="F3090" s="11" t="s">
        <v>7453</v>
      </c>
      <c r="G3090">
        <v>20220401</v>
      </c>
      <c r="I3090" s="11" t="s">
        <v>63</v>
      </c>
      <c r="J3090" s="72">
        <v>80522128</v>
      </c>
      <c r="K3090" s="99">
        <f>_xlfn.XLOOKUP(_2__ROI_Daily_Update[[#This Row],[CSM id]],SHP!F:F,SHP!EE:EE,"-")</f>
        <v>0</v>
      </c>
      <c r="L3090" s="12"/>
      <c r="N3090" s="11"/>
      <c r="P3090"/>
      <c r="Q3090"/>
      <c r="W3090" s="28"/>
      <c r="AA3090"/>
    </row>
    <row r="3091" spans="1:27" x14ac:dyDescent="0.45">
      <c r="A3091" s="57">
        <v>1211</v>
      </c>
      <c r="B3091" t="s">
        <v>1775</v>
      </c>
      <c r="C3091" t="s">
        <v>1776</v>
      </c>
      <c r="D3091" s="12">
        <v>46313</v>
      </c>
      <c r="E3091" s="11">
        <v>4</v>
      </c>
      <c r="F3091" s="11" t="s">
        <v>7410</v>
      </c>
      <c r="G3091">
        <v>20240101</v>
      </c>
      <c r="I3091" s="11" t="s">
        <v>63</v>
      </c>
      <c r="J3091" s="72">
        <v>90559673</v>
      </c>
      <c r="K3091" s="99">
        <f>_xlfn.XLOOKUP(_2__ROI_Daily_Update[[#This Row],[CSM id]],SHP!F:F,SHP!EE:EE,"-")</f>
        <v>0</v>
      </c>
      <c r="L3091" s="12"/>
      <c r="N3091" s="11"/>
      <c r="P3091"/>
      <c r="Q3091"/>
      <c r="W3091" s="28"/>
      <c r="AA3091"/>
    </row>
    <row r="3092" spans="1:27" x14ac:dyDescent="0.45">
      <c r="A3092" s="57">
        <v>1123</v>
      </c>
      <c r="B3092" t="s">
        <v>6417</v>
      </c>
      <c r="C3092" t="s">
        <v>6418</v>
      </c>
      <c r="D3092" s="12">
        <v>46313</v>
      </c>
      <c r="E3092" s="11">
        <v>40</v>
      </c>
      <c r="F3092" s="11" t="s">
        <v>7453</v>
      </c>
      <c r="G3092">
        <v>20260701</v>
      </c>
      <c r="I3092" s="11" t="s">
        <v>63</v>
      </c>
      <c r="J3092" s="72">
        <v>70629083</v>
      </c>
      <c r="K3092" s="99">
        <f>_xlfn.XLOOKUP(_2__ROI_Daily_Update[[#This Row],[CSM id]],SHP!F:F,SHP!EE:EE,"-")</f>
        <v>0</v>
      </c>
      <c r="L3092" s="12"/>
      <c r="N3092" s="11"/>
      <c r="P3092"/>
      <c r="Q3092"/>
      <c r="W3092" s="28"/>
      <c r="AA3092"/>
    </row>
    <row r="3093" spans="1:27" x14ac:dyDescent="0.45">
      <c r="A3093" s="57">
        <v>1123</v>
      </c>
      <c r="B3093" t="s">
        <v>1635</v>
      </c>
      <c r="C3093" t="s">
        <v>1636</v>
      </c>
      <c r="D3093" s="12">
        <v>46313</v>
      </c>
      <c r="E3093" s="11">
        <v>72</v>
      </c>
      <c r="F3093" s="11" t="s">
        <v>6946</v>
      </c>
      <c r="G3093">
        <v>20260701</v>
      </c>
      <c r="I3093" s="11" t="s">
        <v>63</v>
      </c>
      <c r="J3093" s="72">
        <v>60629111</v>
      </c>
      <c r="K3093" s="99">
        <f>_xlfn.XLOOKUP(_2__ROI_Daily_Update[[#This Row],[CSM id]],SHP!F:F,SHP!EE:EE,"-")</f>
        <v>0</v>
      </c>
      <c r="L3093" s="12"/>
      <c r="N3093" s="11"/>
      <c r="P3093"/>
      <c r="Q3093"/>
      <c r="W3093" s="28"/>
      <c r="AA3093"/>
    </row>
    <row r="3094" spans="1:27" x14ac:dyDescent="0.45">
      <c r="A3094" s="57">
        <v>1231</v>
      </c>
      <c r="B3094" t="s">
        <v>1847</v>
      </c>
      <c r="C3094" t="s">
        <v>1848</v>
      </c>
      <c r="D3094" s="12">
        <v>46313</v>
      </c>
      <c r="E3094" s="11">
        <v>28</v>
      </c>
      <c r="F3094" s="11" t="s">
        <v>7463</v>
      </c>
      <c r="G3094">
        <v>20260401</v>
      </c>
      <c r="I3094" s="11" t="s">
        <v>63</v>
      </c>
      <c r="J3094" s="72">
        <v>626417</v>
      </c>
      <c r="K3094" s="99">
        <f>_xlfn.XLOOKUP(_2__ROI_Daily_Update[[#This Row],[CSM id]],SHP!F:F,SHP!EE:EE,"-")</f>
        <v>0</v>
      </c>
      <c r="L3094" s="12"/>
      <c r="N3094" s="11"/>
      <c r="P3094"/>
      <c r="Q3094"/>
      <c r="W3094" s="28"/>
      <c r="AA3094"/>
    </row>
    <row r="3095" spans="1:27" x14ac:dyDescent="0.45">
      <c r="A3095" s="57">
        <v>1123</v>
      </c>
      <c r="B3095" t="s">
        <v>6281</v>
      </c>
      <c r="C3095" t="s">
        <v>6282</v>
      </c>
      <c r="D3095" s="12">
        <v>46313</v>
      </c>
      <c r="E3095" s="11">
        <v>104</v>
      </c>
      <c r="F3095" s="11" t="s">
        <v>7440</v>
      </c>
      <c r="G3095">
        <v>20220401</v>
      </c>
      <c r="I3095" s="11" t="s">
        <v>63</v>
      </c>
      <c r="J3095" s="72">
        <v>60528131</v>
      </c>
      <c r="K3095" s="99">
        <f>_xlfn.XLOOKUP(_2__ROI_Daily_Update[[#This Row],[CSM id]],SHP!F:F,SHP!EE:EE,"-")</f>
        <v>0</v>
      </c>
      <c r="L3095" s="12"/>
      <c r="N3095" s="11"/>
      <c r="P3095"/>
      <c r="Q3095"/>
      <c r="W3095" s="28"/>
      <c r="AA3095"/>
    </row>
    <row r="3096" spans="1:27" x14ac:dyDescent="0.45">
      <c r="A3096" s="57">
        <v>1123</v>
      </c>
      <c r="B3096" t="s">
        <v>6807</v>
      </c>
      <c r="C3096" t="s">
        <v>6808</v>
      </c>
      <c r="D3096" s="12">
        <v>46313</v>
      </c>
      <c r="E3096" s="11">
        <v>136</v>
      </c>
      <c r="F3096" s="11" t="s">
        <v>7463</v>
      </c>
      <c r="G3096">
        <v>20200401</v>
      </c>
      <c r="I3096" s="11" t="s">
        <v>63</v>
      </c>
      <c r="J3096" s="72">
        <v>60461630</v>
      </c>
      <c r="K3096" s="99">
        <f>_xlfn.XLOOKUP(_2__ROI_Daily_Update[[#This Row],[CSM id]],SHP!F:F,SHP!EE:EE,"-")</f>
        <v>0</v>
      </c>
      <c r="L3096" s="12"/>
      <c r="N3096" s="11"/>
      <c r="P3096"/>
      <c r="Q3096"/>
      <c r="W3096" s="28"/>
      <c r="AA3096"/>
    </row>
    <row r="3097" spans="1:27" x14ac:dyDescent="0.45">
      <c r="A3097" s="57">
        <v>1231</v>
      </c>
      <c r="B3097" t="s">
        <v>7027</v>
      </c>
      <c r="C3097" t="s">
        <v>7028</v>
      </c>
      <c r="D3097" s="12">
        <v>46313</v>
      </c>
      <c r="E3097" s="11">
        <v>418</v>
      </c>
      <c r="F3097" s="11" t="s">
        <v>7475</v>
      </c>
      <c r="G3097">
        <v>20261001</v>
      </c>
      <c r="H3097" s="12">
        <v>46388</v>
      </c>
      <c r="I3097" s="11" t="s">
        <v>63</v>
      </c>
      <c r="J3097" s="72">
        <v>636322</v>
      </c>
      <c r="K3097" s="99">
        <f>_xlfn.XLOOKUP(_2__ROI_Daily_Update[[#This Row],[CSM id]],SHP!F:F,SHP!EE:EE,"-")</f>
        <v>0</v>
      </c>
      <c r="L3097" s="12"/>
      <c r="N3097" s="11"/>
      <c r="P3097"/>
      <c r="Q3097"/>
      <c r="W3097" s="28"/>
      <c r="AA3097"/>
    </row>
    <row r="3098" spans="1:27" x14ac:dyDescent="0.45">
      <c r="A3098" s="57">
        <v>1231</v>
      </c>
      <c r="B3098" t="s">
        <v>1849</v>
      </c>
      <c r="C3098" t="s">
        <v>1850</v>
      </c>
      <c r="D3098" s="12">
        <v>46313</v>
      </c>
      <c r="E3098" s="11">
        <v>52</v>
      </c>
      <c r="F3098" s="11" t="s">
        <v>7420</v>
      </c>
      <c r="G3098">
        <v>20221001</v>
      </c>
      <c r="I3098" s="11" t="s">
        <v>63</v>
      </c>
      <c r="J3098" s="72">
        <v>10539226</v>
      </c>
      <c r="K3098" s="99">
        <f>_xlfn.XLOOKUP(_2__ROI_Daily_Update[[#This Row],[CSM id]],SHP!F:F,SHP!EE:EE,"-")</f>
        <v>0</v>
      </c>
      <c r="L3098" s="12"/>
      <c r="N3098" s="11"/>
      <c r="P3098"/>
      <c r="Q3098"/>
      <c r="W3098" s="28"/>
      <c r="AA3098"/>
    </row>
    <row r="3099" spans="1:27" x14ac:dyDescent="0.45">
      <c r="A3099" s="57">
        <v>967</v>
      </c>
      <c r="B3099" t="s">
        <v>806</v>
      </c>
      <c r="C3099" t="s">
        <v>807</v>
      </c>
      <c r="D3099" s="12">
        <v>46313</v>
      </c>
      <c r="E3099" s="11">
        <v>24</v>
      </c>
      <c r="F3099" s="11" t="s">
        <v>7458</v>
      </c>
      <c r="G3099">
        <v>20260701</v>
      </c>
      <c r="I3099" s="11" t="s">
        <v>63</v>
      </c>
      <c r="J3099" s="72">
        <v>80625107</v>
      </c>
      <c r="K3099" s="99">
        <f>_xlfn.XLOOKUP(_2__ROI_Daily_Update[[#This Row],[CSM id]],SHP!F:F,SHP!EE:EE,"-")</f>
        <v>0</v>
      </c>
      <c r="L3099" s="12"/>
      <c r="N3099" s="11"/>
      <c r="P3099"/>
      <c r="Q3099"/>
      <c r="W3099" s="28"/>
      <c r="AA3099"/>
    </row>
    <row r="3100" spans="1:27" x14ac:dyDescent="0.45">
      <c r="A3100" s="57">
        <v>1123</v>
      </c>
      <c r="B3100" t="s">
        <v>6257</v>
      </c>
      <c r="C3100" t="s">
        <v>6258</v>
      </c>
      <c r="D3100" s="12">
        <v>46313</v>
      </c>
      <c r="E3100" s="11">
        <v>16</v>
      </c>
      <c r="F3100" s="11" t="s">
        <v>7440</v>
      </c>
      <c r="G3100">
        <v>20221001</v>
      </c>
      <c r="I3100" s="11" t="s">
        <v>63</v>
      </c>
      <c r="J3100" s="72">
        <v>50531313</v>
      </c>
      <c r="K3100" s="99">
        <f>_xlfn.XLOOKUP(_2__ROI_Daily_Update[[#This Row],[CSM id]],SHP!F:F,SHP!EE:EE,"-")</f>
        <v>0</v>
      </c>
      <c r="L3100" s="12"/>
      <c r="N3100" s="11"/>
      <c r="P3100"/>
      <c r="Q3100"/>
      <c r="W3100" s="28"/>
      <c r="AA3100"/>
    </row>
    <row r="3101" spans="1:27" x14ac:dyDescent="0.45">
      <c r="A3101" s="57">
        <v>1123</v>
      </c>
      <c r="B3101" t="s">
        <v>6257</v>
      </c>
      <c r="C3101" t="s">
        <v>6258</v>
      </c>
      <c r="D3101" s="12">
        <v>46313</v>
      </c>
      <c r="E3101" s="11">
        <v>16</v>
      </c>
      <c r="F3101" s="11" t="s">
        <v>7453</v>
      </c>
      <c r="G3101">
        <v>20221001</v>
      </c>
      <c r="I3101" s="11" t="s">
        <v>63</v>
      </c>
      <c r="J3101" s="72">
        <v>50531313</v>
      </c>
      <c r="K3101" s="99">
        <f>_xlfn.XLOOKUP(_2__ROI_Daily_Update[[#This Row],[CSM id]],SHP!F:F,SHP!EE:EE,"-")</f>
        <v>0</v>
      </c>
      <c r="L3101" s="12"/>
      <c r="N3101" s="11"/>
      <c r="P3101"/>
      <c r="Q3101"/>
      <c r="W3101" s="28"/>
      <c r="AA3101"/>
    </row>
    <row r="3102" spans="1:27" x14ac:dyDescent="0.45">
      <c r="A3102" s="57">
        <v>1231</v>
      </c>
      <c r="B3102" t="s">
        <v>1849</v>
      </c>
      <c r="C3102" t="s">
        <v>1850</v>
      </c>
      <c r="D3102" s="12">
        <v>46313</v>
      </c>
      <c r="E3102" s="11">
        <v>52</v>
      </c>
      <c r="F3102" s="11" t="s">
        <v>7410</v>
      </c>
      <c r="G3102">
        <v>20221001</v>
      </c>
      <c r="I3102" s="11" t="s">
        <v>63</v>
      </c>
      <c r="J3102" s="72">
        <v>10539226</v>
      </c>
      <c r="K3102" s="99">
        <f>_xlfn.XLOOKUP(_2__ROI_Daily_Update[[#This Row],[CSM id]],SHP!F:F,SHP!EE:EE,"-")</f>
        <v>0</v>
      </c>
      <c r="L3102" s="12"/>
      <c r="N3102" s="11"/>
      <c r="P3102"/>
      <c r="Q3102"/>
      <c r="W3102" s="28"/>
      <c r="AA3102"/>
    </row>
    <row r="3103" spans="1:27" x14ac:dyDescent="0.45">
      <c r="A3103" s="57">
        <v>1231</v>
      </c>
      <c r="B3103" t="s">
        <v>1849</v>
      </c>
      <c r="C3103" t="s">
        <v>1850</v>
      </c>
      <c r="D3103" s="12">
        <v>46313</v>
      </c>
      <c r="E3103" s="11">
        <v>156</v>
      </c>
      <c r="F3103" s="11" t="s">
        <v>7440</v>
      </c>
      <c r="G3103">
        <v>20221001</v>
      </c>
      <c r="I3103" s="11" t="s">
        <v>63</v>
      </c>
      <c r="J3103" s="72">
        <v>10539226</v>
      </c>
      <c r="K3103" s="99">
        <f>_xlfn.XLOOKUP(_2__ROI_Daily_Update[[#This Row],[CSM id]],SHP!F:F,SHP!EE:EE,"-")</f>
        <v>0</v>
      </c>
      <c r="L3103" s="12"/>
      <c r="N3103" s="11"/>
      <c r="P3103"/>
      <c r="Q3103"/>
      <c r="W3103" s="28"/>
      <c r="AA3103"/>
    </row>
    <row r="3104" spans="1:27" x14ac:dyDescent="0.45">
      <c r="A3104" s="57">
        <v>1822</v>
      </c>
      <c r="B3104" t="s">
        <v>3566</v>
      </c>
      <c r="C3104" t="s">
        <v>3567</v>
      </c>
      <c r="D3104" s="12">
        <v>46313</v>
      </c>
      <c r="E3104" s="11">
        <v>80</v>
      </c>
      <c r="F3104" s="11" t="s">
        <v>7458</v>
      </c>
      <c r="G3104">
        <v>20231001</v>
      </c>
      <c r="I3104" s="11" t="s">
        <v>63</v>
      </c>
      <c r="J3104" s="72">
        <v>90563712</v>
      </c>
      <c r="K3104" s="99">
        <f>_xlfn.XLOOKUP(_2__ROI_Daily_Update[[#This Row],[CSM id]],SHP!F:F,SHP!EE:EE,"-")</f>
        <v>0</v>
      </c>
      <c r="L3104" s="12"/>
      <c r="N3104" s="11"/>
      <c r="P3104"/>
      <c r="Q3104"/>
      <c r="W3104" s="28"/>
      <c r="AA3104"/>
    </row>
    <row r="3105" spans="1:27" x14ac:dyDescent="0.45">
      <c r="A3105" s="57">
        <v>1231</v>
      </c>
      <c r="B3105" t="s">
        <v>1849</v>
      </c>
      <c r="C3105" t="s">
        <v>1850</v>
      </c>
      <c r="D3105" s="12">
        <v>46313</v>
      </c>
      <c r="E3105" s="11">
        <v>52</v>
      </c>
      <c r="F3105" s="11" t="s">
        <v>7463</v>
      </c>
      <c r="G3105">
        <v>20221001</v>
      </c>
      <c r="I3105" s="11" t="s">
        <v>63</v>
      </c>
      <c r="J3105" s="72">
        <v>10539226</v>
      </c>
      <c r="K3105" s="99">
        <f>_xlfn.XLOOKUP(_2__ROI_Daily_Update[[#This Row],[CSM id]],SHP!F:F,SHP!EE:EE,"-")</f>
        <v>0</v>
      </c>
      <c r="L3105" s="12"/>
      <c r="N3105" s="11"/>
      <c r="P3105"/>
      <c r="Q3105"/>
      <c r="W3105" s="28"/>
      <c r="AA3105"/>
    </row>
    <row r="3106" spans="1:27" x14ac:dyDescent="0.45">
      <c r="A3106" s="57">
        <v>1123</v>
      </c>
      <c r="B3106" t="s">
        <v>5721</v>
      </c>
      <c r="C3106" t="s">
        <v>5722</v>
      </c>
      <c r="D3106" s="12">
        <v>46313</v>
      </c>
      <c r="E3106" s="11">
        <v>32</v>
      </c>
      <c r="F3106" s="11" t="s">
        <v>7400</v>
      </c>
      <c r="G3106">
        <v>20221001</v>
      </c>
      <c r="I3106" s="11" t="s">
        <v>63</v>
      </c>
      <c r="J3106" s="72">
        <v>30531291</v>
      </c>
      <c r="K3106" s="99">
        <f>_xlfn.XLOOKUP(_2__ROI_Daily_Update[[#This Row],[CSM id]],SHP!F:F,SHP!EE:EE,"-")</f>
        <v>0</v>
      </c>
      <c r="L3106" s="12"/>
      <c r="N3106" s="11"/>
      <c r="P3106"/>
      <c r="Q3106"/>
      <c r="W3106" s="28"/>
      <c r="AA3106"/>
    </row>
    <row r="3107" spans="1:27" x14ac:dyDescent="0.45">
      <c r="A3107" s="57">
        <v>1211</v>
      </c>
      <c r="B3107" t="s">
        <v>1745</v>
      </c>
      <c r="C3107" t="s">
        <v>1746</v>
      </c>
      <c r="D3107" s="12">
        <v>46313</v>
      </c>
      <c r="E3107" s="11">
        <v>384</v>
      </c>
      <c r="F3107" s="11" t="s">
        <v>7395</v>
      </c>
      <c r="G3107">
        <v>20210201</v>
      </c>
      <c r="I3107" s="11" t="s">
        <v>63</v>
      </c>
      <c r="J3107" s="72">
        <v>40491039</v>
      </c>
      <c r="K3107" s="99">
        <f>_xlfn.XLOOKUP(_2__ROI_Daily_Update[[#This Row],[CSM id]],SHP!F:F,SHP!EE:EE,"-")</f>
        <v>0</v>
      </c>
      <c r="L3107" s="12"/>
      <c r="N3107" s="11"/>
      <c r="P3107"/>
      <c r="Q3107"/>
      <c r="W3107" s="28"/>
      <c r="AA3107"/>
    </row>
    <row r="3108" spans="1:27" x14ac:dyDescent="0.45">
      <c r="A3108" s="57">
        <v>1122</v>
      </c>
      <c r="B3108" t="s">
        <v>1629</v>
      </c>
      <c r="C3108" t="s">
        <v>1630</v>
      </c>
      <c r="D3108" s="12">
        <v>46313</v>
      </c>
      <c r="E3108" s="11">
        <v>32</v>
      </c>
      <c r="F3108" s="11" t="s">
        <v>7410</v>
      </c>
      <c r="G3108">
        <v>20241001</v>
      </c>
      <c r="I3108" s="11" t="s">
        <v>63</v>
      </c>
      <c r="J3108" s="72">
        <v>90587119</v>
      </c>
      <c r="K3108" s="99">
        <f>_xlfn.XLOOKUP(_2__ROI_Daily_Update[[#This Row],[CSM id]],SHP!F:F,SHP!EE:EE,"-")</f>
        <v>0</v>
      </c>
      <c r="L3108" s="12"/>
      <c r="N3108" s="11"/>
      <c r="P3108"/>
      <c r="Q3108"/>
      <c r="W3108" s="28"/>
      <c r="AA3108"/>
    </row>
    <row r="3109" spans="1:27" x14ac:dyDescent="0.45">
      <c r="A3109" s="57">
        <v>971</v>
      </c>
      <c r="B3109" t="s">
        <v>7077</v>
      </c>
      <c r="C3109" t="s">
        <v>7078</v>
      </c>
      <c r="D3109" s="12">
        <v>46313</v>
      </c>
      <c r="E3109" s="11">
        <v>70</v>
      </c>
      <c r="F3109" s="11" t="s">
        <v>7480</v>
      </c>
      <c r="G3109">
        <v>20221001</v>
      </c>
      <c r="I3109" s="11" t="s">
        <v>63</v>
      </c>
      <c r="J3109" s="72">
        <v>10522117</v>
      </c>
      <c r="K3109" s="99">
        <f>_xlfn.XLOOKUP(_2__ROI_Daily_Update[[#This Row],[CSM id]],SHP!F:F,SHP!EE:EE,"-")</f>
        <v>0</v>
      </c>
      <c r="L3109" s="12"/>
      <c r="N3109" s="11"/>
      <c r="P3109"/>
      <c r="Q3109"/>
      <c r="W3109" s="28"/>
      <c r="AA3109"/>
    </row>
    <row r="3110" spans="1:27" x14ac:dyDescent="0.45">
      <c r="A3110" s="57">
        <v>1832</v>
      </c>
      <c r="B3110" t="s">
        <v>3624</v>
      </c>
      <c r="C3110" t="s">
        <v>3625</v>
      </c>
      <c r="D3110" s="12">
        <v>46313</v>
      </c>
      <c r="E3110" s="11">
        <v>120</v>
      </c>
      <c r="F3110" s="11" t="s">
        <v>7410</v>
      </c>
      <c r="G3110">
        <v>20230101</v>
      </c>
      <c r="I3110" s="11" t="s">
        <v>63</v>
      </c>
      <c r="J3110" s="72">
        <v>90540730</v>
      </c>
      <c r="K3110" s="99">
        <f>_xlfn.XLOOKUP(_2__ROI_Daily_Update[[#This Row],[CSM id]],SHP!F:F,SHP!EE:EE,"-")</f>
        <v>0</v>
      </c>
      <c r="L3110" s="12"/>
      <c r="N3110" s="11"/>
      <c r="P3110"/>
      <c r="Q3110"/>
      <c r="W3110" s="28"/>
      <c r="AA3110"/>
    </row>
    <row r="3111" spans="1:27" x14ac:dyDescent="0.45">
      <c r="A3111" s="57">
        <v>1231</v>
      </c>
      <c r="B3111" t="s">
        <v>1843</v>
      </c>
      <c r="C3111" t="s">
        <v>1844</v>
      </c>
      <c r="D3111" s="12">
        <v>46313</v>
      </c>
      <c r="E3111" s="11">
        <v>54</v>
      </c>
      <c r="F3111" s="11" t="s">
        <v>7440</v>
      </c>
      <c r="G3111">
        <v>20261001</v>
      </c>
      <c r="I3111" s="11" t="s">
        <v>63</v>
      </c>
      <c r="J3111" s="72">
        <v>625286</v>
      </c>
      <c r="K3111" s="99">
        <f>_xlfn.XLOOKUP(_2__ROI_Daily_Update[[#This Row],[CSM id]],SHP!F:F,SHP!EE:EE,"-")</f>
        <v>0</v>
      </c>
      <c r="L3111" s="12"/>
      <c r="N3111" s="11"/>
      <c r="P3111"/>
      <c r="Q3111"/>
      <c r="W3111" s="28"/>
      <c r="AA3111"/>
    </row>
    <row r="3112" spans="1:27" x14ac:dyDescent="0.45">
      <c r="A3112" s="57">
        <v>1211</v>
      </c>
      <c r="B3112" t="s">
        <v>1741</v>
      </c>
      <c r="C3112" t="s">
        <v>1742</v>
      </c>
      <c r="D3112" s="12">
        <v>46313</v>
      </c>
      <c r="E3112" s="11">
        <v>24</v>
      </c>
      <c r="F3112" s="11" t="s">
        <v>7440</v>
      </c>
      <c r="G3112">
        <v>20230401</v>
      </c>
      <c r="I3112" s="11" t="s">
        <v>63</v>
      </c>
      <c r="J3112" s="72">
        <v>30539065</v>
      </c>
      <c r="K3112" s="99">
        <f>_xlfn.XLOOKUP(_2__ROI_Daily_Update[[#This Row],[CSM id]],SHP!F:F,SHP!EE:EE,"-")</f>
        <v>0</v>
      </c>
      <c r="L3112" s="12"/>
      <c r="N3112" s="11"/>
      <c r="P3112"/>
      <c r="Q3112"/>
      <c r="W3112" s="28"/>
      <c r="AA3112"/>
    </row>
    <row r="3113" spans="1:27" x14ac:dyDescent="0.45">
      <c r="A3113" s="57">
        <v>1231</v>
      </c>
      <c r="B3113" t="s">
        <v>1835</v>
      </c>
      <c r="C3113" t="s">
        <v>1836</v>
      </c>
      <c r="D3113" s="12">
        <v>46313</v>
      </c>
      <c r="E3113" s="11">
        <v>26</v>
      </c>
      <c r="F3113" s="11" t="s">
        <v>6940</v>
      </c>
      <c r="G3113">
        <v>20250701</v>
      </c>
      <c r="H3113" s="12">
        <v>46661</v>
      </c>
      <c r="I3113" s="11" t="s">
        <v>63</v>
      </c>
      <c r="J3113" s="72">
        <v>604632</v>
      </c>
      <c r="K3113" s="99">
        <f>_xlfn.XLOOKUP(_2__ROI_Daily_Update[[#This Row],[CSM id]],SHP!F:F,SHP!EE:EE,"-")</f>
        <v>0</v>
      </c>
      <c r="L3113" s="12"/>
      <c r="N3113" s="11"/>
      <c r="P3113"/>
      <c r="Q3113"/>
      <c r="W3113" s="28"/>
      <c r="AA3113"/>
    </row>
    <row r="3114" spans="1:27" x14ac:dyDescent="0.45">
      <c r="A3114" s="57">
        <v>1833</v>
      </c>
      <c r="B3114" t="s">
        <v>6291</v>
      </c>
      <c r="C3114" t="s">
        <v>6292</v>
      </c>
      <c r="D3114" s="12">
        <v>46313</v>
      </c>
      <c r="E3114" s="11">
        <v>640</v>
      </c>
      <c r="F3114" s="11" t="s">
        <v>7440</v>
      </c>
      <c r="G3114">
        <v>20260701</v>
      </c>
      <c r="I3114" s="11" t="s">
        <v>63</v>
      </c>
      <c r="J3114" s="72">
        <v>632258</v>
      </c>
      <c r="K3114" s="99">
        <f>_xlfn.XLOOKUP(_2__ROI_Daily_Update[[#This Row],[CSM id]],SHP!F:F,SHP!EE:EE,"-")</f>
        <v>0</v>
      </c>
      <c r="L3114" s="12"/>
      <c r="N3114" s="11"/>
      <c r="P3114"/>
      <c r="Q3114"/>
      <c r="W3114" s="28"/>
      <c r="AA3114"/>
    </row>
    <row r="3115" spans="1:27" x14ac:dyDescent="0.45">
      <c r="A3115" s="57">
        <v>1131</v>
      </c>
      <c r="B3115" t="s">
        <v>5592</v>
      </c>
      <c r="C3115" t="s">
        <v>5593</v>
      </c>
      <c r="D3115" s="12">
        <v>46313</v>
      </c>
      <c r="E3115" s="11">
        <v>128</v>
      </c>
      <c r="F3115" s="11" t="s">
        <v>7410</v>
      </c>
      <c r="G3115">
        <v>20251001</v>
      </c>
      <c r="I3115" s="11" t="s">
        <v>63</v>
      </c>
      <c r="J3115" s="72">
        <v>612043</v>
      </c>
      <c r="K3115" s="99">
        <f>_xlfn.XLOOKUP(_2__ROI_Daily_Update[[#This Row],[CSM id]],SHP!F:F,SHP!EE:EE,"-")</f>
        <v>0</v>
      </c>
      <c r="L3115" s="12"/>
      <c r="N3115" s="11"/>
      <c r="P3115"/>
      <c r="Q3115"/>
      <c r="W3115" s="28"/>
      <c r="AA3115"/>
    </row>
    <row r="3116" spans="1:27" x14ac:dyDescent="0.45">
      <c r="A3116" s="57">
        <v>1822</v>
      </c>
      <c r="B3116" t="s">
        <v>6055</v>
      </c>
      <c r="C3116" t="s">
        <v>6056</v>
      </c>
      <c r="D3116" s="12">
        <v>46313</v>
      </c>
      <c r="E3116" s="11">
        <v>10</v>
      </c>
      <c r="F3116" s="11" t="s">
        <v>7440</v>
      </c>
      <c r="G3116">
        <v>20150401</v>
      </c>
      <c r="I3116" s="11" t="s">
        <v>63</v>
      </c>
      <c r="J3116" s="72">
        <v>290599</v>
      </c>
      <c r="K3116" s="99">
        <f>_xlfn.XLOOKUP(_2__ROI_Daily_Update[[#This Row],[CSM id]],SHP!F:F,SHP!EE:EE,"-")</f>
        <v>0</v>
      </c>
      <c r="L3116" s="12"/>
      <c r="N3116" s="11"/>
      <c r="P3116"/>
      <c r="Q3116"/>
      <c r="W3116" s="28"/>
      <c r="AA3116"/>
    </row>
    <row r="3117" spans="1:27" x14ac:dyDescent="0.45">
      <c r="A3117" s="57">
        <v>1131</v>
      </c>
      <c r="B3117" t="s">
        <v>1641</v>
      </c>
      <c r="C3117" t="s">
        <v>1642</v>
      </c>
      <c r="D3117" s="12">
        <v>46313</v>
      </c>
      <c r="E3117" s="11">
        <v>72</v>
      </c>
      <c r="F3117" s="11" t="s">
        <v>7420</v>
      </c>
      <c r="G3117">
        <v>20240701</v>
      </c>
      <c r="I3117" s="11" t="s">
        <v>63</v>
      </c>
      <c r="J3117" s="72">
        <v>579717</v>
      </c>
      <c r="K3117" s="99">
        <f>_xlfn.XLOOKUP(_2__ROI_Daily_Update[[#This Row],[CSM id]],SHP!F:F,SHP!EE:EE,"-")</f>
        <v>0</v>
      </c>
      <c r="L3117" s="12"/>
      <c r="N3117" s="11"/>
      <c r="P3117"/>
      <c r="Q3117"/>
      <c r="W3117" s="28"/>
      <c r="AA3117"/>
    </row>
    <row r="3118" spans="1:27" x14ac:dyDescent="0.45">
      <c r="A3118" s="57">
        <v>1131</v>
      </c>
      <c r="B3118" t="s">
        <v>1639</v>
      </c>
      <c r="C3118" t="s">
        <v>1640</v>
      </c>
      <c r="D3118" s="12">
        <v>46313</v>
      </c>
      <c r="E3118" s="11">
        <v>144</v>
      </c>
      <c r="F3118" s="11" t="s">
        <v>7440</v>
      </c>
      <c r="G3118">
        <v>20240701</v>
      </c>
      <c r="H3118" s="12">
        <v>46388</v>
      </c>
      <c r="I3118" s="11" t="s">
        <v>63</v>
      </c>
      <c r="J3118" s="72">
        <v>576040</v>
      </c>
      <c r="K3118" s="99">
        <f>_xlfn.XLOOKUP(_2__ROI_Daily_Update[[#This Row],[CSM id]],SHP!F:F,SHP!EE:EE,"-")</f>
        <v>0</v>
      </c>
      <c r="L3118" s="12"/>
      <c r="N3118" s="11"/>
      <c r="P3118"/>
      <c r="Q3118"/>
      <c r="W3118" s="28"/>
      <c r="AA3118"/>
    </row>
    <row r="3119" spans="1:27" x14ac:dyDescent="0.45">
      <c r="A3119" s="57">
        <v>1211</v>
      </c>
      <c r="B3119" t="s">
        <v>1777</v>
      </c>
      <c r="C3119" t="s">
        <v>1778</v>
      </c>
      <c r="D3119" s="12">
        <v>46313</v>
      </c>
      <c r="E3119" s="11">
        <v>12</v>
      </c>
      <c r="F3119" s="11" t="s">
        <v>7430</v>
      </c>
      <c r="G3119">
        <v>20250401</v>
      </c>
      <c r="I3119" s="11" t="s">
        <v>63</v>
      </c>
      <c r="J3119" s="72">
        <v>90597156</v>
      </c>
      <c r="K3119" s="99">
        <f>_xlfn.XLOOKUP(_2__ROI_Daily_Update[[#This Row],[CSM id]],SHP!F:F,SHP!EE:EE,"-")</f>
        <v>0</v>
      </c>
      <c r="L3119" s="12"/>
      <c r="N3119" s="11"/>
      <c r="P3119"/>
      <c r="Q3119"/>
      <c r="W3119" s="28"/>
      <c r="AA3119"/>
    </row>
    <row r="3120" spans="1:27" x14ac:dyDescent="0.45">
      <c r="A3120" s="57">
        <v>1231</v>
      </c>
      <c r="B3120" t="s">
        <v>1837</v>
      </c>
      <c r="C3120" t="s">
        <v>1838</v>
      </c>
      <c r="D3120" s="12">
        <v>46313</v>
      </c>
      <c r="E3120" s="11">
        <v>24</v>
      </c>
      <c r="F3120" s="11" t="s">
        <v>7420</v>
      </c>
      <c r="G3120">
        <v>20260401</v>
      </c>
      <c r="I3120" s="11" t="s">
        <v>63</v>
      </c>
      <c r="J3120" s="72">
        <v>624362</v>
      </c>
      <c r="K3120" s="99">
        <f>_xlfn.XLOOKUP(_2__ROI_Daily_Update[[#This Row],[CSM id]],SHP!F:F,SHP!EE:EE,"-")</f>
        <v>0</v>
      </c>
      <c r="L3120" s="12"/>
      <c r="N3120" s="11"/>
      <c r="P3120"/>
      <c r="Q3120"/>
      <c r="W3120" s="28"/>
      <c r="AA3120"/>
    </row>
    <row r="3121" spans="1:27" x14ac:dyDescent="0.45">
      <c r="A3121" s="57">
        <v>1211</v>
      </c>
      <c r="B3121" t="s">
        <v>6447</v>
      </c>
      <c r="C3121" t="s">
        <v>6448</v>
      </c>
      <c r="D3121" s="12">
        <v>46313</v>
      </c>
      <c r="E3121" s="11">
        <v>40</v>
      </c>
      <c r="F3121" s="11" t="s">
        <v>7453</v>
      </c>
      <c r="G3121">
        <v>20240101</v>
      </c>
      <c r="I3121" s="11" t="s">
        <v>63</v>
      </c>
      <c r="J3121" s="72">
        <v>90569219</v>
      </c>
      <c r="K3121" s="99">
        <f>_xlfn.XLOOKUP(_2__ROI_Daily_Update[[#This Row],[CSM id]],SHP!F:F,SHP!EE:EE,"-")</f>
        <v>0</v>
      </c>
      <c r="L3121" s="12"/>
      <c r="N3121" s="11"/>
      <c r="P3121"/>
      <c r="Q3121"/>
      <c r="W3121" s="28"/>
      <c r="AA3121"/>
    </row>
    <row r="3122" spans="1:27" x14ac:dyDescent="0.45">
      <c r="A3122" s="57">
        <v>1131</v>
      </c>
      <c r="B3122" t="s">
        <v>1639</v>
      </c>
      <c r="C3122" t="s">
        <v>1640</v>
      </c>
      <c r="D3122" s="12">
        <v>46313</v>
      </c>
      <c r="E3122" s="11">
        <v>108</v>
      </c>
      <c r="F3122" s="11" t="s">
        <v>7420</v>
      </c>
      <c r="G3122">
        <v>20240701</v>
      </c>
      <c r="H3122" s="12">
        <v>46388</v>
      </c>
      <c r="I3122" s="11" t="s">
        <v>63</v>
      </c>
      <c r="J3122" s="72">
        <v>576040</v>
      </c>
      <c r="K3122" s="99">
        <f>_xlfn.XLOOKUP(_2__ROI_Daily_Update[[#This Row],[CSM id]],SHP!F:F,SHP!EE:EE,"-")</f>
        <v>0</v>
      </c>
      <c r="L3122" s="12"/>
      <c r="N3122" s="11"/>
      <c r="P3122"/>
      <c r="Q3122"/>
      <c r="W3122" s="28"/>
      <c r="AA3122"/>
    </row>
    <row r="3123" spans="1:27" x14ac:dyDescent="0.45">
      <c r="A3123" s="57">
        <v>1211</v>
      </c>
      <c r="B3123" t="s">
        <v>1739</v>
      </c>
      <c r="C3123" t="s">
        <v>1740</v>
      </c>
      <c r="D3123" s="12">
        <v>46313</v>
      </c>
      <c r="E3123" s="11">
        <v>6</v>
      </c>
      <c r="F3123" s="11" t="s">
        <v>7400</v>
      </c>
      <c r="G3123">
        <v>20261001</v>
      </c>
      <c r="I3123" s="11" t="s">
        <v>63</v>
      </c>
      <c r="J3123" s="72">
        <v>20640846</v>
      </c>
      <c r="K3123" s="99">
        <f>_xlfn.XLOOKUP(_2__ROI_Daily_Update[[#This Row],[CSM id]],SHP!F:F,SHP!EE:EE,"-")</f>
        <v>0</v>
      </c>
      <c r="L3123" s="12"/>
      <c r="N3123" s="11"/>
      <c r="P3123"/>
      <c r="Q3123"/>
      <c r="W3123" s="28"/>
      <c r="AA3123"/>
    </row>
    <row r="3124" spans="1:27" x14ac:dyDescent="0.45">
      <c r="A3124" s="57">
        <v>1231</v>
      </c>
      <c r="B3124" t="s">
        <v>1839</v>
      </c>
      <c r="C3124" t="s">
        <v>1840</v>
      </c>
      <c r="D3124" s="12">
        <v>46313</v>
      </c>
      <c r="E3124" s="11">
        <v>64</v>
      </c>
      <c r="F3124" s="11" t="s">
        <v>6946</v>
      </c>
      <c r="G3124">
        <v>20260401</v>
      </c>
      <c r="I3124" s="11" t="s">
        <v>63</v>
      </c>
      <c r="J3124" s="72">
        <v>624588</v>
      </c>
      <c r="K3124" s="99">
        <f>_xlfn.XLOOKUP(_2__ROI_Daily_Update[[#This Row],[CSM id]],SHP!F:F,SHP!EE:EE,"-")</f>
        <v>0</v>
      </c>
      <c r="L3124" s="12"/>
      <c r="N3124" s="11"/>
      <c r="P3124"/>
      <c r="Q3124"/>
      <c r="W3124" s="28"/>
      <c r="AA3124"/>
    </row>
    <row r="3125" spans="1:27" x14ac:dyDescent="0.45">
      <c r="A3125" s="57">
        <v>1832</v>
      </c>
      <c r="B3125" t="s">
        <v>3622</v>
      </c>
      <c r="C3125" t="s">
        <v>3623</v>
      </c>
      <c r="D3125" s="12">
        <v>46313</v>
      </c>
      <c r="E3125" s="11">
        <v>768</v>
      </c>
      <c r="F3125" s="11" t="s">
        <v>7435</v>
      </c>
      <c r="G3125">
        <v>20230401</v>
      </c>
      <c r="I3125" s="11" t="s">
        <v>63</v>
      </c>
      <c r="J3125" s="72">
        <v>90515071</v>
      </c>
      <c r="K3125" s="99">
        <f>_xlfn.XLOOKUP(_2__ROI_Daily_Update[[#This Row],[CSM id]],SHP!F:F,SHP!EE:EE,"-")</f>
        <v>0</v>
      </c>
      <c r="L3125" s="12"/>
      <c r="N3125" s="11"/>
      <c r="P3125"/>
      <c r="Q3125"/>
      <c r="W3125" s="28"/>
      <c r="AA3125"/>
    </row>
    <row r="3126" spans="1:27" x14ac:dyDescent="0.45">
      <c r="A3126" s="57">
        <v>1211</v>
      </c>
      <c r="B3126" t="s">
        <v>1739</v>
      </c>
      <c r="C3126" t="s">
        <v>1740</v>
      </c>
      <c r="D3126" s="12">
        <v>46313</v>
      </c>
      <c r="E3126" s="11">
        <v>6</v>
      </c>
      <c r="F3126" s="11" t="s">
        <v>7480</v>
      </c>
      <c r="G3126">
        <v>20261001</v>
      </c>
      <c r="I3126" s="11" t="s">
        <v>63</v>
      </c>
      <c r="J3126" s="72">
        <v>20640846</v>
      </c>
      <c r="K3126" s="99">
        <f>_xlfn.XLOOKUP(_2__ROI_Daily_Update[[#This Row],[CSM id]],SHP!F:F,SHP!EE:EE,"-")</f>
        <v>0</v>
      </c>
      <c r="L3126" s="12"/>
      <c r="N3126" s="11"/>
      <c r="P3126"/>
      <c r="Q3126"/>
      <c r="W3126" s="28"/>
      <c r="AA3126"/>
    </row>
    <row r="3127" spans="1:27" x14ac:dyDescent="0.45">
      <c r="A3127" s="57">
        <v>1833</v>
      </c>
      <c r="B3127" t="s">
        <v>6017</v>
      </c>
      <c r="C3127" t="s">
        <v>6018</v>
      </c>
      <c r="D3127" s="12">
        <v>46313</v>
      </c>
      <c r="E3127" s="11">
        <v>304</v>
      </c>
      <c r="F3127" s="11" t="s">
        <v>6946</v>
      </c>
      <c r="G3127">
        <v>20170801</v>
      </c>
      <c r="H3127" s="12">
        <v>46569</v>
      </c>
      <c r="I3127" s="11" t="s">
        <v>63</v>
      </c>
      <c r="J3127" s="72">
        <v>30364372</v>
      </c>
      <c r="K3127" s="99">
        <f>_xlfn.XLOOKUP(_2__ROI_Daily_Update[[#This Row],[CSM id]],SHP!F:F,SHP!EE:EE,"-")</f>
        <v>0</v>
      </c>
      <c r="L3127" s="12"/>
      <c r="N3127" s="11"/>
      <c r="P3127"/>
      <c r="Q3127"/>
      <c r="W3127" s="28"/>
      <c r="AA3127"/>
    </row>
    <row r="3128" spans="1:27" x14ac:dyDescent="0.45">
      <c r="A3128" s="57">
        <v>972</v>
      </c>
      <c r="B3128" t="s">
        <v>5831</v>
      </c>
      <c r="C3128" t="s">
        <v>5832</v>
      </c>
      <c r="D3128" s="12">
        <v>46313</v>
      </c>
      <c r="E3128" s="11">
        <v>160</v>
      </c>
      <c r="F3128" s="11" t="s">
        <v>7395</v>
      </c>
      <c r="G3128">
        <v>20211001</v>
      </c>
      <c r="I3128" s="11" t="s">
        <v>63</v>
      </c>
      <c r="J3128" s="72">
        <v>506759</v>
      </c>
      <c r="K3128" s="99">
        <f>_xlfn.XLOOKUP(_2__ROI_Daily_Update[[#This Row],[CSM id]],SHP!F:F,SHP!EE:EE,"-")</f>
        <v>0</v>
      </c>
      <c r="L3128" s="12"/>
      <c r="N3128" s="11"/>
      <c r="P3128"/>
      <c r="Q3128"/>
      <c r="W3128" s="28"/>
      <c r="AA3128"/>
    </row>
    <row r="3129" spans="1:27" x14ac:dyDescent="0.45">
      <c r="A3129" s="57">
        <v>1211</v>
      </c>
      <c r="B3129" t="s">
        <v>7065</v>
      </c>
      <c r="C3129" t="s">
        <v>7066</v>
      </c>
      <c r="D3129" s="12">
        <v>46313</v>
      </c>
      <c r="E3129" s="11">
        <v>16</v>
      </c>
      <c r="F3129" s="11" t="s">
        <v>7475</v>
      </c>
      <c r="G3129">
        <v>20210201</v>
      </c>
      <c r="I3129" s="11" t="s">
        <v>63</v>
      </c>
      <c r="J3129" s="72">
        <v>30493977</v>
      </c>
      <c r="K3129" s="99">
        <f>_xlfn.XLOOKUP(_2__ROI_Daily_Update[[#This Row],[CSM id]],SHP!F:F,SHP!EE:EE,"-")</f>
        <v>0</v>
      </c>
      <c r="L3129" s="12"/>
      <c r="N3129" s="11"/>
      <c r="P3129"/>
      <c r="Q3129"/>
      <c r="W3129" s="28"/>
      <c r="AA3129"/>
    </row>
    <row r="3130" spans="1:27" x14ac:dyDescent="0.45">
      <c r="A3130" s="57">
        <v>1123</v>
      </c>
      <c r="B3130" t="s">
        <v>5414</v>
      </c>
      <c r="C3130" t="s">
        <v>5415</v>
      </c>
      <c r="D3130" s="12">
        <v>46313</v>
      </c>
      <c r="E3130" s="11">
        <v>52</v>
      </c>
      <c r="F3130" s="11" t="s">
        <v>7410</v>
      </c>
      <c r="G3130">
        <v>20200401</v>
      </c>
      <c r="H3130" s="12">
        <v>46569</v>
      </c>
      <c r="I3130" s="11" t="s">
        <v>63</v>
      </c>
      <c r="J3130" s="72">
        <v>90461681</v>
      </c>
      <c r="K3130" s="99">
        <f>_xlfn.XLOOKUP(_2__ROI_Daily_Update[[#This Row],[CSM id]],SHP!F:F,SHP!EE:EE,"-")</f>
        <v>0</v>
      </c>
      <c r="L3130" s="12"/>
      <c r="N3130" s="11"/>
      <c r="P3130"/>
      <c r="Q3130"/>
      <c r="W3130" s="28"/>
      <c r="AA3130"/>
    </row>
    <row r="3131" spans="1:27" x14ac:dyDescent="0.45">
      <c r="A3131" s="57">
        <v>1123</v>
      </c>
      <c r="B3131" t="s">
        <v>6247</v>
      </c>
      <c r="C3131" t="s">
        <v>6248</v>
      </c>
      <c r="D3131" s="12">
        <v>46313</v>
      </c>
      <c r="E3131" s="11">
        <v>48</v>
      </c>
      <c r="F3131" s="11" t="s">
        <v>7480</v>
      </c>
      <c r="G3131">
        <v>20221001</v>
      </c>
      <c r="I3131" s="11" t="s">
        <v>63</v>
      </c>
      <c r="J3131" s="72">
        <v>80531284</v>
      </c>
      <c r="K3131" s="99">
        <f>_xlfn.XLOOKUP(_2__ROI_Daily_Update[[#This Row],[CSM id]],SHP!F:F,SHP!EE:EE,"-")</f>
        <v>0</v>
      </c>
      <c r="L3131" s="12"/>
      <c r="N3131" s="11"/>
      <c r="P3131"/>
      <c r="Q3131"/>
      <c r="W3131" s="28"/>
      <c r="AA3131"/>
    </row>
    <row r="3132" spans="1:27" x14ac:dyDescent="0.45">
      <c r="A3132" s="57">
        <v>1123</v>
      </c>
      <c r="B3132" t="s">
        <v>6247</v>
      </c>
      <c r="C3132" t="s">
        <v>6248</v>
      </c>
      <c r="D3132" s="12">
        <v>46313</v>
      </c>
      <c r="E3132" s="11">
        <v>48</v>
      </c>
      <c r="F3132" s="11" t="s">
        <v>7440</v>
      </c>
      <c r="G3132">
        <v>20221001</v>
      </c>
      <c r="I3132" s="11" t="s">
        <v>63</v>
      </c>
      <c r="J3132" s="72">
        <v>80531284</v>
      </c>
      <c r="K3132" s="99">
        <f>_xlfn.XLOOKUP(_2__ROI_Daily_Update[[#This Row],[CSM id]],SHP!F:F,SHP!EE:EE,"-")</f>
        <v>0</v>
      </c>
      <c r="L3132" s="12"/>
      <c r="N3132" s="11"/>
      <c r="P3132"/>
      <c r="Q3132"/>
      <c r="W3132" s="28"/>
      <c r="AA3132"/>
    </row>
    <row r="3133" spans="1:27" x14ac:dyDescent="0.45">
      <c r="A3133" s="57">
        <v>1211</v>
      </c>
      <c r="B3133" t="s">
        <v>1775</v>
      </c>
      <c r="C3133" t="s">
        <v>1776</v>
      </c>
      <c r="D3133" s="12">
        <v>46313</v>
      </c>
      <c r="E3133" s="11">
        <v>8</v>
      </c>
      <c r="F3133" s="11" t="s">
        <v>7480</v>
      </c>
      <c r="G3133">
        <v>20240101</v>
      </c>
      <c r="I3133" s="11" t="s">
        <v>63</v>
      </c>
      <c r="J3133" s="72">
        <v>90559673</v>
      </c>
      <c r="K3133" s="99">
        <f>_xlfn.XLOOKUP(_2__ROI_Daily_Update[[#This Row],[CSM id]],SHP!F:F,SHP!EE:EE,"-")</f>
        <v>0</v>
      </c>
      <c r="L3133" s="12"/>
      <c r="N3133" s="11"/>
      <c r="P3133"/>
      <c r="Q3133"/>
      <c r="W3133" s="28"/>
      <c r="AA3133"/>
    </row>
    <row r="3134" spans="1:27" x14ac:dyDescent="0.45">
      <c r="A3134" s="57">
        <v>966</v>
      </c>
      <c r="B3134" t="s">
        <v>5346</v>
      </c>
      <c r="C3134" t="s">
        <v>5347</v>
      </c>
      <c r="D3134" s="12">
        <v>46313</v>
      </c>
      <c r="E3134" s="11">
        <v>4</v>
      </c>
      <c r="F3134" s="11" t="s">
        <v>6946</v>
      </c>
      <c r="G3134">
        <v>20240101</v>
      </c>
      <c r="H3134" s="12">
        <v>46661</v>
      </c>
      <c r="I3134" s="11" t="s">
        <v>63</v>
      </c>
      <c r="J3134" s="72">
        <v>80569521</v>
      </c>
      <c r="K3134" s="99">
        <f>_xlfn.XLOOKUP(_2__ROI_Daily_Update[[#This Row],[CSM id]],SHP!F:F,SHP!EE:EE,"-")</f>
        <v>0</v>
      </c>
      <c r="L3134" s="12"/>
      <c r="N3134" s="11"/>
      <c r="P3134"/>
      <c r="Q3134"/>
      <c r="W3134" s="28"/>
      <c r="AA3134"/>
    </row>
    <row r="3135" spans="1:27" x14ac:dyDescent="0.45">
      <c r="A3135" s="57">
        <v>1231</v>
      </c>
      <c r="B3135" t="s">
        <v>1851</v>
      </c>
      <c r="C3135" t="s">
        <v>1852</v>
      </c>
      <c r="D3135" s="12">
        <v>46313</v>
      </c>
      <c r="E3135" s="11">
        <v>56</v>
      </c>
      <c r="F3135" s="11" t="s">
        <v>7415</v>
      </c>
      <c r="G3135">
        <v>20241001</v>
      </c>
      <c r="I3135" s="11" t="s">
        <v>63</v>
      </c>
      <c r="J3135" s="72">
        <v>10591894</v>
      </c>
      <c r="K3135" s="99">
        <f>_xlfn.XLOOKUP(_2__ROI_Daily_Update[[#This Row],[CSM id]],SHP!F:F,SHP!EE:EE,"-")</f>
        <v>0</v>
      </c>
      <c r="L3135" s="12"/>
      <c r="N3135" s="11"/>
      <c r="P3135"/>
      <c r="Q3135"/>
      <c r="W3135" s="28"/>
      <c r="AA3135"/>
    </row>
    <row r="3136" spans="1:27" x14ac:dyDescent="0.45">
      <c r="A3136" s="57">
        <v>1131</v>
      </c>
      <c r="B3136" t="s">
        <v>1671</v>
      </c>
      <c r="C3136" t="s">
        <v>1672</v>
      </c>
      <c r="D3136" s="12">
        <v>46313</v>
      </c>
      <c r="E3136" s="11">
        <v>144</v>
      </c>
      <c r="F3136" s="11" t="s">
        <v>6946</v>
      </c>
      <c r="G3136">
        <v>20240701</v>
      </c>
      <c r="I3136" s="11" t="s">
        <v>63</v>
      </c>
      <c r="J3136" s="72">
        <v>70579691</v>
      </c>
      <c r="K3136" s="99">
        <f>_xlfn.XLOOKUP(_2__ROI_Daily_Update[[#This Row],[CSM id]],SHP!F:F,SHP!EE:EE,"-")</f>
        <v>0</v>
      </c>
      <c r="L3136" s="12"/>
      <c r="N3136" s="11"/>
      <c r="P3136"/>
      <c r="Q3136"/>
      <c r="W3136" s="28"/>
      <c r="AA3136"/>
    </row>
    <row r="3137" spans="1:27" x14ac:dyDescent="0.45">
      <c r="A3137" s="57">
        <v>1131</v>
      </c>
      <c r="B3137" t="s">
        <v>1673</v>
      </c>
      <c r="C3137" t="s">
        <v>1674</v>
      </c>
      <c r="D3137" s="12">
        <v>46313</v>
      </c>
      <c r="E3137" s="11">
        <v>100</v>
      </c>
      <c r="F3137" s="11" t="s">
        <v>6946</v>
      </c>
      <c r="G3137">
        <v>20240701</v>
      </c>
      <c r="I3137" s="11" t="s">
        <v>63</v>
      </c>
      <c r="J3137" s="72">
        <v>70579714</v>
      </c>
      <c r="K3137" s="99">
        <f>_xlfn.XLOOKUP(_2__ROI_Daily_Update[[#This Row],[CSM id]],SHP!F:F,SHP!EE:EE,"-")</f>
        <v>0</v>
      </c>
      <c r="L3137" s="12"/>
      <c r="N3137" s="11"/>
      <c r="P3137"/>
      <c r="Q3137"/>
      <c r="W3137" s="28"/>
      <c r="AA3137"/>
    </row>
    <row r="3138" spans="1:27" x14ac:dyDescent="0.45">
      <c r="A3138" s="57">
        <v>1213</v>
      </c>
      <c r="B3138" t="s">
        <v>1795</v>
      </c>
      <c r="C3138" t="s">
        <v>1796</v>
      </c>
      <c r="D3138" s="12">
        <v>46313</v>
      </c>
      <c r="E3138" s="11">
        <v>8</v>
      </c>
      <c r="F3138" s="11" t="s">
        <v>7400</v>
      </c>
      <c r="G3138">
        <v>20240701</v>
      </c>
      <c r="I3138" s="11" t="s">
        <v>63</v>
      </c>
      <c r="J3138" s="72">
        <v>50583707</v>
      </c>
      <c r="K3138" s="99">
        <f>_xlfn.XLOOKUP(_2__ROI_Daily_Update[[#This Row],[CSM id]],SHP!F:F,SHP!EE:EE,"-")</f>
        <v>0</v>
      </c>
      <c r="L3138" s="12"/>
      <c r="N3138" s="11"/>
      <c r="P3138"/>
      <c r="Q3138"/>
      <c r="W3138" s="28"/>
      <c r="AA3138"/>
    </row>
    <row r="3139" spans="1:27" x14ac:dyDescent="0.45">
      <c r="A3139" s="57">
        <v>1211</v>
      </c>
      <c r="B3139" t="s">
        <v>1721</v>
      </c>
      <c r="C3139" t="s">
        <v>1722</v>
      </c>
      <c r="D3139" s="12">
        <v>46313</v>
      </c>
      <c r="E3139" s="11">
        <v>8</v>
      </c>
      <c r="F3139" s="11" t="s">
        <v>7415</v>
      </c>
      <c r="G3139">
        <v>20250401</v>
      </c>
      <c r="I3139" s="11" t="s">
        <v>63</v>
      </c>
      <c r="J3139" s="72">
        <v>597189</v>
      </c>
      <c r="K3139" s="99">
        <f>_xlfn.XLOOKUP(_2__ROI_Daily_Update[[#This Row],[CSM id]],SHP!F:F,SHP!EE:EE,"-")</f>
        <v>0</v>
      </c>
      <c r="L3139" s="12"/>
      <c r="N3139" s="11"/>
      <c r="P3139"/>
      <c r="Q3139"/>
      <c r="W3139" s="28"/>
      <c r="AA3139"/>
    </row>
    <row r="3140" spans="1:27" x14ac:dyDescent="0.45">
      <c r="A3140" s="57">
        <v>1133</v>
      </c>
      <c r="B3140" t="s">
        <v>5378</v>
      </c>
      <c r="C3140" t="s">
        <v>5379</v>
      </c>
      <c r="D3140" s="12">
        <v>46313</v>
      </c>
      <c r="E3140" s="11">
        <v>20</v>
      </c>
      <c r="F3140" s="11" t="s">
        <v>7420</v>
      </c>
      <c r="G3140">
        <v>20251001</v>
      </c>
      <c r="H3140" s="12">
        <v>46569</v>
      </c>
      <c r="I3140" s="11" t="s">
        <v>63</v>
      </c>
      <c r="J3140" s="72">
        <v>60613695</v>
      </c>
      <c r="K3140" s="99">
        <f>_xlfn.XLOOKUP(_2__ROI_Daily_Update[[#This Row],[CSM id]],SHP!F:F,SHP!EE:EE,"-")</f>
        <v>0</v>
      </c>
      <c r="L3140" s="12"/>
      <c r="N3140" s="11"/>
      <c r="P3140"/>
      <c r="Q3140"/>
      <c r="W3140" s="28"/>
      <c r="AA3140"/>
    </row>
    <row r="3141" spans="1:27" x14ac:dyDescent="0.45">
      <c r="A3141" s="57">
        <v>1211</v>
      </c>
      <c r="B3141" t="s">
        <v>1723</v>
      </c>
      <c r="C3141" t="s">
        <v>1724</v>
      </c>
      <c r="D3141" s="12">
        <v>46313</v>
      </c>
      <c r="E3141" s="11">
        <v>20</v>
      </c>
      <c r="F3141" s="11" t="s">
        <v>7425</v>
      </c>
      <c r="G3141">
        <v>20260401</v>
      </c>
      <c r="I3141" s="11" t="s">
        <v>63</v>
      </c>
      <c r="J3141" s="72">
        <v>627681</v>
      </c>
      <c r="K3141" s="99">
        <f>_xlfn.XLOOKUP(_2__ROI_Daily_Update[[#This Row],[CSM id]],SHP!F:F,SHP!EE:EE,"-")</f>
        <v>0</v>
      </c>
      <c r="L3141" s="12"/>
      <c r="N3141" s="11"/>
      <c r="P3141"/>
      <c r="Q3141"/>
      <c r="W3141" s="28"/>
      <c r="AA3141"/>
    </row>
    <row r="3142" spans="1:27" x14ac:dyDescent="0.45">
      <c r="A3142" s="57">
        <v>1214</v>
      </c>
      <c r="B3142" t="s">
        <v>1805</v>
      </c>
      <c r="C3142" t="s">
        <v>1806</v>
      </c>
      <c r="D3142" s="12">
        <v>46313</v>
      </c>
      <c r="E3142" s="11">
        <v>288</v>
      </c>
      <c r="F3142" s="11" t="s">
        <v>7463</v>
      </c>
      <c r="G3142">
        <v>20140801</v>
      </c>
      <c r="I3142" s="11" t="s">
        <v>63</v>
      </c>
      <c r="J3142" s="72">
        <v>20212204</v>
      </c>
      <c r="K3142" s="99">
        <f>_xlfn.XLOOKUP(_2__ROI_Daily_Update[[#This Row],[CSM id]],SHP!F:F,SHP!EE:EE,"-")</f>
        <v>0</v>
      </c>
      <c r="L3142" s="12"/>
      <c r="N3142" s="11"/>
      <c r="P3142"/>
      <c r="Q3142"/>
      <c r="W3142" s="28"/>
      <c r="AA3142"/>
    </row>
    <row r="3143" spans="1:27" x14ac:dyDescent="0.45">
      <c r="A3143" s="57">
        <v>1133</v>
      </c>
      <c r="B3143" t="s">
        <v>1699</v>
      </c>
      <c r="C3143" t="s">
        <v>1700</v>
      </c>
      <c r="D3143" s="12">
        <v>46313</v>
      </c>
      <c r="E3143" s="11">
        <v>80</v>
      </c>
      <c r="F3143" s="11" t="s">
        <v>7480</v>
      </c>
      <c r="G3143">
        <v>20251001</v>
      </c>
      <c r="I3143" s="11" t="s">
        <v>63</v>
      </c>
      <c r="J3143" s="72">
        <v>50613686</v>
      </c>
      <c r="K3143" s="99">
        <f>_xlfn.XLOOKUP(_2__ROI_Daily_Update[[#This Row],[CSM id]],SHP!F:F,SHP!EE:EE,"-")</f>
        <v>0</v>
      </c>
      <c r="L3143" s="12"/>
      <c r="N3143" s="11"/>
      <c r="P3143"/>
      <c r="Q3143"/>
      <c r="W3143" s="28"/>
      <c r="AA3143"/>
    </row>
    <row r="3144" spans="1:27" x14ac:dyDescent="0.45">
      <c r="A3144" s="57">
        <v>1213</v>
      </c>
      <c r="B3144" t="s">
        <v>6177</v>
      </c>
      <c r="C3144" t="s">
        <v>6178</v>
      </c>
      <c r="D3144" s="12">
        <v>46313</v>
      </c>
      <c r="E3144" s="11">
        <v>8</v>
      </c>
      <c r="F3144" s="11" t="s">
        <v>7463</v>
      </c>
      <c r="G3144">
        <v>20260401</v>
      </c>
      <c r="I3144" s="11" t="s">
        <v>63</v>
      </c>
      <c r="J3144" s="72">
        <v>40636565</v>
      </c>
      <c r="K3144" s="99">
        <f>_xlfn.XLOOKUP(_2__ROI_Daily_Update[[#This Row],[CSM id]],SHP!F:F,SHP!EE:EE,"-")</f>
        <v>0</v>
      </c>
      <c r="L3144" s="12"/>
      <c r="N3144" s="11"/>
      <c r="P3144"/>
      <c r="Q3144"/>
      <c r="W3144" s="28"/>
      <c r="AA3144"/>
    </row>
    <row r="3145" spans="1:27" x14ac:dyDescent="0.45">
      <c r="A3145" s="57">
        <v>1213</v>
      </c>
      <c r="B3145" t="s">
        <v>6177</v>
      </c>
      <c r="C3145" t="s">
        <v>6178</v>
      </c>
      <c r="D3145" s="12">
        <v>46313</v>
      </c>
      <c r="E3145" s="11">
        <v>4</v>
      </c>
      <c r="F3145" s="11" t="s">
        <v>7440</v>
      </c>
      <c r="G3145">
        <v>20260401</v>
      </c>
      <c r="I3145" s="11" t="s">
        <v>63</v>
      </c>
      <c r="J3145" s="72">
        <v>40636565</v>
      </c>
      <c r="K3145" s="99">
        <f>_xlfn.XLOOKUP(_2__ROI_Daily_Update[[#This Row],[CSM id]],SHP!F:F,SHP!EE:EE,"-")</f>
        <v>0</v>
      </c>
      <c r="L3145" s="12"/>
      <c r="N3145" s="11"/>
      <c r="P3145"/>
      <c r="Q3145"/>
      <c r="W3145" s="28"/>
      <c r="AA3145"/>
    </row>
    <row r="3146" spans="1:27" x14ac:dyDescent="0.45">
      <c r="A3146" s="57">
        <v>1133</v>
      </c>
      <c r="B3146" t="s">
        <v>1699</v>
      </c>
      <c r="C3146" t="s">
        <v>1700</v>
      </c>
      <c r="D3146" s="12">
        <v>46313</v>
      </c>
      <c r="E3146" s="11">
        <v>60</v>
      </c>
      <c r="F3146" s="11" t="s">
        <v>7420</v>
      </c>
      <c r="G3146">
        <v>20251001</v>
      </c>
      <c r="I3146" s="11" t="s">
        <v>63</v>
      </c>
      <c r="J3146" s="72">
        <v>50613686</v>
      </c>
      <c r="K3146" s="99">
        <f>_xlfn.XLOOKUP(_2__ROI_Daily_Update[[#This Row],[CSM id]],SHP!F:F,SHP!EE:EE,"-")</f>
        <v>0</v>
      </c>
      <c r="L3146" s="12"/>
      <c r="N3146" s="11"/>
      <c r="P3146"/>
      <c r="Q3146"/>
      <c r="W3146" s="28"/>
      <c r="AA3146"/>
    </row>
    <row r="3147" spans="1:27" x14ac:dyDescent="0.45">
      <c r="A3147" s="57">
        <v>971</v>
      </c>
      <c r="B3147" t="s">
        <v>5886</v>
      </c>
      <c r="C3147" t="s">
        <v>5887</v>
      </c>
      <c r="D3147" s="12">
        <v>46313</v>
      </c>
      <c r="E3147" s="11">
        <v>216</v>
      </c>
      <c r="F3147" s="11" t="s">
        <v>6946</v>
      </c>
      <c r="G3147">
        <v>20251001</v>
      </c>
      <c r="I3147" s="11" t="s">
        <v>63</v>
      </c>
      <c r="J3147" s="72">
        <v>20606116</v>
      </c>
      <c r="K3147" s="99">
        <f>_xlfn.XLOOKUP(_2__ROI_Daily_Update[[#This Row],[CSM id]],SHP!F:F,SHP!EE:EE,"-")</f>
        <v>0</v>
      </c>
      <c r="L3147" s="12"/>
      <c r="N3147" s="11"/>
      <c r="P3147"/>
      <c r="Q3147"/>
      <c r="W3147" s="28"/>
      <c r="AA3147"/>
    </row>
    <row r="3148" spans="1:27" x14ac:dyDescent="0.45">
      <c r="A3148" s="57">
        <v>1213</v>
      </c>
      <c r="B3148" t="s">
        <v>1793</v>
      </c>
      <c r="C3148" t="s">
        <v>1794</v>
      </c>
      <c r="D3148" s="12">
        <v>46313</v>
      </c>
      <c r="E3148" s="11">
        <v>8</v>
      </c>
      <c r="F3148" s="11" t="s">
        <v>7430</v>
      </c>
      <c r="G3148">
        <v>20260101</v>
      </c>
      <c r="I3148" s="11" t="s">
        <v>63</v>
      </c>
      <c r="J3148" s="72">
        <v>30627585</v>
      </c>
      <c r="K3148" s="99">
        <f>_xlfn.XLOOKUP(_2__ROI_Daily_Update[[#This Row],[CSM id]],SHP!F:F,SHP!EE:EE,"-")</f>
        <v>0</v>
      </c>
      <c r="L3148" s="12"/>
      <c r="N3148" s="11"/>
      <c r="P3148"/>
      <c r="Q3148"/>
      <c r="W3148" s="28"/>
      <c r="AA3148"/>
    </row>
    <row r="3149" spans="1:27" x14ac:dyDescent="0.45">
      <c r="A3149" s="57">
        <v>1211</v>
      </c>
      <c r="B3149" t="s">
        <v>7069</v>
      </c>
      <c r="C3149" t="s">
        <v>7070</v>
      </c>
      <c r="D3149" s="12">
        <v>46313</v>
      </c>
      <c r="E3149" s="11">
        <v>12</v>
      </c>
      <c r="F3149" s="11" t="s">
        <v>7475</v>
      </c>
      <c r="G3149">
        <v>20261001</v>
      </c>
      <c r="I3149" s="11" t="s">
        <v>63</v>
      </c>
      <c r="J3149" s="72">
        <v>641093</v>
      </c>
      <c r="K3149" s="99">
        <f>_xlfn.XLOOKUP(_2__ROI_Daily_Update[[#This Row],[CSM id]],SHP!F:F,SHP!EE:EE,"-")</f>
        <v>0</v>
      </c>
      <c r="L3149" s="12"/>
      <c r="N3149" s="11"/>
      <c r="P3149"/>
      <c r="Q3149"/>
      <c r="W3149" s="28"/>
      <c r="AA3149"/>
    </row>
    <row r="3150" spans="1:27" x14ac:dyDescent="0.45">
      <c r="A3150" s="57">
        <v>1211</v>
      </c>
      <c r="B3150" t="s">
        <v>6267</v>
      </c>
      <c r="C3150" t="s">
        <v>6268</v>
      </c>
      <c r="D3150" s="12">
        <v>46313</v>
      </c>
      <c r="E3150" s="11">
        <v>7</v>
      </c>
      <c r="F3150" s="11" t="s">
        <v>7440</v>
      </c>
      <c r="G3150">
        <v>20141001</v>
      </c>
      <c r="I3150" s="11" t="s">
        <v>63</v>
      </c>
      <c r="J3150" s="72">
        <v>10291287</v>
      </c>
      <c r="K3150" s="99">
        <f>_xlfn.XLOOKUP(_2__ROI_Daily_Update[[#This Row],[CSM id]],SHP!F:F,SHP!EE:EE,"-")</f>
        <v>0</v>
      </c>
      <c r="L3150" s="12"/>
      <c r="N3150" s="11"/>
      <c r="P3150"/>
      <c r="Q3150"/>
      <c r="W3150" s="28"/>
      <c r="AA3150"/>
    </row>
    <row r="3151" spans="1:27" x14ac:dyDescent="0.45">
      <c r="A3151" s="57">
        <v>1214</v>
      </c>
      <c r="B3151" t="s">
        <v>5707</v>
      </c>
      <c r="C3151" t="s">
        <v>5708</v>
      </c>
      <c r="D3151" s="12">
        <v>46313</v>
      </c>
      <c r="E3151" s="11">
        <v>200</v>
      </c>
      <c r="F3151" s="11" t="s">
        <v>7400</v>
      </c>
      <c r="G3151">
        <v>20140801</v>
      </c>
      <c r="H3151" s="12">
        <v>46478</v>
      </c>
      <c r="I3151" s="11" t="s">
        <v>63</v>
      </c>
      <c r="J3151" s="72">
        <v>20224099</v>
      </c>
      <c r="K3151" s="99">
        <f>_xlfn.XLOOKUP(_2__ROI_Daily_Update[[#This Row],[CSM id]],SHP!F:F,SHP!EE:EE,"-")</f>
        <v>0</v>
      </c>
      <c r="L3151" s="12"/>
      <c r="N3151" s="11"/>
      <c r="P3151"/>
      <c r="Q3151"/>
      <c r="W3151" s="28"/>
      <c r="AA3151"/>
    </row>
    <row r="3152" spans="1:27" x14ac:dyDescent="0.45">
      <c r="A3152" s="57">
        <v>967</v>
      </c>
      <c r="B3152" t="s">
        <v>798</v>
      </c>
      <c r="C3152" t="s">
        <v>799</v>
      </c>
      <c r="D3152" s="12">
        <v>46313</v>
      </c>
      <c r="E3152" s="11">
        <v>240</v>
      </c>
      <c r="F3152" s="11" t="s">
        <v>6940</v>
      </c>
      <c r="G3152">
        <v>20260701</v>
      </c>
      <c r="I3152" s="11" t="s">
        <v>63</v>
      </c>
      <c r="J3152" s="72">
        <v>30465093</v>
      </c>
      <c r="K3152" s="99">
        <f>_xlfn.XLOOKUP(_2__ROI_Daily_Update[[#This Row],[CSM id]],SHP!F:F,SHP!EE:EE,"-")</f>
        <v>0</v>
      </c>
      <c r="L3152" s="12"/>
      <c r="N3152" s="11"/>
      <c r="P3152"/>
      <c r="Q3152"/>
      <c r="W3152" s="28"/>
      <c r="AA3152"/>
    </row>
    <row r="3153" spans="1:27" x14ac:dyDescent="0.45">
      <c r="A3153" s="57">
        <v>1133</v>
      </c>
      <c r="B3153" t="s">
        <v>1695</v>
      </c>
      <c r="C3153" t="s">
        <v>1696</v>
      </c>
      <c r="D3153" s="12">
        <v>46313</v>
      </c>
      <c r="E3153" s="11">
        <v>40</v>
      </c>
      <c r="F3153" s="11" t="s">
        <v>7400</v>
      </c>
      <c r="G3153">
        <v>20210701</v>
      </c>
      <c r="H3153" s="12">
        <v>46569</v>
      </c>
      <c r="I3153" s="11" t="s">
        <v>63</v>
      </c>
      <c r="J3153" s="72">
        <v>40496758</v>
      </c>
      <c r="K3153" s="99">
        <f>_xlfn.XLOOKUP(_2__ROI_Daily_Update[[#This Row],[CSM id]],SHP!F:F,SHP!EE:EE,"-")</f>
        <v>0</v>
      </c>
      <c r="L3153" s="12"/>
      <c r="N3153" s="11"/>
      <c r="P3153"/>
      <c r="Q3153"/>
      <c r="W3153" s="28"/>
      <c r="AA3153"/>
    </row>
    <row r="3154" spans="1:27" x14ac:dyDescent="0.45">
      <c r="A3154" s="57">
        <v>971</v>
      </c>
      <c r="B3154" t="s">
        <v>829</v>
      </c>
      <c r="C3154" t="s">
        <v>830</v>
      </c>
      <c r="D3154" s="12">
        <v>46313</v>
      </c>
      <c r="E3154" s="11">
        <v>304</v>
      </c>
      <c r="F3154" s="11" t="s">
        <v>7400</v>
      </c>
      <c r="G3154">
        <v>20261001</v>
      </c>
      <c r="I3154" s="11" t="s">
        <v>63</v>
      </c>
      <c r="J3154" s="72">
        <v>20620626</v>
      </c>
      <c r="K3154" s="99">
        <f>_xlfn.XLOOKUP(_2__ROI_Daily_Update[[#This Row],[CSM id]],SHP!F:F,SHP!EE:EE,"-")</f>
        <v>0</v>
      </c>
      <c r="L3154" s="12"/>
      <c r="N3154" s="11"/>
      <c r="P3154"/>
      <c r="Q3154"/>
      <c r="W3154" s="28"/>
      <c r="AA3154"/>
    </row>
    <row r="3155" spans="1:27" x14ac:dyDescent="0.45">
      <c r="A3155" s="57">
        <v>967</v>
      </c>
      <c r="B3155" t="s">
        <v>796</v>
      </c>
      <c r="C3155" t="s">
        <v>797</v>
      </c>
      <c r="D3155" s="12">
        <v>46313</v>
      </c>
      <c r="E3155" s="11">
        <v>8</v>
      </c>
      <c r="F3155" s="11" t="s">
        <v>6940</v>
      </c>
      <c r="G3155">
        <v>20140801</v>
      </c>
      <c r="I3155" s="11" t="s">
        <v>63</v>
      </c>
      <c r="J3155" s="72">
        <v>30251799</v>
      </c>
      <c r="K3155" s="99">
        <f>_xlfn.XLOOKUP(_2__ROI_Daily_Update[[#This Row],[CSM id]],SHP!F:F,SHP!EE:EE,"-")</f>
        <v>0</v>
      </c>
      <c r="L3155" s="12"/>
      <c r="N3155" s="11"/>
      <c r="P3155"/>
      <c r="Q3155"/>
      <c r="W3155" s="28"/>
      <c r="AA3155"/>
    </row>
    <row r="3156" spans="1:27" x14ac:dyDescent="0.45">
      <c r="A3156" s="57">
        <v>1133</v>
      </c>
      <c r="B3156" t="s">
        <v>7071</v>
      </c>
      <c r="C3156" t="s">
        <v>7072</v>
      </c>
      <c r="D3156" s="12">
        <v>46313</v>
      </c>
      <c r="E3156" s="11">
        <v>120</v>
      </c>
      <c r="F3156" s="11" t="s">
        <v>7480</v>
      </c>
      <c r="G3156">
        <v>20260701</v>
      </c>
      <c r="I3156" s="11" t="s">
        <v>63</v>
      </c>
      <c r="J3156" s="72">
        <v>30626388</v>
      </c>
      <c r="K3156" s="99">
        <f>_xlfn.XLOOKUP(_2__ROI_Daily_Update[[#This Row],[CSM id]],SHP!F:F,SHP!EE:EE,"-")</f>
        <v>0</v>
      </c>
      <c r="L3156" s="12"/>
      <c r="N3156" s="11"/>
      <c r="P3156"/>
      <c r="Q3156"/>
      <c r="W3156" s="28"/>
      <c r="AA3156"/>
    </row>
    <row r="3157" spans="1:27" x14ac:dyDescent="0.45">
      <c r="A3157" s="57">
        <v>1214</v>
      </c>
      <c r="B3157" t="s">
        <v>1807</v>
      </c>
      <c r="C3157" t="s">
        <v>1808</v>
      </c>
      <c r="D3157" s="12">
        <v>46313</v>
      </c>
      <c r="E3157" s="11">
        <v>96</v>
      </c>
      <c r="F3157" s="11" t="s">
        <v>7440</v>
      </c>
      <c r="G3157">
        <v>20210401</v>
      </c>
      <c r="I3157" s="11" t="s">
        <v>63</v>
      </c>
      <c r="J3157" s="72">
        <v>20489532</v>
      </c>
      <c r="K3157" s="99">
        <f>_xlfn.XLOOKUP(_2__ROI_Daily_Update[[#This Row],[CSM id]],SHP!F:F,SHP!EE:EE,"-")</f>
        <v>0</v>
      </c>
      <c r="L3157" s="12"/>
      <c r="N3157" s="11"/>
      <c r="P3157"/>
      <c r="Q3157"/>
      <c r="W3157" s="28"/>
      <c r="AA3157"/>
    </row>
    <row r="3158" spans="1:27" x14ac:dyDescent="0.45">
      <c r="A3158" s="57">
        <v>1133</v>
      </c>
      <c r="B3158" t="s">
        <v>1697</v>
      </c>
      <c r="C3158" t="s">
        <v>1698</v>
      </c>
      <c r="D3158" s="12">
        <v>46313</v>
      </c>
      <c r="E3158" s="11">
        <v>48</v>
      </c>
      <c r="F3158" s="11" t="s">
        <v>6946</v>
      </c>
      <c r="G3158">
        <v>20260401</v>
      </c>
      <c r="I3158" s="11" t="s">
        <v>63</v>
      </c>
      <c r="J3158" s="72">
        <v>40623167</v>
      </c>
      <c r="K3158" s="99">
        <f>_xlfn.XLOOKUP(_2__ROI_Daily_Update[[#This Row],[CSM id]],SHP!F:F,SHP!EE:EE,"-")</f>
        <v>0</v>
      </c>
      <c r="L3158" s="12"/>
      <c r="N3158" s="11"/>
      <c r="P3158"/>
      <c r="Q3158"/>
      <c r="W3158" s="28"/>
      <c r="AA3158"/>
    </row>
    <row r="3159" spans="1:27" x14ac:dyDescent="0.45">
      <c r="A3159" s="57">
        <v>1133</v>
      </c>
      <c r="B3159" t="s">
        <v>5923</v>
      </c>
      <c r="C3159" t="s">
        <v>5924</v>
      </c>
      <c r="D3159" s="12">
        <v>46313</v>
      </c>
      <c r="E3159" s="11">
        <v>40</v>
      </c>
      <c r="F3159" s="11" t="s">
        <v>6946</v>
      </c>
      <c r="G3159">
        <v>20260701</v>
      </c>
      <c r="I3159" s="11" t="s">
        <v>63</v>
      </c>
      <c r="J3159" s="72">
        <v>70649665</v>
      </c>
      <c r="K3159" s="99">
        <f>_xlfn.XLOOKUP(_2__ROI_Daily_Update[[#This Row],[CSM id]],SHP!F:F,SHP!EE:EE,"-")</f>
        <v>0</v>
      </c>
      <c r="L3159" s="12"/>
      <c r="N3159" s="11"/>
      <c r="P3159"/>
      <c r="Q3159"/>
      <c r="W3159" s="28"/>
      <c r="AA3159"/>
    </row>
    <row r="3160" spans="1:27" x14ac:dyDescent="0.45">
      <c r="A3160" s="57">
        <v>1214</v>
      </c>
      <c r="B3160" t="s">
        <v>1805</v>
      </c>
      <c r="C3160" t="s">
        <v>1806</v>
      </c>
      <c r="D3160" s="12">
        <v>46313</v>
      </c>
      <c r="E3160" s="11">
        <v>240</v>
      </c>
      <c r="F3160" s="11" t="s">
        <v>7430</v>
      </c>
      <c r="G3160">
        <v>20140801</v>
      </c>
      <c r="I3160" s="11" t="s">
        <v>63</v>
      </c>
      <c r="J3160" s="72">
        <v>20212204</v>
      </c>
      <c r="K3160" s="99">
        <f>_xlfn.XLOOKUP(_2__ROI_Daily_Update[[#This Row],[CSM id]],SHP!F:F,SHP!EE:EE,"-")</f>
        <v>0</v>
      </c>
      <c r="L3160" s="12"/>
      <c r="N3160" s="11"/>
      <c r="P3160"/>
      <c r="Q3160"/>
      <c r="W3160" s="28"/>
      <c r="AA3160"/>
    </row>
    <row r="3161" spans="1:27" x14ac:dyDescent="0.45">
      <c r="A3161" s="57">
        <v>1214</v>
      </c>
      <c r="B3161" t="s">
        <v>5709</v>
      </c>
      <c r="C3161" t="s">
        <v>5710</v>
      </c>
      <c r="D3161" s="12">
        <v>46313</v>
      </c>
      <c r="E3161" s="11">
        <v>10</v>
      </c>
      <c r="F3161" s="11" t="s">
        <v>7463</v>
      </c>
      <c r="G3161">
        <v>20210401</v>
      </c>
      <c r="H3161" s="12">
        <v>46478</v>
      </c>
      <c r="I3161" s="11" t="s">
        <v>63</v>
      </c>
      <c r="J3161" s="72">
        <v>10489684</v>
      </c>
      <c r="K3161" s="99">
        <f>_xlfn.XLOOKUP(_2__ROI_Daily_Update[[#This Row],[CSM id]],SHP!F:F,SHP!EE:EE,"-")</f>
        <v>0</v>
      </c>
      <c r="L3161" s="12"/>
      <c r="N3161" s="11"/>
      <c r="P3161"/>
      <c r="Q3161"/>
      <c r="W3161" s="28"/>
      <c r="AA3161"/>
    </row>
    <row r="3162" spans="1:27" x14ac:dyDescent="0.45">
      <c r="A3162" s="57">
        <v>1213</v>
      </c>
      <c r="B3162" t="s">
        <v>5456</v>
      </c>
      <c r="C3162" t="s">
        <v>5457</v>
      </c>
      <c r="D3162" s="12">
        <v>46313</v>
      </c>
      <c r="E3162" s="11">
        <v>6</v>
      </c>
      <c r="F3162" s="11" t="s">
        <v>7410</v>
      </c>
      <c r="G3162">
        <v>20260401</v>
      </c>
      <c r="I3162" s="11" t="s">
        <v>63</v>
      </c>
      <c r="J3162" s="72">
        <v>70636564</v>
      </c>
      <c r="K3162" s="99">
        <f>_xlfn.XLOOKUP(_2__ROI_Daily_Update[[#This Row],[CSM id]],SHP!F:F,SHP!EE:EE,"-")</f>
        <v>0</v>
      </c>
      <c r="L3162" s="12"/>
      <c r="N3162" s="11"/>
      <c r="P3162"/>
      <c r="Q3162"/>
      <c r="W3162" s="28"/>
      <c r="AA3162"/>
    </row>
    <row r="3163" spans="1:27" x14ac:dyDescent="0.45">
      <c r="A3163" s="57">
        <v>1833</v>
      </c>
      <c r="B3163" t="s">
        <v>6576</v>
      </c>
      <c r="C3163" t="s">
        <v>6577</v>
      </c>
      <c r="D3163" s="12">
        <v>46313</v>
      </c>
      <c r="E3163" s="11">
        <v>150</v>
      </c>
      <c r="F3163" s="11" t="s">
        <v>7463</v>
      </c>
      <c r="G3163">
        <v>20240101</v>
      </c>
      <c r="I3163" s="11" t="s">
        <v>63</v>
      </c>
      <c r="J3163" s="72">
        <v>10567771</v>
      </c>
      <c r="K3163" s="99">
        <f>_xlfn.XLOOKUP(_2__ROI_Daily_Update[[#This Row],[CSM id]],SHP!F:F,SHP!EE:EE,"-")</f>
        <v>0</v>
      </c>
      <c r="L3163" s="12"/>
      <c r="N3163" s="11"/>
      <c r="P3163"/>
      <c r="Q3163"/>
      <c r="W3163" s="28"/>
      <c r="AA3163"/>
    </row>
    <row r="3164" spans="1:27" x14ac:dyDescent="0.45">
      <c r="A3164" s="57">
        <v>1135</v>
      </c>
      <c r="B3164" t="s">
        <v>6355</v>
      </c>
      <c r="C3164" t="s">
        <v>6356</v>
      </c>
      <c r="D3164" s="12">
        <v>46313</v>
      </c>
      <c r="E3164" s="11">
        <v>65</v>
      </c>
      <c r="F3164" s="11" t="s">
        <v>7453</v>
      </c>
      <c r="G3164">
        <v>20220101</v>
      </c>
      <c r="I3164" s="11" t="s">
        <v>63</v>
      </c>
      <c r="J3164" s="72">
        <v>60512984</v>
      </c>
      <c r="K3164" s="99">
        <f>_xlfn.XLOOKUP(_2__ROI_Daily_Update[[#This Row],[CSM id]],SHP!F:F,SHP!EE:EE,"-")</f>
        <v>0</v>
      </c>
      <c r="L3164" s="12"/>
      <c r="N3164" s="11"/>
      <c r="P3164"/>
      <c r="Q3164"/>
      <c r="W3164" s="28"/>
      <c r="AA3164"/>
    </row>
    <row r="3165" spans="1:27" x14ac:dyDescent="0.45">
      <c r="A3165" s="57">
        <v>1135</v>
      </c>
      <c r="B3165" t="s">
        <v>1711</v>
      </c>
      <c r="C3165" t="s">
        <v>1712</v>
      </c>
      <c r="D3165" s="12">
        <v>46313</v>
      </c>
      <c r="E3165" s="11">
        <v>46</v>
      </c>
      <c r="F3165" s="11" t="s">
        <v>7410</v>
      </c>
      <c r="G3165">
        <v>20261001</v>
      </c>
      <c r="H3165" s="12">
        <v>46388</v>
      </c>
      <c r="I3165" s="11" t="s">
        <v>63</v>
      </c>
      <c r="J3165" s="72">
        <v>30633685</v>
      </c>
      <c r="K3165" s="99">
        <f>_xlfn.XLOOKUP(_2__ROI_Daily_Update[[#This Row],[CSM id]],SHP!F:F,SHP!EE:EE,"-")</f>
        <v>0</v>
      </c>
      <c r="L3165" s="12"/>
      <c r="N3165" s="11"/>
      <c r="P3165"/>
      <c r="Q3165"/>
      <c r="W3165" s="28"/>
      <c r="AA3165"/>
    </row>
    <row r="3166" spans="1:27" x14ac:dyDescent="0.45">
      <c r="A3166" s="57">
        <v>1135</v>
      </c>
      <c r="B3166" t="s">
        <v>6443</v>
      </c>
      <c r="C3166" t="s">
        <v>6444</v>
      </c>
      <c r="D3166" s="12">
        <v>46313</v>
      </c>
      <c r="E3166" s="11">
        <v>38</v>
      </c>
      <c r="F3166" s="11" t="s">
        <v>7453</v>
      </c>
      <c r="G3166">
        <v>20261001</v>
      </c>
      <c r="H3166" s="12">
        <v>46388</v>
      </c>
      <c r="I3166" s="11" t="s">
        <v>63</v>
      </c>
      <c r="J3166" s="72">
        <v>20633681</v>
      </c>
      <c r="K3166" s="99">
        <f>_xlfn.XLOOKUP(_2__ROI_Daily_Update[[#This Row],[CSM id]],SHP!F:F,SHP!EE:EE,"-")</f>
        <v>0</v>
      </c>
      <c r="L3166" s="12"/>
      <c r="N3166" s="11"/>
      <c r="P3166"/>
      <c r="Q3166"/>
      <c r="W3166" s="28"/>
      <c r="AA3166"/>
    </row>
    <row r="3167" spans="1:27" x14ac:dyDescent="0.45">
      <c r="A3167" s="57">
        <v>1213</v>
      </c>
      <c r="B3167" t="s">
        <v>1801</v>
      </c>
      <c r="C3167" t="s">
        <v>1802</v>
      </c>
      <c r="D3167" s="12">
        <v>46313</v>
      </c>
      <c r="E3167" s="11">
        <v>10</v>
      </c>
      <c r="F3167" s="11" t="s">
        <v>7400</v>
      </c>
      <c r="G3167">
        <v>20210201</v>
      </c>
      <c r="I3167" s="11" t="s">
        <v>63</v>
      </c>
      <c r="J3167" s="72">
        <v>80469786</v>
      </c>
      <c r="K3167" s="99">
        <f>_xlfn.XLOOKUP(_2__ROI_Daily_Update[[#This Row],[CSM id]],SHP!F:F,SHP!EE:EE,"-")</f>
        <v>0</v>
      </c>
      <c r="L3167" s="12"/>
      <c r="N3167" s="11"/>
      <c r="P3167"/>
      <c r="Q3167"/>
      <c r="W3167" s="28"/>
      <c r="AA3167"/>
    </row>
    <row r="3168" spans="1:27" x14ac:dyDescent="0.45">
      <c r="A3168" s="57">
        <v>1213</v>
      </c>
      <c r="B3168" t="s">
        <v>7031</v>
      </c>
      <c r="C3168" t="s">
        <v>7032</v>
      </c>
      <c r="D3168" s="12">
        <v>46313</v>
      </c>
      <c r="E3168" s="11">
        <v>8</v>
      </c>
      <c r="F3168" s="11" t="s">
        <v>7480</v>
      </c>
      <c r="G3168">
        <v>20240701</v>
      </c>
      <c r="I3168" s="11" t="s">
        <v>63</v>
      </c>
      <c r="J3168" s="72">
        <v>90583710</v>
      </c>
      <c r="K3168" s="99">
        <f>_xlfn.XLOOKUP(_2__ROI_Daily_Update[[#This Row],[CSM id]],SHP!F:F,SHP!EE:EE,"-")</f>
        <v>0</v>
      </c>
      <c r="L3168" s="12"/>
      <c r="N3168" s="11"/>
      <c r="P3168"/>
      <c r="Q3168"/>
      <c r="W3168" s="28"/>
      <c r="AA3168"/>
    </row>
    <row r="3169" spans="1:27" x14ac:dyDescent="0.45">
      <c r="A3169" s="57">
        <v>1213</v>
      </c>
      <c r="B3169" t="s">
        <v>5292</v>
      </c>
      <c r="C3169" t="s">
        <v>5293</v>
      </c>
      <c r="D3169" s="12">
        <v>46313</v>
      </c>
      <c r="E3169" s="11">
        <v>10</v>
      </c>
      <c r="F3169" s="11" t="s">
        <v>7420</v>
      </c>
      <c r="G3169">
        <v>20240401</v>
      </c>
      <c r="H3169" s="12">
        <v>46388</v>
      </c>
      <c r="I3169" s="11" t="s">
        <v>63</v>
      </c>
      <c r="J3169" s="72">
        <v>90584620</v>
      </c>
      <c r="K3169" s="99">
        <f>_xlfn.XLOOKUP(_2__ROI_Daily_Update[[#This Row],[CSM id]],SHP!F:F,SHP!EE:EE,"-")</f>
        <v>0</v>
      </c>
      <c r="L3169" s="12"/>
      <c r="N3169" s="11"/>
      <c r="P3169"/>
      <c r="Q3169"/>
      <c r="W3169" s="28"/>
      <c r="AA3169"/>
    </row>
    <row r="3170" spans="1:27" x14ac:dyDescent="0.45">
      <c r="A3170" s="57">
        <v>1135</v>
      </c>
      <c r="B3170" t="s">
        <v>1709</v>
      </c>
      <c r="C3170" t="s">
        <v>1710</v>
      </c>
      <c r="D3170" s="12">
        <v>46313</v>
      </c>
      <c r="E3170" s="11">
        <v>56</v>
      </c>
      <c r="F3170" s="11" t="s">
        <v>7440</v>
      </c>
      <c r="G3170">
        <v>20261001</v>
      </c>
      <c r="I3170" s="11" t="s">
        <v>63</v>
      </c>
      <c r="J3170" s="72">
        <v>10636717</v>
      </c>
      <c r="K3170" s="99">
        <f>_xlfn.XLOOKUP(_2__ROI_Daily_Update[[#This Row],[CSM id]],SHP!F:F,SHP!EE:EE,"-")</f>
        <v>0</v>
      </c>
      <c r="L3170" s="12"/>
      <c r="N3170" s="11"/>
      <c r="P3170"/>
      <c r="Q3170"/>
      <c r="W3170" s="28"/>
      <c r="AA3170"/>
    </row>
    <row r="3171" spans="1:27" x14ac:dyDescent="0.45">
      <c r="A3171" s="57">
        <v>1211</v>
      </c>
      <c r="B3171" t="s">
        <v>1719</v>
      </c>
      <c r="C3171" t="s">
        <v>1720</v>
      </c>
      <c r="D3171" s="12">
        <v>46313</v>
      </c>
      <c r="E3171" s="11">
        <v>8</v>
      </c>
      <c r="F3171" s="11" t="s">
        <v>7430</v>
      </c>
      <c r="G3171">
        <v>20241001</v>
      </c>
      <c r="I3171" s="11" t="s">
        <v>63</v>
      </c>
      <c r="J3171" s="72">
        <v>586015</v>
      </c>
      <c r="K3171" s="99">
        <f>_xlfn.XLOOKUP(_2__ROI_Daily_Update[[#This Row],[CSM id]],SHP!F:F,SHP!EE:EE,"-")</f>
        <v>0</v>
      </c>
      <c r="L3171" s="12"/>
      <c r="N3171" s="11"/>
      <c r="P3171"/>
      <c r="Q3171"/>
      <c r="W3171" s="28"/>
      <c r="AA3171"/>
    </row>
    <row r="3172" spans="1:27" x14ac:dyDescent="0.45">
      <c r="A3172" s="57">
        <v>1214</v>
      </c>
      <c r="B3172" t="s">
        <v>6241</v>
      </c>
      <c r="C3172" t="s">
        <v>6242</v>
      </c>
      <c r="D3172" s="12">
        <v>46313</v>
      </c>
      <c r="E3172" s="11">
        <v>190</v>
      </c>
      <c r="F3172" s="11" t="s">
        <v>7440</v>
      </c>
      <c r="G3172">
        <v>20211001</v>
      </c>
      <c r="H3172" s="12">
        <v>46569</v>
      </c>
      <c r="I3172" s="11" t="s">
        <v>63</v>
      </c>
      <c r="J3172" s="72">
        <v>483003</v>
      </c>
      <c r="K3172" s="99">
        <f>_xlfn.XLOOKUP(_2__ROI_Daily_Update[[#This Row],[CSM id]],SHP!F:F,SHP!EE:EE,"-")</f>
        <v>0</v>
      </c>
      <c r="L3172" s="12"/>
      <c r="N3172" s="11"/>
      <c r="P3172"/>
      <c r="Q3172"/>
      <c r="W3172" s="28"/>
      <c r="AA3172"/>
    </row>
    <row r="3173" spans="1:27" x14ac:dyDescent="0.45">
      <c r="A3173" s="57">
        <v>1214</v>
      </c>
      <c r="B3173" t="s">
        <v>1803</v>
      </c>
      <c r="C3173" t="s">
        <v>1804</v>
      </c>
      <c r="D3173" s="12">
        <v>46313</v>
      </c>
      <c r="E3173" s="11">
        <v>112</v>
      </c>
      <c r="F3173" s="11" t="s">
        <v>7425</v>
      </c>
      <c r="G3173">
        <v>20140801</v>
      </c>
      <c r="I3173" s="11" t="s">
        <v>63</v>
      </c>
      <c r="J3173" s="72">
        <v>10183216</v>
      </c>
      <c r="K3173" s="99">
        <f>_xlfn.XLOOKUP(_2__ROI_Daily_Update[[#This Row],[CSM id]],SHP!F:F,SHP!EE:EE,"-")</f>
        <v>0</v>
      </c>
      <c r="L3173" s="12"/>
      <c r="N3173" s="11"/>
      <c r="P3173"/>
      <c r="Q3173"/>
      <c r="W3173" s="28"/>
      <c r="AA3173"/>
    </row>
    <row r="3174" spans="1:27" x14ac:dyDescent="0.45">
      <c r="A3174" s="57">
        <v>1214</v>
      </c>
      <c r="B3174" t="s">
        <v>5709</v>
      </c>
      <c r="C3174" t="s">
        <v>5710</v>
      </c>
      <c r="D3174" s="12">
        <v>46313</v>
      </c>
      <c r="E3174" s="11">
        <v>10</v>
      </c>
      <c r="F3174" s="11" t="s">
        <v>7400</v>
      </c>
      <c r="G3174">
        <v>20210401</v>
      </c>
      <c r="H3174" s="12">
        <v>46478</v>
      </c>
      <c r="I3174" s="11" t="s">
        <v>63</v>
      </c>
      <c r="J3174" s="72">
        <v>10489684</v>
      </c>
      <c r="K3174" s="99">
        <f>_xlfn.XLOOKUP(_2__ROI_Daily_Update[[#This Row],[CSM id]],SHP!F:F,SHP!EE:EE,"-")</f>
        <v>0</v>
      </c>
      <c r="L3174" s="12"/>
      <c r="N3174" s="11"/>
      <c r="P3174"/>
      <c r="Q3174"/>
      <c r="W3174" s="28"/>
      <c r="AA3174"/>
    </row>
    <row r="3175" spans="1:27" x14ac:dyDescent="0.45">
      <c r="A3175" s="57">
        <v>1213</v>
      </c>
      <c r="B3175" t="s">
        <v>5360</v>
      </c>
      <c r="C3175" t="s">
        <v>5361</v>
      </c>
      <c r="D3175" s="12">
        <v>46313</v>
      </c>
      <c r="E3175" s="11">
        <v>42</v>
      </c>
      <c r="F3175" s="11" t="s">
        <v>7420</v>
      </c>
      <c r="G3175">
        <v>20150401</v>
      </c>
      <c r="I3175" s="11" t="s">
        <v>63</v>
      </c>
      <c r="J3175" s="72">
        <v>60290624</v>
      </c>
      <c r="K3175" s="99">
        <f>_xlfn.XLOOKUP(_2__ROI_Daily_Update[[#This Row],[CSM id]],SHP!F:F,SHP!EE:EE,"-")</f>
        <v>0</v>
      </c>
      <c r="L3175" s="12"/>
      <c r="N3175" s="11"/>
      <c r="P3175"/>
      <c r="Q3175"/>
      <c r="W3175" s="28"/>
      <c r="AA3175"/>
    </row>
    <row r="3176" spans="1:27" x14ac:dyDescent="0.45">
      <c r="A3176" s="57">
        <v>1211</v>
      </c>
      <c r="B3176" t="s">
        <v>1719</v>
      </c>
      <c r="C3176" t="s">
        <v>1720</v>
      </c>
      <c r="D3176" s="12">
        <v>46313</v>
      </c>
      <c r="E3176" s="11">
        <v>4</v>
      </c>
      <c r="F3176" s="11" t="s">
        <v>7463</v>
      </c>
      <c r="G3176">
        <v>20241001</v>
      </c>
      <c r="I3176" s="11" t="s">
        <v>63</v>
      </c>
      <c r="J3176" s="72">
        <v>586015</v>
      </c>
      <c r="K3176" s="99">
        <f>_xlfn.XLOOKUP(_2__ROI_Daily_Update[[#This Row],[CSM id]],SHP!F:F,SHP!EE:EE,"-")</f>
        <v>0</v>
      </c>
      <c r="L3176" s="12"/>
      <c r="N3176" s="11"/>
      <c r="P3176"/>
      <c r="Q3176"/>
      <c r="W3176" s="28"/>
      <c r="AA3176"/>
    </row>
    <row r="3177" spans="1:27" x14ac:dyDescent="0.45">
      <c r="A3177" s="57">
        <v>971</v>
      </c>
      <c r="B3177" t="s">
        <v>5884</v>
      </c>
      <c r="C3177" t="s">
        <v>5885</v>
      </c>
      <c r="D3177" s="12">
        <v>46313</v>
      </c>
      <c r="E3177" s="11">
        <v>108</v>
      </c>
      <c r="F3177" s="11" t="s">
        <v>6946</v>
      </c>
      <c r="G3177">
        <v>20251001</v>
      </c>
      <c r="I3177" s="11" t="s">
        <v>63</v>
      </c>
      <c r="J3177" s="72">
        <v>20606098</v>
      </c>
      <c r="K3177" s="99">
        <f>_xlfn.XLOOKUP(_2__ROI_Daily_Update[[#This Row],[CSM id]],SHP!F:F,SHP!EE:EE,"-")</f>
        <v>0</v>
      </c>
      <c r="L3177" s="12"/>
      <c r="N3177" s="11"/>
      <c r="P3177"/>
      <c r="Q3177"/>
      <c r="W3177" s="28"/>
      <c r="AA3177"/>
    </row>
    <row r="3178" spans="1:27" x14ac:dyDescent="0.45">
      <c r="A3178" s="57">
        <v>1211</v>
      </c>
      <c r="B3178" t="s">
        <v>1719</v>
      </c>
      <c r="C3178" t="s">
        <v>1720</v>
      </c>
      <c r="D3178" s="12">
        <v>46313</v>
      </c>
      <c r="E3178" s="11">
        <v>12</v>
      </c>
      <c r="F3178" s="11" t="s">
        <v>7480</v>
      </c>
      <c r="G3178">
        <v>20241001</v>
      </c>
      <c r="I3178" s="11" t="s">
        <v>63</v>
      </c>
      <c r="J3178" s="72">
        <v>586015</v>
      </c>
      <c r="K3178" s="99">
        <f>_xlfn.XLOOKUP(_2__ROI_Daily_Update[[#This Row],[CSM id]],SHP!F:F,SHP!EE:EE,"-")</f>
        <v>0</v>
      </c>
      <c r="L3178" s="12"/>
      <c r="N3178" s="11"/>
      <c r="P3178"/>
      <c r="Q3178"/>
      <c r="W3178" s="28"/>
      <c r="AA3178"/>
    </row>
    <row r="3179" spans="1:27" x14ac:dyDescent="0.45">
      <c r="A3179" s="57">
        <v>1133</v>
      </c>
      <c r="B3179" t="s">
        <v>1705</v>
      </c>
      <c r="C3179" t="s">
        <v>1706</v>
      </c>
      <c r="D3179" s="12">
        <v>46313</v>
      </c>
      <c r="E3179" s="11">
        <v>60</v>
      </c>
      <c r="F3179" s="11" t="s">
        <v>7400</v>
      </c>
      <c r="G3179">
        <v>20160801</v>
      </c>
      <c r="I3179" s="11" t="s">
        <v>63</v>
      </c>
      <c r="J3179" s="72">
        <v>90306020</v>
      </c>
      <c r="K3179" s="99">
        <f>_xlfn.XLOOKUP(_2__ROI_Daily_Update[[#This Row],[CSM id]],SHP!F:F,SHP!EE:EE,"-")</f>
        <v>0</v>
      </c>
      <c r="L3179" s="12"/>
      <c r="N3179" s="11"/>
      <c r="P3179"/>
      <c r="Q3179"/>
      <c r="W3179" s="28"/>
      <c r="AA3179"/>
    </row>
    <row r="3180" spans="1:27" x14ac:dyDescent="0.45">
      <c r="A3180" s="57">
        <v>1133</v>
      </c>
      <c r="B3180" t="s">
        <v>1705</v>
      </c>
      <c r="C3180" t="s">
        <v>1706</v>
      </c>
      <c r="D3180" s="12">
        <v>46313</v>
      </c>
      <c r="E3180" s="11">
        <v>20</v>
      </c>
      <c r="F3180" s="11" t="s">
        <v>7410</v>
      </c>
      <c r="G3180">
        <v>20160801</v>
      </c>
      <c r="I3180" s="11" t="s">
        <v>63</v>
      </c>
      <c r="J3180" s="72">
        <v>90306020</v>
      </c>
      <c r="K3180" s="99">
        <f>_xlfn.XLOOKUP(_2__ROI_Daily_Update[[#This Row],[CSM id]],SHP!F:F,SHP!EE:EE,"-")</f>
        <v>0</v>
      </c>
      <c r="L3180" s="12"/>
      <c r="N3180" s="11"/>
      <c r="P3180"/>
      <c r="Q3180"/>
      <c r="W3180" s="28"/>
      <c r="AA3180"/>
    </row>
    <row r="3181" spans="1:27" x14ac:dyDescent="0.45">
      <c r="A3181" s="57">
        <v>1133</v>
      </c>
      <c r="B3181" t="s">
        <v>1703</v>
      </c>
      <c r="C3181" t="s">
        <v>1704</v>
      </c>
      <c r="D3181" s="12">
        <v>46313</v>
      </c>
      <c r="E3181" s="11">
        <v>130</v>
      </c>
      <c r="F3181" s="11" t="s">
        <v>7405</v>
      </c>
      <c r="G3181">
        <v>20210201</v>
      </c>
      <c r="I3181" s="11" t="s">
        <v>63</v>
      </c>
      <c r="J3181" s="72">
        <v>80466009</v>
      </c>
      <c r="K3181" s="99">
        <f>_xlfn.XLOOKUP(_2__ROI_Daily_Update[[#This Row],[CSM id]],SHP!F:F,SHP!EE:EE,"-")</f>
        <v>0</v>
      </c>
      <c r="L3181" s="12"/>
      <c r="N3181" s="11"/>
      <c r="P3181"/>
      <c r="Q3181"/>
      <c r="W3181" s="28"/>
      <c r="AA3181"/>
    </row>
    <row r="3182" spans="1:27" x14ac:dyDescent="0.45">
      <c r="A3182" s="57">
        <v>967</v>
      </c>
      <c r="B3182" t="s">
        <v>6259</v>
      </c>
      <c r="C3182" t="s">
        <v>6260</v>
      </c>
      <c r="D3182" s="12">
        <v>46313</v>
      </c>
      <c r="E3182" s="11">
        <v>20</v>
      </c>
      <c r="F3182" s="11" t="s">
        <v>7440</v>
      </c>
      <c r="G3182">
        <v>20251001</v>
      </c>
      <c r="I3182" s="11" t="s">
        <v>63</v>
      </c>
      <c r="J3182" s="72">
        <v>50603258</v>
      </c>
      <c r="K3182" s="99">
        <f>_xlfn.XLOOKUP(_2__ROI_Daily_Update[[#This Row],[CSM id]],SHP!F:F,SHP!EE:EE,"-")</f>
        <v>0</v>
      </c>
      <c r="L3182" s="12"/>
      <c r="N3182" s="11"/>
      <c r="P3182"/>
      <c r="Q3182"/>
      <c r="W3182" s="28"/>
      <c r="AA3182"/>
    </row>
    <row r="3183" spans="1:27" x14ac:dyDescent="0.45">
      <c r="A3183" s="57">
        <v>1214</v>
      </c>
      <c r="B3183" t="s">
        <v>1809</v>
      </c>
      <c r="C3183" t="s">
        <v>1810</v>
      </c>
      <c r="D3183" s="12">
        <v>46313</v>
      </c>
      <c r="E3183" s="11">
        <v>60</v>
      </c>
      <c r="F3183" s="11" t="s">
        <v>7430</v>
      </c>
      <c r="G3183">
        <v>20210401</v>
      </c>
      <c r="H3183" s="12">
        <v>46478</v>
      </c>
      <c r="I3183" s="11" t="s">
        <v>63</v>
      </c>
      <c r="J3183" s="72">
        <v>20489688</v>
      </c>
      <c r="K3183" s="99">
        <f>_xlfn.XLOOKUP(_2__ROI_Daily_Update[[#This Row],[CSM id]],SHP!F:F,SHP!EE:EE,"-")</f>
        <v>0</v>
      </c>
      <c r="L3183" s="12"/>
      <c r="N3183" s="11"/>
      <c r="P3183"/>
      <c r="Q3183"/>
      <c r="W3183" s="28"/>
      <c r="AA3183"/>
    </row>
    <row r="3184" spans="1:27" x14ac:dyDescent="0.45">
      <c r="A3184" s="57">
        <v>1132</v>
      </c>
      <c r="B3184" t="s">
        <v>5472</v>
      </c>
      <c r="C3184" t="s">
        <v>5473</v>
      </c>
      <c r="D3184" s="12">
        <v>46313</v>
      </c>
      <c r="E3184" s="11">
        <v>772</v>
      </c>
      <c r="F3184" s="11" t="s">
        <v>7410</v>
      </c>
      <c r="G3184">
        <v>20190801</v>
      </c>
      <c r="I3184" s="11" t="s">
        <v>63</v>
      </c>
      <c r="J3184" s="72">
        <v>90439322</v>
      </c>
      <c r="K3184" s="99">
        <f>_xlfn.XLOOKUP(_2__ROI_Daily_Update[[#This Row],[CSM id]],SHP!F:F,SHP!EE:EE,"-")</f>
        <v>0</v>
      </c>
      <c r="L3184" s="12"/>
      <c r="N3184" s="11"/>
      <c r="P3184"/>
      <c r="Q3184"/>
      <c r="W3184" s="28"/>
      <c r="AA3184"/>
    </row>
    <row r="3185" spans="1:27" x14ac:dyDescent="0.45">
      <c r="A3185" s="57">
        <v>1822</v>
      </c>
      <c r="B3185" t="s">
        <v>3558</v>
      </c>
      <c r="C3185" t="s">
        <v>3559</v>
      </c>
      <c r="D3185" s="12">
        <v>46313</v>
      </c>
      <c r="E3185" s="11">
        <v>20</v>
      </c>
      <c r="F3185" s="11" t="s">
        <v>7410</v>
      </c>
      <c r="G3185">
        <v>20140801</v>
      </c>
      <c r="H3185" s="12">
        <v>46388</v>
      </c>
      <c r="I3185" s="11" t="s">
        <v>63</v>
      </c>
      <c r="J3185" s="72">
        <v>50242657</v>
      </c>
      <c r="K3185" s="99">
        <f>_xlfn.XLOOKUP(_2__ROI_Daily_Update[[#This Row],[CSM id]],SHP!F:F,SHP!EE:EE,"-")</f>
        <v>0</v>
      </c>
      <c r="L3185" s="12"/>
      <c r="N3185" s="11"/>
      <c r="P3185"/>
      <c r="Q3185"/>
      <c r="W3185" s="28"/>
      <c r="AA3185"/>
    </row>
    <row r="3186" spans="1:27" x14ac:dyDescent="0.45">
      <c r="A3186" s="57">
        <v>1833</v>
      </c>
      <c r="B3186" t="s">
        <v>3626</v>
      </c>
      <c r="C3186" t="s">
        <v>3627</v>
      </c>
      <c r="D3186" s="12">
        <v>46313</v>
      </c>
      <c r="E3186" s="11">
        <v>96</v>
      </c>
      <c r="F3186" s="11" t="s">
        <v>7499</v>
      </c>
      <c r="G3186">
        <v>20140801</v>
      </c>
      <c r="I3186" s="11" t="s">
        <v>18</v>
      </c>
      <c r="J3186" s="72">
        <v>242891</v>
      </c>
      <c r="K3186" s="99">
        <f>_xlfn.XLOOKUP(_2__ROI_Daily_Update[[#This Row],[CSM id]],SHP!F:F,SHP!EE:EE,"-")</f>
        <v>0</v>
      </c>
      <c r="L3186" s="12"/>
      <c r="N3186" s="11"/>
      <c r="P3186"/>
      <c r="Q3186"/>
      <c r="W3186" s="28"/>
      <c r="AA3186"/>
    </row>
    <row r="3187" spans="1:27" x14ac:dyDescent="0.45">
      <c r="A3187" s="57">
        <v>1211</v>
      </c>
      <c r="B3187" t="s">
        <v>1729</v>
      </c>
      <c r="C3187" t="s">
        <v>1730</v>
      </c>
      <c r="D3187" s="12">
        <v>46313</v>
      </c>
      <c r="E3187" s="11">
        <v>14</v>
      </c>
      <c r="F3187" s="11" t="s">
        <v>7430</v>
      </c>
      <c r="G3187">
        <v>20250101</v>
      </c>
      <c r="H3187" s="12">
        <v>46569</v>
      </c>
      <c r="I3187" s="11" t="s">
        <v>63</v>
      </c>
      <c r="J3187" s="72">
        <v>10597711</v>
      </c>
      <c r="K3187" s="99">
        <f>_xlfn.XLOOKUP(_2__ROI_Daily_Update[[#This Row],[CSM id]],SHP!F:F,SHP!EE:EE,"-")</f>
        <v>0</v>
      </c>
      <c r="L3187" s="12"/>
      <c r="N3187" s="11"/>
      <c r="P3187"/>
      <c r="Q3187"/>
      <c r="W3187" s="28"/>
      <c r="AA3187"/>
    </row>
    <row r="3188" spans="1:27" x14ac:dyDescent="0.45">
      <c r="A3188" s="57">
        <v>1132</v>
      </c>
      <c r="B3188" t="s">
        <v>1685</v>
      </c>
      <c r="C3188" t="s">
        <v>1686</v>
      </c>
      <c r="D3188" s="12">
        <v>46313</v>
      </c>
      <c r="E3188" s="11">
        <v>344</v>
      </c>
      <c r="F3188" s="11" t="s">
        <v>7485</v>
      </c>
      <c r="G3188">
        <v>20250701</v>
      </c>
      <c r="I3188" s="11" t="s">
        <v>18</v>
      </c>
      <c r="J3188" s="72">
        <v>30610269</v>
      </c>
      <c r="K3188" s="99">
        <f>_xlfn.XLOOKUP(_2__ROI_Daily_Update[[#This Row],[CSM id]],SHP!F:F,SHP!EE:EE,"-")</f>
        <v>0</v>
      </c>
      <c r="L3188" s="12"/>
      <c r="N3188" s="11"/>
      <c r="P3188"/>
      <c r="Q3188"/>
      <c r="W3188" s="28"/>
      <c r="AA3188"/>
    </row>
    <row r="3189" spans="1:27" x14ac:dyDescent="0.45">
      <c r="A3189" s="57">
        <v>1211</v>
      </c>
      <c r="B3189" t="s">
        <v>1729</v>
      </c>
      <c r="C3189" t="s">
        <v>1730</v>
      </c>
      <c r="D3189" s="12">
        <v>46313</v>
      </c>
      <c r="E3189" s="11">
        <v>14</v>
      </c>
      <c r="F3189" s="11" t="s">
        <v>7453</v>
      </c>
      <c r="G3189">
        <v>20250101</v>
      </c>
      <c r="H3189" s="12">
        <v>46569</v>
      </c>
      <c r="I3189" s="11" t="s">
        <v>63</v>
      </c>
      <c r="J3189" s="72">
        <v>10597711</v>
      </c>
      <c r="K3189" s="99">
        <f>_xlfn.XLOOKUP(_2__ROI_Daily_Update[[#This Row],[CSM id]],SHP!F:F,SHP!EE:EE,"-")</f>
        <v>0</v>
      </c>
      <c r="L3189" s="12"/>
      <c r="N3189" s="11"/>
      <c r="P3189"/>
      <c r="Q3189"/>
      <c r="W3189" s="28"/>
      <c r="AA3189"/>
    </row>
    <row r="3190" spans="1:27" x14ac:dyDescent="0.45">
      <c r="A3190" s="57">
        <v>1211</v>
      </c>
      <c r="B3190" t="s">
        <v>5751</v>
      </c>
      <c r="C3190" t="s">
        <v>5752</v>
      </c>
      <c r="D3190" s="12">
        <v>46313</v>
      </c>
      <c r="E3190" s="11">
        <v>25</v>
      </c>
      <c r="F3190" s="11" t="s">
        <v>7400</v>
      </c>
      <c r="G3190">
        <v>20250401</v>
      </c>
      <c r="I3190" s="11" t="s">
        <v>63</v>
      </c>
      <c r="J3190" s="72">
        <v>10601001</v>
      </c>
      <c r="K3190" s="99">
        <f>_xlfn.XLOOKUP(_2__ROI_Daily_Update[[#This Row],[CSM id]],SHP!F:F,SHP!EE:EE,"-")</f>
        <v>0</v>
      </c>
      <c r="L3190" s="12"/>
      <c r="N3190" s="11"/>
      <c r="P3190"/>
      <c r="Q3190"/>
      <c r="W3190" s="28"/>
      <c r="AA3190"/>
    </row>
    <row r="3191" spans="1:27" x14ac:dyDescent="0.45">
      <c r="A3191" s="57">
        <v>971</v>
      </c>
      <c r="B3191" t="s">
        <v>839</v>
      </c>
      <c r="C3191" t="s">
        <v>840</v>
      </c>
      <c r="D3191" s="12">
        <v>46313</v>
      </c>
      <c r="E3191" s="11">
        <v>80</v>
      </c>
      <c r="F3191" s="11" t="s">
        <v>7448</v>
      </c>
      <c r="G3191">
        <v>20251001</v>
      </c>
      <c r="I3191" s="11" t="s">
        <v>63</v>
      </c>
      <c r="J3191" s="72">
        <v>30603061</v>
      </c>
      <c r="K3191" s="99">
        <f>_xlfn.XLOOKUP(_2__ROI_Daily_Update[[#This Row],[CSM id]],SHP!F:F,SHP!EE:EE,"-")</f>
        <v>0</v>
      </c>
      <c r="L3191" s="12"/>
      <c r="N3191" s="11"/>
      <c r="P3191"/>
      <c r="Q3191"/>
      <c r="W3191" s="28"/>
      <c r="AA3191"/>
    </row>
    <row r="3192" spans="1:27" x14ac:dyDescent="0.45">
      <c r="A3192" s="57">
        <v>1132</v>
      </c>
      <c r="B3192" t="s">
        <v>7075</v>
      </c>
      <c r="C3192" t="s">
        <v>7076</v>
      </c>
      <c r="D3192" s="12">
        <v>46313</v>
      </c>
      <c r="E3192" s="11">
        <v>386</v>
      </c>
      <c r="F3192" s="11" t="s">
        <v>7480</v>
      </c>
      <c r="G3192">
        <v>20190801</v>
      </c>
      <c r="I3192" s="11" t="s">
        <v>63</v>
      </c>
      <c r="J3192" s="72">
        <v>30439363</v>
      </c>
      <c r="K3192" s="99">
        <f>_xlfn.XLOOKUP(_2__ROI_Daily_Update[[#This Row],[CSM id]],SHP!F:F,SHP!EE:EE,"-")</f>
        <v>0</v>
      </c>
      <c r="L3192" s="12"/>
      <c r="N3192" s="11"/>
      <c r="P3192"/>
      <c r="Q3192"/>
      <c r="W3192" s="28"/>
      <c r="AA3192"/>
    </row>
    <row r="3193" spans="1:27" x14ac:dyDescent="0.45">
      <c r="A3193" s="57">
        <v>967</v>
      </c>
      <c r="B3193" t="s">
        <v>6259</v>
      </c>
      <c r="C3193" t="s">
        <v>6260</v>
      </c>
      <c r="D3193" s="12">
        <v>46313</v>
      </c>
      <c r="E3193" s="11">
        <v>20</v>
      </c>
      <c r="F3193" s="11" t="s">
        <v>7480</v>
      </c>
      <c r="G3193">
        <v>20251001</v>
      </c>
      <c r="I3193" s="11" t="s">
        <v>63</v>
      </c>
      <c r="J3193" s="72">
        <v>50603258</v>
      </c>
      <c r="K3193" s="99">
        <f>_xlfn.XLOOKUP(_2__ROI_Daily_Update[[#This Row],[CSM id]],SHP!F:F,SHP!EE:EE,"-")</f>
        <v>0</v>
      </c>
      <c r="L3193" s="12"/>
      <c r="N3193" s="11"/>
      <c r="P3193"/>
      <c r="Q3193"/>
      <c r="W3193" s="28"/>
      <c r="AA3193"/>
    </row>
    <row r="3194" spans="1:27" x14ac:dyDescent="0.45">
      <c r="A3194" s="57">
        <v>1211</v>
      </c>
      <c r="B3194" t="s">
        <v>6059</v>
      </c>
      <c r="C3194" t="s">
        <v>6060</v>
      </c>
      <c r="D3194" s="12">
        <v>46313</v>
      </c>
      <c r="E3194" s="11">
        <v>10</v>
      </c>
      <c r="F3194" s="11" t="s">
        <v>7435</v>
      </c>
      <c r="G3194">
        <v>20260101</v>
      </c>
      <c r="I3194" s="11" t="s">
        <v>63</v>
      </c>
      <c r="J3194" s="72">
        <v>10629321</v>
      </c>
      <c r="K3194" s="99">
        <f>_xlfn.XLOOKUP(_2__ROI_Daily_Update[[#This Row],[CSM id]],SHP!F:F,SHP!EE:EE,"-")</f>
        <v>0</v>
      </c>
      <c r="L3194" s="12"/>
      <c r="N3194" s="11"/>
      <c r="P3194"/>
      <c r="Q3194"/>
      <c r="W3194" s="28"/>
      <c r="AA3194"/>
    </row>
    <row r="3195" spans="1:27" x14ac:dyDescent="0.45">
      <c r="A3195" s="57">
        <v>1213</v>
      </c>
      <c r="B3195" t="s">
        <v>1785</v>
      </c>
      <c r="C3195" t="s">
        <v>1786</v>
      </c>
      <c r="D3195" s="12">
        <v>46313</v>
      </c>
      <c r="E3195" s="11">
        <v>30</v>
      </c>
      <c r="F3195" s="11" t="s">
        <v>7453</v>
      </c>
      <c r="G3195">
        <v>20220101</v>
      </c>
      <c r="I3195" s="11" t="s">
        <v>63</v>
      </c>
      <c r="J3195" s="72">
        <v>10506551</v>
      </c>
      <c r="K3195" s="99">
        <f>_xlfn.XLOOKUP(_2__ROI_Daily_Update[[#This Row],[CSM id]],SHP!F:F,SHP!EE:EE,"-")</f>
        <v>0</v>
      </c>
      <c r="L3195" s="12"/>
      <c r="N3195" s="11"/>
      <c r="P3195"/>
      <c r="Q3195"/>
      <c r="W3195" s="28"/>
      <c r="AA3195"/>
    </row>
    <row r="3196" spans="1:27" x14ac:dyDescent="0.45">
      <c r="A3196" s="57">
        <v>967</v>
      </c>
      <c r="B3196" t="s">
        <v>804</v>
      </c>
      <c r="C3196" t="s">
        <v>805</v>
      </c>
      <c r="D3196" s="12">
        <v>46313</v>
      </c>
      <c r="E3196" s="11">
        <v>40</v>
      </c>
      <c r="F3196" s="11" t="s">
        <v>7425</v>
      </c>
      <c r="G3196">
        <v>20250101</v>
      </c>
      <c r="I3196" s="11" t="s">
        <v>63</v>
      </c>
      <c r="J3196" s="72">
        <v>80573617</v>
      </c>
      <c r="K3196" s="99">
        <f>_xlfn.XLOOKUP(_2__ROI_Daily_Update[[#This Row],[CSM id]],SHP!F:F,SHP!EE:EE,"-")</f>
        <v>0</v>
      </c>
      <c r="L3196" s="12"/>
      <c r="N3196" s="11"/>
      <c r="P3196"/>
      <c r="Q3196"/>
      <c r="W3196" s="28"/>
      <c r="AA3196"/>
    </row>
    <row r="3197" spans="1:27" x14ac:dyDescent="0.45">
      <c r="A3197" s="57">
        <v>1131</v>
      </c>
      <c r="B3197" t="s">
        <v>5927</v>
      </c>
      <c r="C3197" t="s">
        <v>5928</v>
      </c>
      <c r="D3197" s="12">
        <v>46313</v>
      </c>
      <c r="E3197" s="11">
        <v>42</v>
      </c>
      <c r="F3197" s="11" t="s">
        <v>6946</v>
      </c>
      <c r="G3197">
        <v>20251001</v>
      </c>
      <c r="I3197" s="11" t="s">
        <v>63</v>
      </c>
      <c r="J3197" s="72">
        <v>90612034</v>
      </c>
      <c r="K3197" s="99">
        <f>_xlfn.XLOOKUP(_2__ROI_Daily_Update[[#This Row],[CSM id]],SHP!F:F,SHP!EE:EE,"-")</f>
        <v>0</v>
      </c>
      <c r="L3197" s="12"/>
      <c r="N3197" s="11"/>
      <c r="P3197"/>
      <c r="Q3197"/>
      <c r="W3197" s="28"/>
      <c r="AA3197"/>
    </row>
    <row r="3198" spans="1:27" x14ac:dyDescent="0.45">
      <c r="A3198" s="57">
        <v>1131</v>
      </c>
      <c r="B3198" t="s">
        <v>1679</v>
      </c>
      <c r="C3198" t="s">
        <v>1680</v>
      </c>
      <c r="D3198" s="12">
        <v>46313</v>
      </c>
      <c r="E3198" s="11">
        <v>72</v>
      </c>
      <c r="F3198" s="11" t="s">
        <v>7453</v>
      </c>
      <c r="G3198">
        <v>20240701</v>
      </c>
      <c r="I3198" s="11" t="s">
        <v>63</v>
      </c>
      <c r="J3198" s="72">
        <v>90579671</v>
      </c>
      <c r="K3198" s="99">
        <f>_xlfn.XLOOKUP(_2__ROI_Daily_Update[[#This Row],[CSM id]],SHP!F:F,SHP!EE:EE,"-")</f>
        <v>0</v>
      </c>
      <c r="L3198" s="12"/>
      <c r="N3198" s="11"/>
      <c r="P3198"/>
      <c r="Q3198"/>
      <c r="W3198" s="28"/>
      <c r="AA3198"/>
    </row>
    <row r="3199" spans="1:27" x14ac:dyDescent="0.45">
      <c r="A3199" s="57">
        <v>1131</v>
      </c>
      <c r="B3199" t="s">
        <v>1679</v>
      </c>
      <c r="C3199" t="s">
        <v>1680</v>
      </c>
      <c r="D3199" s="12">
        <v>46313</v>
      </c>
      <c r="E3199" s="11">
        <v>72</v>
      </c>
      <c r="F3199" s="11" t="s">
        <v>7440</v>
      </c>
      <c r="G3199">
        <v>20240701</v>
      </c>
      <c r="I3199" s="11" t="s">
        <v>63</v>
      </c>
      <c r="J3199" s="72">
        <v>90579671</v>
      </c>
      <c r="K3199" s="99">
        <f>_xlfn.XLOOKUP(_2__ROI_Daily_Update[[#This Row],[CSM id]],SHP!F:F,SHP!EE:EE,"-")</f>
        <v>0</v>
      </c>
      <c r="L3199" s="12"/>
      <c r="N3199" s="11"/>
      <c r="P3199"/>
      <c r="Q3199"/>
      <c r="W3199" s="28"/>
      <c r="AA3199"/>
    </row>
    <row r="3200" spans="1:27" x14ac:dyDescent="0.45">
      <c r="A3200" s="57">
        <v>966</v>
      </c>
      <c r="B3200" t="s">
        <v>791</v>
      </c>
      <c r="C3200" t="s">
        <v>792</v>
      </c>
      <c r="D3200" s="12">
        <v>46313</v>
      </c>
      <c r="E3200" s="11">
        <v>64</v>
      </c>
      <c r="F3200" s="11" t="s">
        <v>7499</v>
      </c>
      <c r="G3200">
        <v>20231001</v>
      </c>
      <c r="I3200" s="11" t="s">
        <v>18</v>
      </c>
      <c r="J3200" s="72">
        <v>90548217</v>
      </c>
      <c r="K3200" s="99">
        <f>_xlfn.XLOOKUP(_2__ROI_Daily_Update[[#This Row],[CSM id]],SHP!F:F,SHP!EE:EE,"-")</f>
        <v>0</v>
      </c>
      <c r="L3200" s="12"/>
      <c r="N3200" s="11"/>
      <c r="P3200"/>
      <c r="Q3200"/>
      <c r="W3200" s="28"/>
      <c r="AA3200"/>
    </row>
    <row r="3201" spans="1:27" x14ac:dyDescent="0.45">
      <c r="A3201" s="57">
        <v>1214</v>
      </c>
      <c r="B3201" t="s">
        <v>1817</v>
      </c>
      <c r="C3201" t="s">
        <v>1818</v>
      </c>
      <c r="D3201" s="12">
        <v>46313</v>
      </c>
      <c r="E3201" s="11">
        <v>24</v>
      </c>
      <c r="F3201" s="11" t="s">
        <v>7400</v>
      </c>
      <c r="G3201">
        <v>20210401</v>
      </c>
      <c r="H3201" s="12">
        <v>46478</v>
      </c>
      <c r="I3201" s="11" t="s">
        <v>63</v>
      </c>
      <c r="J3201" s="72">
        <v>50489700</v>
      </c>
      <c r="K3201" s="99">
        <f>_xlfn.XLOOKUP(_2__ROI_Daily_Update[[#This Row],[CSM id]],SHP!F:F,SHP!EE:EE,"-")</f>
        <v>0</v>
      </c>
      <c r="L3201" s="12"/>
      <c r="N3201" s="11"/>
      <c r="P3201"/>
      <c r="Q3201"/>
      <c r="W3201" s="28"/>
      <c r="AA3201"/>
    </row>
    <row r="3202" spans="1:27" x14ac:dyDescent="0.45">
      <c r="A3202" s="57">
        <v>1131</v>
      </c>
      <c r="B3202" t="s">
        <v>5929</v>
      </c>
      <c r="C3202" t="s">
        <v>5930</v>
      </c>
      <c r="D3202" s="12">
        <v>46313</v>
      </c>
      <c r="E3202" s="11">
        <v>110</v>
      </c>
      <c r="F3202" s="11" t="s">
        <v>6946</v>
      </c>
      <c r="G3202">
        <v>20251001</v>
      </c>
      <c r="I3202" s="11" t="s">
        <v>63</v>
      </c>
      <c r="J3202" s="72">
        <v>80612039</v>
      </c>
      <c r="K3202" s="99">
        <f>_xlfn.XLOOKUP(_2__ROI_Daily_Update[[#This Row],[CSM id]],SHP!F:F,SHP!EE:EE,"-")</f>
        <v>0</v>
      </c>
      <c r="L3202" s="12"/>
      <c r="N3202" s="11"/>
      <c r="P3202"/>
      <c r="Q3202"/>
      <c r="W3202" s="28"/>
      <c r="AA3202"/>
    </row>
    <row r="3203" spans="1:27" x14ac:dyDescent="0.45">
      <c r="A3203" s="57">
        <v>1822</v>
      </c>
      <c r="B3203" t="s">
        <v>6588</v>
      </c>
      <c r="C3203" t="s">
        <v>6589</v>
      </c>
      <c r="D3203" s="12">
        <v>46313</v>
      </c>
      <c r="E3203" s="11">
        <v>20</v>
      </c>
      <c r="F3203" s="11" t="s">
        <v>7463</v>
      </c>
      <c r="G3203">
        <v>20261001</v>
      </c>
      <c r="I3203" s="11" t="s">
        <v>63</v>
      </c>
      <c r="J3203" s="72">
        <v>80628691</v>
      </c>
      <c r="K3203" s="99">
        <f>_xlfn.XLOOKUP(_2__ROI_Daily_Update[[#This Row],[CSM id]],SHP!F:F,SHP!EE:EE,"-")</f>
        <v>0</v>
      </c>
      <c r="L3203" s="12"/>
      <c r="N3203" s="11"/>
      <c r="P3203"/>
      <c r="Q3203"/>
      <c r="W3203" s="28"/>
      <c r="AA3203"/>
    </row>
    <row r="3204" spans="1:27" x14ac:dyDescent="0.45">
      <c r="A3204" s="57">
        <v>1131</v>
      </c>
      <c r="B3204" t="s">
        <v>1677</v>
      </c>
      <c r="C3204" t="s">
        <v>1678</v>
      </c>
      <c r="D3204" s="12">
        <v>46313</v>
      </c>
      <c r="E3204" s="11">
        <v>144</v>
      </c>
      <c r="F3204" s="11" t="s">
        <v>7420</v>
      </c>
      <c r="G3204">
        <v>20240701</v>
      </c>
      <c r="I3204" s="11" t="s">
        <v>63</v>
      </c>
      <c r="J3204" s="72">
        <v>80579681</v>
      </c>
      <c r="K3204" s="99">
        <f>_xlfn.XLOOKUP(_2__ROI_Daily_Update[[#This Row],[CSM id]],SHP!F:F,SHP!EE:EE,"-")</f>
        <v>0</v>
      </c>
      <c r="L3204" s="12"/>
      <c r="N3204" s="11"/>
      <c r="P3204"/>
      <c r="Q3204"/>
      <c r="W3204" s="28"/>
      <c r="AA3204"/>
    </row>
    <row r="3205" spans="1:27" x14ac:dyDescent="0.45">
      <c r="A3205" s="57">
        <v>1131</v>
      </c>
      <c r="B3205" t="s">
        <v>5310</v>
      </c>
      <c r="C3205" t="s">
        <v>5311</v>
      </c>
      <c r="D3205" s="12">
        <v>46313</v>
      </c>
      <c r="E3205" s="11">
        <v>45</v>
      </c>
      <c r="F3205" s="11" t="s">
        <v>7400</v>
      </c>
      <c r="G3205">
        <v>20221001</v>
      </c>
      <c r="H3205" s="12">
        <v>46388</v>
      </c>
      <c r="I3205" s="11" t="s">
        <v>63</v>
      </c>
      <c r="J3205" s="72">
        <v>80531359</v>
      </c>
      <c r="K3205" s="99">
        <f>_xlfn.XLOOKUP(_2__ROI_Daily_Update[[#This Row],[CSM id]],SHP!F:F,SHP!EE:EE,"-")</f>
        <v>0</v>
      </c>
      <c r="L3205" s="12"/>
      <c r="N3205" s="11"/>
      <c r="P3205"/>
      <c r="Q3205"/>
      <c r="W3205" s="28"/>
      <c r="AA3205"/>
    </row>
    <row r="3206" spans="1:27" x14ac:dyDescent="0.45">
      <c r="A3206" s="57">
        <v>1214</v>
      </c>
      <c r="B3206" t="s">
        <v>1819</v>
      </c>
      <c r="C3206" t="s">
        <v>1820</v>
      </c>
      <c r="D3206" s="12">
        <v>46313</v>
      </c>
      <c r="E3206" s="11">
        <v>196</v>
      </c>
      <c r="F3206" s="11" t="s">
        <v>7430</v>
      </c>
      <c r="G3206">
        <v>20140801</v>
      </c>
      <c r="H3206" s="12">
        <v>46478</v>
      </c>
      <c r="I3206" s="11" t="s">
        <v>63</v>
      </c>
      <c r="J3206" s="72">
        <v>60217233</v>
      </c>
      <c r="K3206" s="99">
        <f>_xlfn.XLOOKUP(_2__ROI_Daily_Update[[#This Row],[CSM id]],SHP!F:F,SHP!EE:EE,"-")</f>
        <v>0</v>
      </c>
      <c r="L3206" s="12"/>
      <c r="N3206" s="11"/>
      <c r="P3206"/>
      <c r="Q3206"/>
      <c r="W3206" s="28"/>
      <c r="AA3206"/>
    </row>
    <row r="3207" spans="1:27" x14ac:dyDescent="0.45">
      <c r="A3207" s="57">
        <v>1131</v>
      </c>
      <c r="B3207" t="s">
        <v>1675</v>
      </c>
      <c r="C3207" t="s">
        <v>1676</v>
      </c>
      <c r="D3207" s="12">
        <v>46313</v>
      </c>
      <c r="E3207" s="11">
        <v>19</v>
      </c>
      <c r="F3207" s="11" t="s">
        <v>7410</v>
      </c>
      <c r="G3207">
        <v>20260101</v>
      </c>
      <c r="I3207" s="11" t="s">
        <v>63</v>
      </c>
      <c r="J3207" s="72">
        <v>70614406</v>
      </c>
      <c r="K3207" s="99">
        <f>_xlfn.XLOOKUP(_2__ROI_Daily_Update[[#This Row],[CSM id]],SHP!F:F,SHP!EE:EE,"-")</f>
        <v>0</v>
      </c>
      <c r="L3207" s="12"/>
      <c r="N3207" s="11"/>
      <c r="P3207"/>
      <c r="Q3207"/>
      <c r="W3207" s="28"/>
      <c r="AA3207"/>
    </row>
    <row r="3208" spans="1:27" x14ac:dyDescent="0.45">
      <c r="A3208" s="57">
        <v>1211</v>
      </c>
      <c r="B3208" t="s">
        <v>5880</v>
      </c>
      <c r="C3208" t="s">
        <v>5881</v>
      </c>
      <c r="D3208" s="12">
        <v>46313</v>
      </c>
      <c r="E3208" s="11">
        <v>14</v>
      </c>
      <c r="F3208" s="11" t="s">
        <v>6946</v>
      </c>
      <c r="G3208">
        <v>20250101</v>
      </c>
      <c r="H3208" s="12">
        <v>46478</v>
      </c>
      <c r="I3208" s="11" t="s">
        <v>63</v>
      </c>
      <c r="J3208" s="72">
        <v>10594897</v>
      </c>
      <c r="K3208" s="99">
        <f>_xlfn.XLOOKUP(_2__ROI_Daily_Update[[#This Row],[CSM id]],SHP!F:F,SHP!EE:EE,"-")</f>
        <v>0</v>
      </c>
      <c r="L3208" s="12"/>
      <c r="N3208" s="11"/>
      <c r="P3208"/>
      <c r="Q3208"/>
      <c r="W3208" s="28"/>
      <c r="AA3208"/>
    </row>
    <row r="3209" spans="1:27" x14ac:dyDescent="0.45">
      <c r="A3209" s="57">
        <v>1214</v>
      </c>
      <c r="B3209" t="s">
        <v>1819</v>
      </c>
      <c r="C3209" t="s">
        <v>1820</v>
      </c>
      <c r="D3209" s="12">
        <v>46313</v>
      </c>
      <c r="E3209" s="11">
        <v>196</v>
      </c>
      <c r="F3209" s="11" t="s">
        <v>7480</v>
      </c>
      <c r="G3209">
        <v>20140801</v>
      </c>
      <c r="H3209" s="12">
        <v>46478</v>
      </c>
      <c r="I3209" s="11" t="s">
        <v>63</v>
      </c>
      <c r="J3209" s="72">
        <v>60217233</v>
      </c>
      <c r="K3209" s="99">
        <f>_xlfn.XLOOKUP(_2__ROI_Daily_Update[[#This Row],[CSM id]],SHP!F:F,SHP!EE:EE,"-")</f>
        <v>0</v>
      </c>
      <c r="L3209" s="12"/>
      <c r="N3209" s="11"/>
      <c r="P3209"/>
      <c r="Q3209"/>
      <c r="W3209" s="28"/>
      <c r="AA3209"/>
    </row>
    <row r="3210" spans="1:27" x14ac:dyDescent="0.45">
      <c r="A3210" s="57">
        <v>1833</v>
      </c>
      <c r="B3210" t="s">
        <v>3630</v>
      </c>
      <c r="C3210" t="s">
        <v>3631</v>
      </c>
      <c r="D3210" s="12">
        <v>46313</v>
      </c>
      <c r="E3210" s="11">
        <v>120</v>
      </c>
      <c r="F3210" s="11" t="s">
        <v>7485</v>
      </c>
      <c r="G3210">
        <v>20240101</v>
      </c>
      <c r="I3210" s="11" t="s">
        <v>18</v>
      </c>
      <c r="J3210" s="72">
        <v>10567766</v>
      </c>
      <c r="K3210" s="99">
        <f>_xlfn.XLOOKUP(_2__ROI_Daily_Update[[#This Row],[CSM id]],SHP!F:F,SHP!EE:EE,"-")</f>
        <v>0</v>
      </c>
      <c r="L3210" s="12"/>
      <c r="N3210" s="11"/>
      <c r="P3210"/>
      <c r="Q3210"/>
      <c r="W3210" s="28"/>
      <c r="AA3210"/>
    </row>
    <row r="3211" spans="1:27" x14ac:dyDescent="0.45">
      <c r="A3211" s="57">
        <v>1211</v>
      </c>
      <c r="B3211" t="s">
        <v>1727</v>
      </c>
      <c r="C3211" t="s">
        <v>1728</v>
      </c>
      <c r="D3211" s="12">
        <v>46313</v>
      </c>
      <c r="E3211" s="11">
        <v>7</v>
      </c>
      <c r="F3211" s="11" t="s">
        <v>7463</v>
      </c>
      <c r="G3211">
        <v>20241001</v>
      </c>
      <c r="H3211" s="12">
        <v>46478</v>
      </c>
      <c r="I3211" s="11" t="s">
        <v>63</v>
      </c>
      <c r="J3211" s="72">
        <v>10417814</v>
      </c>
      <c r="K3211" s="99">
        <f>_xlfn.XLOOKUP(_2__ROI_Daily_Update[[#This Row],[CSM id]],SHP!F:F,SHP!EE:EE,"-")</f>
        <v>0</v>
      </c>
      <c r="L3211" s="12"/>
      <c r="N3211" s="11"/>
      <c r="P3211"/>
      <c r="Q3211"/>
      <c r="W3211" s="28"/>
      <c r="AA3211"/>
    </row>
    <row r="3212" spans="1:27" x14ac:dyDescent="0.45">
      <c r="A3212" s="57">
        <v>1132</v>
      </c>
      <c r="B3212" t="s">
        <v>1691</v>
      </c>
      <c r="C3212" t="s">
        <v>1692</v>
      </c>
      <c r="D3212" s="12">
        <v>46313</v>
      </c>
      <c r="E3212" s="11">
        <v>20</v>
      </c>
      <c r="F3212" s="11" t="s">
        <v>6946</v>
      </c>
      <c r="G3212">
        <v>20261001</v>
      </c>
      <c r="I3212" s="11" t="s">
        <v>63</v>
      </c>
      <c r="J3212" s="72">
        <v>80623274</v>
      </c>
      <c r="K3212" s="99">
        <f>_xlfn.XLOOKUP(_2__ROI_Daily_Update[[#This Row],[CSM id]],SHP!F:F,SHP!EE:EE,"-")</f>
        <v>0</v>
      </c>
      <c r="L3212" s="12"/>
      <c r="N3212" s="11"/>
      <c r="P3212"/>
      <c r="Q3212"/>
      <c r="W3212" s="28"/>
      <c r="AA3212"/>
    </row>
    <row r="3213" spans="1:27" x14ac:dyDescent="0.45">
      <c r="A3213" s="57">
        <v>1214</v>
      </c>
      <c r="B3213" t="s">
        <v>5374</v>
      </c>
      <c r="C3213" t="s">
        <v>5375</v>
      </c>
      <c r="D3213" s="12">
        <v>46313</v>
      </c>
      <c r="E3213" s="11">
        <v>30</v>
      </c>
      <c r="F3213" s="11" t="s">
        <v>7420</v>
      </c>
      <c r="G3213">
        <v>20260701</v>
      </c>
      <c r="I3213" s="11" t="s">
        <v>63</v>
      </c>
      <c r="J3213" s="72">
        <v>20623941</v>
      </c>
      <c r="K3213" s="99">
        <f>_xlfn.XLOOKUP(_2__ROI_Daily_Update[[#This Row],[CSM id]],SHP!F:F,SHP!EE:EE,"-")</f>
        <v>0</v>
      </c>
      <c r="L3213" s="12"/>
      <c r="N3213" s="11"/>
      <c r="P3213"/>
      <c r="Q3213"/>
      <c r="W3213" s="28"/>
      <c r="AA3213"/>
    </row>
    <row r="3214" spans="1:27" x14ac:dyDescent="0.45">
      <c r="A3214" s="57">
        <v>1214</v>
      </c>
      <c r="B3214" t="s">
        <v>5949</v>
      </c>
      <c r="C3214" t="s">
        <v>5950</v>
      </c>
      <c r="D3214" s="12">
        <v>46313</v>
      </c>
      <c r="E3214" s="11">
        <v>42</v>
      </c>
      <c r="F3214" s="11" t="s">
        <v>7440</v>
      </c>
      <c r="G3214">
        <v>20140801</v>
      </c>
      <c r="H3214" s="12">
        <v>46478</v>
      </c>
      <c r="I3214" s="11" t="s">
        <v>63</v>
      </c>
      <c r="J3214" s="72">
        <v>30221397</v>
      </c>
      <c r="K3214" s="99">
        <f>_xlfn.XLOOKUP(_2__ROI_Daily_Update[[#This Row],[CSM id]],SHP!F:F,SHP!EE:EE,"-")</f>
        <v>0</v>
      </c>
      <c r="L3214" s="12"/>
      <c r="N3214" s="11"/>
      <c r="P3214"/>
      <c r="Q3214"/>
      <c r="W3214" s="28"/>
      <c r="AA3214"/>
    </row>
    <row r="3215" spans="1:27" x14ac:dyDescent="0.45">
      <c r="A3215" s="57">
        <v>1213</v>
      </c>
      <c r="B3215" t="s">
        <v>5542</v>
      </c>
      <c r="C3215" t="s">
        <v>5543</v>
      </c>
      <c r="D3215" s="12">
        <v>46313</v>
      </c>
      <c r="E3215" s="11">
        <v>4</v>
      </c>
      <c r="F3215" s="11" t="s">
        <v>7410</v>
      </c>
      <c r="G3215">
        <v>20241001</v>
      </c>
      <c r="I3215" s="11" t="s">
        <v>63</v>
      </c>
      <c r="J3215" s="72">
        <v>30585967</v>
      </c>
      <c r="K3215" s="99">
        <f>_xlfn.XLOOKUP(_2__ROI_Daily_Update[[#This Row],[CSM id]],SHP!F:F,SHP!EE:EE,"-")</f>
        <v>0</v>
      </c>
      <c r="L3215" s="12"/>
      <c r="N3215" s="11"/>
      <c r="P3215"/>
      <c r="Q3215"/>
      <c r="W3215" s="28"/>
      <c r="AA3215"/>
    </row>
    <row r="3216" spans="1:27" x14ac:dyDescent="0.45">
      <c r="A3216" s="57">
        <v>1132</v>
      </c>
      <c r="B3216" t="s">
        <v>6827</v>
      </c>
      <c r="C3216" t="s">
        <v>6828</v>
      </c>
      <c r="D3216" s="12">
        <v>46313</v>
      </c>
      <c r="E3216" s="11">
        <v>172</v>
      </c>
      <c r="F3216" s="11" t="s">
        <v>7499</v>
      </c>
      <c r="G3216">
        <v>20250701</v>
      </c>
      <c r="I3216" s="11" t="s">
        <v>18</v>
      </c>
      <c r="J3216" s="72">
        <v>60611861</v>
      </c>
      <c r="K3216" s="99">
        <f>_xlfn.XLOOKUP(_2__ROI_Daily_Update[[#This Row],[CSM id]],SHP!F:F,SHP!EE:EE,"-")</f>
        <v>0</v>
      </c>
      <c r="L3216" s="12"/>
      <c r="N3216" s="11"/>
      <c r="P3216"/>
      <c r="Q3216"/>
      <c r="W3216" s="28"/>
      <c r="AA3216"/>
    </row>
    <row r="3217" spans="1:27" x14ac:dyDescent="0.45">
      <c r="A3217" s="57">
        <v>1211</v>
      </c>
      <c r="B3217" t="s">
        <v>1725</v>
      </c>
      <c r="C3217" t="s">
        <v>1726</v>
      </c>
      <c r="D3217" s="12">
        <v>46313</v>
      </c>
      <c r="E3217" s="11">
        <v>7</v>
      </c>
      <c r="F3217" s="11" t="s">
        <v>7410</v>
      </c>
      <c r="G3217">
        <v>20170201</v>
      </c>
      <c r="H3217" s="12">
        <v>46478</v>
      </c>
      <c r="I3217" s="11" t="s">
        <v>63</v>
      </c>
      <c r="J3217" s="72">
        <v>10346751</v>
      </c>
      <c r="K3217" s="99">
        <f>_xlfn.XLOOKUP(_2__ROI_Daily_Update[[#This Row],[CSM id]],SHP!F:F,SHP!EE:EE,"-")</f>
        <v>0</v>
      </c>
      <c r="L3217" s="12"/>
      <c r="N3217" s="11"/>
      <c r="P3217"/>
      <c r="Q3217"/>
      <c r="W3217" s="28"/>
      <c r="AA3217"/>
    </row>
    <row r="3218" spans="1:27" x14ac:dyDescent="0.45">
      <c r="A3218" s="57">
        <v>1132</v>
      </c>
      <c r="B3218" t="s">
        <v>1687</v>
      </c>
      <c r="C3218" t="s">
        <v>1688</v>
      </c>
      <c r="D3218" s="12">
        <v>46313</v>
      </c>
      <c r="E3218" s="11">
        <v>172</v>
      </c>
      <c r="F3218" s="11" t="s">
        <v>7453</v>
      </c>
      <c r="G3218">
        <v>20250701</v>
      </c>
      <c r="H3218" s="12">
        <v>46388</v>
      </c>
      <c r="I3218" s="11" t="s">
        <v>63</v>
      </c>
      <c r="J3218" s="72">
        <v>30610274</v>
      </c>
      <c r="K3218" s="99">
        <f>_xlfn.XLOOKUP(_2__ROI_Daily_Update[[#This Row],[CSM id]],SHP!F:F,SHP!EE:EE,"-")</f>
        <v>0</v>
      </c>
      <c r="L3218" s="12"/>
      <c r="N3218" s="11"/>
      <c r="P3218"/>
      <c r="Q3218"/>
      <c r="W3218" s="28"/>
      <c r="AA3218"/>
    </row>
    <row r="3219" spans="1:27" x14ac:dyDescent="0.45">
      <c r="A3219" s="57">
        <v>967</v>
      </c>
      <c r="B3219" t="s">
        <v>6261</v>
      </c>
      <c r="C3219" t="s">
        <v>6262</v>
      </c>
      <c r="D3219" s="12">
        <v>46313</v>
      </c>
      <c r="E3219" s="11">
        <v>72</v>
      </c>
      <c r="F3219" s="11" t="s">
        <v>7435</v>
      </c>
      <c r="G3219">
        <v>20260701</v>
      </c>
      <c r="I3219" s="11" t="s">
        <v>63</v>
      </c>
      <c r="J3219" s="72">
        <v>20629877</v>
      </c>
      <c r="K3219" s="99">
        <f>_xlfn.XLOOKUP(_2__ROI_Daily_Update[[#This Row],[CSM id]],SHP!F:F,SHP!EE:EE,"-")</f>
        <v>0</v>
      </c>
      <c r="L3219" s="12"/>
      <c r="N3219" s="11"/>
      <c r="P3219"/>
      <c r="Q3219"/>
      <c r="W3219" s="28"/>
      <c r="AA3219"/>
    </row>
    <row r="3220" spans="1:27" x14ac:dyDescent="0.45">
      <c r="A3220" s="57">
        <v>1214</v>
      </c>
      <c r="B3220" t="s">
        <v>1811</v>
      </c>
      <c r="C3220" t="s">
        <v>1812</v>
      </c>
      <c r="D3220" s="12">
        <v>46313</v>
      </c>
      <c r="E3220" s="11">
        <v>96</v>
      </c>
      <c r="F3220" s="11" t="s">
        <v>7430</v>
      </c>
      <c r="G3220">
        <v>20190201</v>
      </c>
      <c r="I3220" s="11" t="s">
        <v>63</v>
      </c>
      <c r="J3220" s="72">
        <v>30417436</v>
      </c>
      <c r="K3220" s="99">
        <f>_xlfn.XLOOKUP(_2__ROI_Daily_Update[[#This Row],[CSM id]],SHP!F:F,SHP!EE:EE,"-")</f>
        <v>0</v>
      </c>
      <c r="L3220" s="12"/>
      <c r="N3220" s="11"/>
      <c r="P3220"/>
      <c r="Q3220"/>
      <c r="W3220" s="28"/>
      <c r="AA3220"/>
    </row>
    <row r="3221" spans="1:27" x14ac:dyDescent="0.45">
      <c r="A3221" s="57">
        <v>1132</v>
      </c>
      <c r="B3221" t="s">
        <v>1687</v>
      </c>
      <c r="C3221" t="s">
        <v>1688</v>
      </c>
      <c r="D3221" s="12">
        <v>46313</v>
      </c>
      <c r="E3221" s="11">
        <v>172</v>
      </c>
      <c r="F3221" s="11" t="s">
        <v>7400</v>
      </c>
      <c r="G3221">
        <v>20250701</v>
      </c>
      <c r="H3221" s="12">
        <v>46388</v>
      </c>
      <c r="I3221" s="11" t="s">
        <v>63</v>
      </c>
      <c r="J3221" s="72">
        <v>30610274</v>
      </c>
      <c r="K3221" s="99">
        <f>_xlfn.XLOOKUP(_2__ROI_Daily_Update[[#This Row],[CSM id]],SHP!F:F,SHP!EE:EE,"-")</f>
        <v>0</v>
      </c>
      <c r="L3221" s="12"/>
      <c r="N3221" s="11"/>
      <c r="P3221"/>
      <c r="Q3221"/>
      <c r="W3221" s="28"/>
      <c r="AA3221"/>
    </row>
    <row r="3222" spans="1:27" x14ac:dyDescent="0.45">
      <c r="A3222" s="57">
        <v>1132</v>
      </c>
      <c r="B3222" t="s">
        <v>1687</v>
      </c>
      <c r="C3222" t="s">
        <v>1688</v>
      </c>
      <c r="D3222" s="12">
        <v>46313</v>
      </c>
      <c r="E3222" s="11">
        <v>172</v>
      </c>
      <c r="F3222" s="11" t="s">
        <v>7410</v>
      </c>
      <c r="G3222">
        <v>20250701</v>
      </c>
      <c r="H3222" s="12">
        <v>46388</v>
      </c>
      <c r="I3222" s="11" t="s">
        <v>63</v>
      </c>
      <c r="J3222" s="72">
        <v>30610274</v>
      </c>
      <c r="K3222" s="99">
        <f>_xlfn.XLOOKUP(_2__ROI_Daily_Update[[#This Row],[CSM id]],SHP!F:F,SHP!EE:EE,"-")</f>
        <v>0</v>
      </c>
      <c r="L3222" s="12"/>
      <c r="N3222" s="11"/>
      <c r="P3222"/>
      <c r="Q3222"/>
      <c r="W3222" s="28"/>
      <c r="AA3222"/>
    </row>
    <row r="3223" spans="1:27" x14ac:dyDescent="0.45">
      <c r="A3223" s="57">
        <v>1214</v>
      </c>
      <c r="B3223" t="s">
        <v>1811</v>
      </c>
      <c r="C3223" t="s">
        <v>1812</v>
      </c>
      <c r="D3223" s="12">
        <v>46313</v>
      </c>
      <c r="E3223" s="11">
        <v>96</v>
      </c>
      <c r="F3223" s="11" t="s">
        <v>7453</v>
      </c>
      <c r="G3223">
        <v>20190201</v>
      </c>
      <c r="I3223" s="11" t="s">
        <v>63</v>
      </c>
      <c r="J3223" s="72">
        <v>30417436</v>
      </c>
      <c r="K3223" s="99">
        <f>_xlfn.XLOOKUP(_2__ROI_Daily_Update[[#This Row],[CSM id]],SHP!F:F,SHP!EE:EE,"-")</f>
        <v>0</v>
      </c>
      <c r="L3223" s="12"/>
      <c r="N3223" s="11"/>
      <c r="P3223"/>
      <c r="Q3223"/>
      <c r="W3223" s="28"/>
      <c r="AA3223"/>
    </row>
    <row r="3224" spans="1:27" x14ac:dyDescent="0.45">
      <c r="A3224" s="57">
        <v>1213</v>
      </c>
      <c r="B3224" t="s">
        <v>1791</v>
      </c>
      <c r="C3224" t="s">
        <v>1792</v>
      </c>
      <c r="D3224" s="12">
        <v>46313</v>
      </c>
      <c r="E3224" s="11">
        <v>15</v>
      </c>
      <c r="F3224" s="11" t="s">
        <v>7400</v>
      </c>
      <c r="G3224">
        <v>20210201</v>
      </c>
      <c r="I3224" s="11" t="s">
        <v>63</v>
      </c>
      <c r="J3224" s="72">
        <v>30469784</v>
      </c>
      <c r="K3224" s="99">
        <f>_xlfn.XLOOKUP(_2__ROI_Daily_Update[[#This Row],[CSM id]],SHP!F:F,SHP!EE:EE,"-")</f>
        <v>0</v>
      </c>
      <c r="L3224" s="12"/>
      <c r="N3224" s="11"/>
      <c r="P3224"/>
      <c r="Q3224"/>
      <c r="W3224" s="28"/>
      <c r="AA3224"/>
    </row>
    <row r="3225" spans="1:27" x14ac:dyDescent="0.45">
      <c r="A3225" s="57">
        <v>1132</v>
      </c>
      <c r="B3225" t="s">
        <v>1687</v>
      </c>
      <c r="C3225" t="s">
        <v>1688</v>
      </c>
      <c r="D3225" s="12">
        <v>46313</v>
      </c>
      <c r="E3225" s="11">
        <v>344</v>
      </c>
      <c r="F3225" s="11" t="s">
        <v>7420</v>
      </c>
      <c r="G3225">
        <v>20250701</v>
      </c>
      <c r="H3225" s="12">
        <v>46388</v>
      </c>
      <c r="I3225" s="11" t="s">
        <v>63</v>
      </c>
      <c r="J3225" s="72">
        <v>30610274</v>
      </c>
      <c r="K3225" s="99">
        <f>_xlfn.XLOOKUP(_2__ROI_Daily_Update[[#This Row],[CSM id]],SHP!F:F,SHP!EE:EE,"-")</f>
        <v>0</v>
      </c>
      <c r="L3225" s="12"/>
      <c r="N3225" s="11"/>
      <c r="P3225"/>
      <c r="Q3225"/>
      <c r="W3225" s="28"/>
      <c r="AA3225"/>
    </row>
    <row r="3226" spans="1:27" x14ac:dyDescent="0.45">
      <c r="A3226" s="57">
        <v>1822</v>
      </c>
      <c r="B3226" t="s">
        <v>6881</v>
      </c>
      <c r="C3226" t="s">
        <v>6882</v>
      </c>
      <c r="D3226" s="12">
        <v>46313</v>
      </c>
      <c r="E3226" s="11">
        <v>144</v>
      </c>
      <c r="F3226" s="11" t="s">
        <v>7458</v>
      </c>
      <c r="G3226">
        <v>20231001</v>
      </c>
      <c r="I3226" s="11" t="s">
        <v>63</v>
      </c>
      <c r="J3226" s="72">
        <v>30563705</v>
      </c>
      <c r="K3226" s="99">
        <f>_xlfn.XLOOKUP(_2__ROI_Daily_Update[[#This Row],[CSM id]],SHP!F:F,SHP!EE:EE,"-")</f>
        <v>0</v>
      </c>
      <c r="L3226" s="12"/>
      <c r="N3226" s="11"/>
      <c r="P3226"/>
      <c r="Q3226"/>
      <c r="W3226" s="28"/>
      <c r="AA3226"/>
    </row>
    <row r="3227" spans="1:27" x14ac:dyDescent="0.45">
      <c r="A3227" s="57">
        <v>971</v>
      </c>
      <c r="B3227" t="s">
        <v>5890</v>
      </c>
      <c r="C3227" t="s">
        <v>5891</v>
      </c>
      <c r="D3227" s="12">
        <v>46313</v>
      </c>
      <c r="E3227" s="11">
        <v>56</v>
      </c>
      <c r="F3227" s="11" t="s">
        <v>6946</v>
      </c>
      <c r="G3227">
        <v>20221001</v>
      </c>
      <c r="I3227" s="11" t="s">
        <v>63</v>
      </c>
      <c r="J3227" s="72">
        <v>30522102</v>
      </c>
      <c r="K3227" s="99">
        <f>_xlfn.XLOOKUP(_2__ROI_Daily_Update[[#This Row],[CSM id]],SHP!F:F,SHP!EE:EE,"-")</f>
        <v>0</v>
      </c>
      <c r="L3227" s="12"/>
      <c r="N3227" s="11"/>
      <c r="P3227"/>
      <c r="Q3227"/>
      <c r="W3227" s="28"/>
      <c r="AA3227"/>
    </row>
    <row r="3228" spans="1:27" x14ac:dyDescent="0.45">
      <c r="A3228" s="57">
        <v>971</v>
      </c>
      <c r="B3228" t="s">
        <v>5890</v>
      </c>
      <c r="C3228" t="s">
        <v>5891</v>
      </c>
      <c r="D3228" s="12">
        <v>46313</v>
      </c>
      <c r="E3228" s="11">
        <v>56</v>
      </c>
      <c r="F3228" s="11" t="s">
        <v>7475</v>
      </c>
      <c r="G3228">
        <v>20221001</v>
      </c>
      <c r="I3228" s="11" t="s">
        <v>63</v>
      </c>
      <c r="J3228" s="72">
        <v>30522102</v>
      </c>
      <c r="K3228" s="99">
        <f>_xlfn.XLOOKUP(_2__ROI_Daily_Update[[#This Row],[CSM id]],SHP!F:F,SHP!EE:EE,"-")</f>
        <v>0</v>
      </c>
      <c r="L3228" s="12"/>
      <c r="N3228" s="11"/>
      <c r="P3228"/>
      <c r="Q3228"/>
      <c r="W3228" s="28"/>
      <c r="AA3228"/>
    </row>
    <row r="3229" spans="1:27" x14ac:dyDescent="0.45">
      <c r="A3229" s="57">
        <v>1211</v>
      </c>
      <c r="B3229" t="s">
        <v>1725</v>
      </c>
      <c r="C3229" t="s">
        <v>1726</v>
      </c>
      <c r="D3229" s="12">
        <v>46313</v>
      </c>
      <c r="E3229" s="11">
        <v>14</v>
      </c>
      <c r="F3229" s="11" t="s">
        <v>7463</v>
      </c>
      <c r="G3229">
        <v>20170201</v>
      </c>
      <c r="H3229" s="12">
        <v>46478</v>
      </c>
      <c r="I3229" s="11" t="s">
        <v>63</v>
      </c>
      <c r="J3229" s="72">
        <v>10346751</v>
      </c>
      <c r="K3229" s="99">
        <f>_xlfn.XLOOKUP(_2__ROI_Daily_Update[[#This Row],[CSM id]],SHP!F:F,SHP!EE:EE,"-")</f>
        <v>0</v>
      </c>
      <c r="L3229" s="12"/>
      <c r="N3229" s="11"/>
      <c r="P3229"/>
      <c r="Q3229"/>
      <c r="W3229" s="28"/>
      <c r="AA3229"/>
    </row>
    <row r="3230" spans="1:27" x14ac:dyDescent="0.45">
      <c r="A3230" s="57">
        <v>1132</v>
      </c>
      <c r="B3230" t="s">
        <v>1685</v>
      </c>
      <c r="C3230" t="s">
        <v>1686</v>
      </c>
      <c r="D3230" s="12">
        <v>46313</v>
      </c>
      <c r="E3230" s="11">
        <v>344</v>
      </c>
      <c r="F3230" s="11" t="s">
        <v>7499</v>
      </c>
      <c r="G3230">
        <v>20250701</v>
      </c>
      <c r="I3230" s="11" t="s">
        <v>18</v>
      </c>
      <c r="J3230" s="72">
        <v>30610269</v>
      </c>
      <c r="K3230" s="99">
        <f>_xlfn.XLOOKUP(_2__ROI_Daily_Update[[#This Row],[CSM id]],SHP!F:F,SHP!EE:EE,"-")</f>
        <v>0</v>
      </c>
      <c r="L3230" s="12"/>
      <c r="N3230" s="11"/>
      <c r="P3230"/>
      <c r="Q3230"/>
      <c r="W3230" s="28"/>
      <c r="AA3230"/>
    </row>
    <row r="3231" spans="1:27" x14ac:dyDescent="0.45">
      <c r="A3231" s="57">
        <v>1213</v>
      </c>
      <c r="B3231" t="s">
        <v>6423</v>
      </c>
      <c r="C3231" t="s">
        <v>6424</v>
      </c>
      <c r="D3231" s="12">
        <v>46313</v>
      </c>
      <c r="E3231" s="11">
        <v>4</v>
      </c>
      <c r="F3231" s="11" t="s">
        <v>7453</v>
      </c>
      <c r="G3231">
        <v>20260101</v>
      </c>
      <c r="I3231" s="11" t="s">
        <v>63</v>
      </c>
      <c r="J3231" s="72">
        <v>20616318</v>
      </c>
      <c r="K3231" s="99">
        <f>_xlfn.XLOOKUP(_2__ROI_Daily_Update[[#This Row],[CSM id]],SHP!F:F,SHP!EE:EE,"-")</f>
        <v>0</v>
      </c>
      <c r="L3231" s="12"/>
      <c r="N3231" s="11"/>
      <c r="P3231"/>
      <c r="Q3231"/>
      <c r="W3231" s="28"/>
      <c r="AA3231"/>
    </row>
    <row r="3232" spans="1:27" x14ac:dyDescent="0.45">
      <c r="A3232" s="57">
        <v>967</v>
      </c>
      <c r="B3232" t="s">
        <v>6139</v>
      </c>
      <c r="C3232" t="s">
        <v>6140</v>
      </c>
      <c r="D3232" s="12">
        <v>46313</v>
      </c>
      <c r="E3232" s="11">
        <v>60</v>
      </c>
      <c r="F3232" s="11" t="s">
        <v>7440</v>
      </c>
      <c r="G3232">
        <v>20261001</v>
      </c>
      <c r="H3232" s="12">
        <v>46661</v>
      </c>
      <c r="I3232" s="11" t="s">
        <v>63</v>
      </c>
      <c r="J3232" s="72">
        <v>20625167</v>
      </c>
      <c r="K3232" s="99">
        <f>_xlfn.XLOOKUP(_2__ROI_Daily_Update[[#This Row],[CSM id]],SHP!F:F,SHP!EE:EE,"-")</f>
        <v>0</v>
      </c>
      <c r="L3232" s="12"/>
      <c r="N3232" s="11"/>
      <c r="P3232"/>
      <c r="Q3232"/>
      <c r="W3232" s="28"/>
      <c r="AA3232"/>
    </row>
    <row r="3233" spans="1:27" x14ac:dyDescent="0.45">
      <c r="A3233" s="57">
        <v>1214</v>
      </c>
      <c r="B3233" t="s">
        <v>1813</v>
      </c>
      <c r="C3233" t="s">
        <v>1814</v>
      </c>
      <c r="D3233" s="12">
        <v>46313</v>
      </c>
      <c r="E3233" s="11">
        <v>200</v>
      </c>
      <c r="F3233" s="11" t="s">
        <v>7480</v>
      </c>
      <c r="G3233">
        <v>20140801</v>
      </c>
      <c r="H3233" s="12">
        <v>46478</v>
      </c>
      <c r="I3233" s="11" t="s">
        <v>63</v>
      </c>
      <c r="J3233" s="72">
        <v>40219898</v>
      </c>
      <c r="K3233" s="99">
        <f>_xlfn.XLOOKUP(_2__ROI_Daily_Update[[#This Row],[CSM id]],SHP!F:F,SHP!EE:EE,"-")</f>
        <v>0</v>
      </c>
      <c r="L3233" s="12"/>
      <c r="N3233" s="11"/>
      <c r="P3233"/>
      <c r="Q3233"/>
      <c r="W3233" s="28"/>
      <c r="AA3233"/>
    </row>
    <row r="3234" spans="1:27" x14ac:dyDescent="0.45">
      <c r="A3234" s="57">
        <v>1122</v>
      </c>
      <c r="B3234" t="s">
        <v>1629</v>
      </c>
      <c r="C3234" t="s">
        <v>1630</v>
      </c>
      <c r="D3234" s="12">
        <v>46313</v>
      </c>
      <c r="E3234" s="11">
        <v>96</v>
      </c>
      <c r="F3234" s="11" t="s">
        <v>7420</v>
      </c>
      <c r="G3234">
        <v>20241001</v>
      </c>
      <c r="I3234" s="11" t="s">
        <v>63</v>
      </c>
      <c r="J3234" s="72">
        <v>90587119</v>
      </c>
      <c r="K3234" s="99">
        <f>_xlfn.XLOOKUP(_2__ROI_Daily_Update[[#This Row],[CSM id]],SHP!F:F,SHP!EE:EE,"-")</f>
        <v>0</v>
      </c>
      <c r="L3234" s="12"/>
      <c r="N3234" s="11"/>
      <c r="P3234"/>
      <c r="Q3234"/>
      <c r="W3234" s="28"/>
      <c r="AA3234"/>
    </row>
    <row r="3235" spans="1:27" x14ac:dyDescent="0.45">
      <c r="A3235" s="57">
        <v>1131</v>
      </c>
      <c r="B3235" t="s">
        <v>6869</v>
      </c>
      <c r="C3235" t="s">
        <v>6870</v>
      </c>
      <c r="D3235" s="12">
        <v>46313</v>
      </c>
      <c r="E3235" s="11">
        <v>42</v>
      </c>
      <c r="F3235" s="11" t="s">
        <v>7463</v>
      </c>
      <c r="G3235">
        <v>20261001</v>
      </c>
      <c r="I3235" s="11" t="s">
        <v>63</v>
      </c>
      <c r="J3235" s="72">
        <v>614495</v>
      </c>
      <c r="K3235" s="99">
        <f>_xlfn.XLOOKUP(_2__ROI_Daily_Update[[#This Row],[CSM id]],SHP!F:F,SHP!EE:EE,"-")</f>
        <v>0</v>
      </c>
      <c r="L3235" s="12"/>
      <c r="N3235" s="11"/>
      <c r="P3235"/>
      <c r="Q3235"/>
      <c r="W3235" s="28"/>
      <c r="AA3235"/>
    </row>
    <row r="3236" spans="1:27" x14ac:dyDescent="0.45">
      <c r="A3236" s="57">
        <v>972</v>
      </c>
      <c r="B3236" t="s">
        <v>863</v>
      </c>
      <c r="C3236" t="s">
        <v>864</v>
      </c>
      <c r="D3236" s="12">
        <v>46313</v>
      </c>
      <c r="E3236" s="11">
        <v>72</v>
      </c>
      <c r="F3236" s="11" t="s">
        <v>7420</v>
      </c>
      <c r="G3236">
        <v>20261001</v>
      </c>
      <c r="I3236" s="11" t="s">
        <v>63</v>
      </c>
      <c r="J3236" s="72">
        <v>641470</v>
      </c>
      <c r="K3236" s="99">
        <f>_xlfn.XLOOKUP(_2__ROI_Daily_Update[[#This Row],[CSM id]],SHP!F:F,SHP!EE:EE,"-")</f>
        <v>0</v>
      </c>
      <c r="L3236" s="12"/>
      <c r="N3236" s="11"/>
      <c r="P3236"/>
      <c r="Q3236"/>
      <c r="W3236" s="28"/>
      <c r="AA3236"/>
    </row>
    <row r="3237" spans="1:27" x14ac:dyDescent="0.45">
      <c r="A3237" s="57">
        <v>1231</v>
      </c>
      <c r="B3237" t="s">
        <v>6239</v>
      </c>
      <c r="C3237" t="s">
        <v>6240</v>
      </c>
      <c r="D3237" s="12">
        <v>46313</v>
      </c>
      <c r="E3237" s="11">
        <v>48</v>
      </c>
      <c r="F3237" s="11" t="s">
        <v>7440</v>
      </c>
      <c r="G3237">
        <v>20260401</v>
      </c>
      <c r="I3237" s="11" t="s">
        <v>63</v>
      </c>
      <c r="J3237" s="72">
        <v>30626406</v>
      </c>
      <c r="K3237" s="99">
        <f>_xlfn.XLOOKUP(_2__ROI_Daily_Update[[#This Row],[CSM id]],SHP!F:F,SHP!EE:EE,"-")</f>
        <v>0</v>
      </c>
      <c r="L3237" s="12"/>
      <c r="N3237" s="11"/>
      <c r="P3237"/>
      <c r="Q3237"/>
      <c r="W3237" s="28"/>
      <c r="AA3237"/>
    </row>
    <row r="3238" spans="1:27" x14ac:dyDescent="0.45">
      <c r="A3238" s="57">
        <v>1122</v>
      </c>
      <c r="B3238" t="s">
        <v>1617</v>
      </c>
      <c r="C3238" t="s">
        <v>1618</v>
      </c>
      <c r="D3238" s="12">
        <v>46313</v>
      </c>
      <c r="E3238" s="11">
        <v>36</v>
      </c>
      <c r="F3238" s="11" t="s">
        <v>7499</v>
      </c>
      <c r="G3238">
        <v>20200401</v>
      </c>
      <c r="I3238" s="11" t="s">
        <v>18</v>
      </c>
      <c r="J3238" s="72">
        <v>60460372</v>
      </c>
      <c r="K3238" s="99">
        <f>_xlfn.XLOOKUP(_2__ROI_Daily_Update[[#This Row],[CSM id]],SHP!F:F,SHP!EE:EE,"-")</f>
        <v>0</v>
      </c>
      <c r="L3238" s="12"/>
      <c r="N3238" s="11"/>
      <c r="P3238"/>
      <c r="Q3238"/>
      <c r="W3238" s="28"/>
      <c r="AA3238"/>
    </row>
    <row r="3239" spans="1:27" x14ac:dyDescent="0.45">
      <c r="A3239" s="57">
        <v>972</v>
      </c>
      <c r="B3239" t="s">
        <v>877</v>
      </c>
      <c r="C3239" t="s">
        <v>878</v>
      </c>
      <c r="D3239" s="12">
        <v>46313</v>
      </c>
      <c r="E3239" s="11">
        <v>15</v>
      </c>
      <c r="F3239" s="11" t="s">
        <v>7485</v>
      </c>
      <c r="G3239">
        <v>20160401</v>
      </c>
      <c r="I3239" s="11" t="s">
        <v>32</v>
      </c>
      <c r="J3239" s="72">
        <v>40319973</v>
      </c>
      <c r="K3239" s="99">
        <f>_xlfn.XLOOKUP(_2__ROI_Daily_Update[[#This Row],[CSM id]],SHP!F:F,SHP!EE:EE,"-")</f>
        <v>0</v>
      </c>
      <c r="L3239" s="12"/>
      <c r="N3239" s="11"/>
      <c r="P3239"/>
      <c r="Q3239"/>
      <c r="W3239" s="28"/>
      <c r="AA3239"/>
    </row>
    <row r="3240" spans="1:27" x14ac:dyDescent="0.45">
      <c r="A3240" s="57">
        <v>1821</v>
      </c>
      <c r="B3240" t="s">
        <v>6327</v>
      </c>
      <c r="C3240" t="s">
        <v>6328</v>
      </c>
      <c r="D3240" s="12">
        <v>46313</v>
      </c>
      <c r="E3240" s="11">
        <v>100</v>
      </c>
      <c r="F3240" s="11" t="s">
        <v>7453</v>
      </c>
      <c r="G3240">
        <v>20240101</v>
      </c>
      <c r="I3240" s="11" t="s">
        <v>63</v>
      </c>
      <c r="J3240" s="72">
        <v>80569936</v>
      </c>
      <c r="K3240" s="99">
        <f>_xlfn.XLOOKUP(_2__ROI_Daily_Update[[#This Row],[CSM id]],SHP!F:F,SHP!EE:EE,"-")</f>
        <v>0</v>
      </c>
      <c r="L3240" s="12"/>
      <c r="N3240" s="11"/>
      <c r="P3240"/>
      <c r="Q3240"/>
      <c r="W3240" s="28"/>
      <c r="AA3240"/>
    </row>
    <row r="3241" spans="1:27" x14ac:dyDescent="0.45">
      <c r="A3241" s="57">
        <v>1231</v>
      </c>
      <c r="B3241" t="s">
        <v>7023</v>
      </c>
      <c r="C3241" t="s">
        <v>7024</v>
      </c>
      <c r="D3241" s="12">
        <v>46313</v>
      </c>
      <c r="E3241" s="11">
        <v>36</v>
      </c>
      <c r="F3241" s="11" t="s">
        <v>7475</v>
      </c>
      <c r="G3241">
        <v>20250701</v>
      </c>
      <c r="H3241" s="12">
        <v>46569</v>
      </c>
      <c r="I3241" s="11" t="s">
        <v>63</v>
      </c>
      <c r="J3241" s="72">
        <v>30623422</v>
      </c>
      <c r="K3241" s="99">
        <f>_xlfn.XLOOKUP(_2__ROI_Daily_Update[[#This Row],[CSM id]],SHP!F:F,SHP!EE:EE,"-")</f>
        <v>0</v>
      </c>
      <c r="L3241" s="12"/>
      <c r="N3241" s="11"/>
      <c r="P3241"/>
      <c r="Q3241"/>
      <c r="W3241" s="28"/>
      <c r="AA3241"/>
    </row>
    <row r="3242" spans="1:27" x14ac:dyDescent="0.45">
      <c r="A3242" s="57">
        <v>1832</v>
      </c>
      <c r="B3242" t="s">
        <v>3618</v>
      </c>
      <c r="C3242" t="s">
        <v>3619</v>
      </c>
      <c r="D3242" s="12">
        <v>46313</v>
      </c>
      <c r="E3242" s="11">
        <v>192</v>
      </c>
      <c r="F3242" s="11" t="s">
        <v>7463</v>
      </c>
      <c r="G3242">
        <v>20230701</v>
      </c>
      <c r="I3242" s="11" t="s">
        <v>63</v>
      </c>
      <c r="J3242" s="72">
        <v>60555799</v>
      </c>
      <c r="K3242" s="99">
        <f>_xlfn.XLOOKUP(_2__ROI_Daily_Update[[#This Row],[CSM id]],SHP!F:F,SHP!EE:EE,"-")</f>
        <v>0</v>
      </c>
      <c r="L3242" s="12"/>
      <c r="N3242" s="11"/>
      <c r="P3242"/>
      <c r="Q3242"/>
      <c r="W3242" s="28"/>
      <c r="AA3242"/>
    </row>
    <row r="3243" spans="1:27" x14ac:dyDescent="0.45">
      <c r="A3243" s="57">
        <v>972</v>
      </c>
      <c r="B3243" t="s">
        <v>5835</v>
      </c>
      <c r="C3243" t="s">
        <v>5836</v>
      </c>
      <c r="D3243" s="12">
        <v>46313</v>
      </c>
      <c r="E3243" s="11">
        <v>60</v>
      </c>
      <c r="F3243" s="11" t="s">
        <v>7395</v>
      </c>
      <c r="G3243">
        <v>20261001</v>
      </c>
      <c r="I3243" s="11" t="s">
        <v>63</v>
      </c>
      <c r="J3243" s="72">
        <v>30641708</v>
      </c>
      <c r="K3243" s="99">
        <f>_xlfn.XLOOKUP(_2__ROI_Daily_Update[[#This Row],[CSM id]],SHP!F:F,SHP!EE:EE,"-")</f>
        <v>0</v>
      </c>
      <c r="L3243" s="12"/>
      <c r="N3243" s="11"/>
      <c r="P3243"/>
      <c r="Q3243"/>
      <c r="W3243" s="28"/>
      <c r="AA3243"/>
    </row>
    <row r="3244" spans="1:27" x14ac:dyDescent="0.45">
      <c r="A3244" s="57">
        <v>1122</v>
      </c>
      <c r="B3244" t="s">
        <v>1619</v>
      </c>
      <c r="C3244" t="s">
        <v>1620</v>
      </c>
      <c r="D3244" s="12">
        <v>46313</v>
      </c>
      <c r="E3244" s="11">
        <v>50</v>
      </c>
      <c r="F3244" s="11" t="s">
        <v>7468</v>
      </c>
      <c r="G3244">
        <v>20230101</v>
      </c>
      <c r="I3244" s="11" t="s">
        <v>18</v>
      </c>
      <c r="J3244" s="72">
        <v>60544881</v>
      </c>
      <c r="K3244" s="99">
        <f>_xlfn.XLOOKUP(_2__ROI_Daily_Update[[#This Row],[CSM id]],SHP!F:F,SHP!EE:EE,"-")</f>
        <v>0</v>
      </c>
      <c r="L3244" s="12"/>
      <c r="N3244" s="11"/>
      <c r="P3244"/>
      <c r="Q3244"/>
      <c r="W3244" s="28"/>
      <c r="AA3244"/>
    </row>
    <row r="3245" spans="1:27" x14ac:dyDescent="0.45">
      <c r="A3245" s="57">
        <v>1231</v>
      </c>
      <c r="B3245" t="s">
        <v>6351</v>
      </c>
      <c r="C3245" t="s">
        <v>6352</v>
      </c>
      <c r="D3245" s="12">
        <v>46313</v>
      </c>
      <c r="E3245" s="11">
        <v>44</v>
      </c>
      <c r="F3245" s="11" t="s">
        <v>7448</v>
      </c>
      <c r="G3245">
        <v>20260601</v>
      </c>
      <c r="I3245" s="11" t="s">
        <v>63</v>
      </c>
      <c r="J3245" s="72">
        <v>30617497</v>
      </c>
      <c r="K3245" s="99">
        <f>_xlfn.XLOOKUP(_2__ROI_Daily_Update[[#This Row],[CSM id]],SHP!F:F,SHP!EE:EE,"-")</f>
        <v>0</v>
      </c>
      <c r="L3245" s="12"/>
      <c r="N3245" s="11"/>
      <c r="P3245"/>
      <c r="Q3245"/>
      <c r="W3245" s="28"/>
      <c r="AA3245"/>
    </row>
    <row r="3246" spans="1:27" x14ac:dyDescent="0.45">
      <c r="A3246" s="57">
        <v>972</v>
      </c>
      <c r="B3246" t="s">
        <v>875</v>
      </c>
      <c r="C3246" t="s">
        <v>876</v>
      </c>
      <c r="D3246" s="12">
        <v>46313</v>
      </c>
      <c r="E3246" s="11">
        <v>132</v>
      </c>
      <c r="F3246" s="11" t="s">
        <v>7395</v>
      </c>
      <c r="G3246">
        <v>20211001</v>
      </c>
      <c r="I3246" s="11" t="s">
        <v>63</v>
      </c>
      <c r="J3246" s="72">
        <v>30506673</v>
      </c>
      <c r="K3246" s="99">
        <f>_xlfn.XLOOKUP(_2__ROI_Daily_Update[[#This Row],[CSM id]],SHP!F:F,SHP!EE:EE,"-")</f>
        <v>0</v>
      </c>
      <c r="L3246" s="12"/>
      <c r="N3246" s="11"/>
      <c r="P3246"/>
      <c r="Q3246"/>
      <c r="W3246" s="28"/>
      <c r="AA3246"/>
    </row>
    <row r="3247" spans="1:27" x14ac:dyDescent="0.45">
      <c r="A3247" s="57">
        <v>972</v>
      </c>
      <c r="B3247" t="s">
        <v>7117</v>
      </c>
      <c r="C3247" t="s">
        <v>7118</v>
      </c>
      <c r="D3247" s="12">
        <v>46313</v>
      </c>
      <c r="E3247" s="11">
        <v>160</v>
      </c>
      <c r="F3247" s="11" t="s">
        <v>7475</v>
      </c>
      <c r="G3247">
        <v>20170801</v>
      </c>
      <c r="I3247" s="11" t="s">
        <v>63</v>
      </c>
      <c r="J3247" s="72">
        <v>30320095</v>
      </c>
      <c r="K3247" s="99">
        <f>_xlfn.XLOOKUP(_2__ROI_Daily_Update[[#This Row],[CSM id]],SHP!F:F,SHP!EE:EE,"-")</f>
        <v>0</v>
      </c>
      <c r="L3247" s="12"/>
      <c r="N3247" s="11"/>
      <c r="P3247"/>
      <c r="Q3247"/>
      <c r="W3247" s="28"/>
      <c r="AA3247"/>
    </row>
    <row r="3248" spans="1:27" x14ac:dyDescent="0.45">
      <c r="A3248" s="57">
        <v>1231</v>
      </c>
      <c r="B3248" t="s">
        <v>1873</v>
      </c>
      <c r="C3248" t="s">
        <v>1874</v>
      </c>
      <c r="D3248" s="12">
        <v>46313</v>
      </c>
      <c r="E3248" s="11">
        <v>112</v>
      </c>
      <c r="F3248" s="11" t="s">
        <v>7480</v>
      </c>
      <c r="G3248">
        <v>20241001</v>
      </c>
      <c r="I3248" s="11" t="s">
        <v>63</v>
      </c>
      <c r="J3248" s="72">
        <v>30590898</v>
      </c>
      <c r="K3248" s="99">
        <f>_xlfn.XLOOKUP(_2__ROI_Daily_Update[[#This Row],[CSM id]],SHP!F:F,SHP!EE:EE,"-")</f>
        <v>0</v>
      </c>
      <c r="L3248" s="12"/>
      <c r="N3248" s="11"/>
      <c r="P3248"/>
      <c r="Q3248"/>
      <c r="W3248" s="28"/>
      <c r="AA3248"/>
    </row>
    <row r="3249" spans="1:27" x14ac:dyDescent="0.45">
      <c r="A3249" s="57">
        <v>1231</v>
      </c>
      <c r="B3249" t="s">
        <v>1873</v>
      </c>
      <c r="C3249" t="s">
        <v>1874</v>
      </c>
      <c r="D3249" s="12">
        <v>46313</v>
      </c>
      <c r="E3249" s="11">
        <v>96</v>
      </c>
      <c r="F3249" s="11" t="s">
        <v>7420</v>
      </c>
      <c r="G3249">
        <v>20241001</v>
      </c>
      <c r="I3249" s="11" t="s">
        <v>63</v>
      </c>
      <c r="J3249" s="72">
        <v>30590898</v>
      </c>
      <c r="K3249" s="99">
        <f>_xlfn.XLOOKUP(_2__ROI_Daily_Update[[#This Row],[CSM id]],SHP!F:F,SHP!EE:EE,"-")</f>
        <v>0</v>
      </c>
      <c r="L3249" s="12"/>
      <c r="N3249" s="11"/>
      <c r="P3249"/>
      <c r="Q3249"/>
      <c r="W3249" s="28"/>
      <c r="AA3249"/>
    </row>
    <row r="3250" spans="1:27" x14ac:dyDescent="0.45">
      <c r="A3250" s="57">
        <v>1231</v>
      </c>
      <c r="B3250" t="s">
        <v>6239</v>
      </c>
      <c r="C3250" t="s">
        <v>6240</v>
      </c>
      <c r="D3250" s="12">
        <v>46313</v>
      </c>
      <c r="E3250" s="11">
        <v>24</v>
      </c>
      <c r="F3250" s="11" t="s">
        <v>7480</v>
      </c>
      <c r="G3250">
        <v>20260401</v>
      </c>
      <c r="I3250" s="11" t="s">
        <v>63</v>
      </c>
      <c r="J3250" s="72">
        <v>30626406</v>
      </c>
      <c r="K3250" s="99">
        <f>_xlfn.XLOOKUP(_2__ROI_Daily_Update[[#This Row],[CSM id]],SHP!F:F,SHP!EE:EE,"-")</f>
        <v>0</v>
      </c>
      <c r="L3250" s="12"/>
      <c r="N3250" s="11"/>
      <c r="P3250"/>
      <c r="Q3250"/>
      <c r="W3250" s="28"/>
      <c r="AA3250"/>
    </row>
    <row r="3251" spans="1:27" x14ac:dyDescent="0.45">
      <c r="A3251" s="57">
        <v>1231</v>
      </c>
      <c r="B3251" t="s">
        <v>1871</v>
      </c>
      <c r="C3251" t="s">
        <v>1872</v>
      </c>
      <c r="D3251" s="12">
        <v>46313</v>
      </c>
      <c r="E3251" s="11">
        <v>48</v>
      </c>
      <c r="F3251" s="11" t="s">
        <v>7415</v>
      </c>
      <c r="G3251">
        <v>20241001</v>
      </c>
      <c r="I3251" s="11" t="s">
        <v>63</v>
      </c>
      <c r="J3251" s="72">
        <v>30571098</v>
      </c>
      <c r="K3251" s="99">
        <f>_xlfn.XLOOKUP(_2__ROI_Daily_Update[[#This Row],[CSM id]],SHP!F:F,SHP!EE:EE,"-")</f>
        <v>0</v>
      </c>
      <c r="L3251" s="12"/>
      <c r="N3251" s="11"/>
      <c r="P3251"/>
      <c r="Q3251"/>
      <c r="W3251" s="28"/>
      <c r="AA3251"/>
    </row>
    <row r="3252" spans="1:27" x14ac:dyDescent="0.45">
      <c r="A3252" s="57">
        <v>1122</v>
      </c>
      <c r="B3252" t="s">
        <v>1621</v>
      </c>
      <c r="C3252" t="s">
        <v>1622</v>
      </c>
      <c r="D3252" s="12">
        <v>46313</v>
      </c>
      <c r="E3252" s="11">
        <v>24</v>
      </c>
      <c r="F3252" s="11" t="s">
        <v>7485</v>
      </c>
      <c r="G3252">
        <v>20250101</v>
      </c>
      <c r="H3252" s="12">
        <v>46478</v>
      </c>
      <c r="I3252" s="11" t="s">
        <v>32</v>
      </c>
      <c r="J3252" s="72">
        <v>60596196</v>
      </c>
      <c r="K3252" s="99">
        <f>_xlfn.XLOOKUP(_2__ROI_Daily_Update[[#This Row],[CSM id]],SHP!F:F,SHP!EE:EE,"-")</f>
        <v>0</v>
      </c>
      <c r="L3252" s="12"/>
      <c r="N3252" s="11"/>
      <c r="P3252"/>
      <c r="Q3252"/>
      <c r="W3252" s="28"/>
      <c r="AA3252"/>
    </row>
    <row r="3253" spans="1:27" x14ac:dyDescent="0.45">
      <c r="A3253" s="57">
        <v>966</v>
      </c>
      <c r="B3253" t="s">
        <v>5941</v>
      </c>
      <c r="C3253" t="s">
        <v>5942</v>
      </c>
      <c r="D3253" s="12">
        <v>46313</v>
      </c>
      <c r="E3253" s="11">
        <v>12</v>
      </c>
      <c r="F3253" s="11" t="s">
        <v>6946</v>
      </c>
      <c r="G3253">
        <v>20250401</v>
      </c>
      <c r="H3253" s="12">
        <v>46478</v>
      </c>
      <c r="I3253" s="11" t="s">
        <v>63</v>
      </c>
      <c r="J3253" s="72">
        <v>20595325</v>
      </c>
      <c r="K3253" s="99">
        <f>_xlfn.XLOOKUP(_2__ROI_Daily_Update[[#This Row],[CSM id]],SHP!F:F,SHP!EE:EE,"-")</f>
        <v>0</v>
      </c>
      <c r="L3253" s="12"/>
      <c r="N3253" s="11"/>
      <c r="P3253"/>
      <c r="Q3253"/>
      <c r="W3253" s="28"/>
      <c r="AA3253"/>
    </row>
    <row r="3254" spans="1:27" x14ac:dyDescent="0.45">
      <c r="A3254" s="57">
        <v>972</v>
      </c>
      <c r="B3254" t="s">
        <v>873</v>
      </c>
      <c r="C3254" t="s">
        <v>874</v>
      </c>
      <c r="D3254" s="12">
        <v>46313</v>
      </c>
      <c r="E3254" s="11">
        <v>42</v>
      </c>
      <c r="F3254" s="11" t="s">
        <v>7499</v>
      </c>
      <c r="G3254">
        <v>20261001</v>
      </c>
      <c r="I3254" s="11" t="s">
        <v>18</v>
      </c>
      <c r="J3254" s="72">
        <v>20641474</v>
      </c>
      <c r="K3254" s="99">
        <f>_xlfn.XLOOKUP(_2__ROI_Daily_Update[[#This Row],[CSM id]],SHP!F:F,SHP!EE:EE,"-")</f>
        <v>0</v>
      </c>
      <c r="L3254" s="12"/>
      <c r="N3254" s="11"/>
      <c r="P3254"/>
      <c r="Q3254"/>
      <c r="W3254" s="28"/>
      <c r="AA3254"/>
    </row>
    <row r="3255" spans="1:27" x14ac:dyDescent="0.45">
      <c r="A3255" s="57">
        <v>1211</v>
      </c>
      <c r="B3255" t="s">
        <v>6169</v>
      </c>
      <c r="C3255" t="s">
        <v>6170</v>
      </c>
      <c r="D3255" s="12">
        <v>46313</v>
      </c>
      <c r="E3255" s="11">
        <v>24</v>
      </c>
      <c r="F3255" s="11" t="s">
        <v>7440</v>
      </c>
      <c r="G3255">
        <v>20250401</v>
      </c>
      <c r="I3255" s="11" t="s">
        <v>63</v>
      </c>
      <c r="J3255" s="72">
        <v>50597144</v>
      </c>
      <c r="K3255" s="99">
        <f>_xlfn.XLOOKUP(_2__ROI_Daily_Update[[#This Row],[CSM id]],SHP!F:F,SHP!EE:EE,"-")</f>
        <v>0</v>
      </c>
      <c r="L3255" s="12"/>
      <c r="N3255" s="11"/>
      <c r="P3255"/>
      <c r="Q3255"/>
      <c r="W3255" s="28"/>
      <c r="AA3255"/>
    </row>
    <row r="3256" spans="1:27" x14ac:dyDescent="0.45">
      <c r="A3256" s="57">
        <v>972</v>
      </c>
      <c r="B3256" t="s">
        <v>873</v>
      </c>
      <c r="C3256" t="s">
        <v>874</v>
      </c>
      <c r="D3256" s="12">
        <v>46313</v>
      </c>
      <c r="E3256" s="11">
        <v>42</v>
      </c>
      <c r="F3256" s="11" t="s">
        <v>7485</v>
      </c>
      <c r="G3256">
        <v>20261001</v>
      </c>
      <c r="I3256" s="11" t="s">
        <v>18</v>
      </c>
      <c r="J3256" s="72">
        <v>20641474</v>
      </c>
      <c r="K3256" s="99">
        <f>_xlfn.XLOOKUP(_2__ROI_Daily_Update[[#This Row],[CSM id]],SHP!F:F,SHP!EE:EE,"-")</f>
        <v>0</v>
      </c>
      <c r="L3256" s="12"/>
      <c r="N3256" s="11"/>
      <c r="P3256"/>
      <c r="Q3256"/>
      <c r="W3256" s="28"/>
      <c r="AA3256"/>
    </row>
    <row r="3257" spans="1:27" x14ac:dyDescent="0.45">
      <c r="A3257" s="57">
        <v>1122</v>
      </c>
      <c r="B3257" t="s">
        <v>1623</v>
      </c>
      <c r="C3257" t="s">
        <v>1624</v>
      </c>
      <c r="D3257" s="12">
        <v>46313</v>
      </c>
      <c r="E3257" s="11">
        <v>66</v>
      </c>
      <c r="F3257" s="11" t="s">
        <v>7468</v>
      </c>
      <c r="G3257">
        <v>20190801</v>
      </c>
      <c r="H3257" s="12">
        <v>46388</v>
      </c>
      <c r="I3257" s="11" t="s">
        <v>32</v>
      </c>
      <c r="J3257" s="72">
        <v>70444367</v>
      </c>
      <c r="K3257" s="99">
        <f>_xlfn.XLOOKUP(_2__ROI_Daily_Update[[#This Row],[CSM id]],SHP!F:F,SHP!EE:EE,"-")</f>
        <v>0</v>
      </c>
      <c r="L3257" s="12"/>
      <c r="N3257" s="11"/>
      <c r="P3257"/>
      <c r="Q3257"/>
      <c r="W3257" s="28"/>
      <c r="AA3257"/>
    </row>
    <row r="3258" spans="1:27" x14ac:dyDescent="0.45">
      <c r="A3258" s="57">
        <v>1833</v>
      </c>
      <c r="B3258" t="s">
        <v>6291</v>
      </c>
      <c r="C3258" t="s">
        <v>6292</v>
      </c>
      <c r="D3258" s="12">
        <v>46313</v>
      </c>
      <c r="E3258" s="11">
        <v>640</v>
      </c>
      <c r="F3258" s="11" t="s">
        <v>7458</v>
      </c>
      <c r="G3258">
        <v>20260701</v>
      </c>
      <c r="I3258" s="11" t="s">
        <v>63</v>
      </c>
      <c r="J3258" s="72">
        <v>632258</v>
      </c>
      <c r="K3258" s="99">
        <f>_xlfn.XLOOKUP(_2__ROI_Daily_Update[[#This Row],[CSM id]],SHP!F:F,SHP!EE:EE,"-")</f>
        <v>0</v>
      </c>
      <c r="L3258" s="12"/>
      <c r="N3258" s="11"/>
      <c r="P3258"/>
      <c r="Q3258"/>
      <c r="W3258" s="28"/>
      <c r="AA3258"/>
    </row>
    <row r="3259" spans="1:27" x14ac:dyDescent="0.45">
      <c r="A3259" s="57">
        <v>1231</v>
      </c>
      <c r="B3259" t="s">
        <v>1867</v>
      </c>
      <c r="C3259" t="s">
        <v>1868</v>
      </c>
      <c r="D3259" s="12">
        <v>46313</v>
      </c>
      <c r="E3259" s="11">
        <v>32</v>
      </c>
      <c r="F3259" s="11" t="s">
        <v>7430</v>
      </c>
      <c r="G3259">
        <v>20260701</v>
      </c>
      <c r="I3259" s="11" t="s">
        <v>63</v>
      </c>
      <c r="J3259" s="72">
        <v>20636024</v>
      </c>
      <c r="K3259" s="99">
        <f>_xlfn.XLOOKUP(_2__ROI_Daily_Update[[#This Row],[CSM id]],SHP!F:F,SHP!EE:EE,"-")</f>
        <v>0</v>
      </c>
      <c r="L3259" s="12"/>
      <c r="N3259" s="11"/>
      <c r="P3259"/>
      <c r="Q3259"/>
      <c r="W3259" s="28"/>
      <c r="AA3259"/>
    </row>
    <row r="3260" spans="1:27" x14ac:dyDescent="0.45">
      <c r="A3260" s="57">
        <v>1211</v>
      </c>
      <c r="B3260" t="s">
        <v>1767</v>
      </c>
      <c r="C3260" t="s">
        <v>1768</v>
      </c>
      <c r="D3260" s="12">
        <v>46313</v>
      </c>
      <c r="E3260" s="11">
        <v>16</v>
      </c>
      <c r="F3260" s="11" t="s">
        <v>7440</v>
      </c>
      <c r="G3260">
        <v>20241001</v>
      </c>
      <c r="I3260" s="11" t="s">
        <v>63</v>
      </c>
      <c r="J3260" s="72">
        <v>80297554</v>
      </c>
      <c r="K3260" s="99">
        <f>_xlfn.XLOOKUP(_2__ROI_Daily_Update[[#This Row],[CSM id]],SHP!F:F,SHP!EE:EE,"-")</f>
        <v>0</v>
      </c>
      <c r="L3260" s="12"/>
      <c r="N3260" s="11"/>
      <c r="P3260"/>
      <c r="Q3260"/>
      <c r="W3260" s="28"/>
      <c r="AA3260"/>
    </row>
    <row r="3261" spans="1:27" x14ac:dyDescent="0.45">
      <c r="A3261" s="57">
        <v>1231</v>
      </c>
      <c r="B3261" t="s">
        <v>1865</v>
      </c>
      <c r="C3261" t="s">
        <v>1866</v>
      </c>
      <c r="D3261" s="12">
        <v>46313</v>
      </c>
      <c r="E3261" s="11">
        <v>36</v>
      </c>
      <c r="F3261" s="11" t="s">
        <v>7430</v>
      </c>
      <c r="G3261">
        <v>20260801</v>
      </c>
      <c r="H3261" s="12">
        <v>46478</v>
      </c>
      <c r="I3261" s="11" t="s">
        <v>63</v>
      </c>
      <c r="J3261" s="72">
        <v>20628774</v>
      </c>
      <c r="K3261" s="99">
        <f>_xlfn.XLOOKUP(_2__ROI_Daily_Update[[#This Row],[CSM id]],SHP!F:F,SHP!EE:EE,"-")</f>
        <v>0</v>
      </c>
      <c r="L3261" s="12"/>
      <c r="N3261" s="11"/>
      <c r="P3261"/>
      <c r="Q3261"/>
      <c r="W3261" s="28"/>
      <c r="AA3261"/>
    </row>
    <row r="3262" spans="1:27" x14ac:dyDescent="0.45">
      <c r="A3262" s="57">
        <v>972</v>
      </c>
      <c r="B3262" t="s">
        <v>5833</v>
      </c>
      <c r="C3262" t="s">
        <v>5834</v>
      </c>
      <c r="D3262" s="12">
        <v>46313</v>
      </c>
      <c r="E3262" s="11">
        <v>60</v>
      </c>
      <c r="F3262" s="11" t="s">
        <v>7400</v>
      </c>
      <c r="G3262">
        <v>20251001</v>
      </c>
      <c r="I3262" s="11" t="s">
        <v>63</v>
      </c>
      <c r="J3262" s="72">
        <v>20581899</v>
      </c>
      <c r="K3262" s="99">
        <f>_xlfn.XLOOKUP(_2__ROI_Daily_Update[[#This Row],[CSM id]],SHP!F:F,SHP!EE:EE,"-")</f>
        <v>0</v>
      </c>
      <c r="L3262" s="12"/>
      <c r="N3262" s="11"/>
      <c r="P3262"/>
      <c r="Q3262"/>
      <c r="W3262" s="28"/>
      <c r="AA3262"/>
    </row>
    <row r="3263" spans="1:27" x14ac:dyDescent="0.45">
      <c r="A3263" s="57">
        <v>1822</v>
      </c>
      <c r="B3263" t="s">
        <v>3560</v>
      </c>
      <c r="C3263" t="s">
        <v>3561</v>
      </c>
      <c r="D3263" s="12">
        <v>46313</v>
      </c>
      <c r="E3263" s="11">
        <v>60</v>
      </c>
      <c r="F3263" s="11" t="s">
        <v>7453</v>
      </c>
      <c r="G3263">
        <v>20231001</v>
      </c>
      <c r="I3263" s="11" t="s">
        <v>63</v>
      </c>
      <c r="J3263" s="72">
        <v>60563718</v>
      </c>
      <c r="K3263" s="99">
        <f>_xlfn.XLOOKUP(_2__ROI_Daily_Update[[#This Row],[CSM id]],SHP!F:F,SHP!EE:EE,"-")</f>
        <v>0</v>
      </c>
      <c r="L3263" s="12"/>
      <c r="N3263" s="11"/>
      <c r="P3263"/>
      <c r="Q3263"/>
      <c r="W3263" s="28"/>
      <c r="AA3263"/>
    </row>
    <row r="3264" spans="1:27" x14ac:dyDescent="0.45">
      <c r="A3264" s="57">
        <v>1122</v>
      </c>
      <c r="B3264" t="s">
        <v>1625</v>
      </c>
      <c r="C3264" t="s">
        <v>1626</v>
      </c>
      <c r="D3264" s="12">
        <v>46313</v>
      </c>
      <c r="E3264" s="11">
        <v>80</v>
      </c>
      <c r="F3264" s="11" t="s">
        <v>7468</v>
      </c>
      <c r="G3264">
        <v>20190801</v>
      </c>
      <c r="H3264" s="12">
        <v>46478</v>
      </c>
      <c r="I3264" s="11" t="s">
        <v>18</v>
      </c>
      <c r="J3264" s="72">
        <v>80446097</v>
      </c>
      <c r="K3264" s="99">
        <f>_xlfn.XLOOKUP(_2__ROI_Daily_Update[[#This Row],[CSM id]],SHP!F:F,SHP!EE:EE,"-")</f>
        <v>0</v>
      </c>
      <c r="L3264" s="12"/>
      <c r="N3264" s="11"/>
      <c r="P3264"/>
      <c r="Q3264"/>
      <c r="W3264" s="28"/>
      <c r="AA3264"/>
    </row>
    <row r="3265" spans="1:27" x14ac:dyDescent="0.45">
      <c r="A3265" s="57">
        <v>1122</v>
      </c>
      <c r="B3265" t="s">
        <v>1621</v>
      </c>
      <c r="C3265" t="s">
        <v>1622</v>
      </c>
      <c r="D3265" s="12">
        <v>46313</v>
      </c>
      <c r="E3265" s="11">
        <v>36</v>
      </c>
      <c r="F3265" s="11" t="s">
        <v>7468</v>
      </c>
      <c r="G3265">
        <v>20250101</v>
      </c>
      <c r="H3265" s="12">
        <v>46478</v>
      </c>
      <c r="I3265" s="11" t="s">
        <v>32</v>
      </c>
      <c r="J3265" s="72">
        <v>60596196</v>
      </c>
      <c r="K3265" s="99">
        <f>_xlfn.XLOOKUP(_2__ROI_Daily_Update[[#This Row],[CSM id]],SHP!F:F,SHP!EE:EE,"-")</f>
        <v>0</v>
      </c>
      <c r="L3265" s="12"/>
      <c r="N3265" s="11"/>
      <c r="P3265"/>
      <c r="Q3265"/>
      <c r="W3265" s="28"/>
      <c r="AA3265"/>
    </row>
    <row r="3266" spans="1:27" x14ac:dyDescent="0.45">
      <c r="A3266" s="57">
        <v>1211</v>
      </c>
      <c r="B3266" t="s">
        <v>5902</v>
      </c>
      <c r="C3266" t="s">
        <v>5903</v>
      </c>
      <c r="D3266" s="12">
        <v>46313</v>
      </c>
      <c r="E3266" s="11">
        <v>12</v>
      </c>
      <c r="F3266" s="11" t="s">
        <v>7468</v>
      </c>
      <c r="G3266">
        <v>20200201</v>
      </c>
      <c r="I3266" s="11" t="s">
        <v>18</v>
      </c>
      <c r="J3266" s="72">
        <v>50462791</v>
      </c>
      <c r="K3266" s="99">
        <f>_xlfn.XLOOKUP(_2__ROI_Daily_Update[[#This Row],[CSM id]],SHP!F:F,SHP!EE:EE,"-")</f>
        <v>0</v>
      </c>
      <c r="L3266" s="12"/>
      <c r="N3266" s="11"/>
      <c r="P3266"/>
      <c r="Q3266"/>
      <c r="W3266" s="28"/>
      <c r="AA3266"/>
    </row>
    <row r="3267" spans="1:27" x14ac:dyDescent="0.45">
      <c r="A3267" s="57">
        <v>1231</v>
      </c>
      <c r="B3267" t="s">
        <v>5428</v>
      </c>
      <c r="C3267" t="s">
        <v>5429</v>
      </c>
      <c r="D3267" s="12">
        <v>46313</v>
      </c>
      <c r="E3267" s="11">
        <v>28</v>
      </c>
      <c r="F3267" s="11" t="s">
        <v>7410</v>
      </c>
      <c r="G3267">
        <v>20240101</v>
      </c>
      <c r="I3267" s="11" t="s">
        <v>63</v>
      </c>
      <c r="J3267" s="72">
        <v>40572422</v>
      </c>
      <c r="K3267" s="99">
        <f>_xlfn.XLOOKUP(_2__ROI_Daily_Update[[#This Row],[CSM id]],SHP!F:F,SHP!EE:EE,"-")</f>
        <v>0</v>
      </c>
      <c r="L3267" s="12"/>
      <c r="N3267" s="11"/>
      <c r="P3267"/>
      <c r="Q3267"/>
      <c r="W3267" s="28"/>
      <c r="AA3267"/>
    </row>
    <row r="3268" spans="1:27" x14ac:dyDescent="0.45">
      <c r="A3268" s="57">
        <v>966</v>
      </c>
      <c r="B3268" t="s">
        <v>779</v>
      </c>
      <c r="C3268" t="s">
        <v>780</v>
      </c>
      <c r="D3268" s="12">
        <v>46313</v>
      </c>
      <c r="E3268" s="11">
        <v>36</v>
      </c>
      <c r="F3268" s="11" t="s">
        <v>7430</v>
      </c>
      <c r="G3268">
        <v>20231001</v>
      </c>
      <c r="I3268" s="11" t="s">
        <v>63</v>
      </c>
      <c r="J3268" s="72">
        <v>558574</v>
      </c>
      <c r="K3268" s="99">
        <f>_xlfn.XLOOKUP(_2__ROI_Daily_Update[[#This Row],[CSM id]],SHP!F:F,SHP!EE:EE,"-")</f>
        <v>0</v>
      </c>
      <c r="L3268" s="12"/>
      <c r="N3268" s="11"/>
      <c r="P3268"/>
      <c r="Q3268"/>
      <c r="W3268" s="28"/>
      <c r="AA3268"/>
    </row>
    <row r="3269" spans="1:27" x14ac:dyDescent="0.45">
      <c r="A3269" s="57">
        <v>1211</v>
      </c>
      <c r="B3269" t="s">
        <v>1761</v>
      </c>
      <c r="C3269" t="s">
        <v>1762</v>
      </c>
      <c r="D3269" s="12">
        <v>46313</v>
      </c>
      <c r="E3269" s="11">
        <v>54</v>
      </c>
      <c r="F3269" s="11" t="s">
        <v>6946</v>
      </c>
      <c r="G3269">
        <v>20260701</v>
      </c>
      <c r="I3269" s="11" t="s">
        <v>63</v>
      </c>
      <c r="J3269" s="72">
        <v>60633764</v>
      </c>
      <c r="K3269" s="99">
        <f>_xlfn.XLOOKUP(_2__ROI_Daily_Update[[#This Row],[CSM id]],SHP!F:F,SHP!EE:EE,"-")</f>
        <v>0</v>
      </c>
      <c r="L3269" s="12"/>
      <c r="N3269" s="11"/>
      <c r="P3269"/>
      <c r="Q3269"/>
      <c r="W3269" s="28"/>
      <c r="AA3269"/>
    </row>
    <row r="3270" spans="1:27" x14ac:dyDescent="0.45">
      <c r="A3270" s="57">
        <v>1231</v>
      </c>
      <c r="B3270" t="s">
        <v>1885</v>
      </c>
      <c r="C3270" t="s">
        <v>1886</v>
      </c>
      <c r="D3270" s="12">
        <v>46313</v>
      </c>
      <c r="E3270" s="11">
        <v>60</v>
      </c>
      <c r="F3270" s="11" t="s">
        <v>7400</v>
      </c>
      <c r="G3270">
        <v>20180801</v>
      </c>
      <c r="I3270" s="11" t="s">
        <v>63</v>
      </c>
      <c r="J3270" s="72">
        <v>50372776</v>
      </c>
      <c r="K3270" s="99">
        <f>_xlfn.XLOOKUP(_2__ROI_Daily_Update[[#This Row],[CSM id]],SHP!F:F,SHP!EE:EE,"-")</f>
        <v>0</v>
      </c>
      <c r="L3270" s="12"/>
      <c r="N3270" s="11"/>
      <c r="P3270"/>
      <c r="Q3270"/>
      <c r="W3270" s="28"/>
      <c r="AA3270"/>
    </row>
    <row r="3271" spans="1:27" x14ac:dyDescent="0.45">
      <c r="A3271" s="57">
        <v>1641</v>
      </c>
      <c r="B3271" t="s">
        <v>3173</v>
      </c>
      <c r="C3271" t="s">
        <v>3174</v>
      </c>
      <c r="D3271" s="12">
        <v>46313</v>
      </c>
      <c r="E3271" s="11">
        <v>48</v>
      </c>
      <c r="F3271" s="11" t="s">
        <v>7430</v>
      </c>
      <c r="G3271">
        <v>20180201</v>
      </c>
      <c r="I3271" s="11" t="s">
        <v>63</v>
      </c>
      <c r="J3271" s="72">
        <v>70387121</v>
      </c>
      <c r="K3271" s="99">
        <f>_xlfn.XLOOKUP(_2__ROI_Daily_Update[[#This Row],[CSM id]],SHP!F:F,SHP!EE:EE,"-")</f>
        <v>0</v>
      </c>
      <c r="L3271" s="12"/>
      <c r="N3271" s="11"/>
      <c r="P3271"/>
      <c r="Q3271"/>
      <c r="W3271" s="28"/>
      <c r="AA3271"/>
    </row>
    <row r="3272" spans="1:27" x14ac:dyDescent="0.45">
      <c r="A3272" s="57">
        <v>1833</v>
      </c>
      <c r="B3272" t="s">
        <v>3630</v>
      </c>
      <c r="C3272" t="s">
        <v>3631</v>
      </c>
      <c r="D3272" s="12">
        <v>46313</v>
      </c>
      <c r="E3272" s="11">
        <v>360</v>
      </c>
      <c r="F3272" s="11" t="s">
        <v>7468</v>
      </c>
      <c r="G3272">
        <v>20240101</v>
      </c>
      <c r="I3272" s="11" t="s">
        <v>18</v>
      </c>
      <c r="J3272" s="72">
        <v>10567766</v>
      </c>
      <c r="K3272" s="99">
        <f>_xlfn.XLOOKUP(_2__ROI_Daily_Update[[#This Row],[CSM id]],SHP!F:F,SHP!EE:EE,"-")</f>
        <v>0</v>
      </c>
      <c r="L3272" s="12"/>
      <c r="N3272" s="11"/>
      <c r="P3272"/>
      <c r="Q3272"/>
      <c r="W3272" s="28"/>
      <c r="AA3272"/>
    </row>
    <row r="3273" spans="1:27" x14ac:dyDescent="0.45">
      <c r="A3273" s="57">
        <v>1211</v>
      </c>
      <c r="B3273" t="s">
        <v>6331</v>
      </c>
      <c r="C3273" t="s">
        <v>6332</v>
      </c>
      <c r="D3273" s="12">
        <v>46313</v>
      </c>
      <c r="E3273" s="11">
        <v>39</v>
      </c>
      <c r="F3273" s="11" t="s">
        <v>7453</v>
      </c>
      <c r="G3273">
        <v>20140801</v>
      </c>
      <c r="I3273" s="11" t="s">
        <v>63</v>
      </c>
      <c r="J3273" s="72">
        <v>70232332</v>
      </c>
      <c r="K3273" s="99">
        <f>_xlfn.XLOOKUP(_2__ROI_Daily_Update[[#This Row],[CSM id]],SHP!F:F,SHP!EE:EE,"-")</f>
        <v>0</v>
      </c>
      <c r="L3273" s="12"/>
      <c r="N3273" s="11"/>
      <c r="P3273"/>
      <c r="Q3273"/>
      <c r="W3273" s="28"/>
      <c r="AA3273"/>
    </row>
    <row r="3274" spans="1:27" x14ac:dyDescent="0.45">
      <c r="A3274" s="57">
        <v>1231</v>
      </c>
      <c r="B3274" t="s">
        <v>1885</v>
      </c>
      <c r="C3274" t="s">
        <v>1886</v>
      </c>
      <c r="D3274" s="12">
        <v>46313</v>
      </c>
      <c r="E3274" s="11">
        <v>30</v>
      </c>
      <c r="F3274" s="11" t="s">
        <v>7420</v>
      </c>
      <c r="G3274">
        <v>20180801</v>
      </c>
      <c r="I3274" s="11" t="s">
        <v>63</v>
      </c>
      <c r="J3274" s="72">
        <v>50372776</v>
      </c>
      <c r="K3274" s="99">
        <f>_xlfn.XLOOKUP(_2__ROI_Daily_Update[[#This Row],[CSM id]],SHP!F:F,SHP!EE:EE,"-")</f>
        <v>0</v>
      </c>
      <c r="L3274" s="12"/>
      <c r="N3274" s="11"/>
      <c r="P3274"/>
      <c r="Q3274"/>
      <c r="W3274" s="28"/>
      <c r="AA3274"/>
    </row>
    <row r="3275" spans="1:27" x14ac:dyDescent="0.45">
      <c r="A3275" s="57">
        <v>1122</v>
      </c>
      <c r="B3275" t="s">
        <v>1613</v>
      </c>
      <c r="C3275" t="s">
        <v>1614</v>
      </c>
      <c r="D3275" s="12">
        <v>46313</v>
      </c>
      <c r="E3275" s="11">
        <v>22</v>
      </c>
      <c r="F3275" s="11" t="s">
        <v>7468</v>
      </c>
      <c r="G3275">
        <v>20200601</v>
      </c>
      <c r="H3275" s="12">
        <v>46478</v>
      </c>
      <c r="I3275" s="11" t="s">
        <v>18</v>
      </c>
      <c r="J3275" s="72">
        <v>40470107</v>
      </c>
      <c r="K3275" s="99">
        <f>_xlfn.XLOOKUP(_2__ROI_Daily_Update[[#This Row],[CSM id]],SHP!F:F,SHP!EE:EE,"-")</f>
        <v>0</v>
      </c>
      <c r="L3275" s="12"/>
      <c r="N3275" s="11"/>
      <c r="P3275"/>
      <c r="Q3275"/>
      <c r="W3275" s="28"/>
      <c r="AA3275"/>
    </row>
    <row r="3276" spans="1:27" x14ac:dyDescent="0.45">
      <c r="A3276" s="57">
        <v>1211</v>
      </c>
      <c r="B3276" t="s">
        <v>6331</v>
      </c>
      <c r="C3276" t="s">
        <v>6332</v>
      </c>
      <c r="D3276" s="12">
        <v>46313</v>
      </c>
      <c r="E3276" s="11">
        <v>39</v>
      </c>
      <c r="F3276" s="11" t="s">
        <v>7463</v>
      </c>
      <c r="G3276">
        <v>20140801</v>
      </c>
      <c r="I3276" s="11" t="s">
        <v>63</v>
      </c>
      <c r="J3276" s="72">
        <v>70232332</v>
      </c>
      <c r="K3276" s="99">
        <f>_xlfn.XLOOKUP(_2__ROI_Daily_Update[[#This Row],[CSM id]],SHP!F:F,SHP!EE:EE,"-")</f>
        <v>0</v>
      </c>
      <c r="L3276" s="12"/>
      <c r="N3276" s="11"/>
      <c r="P3276"/>
      <c r="Q3276"/>
      <c r="W3276" s="28"/>
      <c r="AA3276"/>
    </row>
    <row r="3277" spans="1:27" x14ac:dyDescent="0.45">
      <c r="A3277" s="57">
        <v>1211</v>
      </c>
      <c r="B3277" t="s">
        <v>5540</v>
      </c>
      <c r="C3277" t="s">
        <v>5541</v>
      </c>
      <c r="D3277" s="12">
        <v>46313</v>
      </c>
      <c r="E3277" s="11">
        <v>8</v>
      </c>
      <c r="F3277" s="11" t="s">
        <v>7410</v>
      </c>
      <c r="G3277">
        <v>20240701</v>
      </c>
      <c r="I3277" s="11" t="s">
        <v>63</v>
      </c>
      <c r="J3277" s="72">
        <v>70583400</v>
      </c>
      <c r="K3277" s="99">
        <f>_xlfn.XLOOKUP(_2__ROI_Daily_Update[[#This Row],[CSM id]],SHP!F:F,SHP!EE:EE,"-")</f>
        <v>0</v>
      </c>
      <c r="L3277" s="12"/>
      <c r="N3277" s="11"/>
      <c r="P3277"/>
      <c r="Q3277"/>
      <c r="W3277" s="28"/>
      <c r="AA3277"/>
    </row>
    <row r="3278" spans="1:27" x14ac:dyDescent="0.45">
      <c r="A3278" s="57">
        <v>1231</v>
      </c>
      <c r="B3278" t="s">
        <v>5745</v>
      </c>
      <c r="C3278" t="s">
        <v>5746</v>
      </c>
      <c r="D3278" s="12">
        <v>46313</v>
      </c>
      <c r="E3278" s="11">
        <v>22</v>
      </c>
      <c r="F3278" s="11" t="s">
        <v>7448</v>
      </c>
      <c r="G3278">
        <v>20261001</v>
      </c>
      <c r="H3278" s="12">
        <v>46388</v>
      </c>
      <c r="I3278" s="11" t="s">
        <v>63</v>
      </c>
      <c r="J3278" s="72">
        <v>40636320</v>
      </c>
      <c r="K3278" s="99">
        <f>_xlfn.XLOOKUP(_2__ROI_Daily_Update[[#This Row],[CSM id]],SHP!F:F,SHP!EE:EE,"-")</f>
        <v>0</v>
      </c>
      <c r="L3278" s="12"/>
      <c r="N3278" s="11"/>
      <c r="P3278"/>
      <c r="Q3278"/>
      <c r="W3278" s="28"/>
      <c r="AA3278"/>
    </row>
    <row r="3279" spans="1:27" x14ac:dyDescent="0.45">
      <c r="A3279" s="57">
        <v>1231</v>
      </c>
      <c r="B3279" t="s">
        <v>5745</v>
      </c>
      <c r="C3279" t="s">
        <v>5746</v>
      </c>
      <c r="D3279" s="12">
        <v>46313</v>
      </c>
      <c r="E3279" s="11">
        <v>198</v>
      </c>
      <c r="F3279" s="11" t="s">
        <v>7475</v>
      </c>
      <c r="G3279">
        <v>20261001</v>
      </c>
      <c r="H3279" s="12">
        <v>46388</v>
      </c>
      <c r="I3279" s="11" t="s">
        <v>63</v>
      </c>
      <c r="J3279" s="72">
        <v>40636320</v>
      </c>
      <c r="K3279" s="99">
        <f>_xlfn.XLOOKUP(_2__ROI_Daily_Update[[#This Row],[CSM id]],SHP!F:F,SHP!EE:EE,"-")</f>
        <v>0</v>
      </c>
      <c r="L3279" s="12"/>
      <c r="N3279" s="11"/>
      <c r="P3279"/>
      <c r="Q3279"/>
      <c r="W3279" s="28"/>
      <c r="AA3279"/>
    </row>
    <row r="3280" spans="1:27" x14ac:dyDescent="0.45">
      <c r="A3280" s="57">
        <v>1211</v>
      </c>
      <c r="B3280" t="s">
        <v>1757</v>
      </c>
      <c r="C3280" t="s">
        <v>1758</v>
      </c>
      <c r="D3280" s="12">
        <v>46313</v>
      </c>
      <c r="E3280" s="11">
        <v>8</v>
      </c>
      <c r="F3280" s="11" t="s">
        <v>7410</v>
      </c>
      <c r="G3280">
        <v>20200801</v>
      </c>
      <c r="I3280" s="11" t="s">
        <v>63</v>
      </c>
      <c r="J3280" s="72">
        <v>60466717</v>
      </c>
      <c r="K3280" s="99">
        <f>_xlfn.XLOOKUP(_2__ROI_Daily_Update[[#This Row],[CSM id]],SHP!F:F,SHP!EE:EE,"-")</f>
        <v>0</v>
      </c>
      <c r="L3280" s="12"/>
      <c r="N3280" s="11"/>
      <c r="P3280"/>
      <c r="Q3280"/>
      <c r="W3280" s="28"/>
      <c r="AA3280"/>
    </row>
    <row r="3281" spans="1:27" x14ac:dyDescent="0.45">
      <c r="A3281" s="57">
        <v>1211</v>
      </c>
      <c r="B3281" t="s">
        <v>1763</v>
      </c>
      <c r="C3281" t="s">
        <v>1764</v>
      </c>
      <c r="D3281" s="12">
        <v>46313</v>
      </c>
      <c r="E3281" s="11">
        <v>6</v>
      </c>
      <c r="F3281" s="11" t="s">
        <v>7410</v>
      </c>
      <c r="G3281">
        <v>20250401</v>
      </c>
      <c r="I3281" s="11" t="s">
        <v>63</v>
      </c>
      <c r="J3281" s="72">
        <v>70597176</v>
      </c>
      <c r="K3281" s="99">
        <f>_xlfn.XLOOKUP(_2__ROI_Daily_Update[[#This Row],[CSM id]],SHP!F:F,SHP!EE:EE,"-")</f>
        <v>0</v>
      </c>
      <c r="L3281" s="12"/>
      <c r="N3281" s="11"/>
      <c r="P3281"/>
      <c r="Q3281"/>
      <c r="W3281" s="28"/>
      <c r="AA3281"/>
    </row>
    <row r="3282" spans="1:27" x14ac:dyDescent="0.45">
      <c r="A3282" s="57">
        <v>1231</v>
      </c>
      <c r="B3282" t="s">
        <v>6347</v>
      </c>
      <c r="C3282" t="s">
        <v>6348</v>
      </c>
      <c r="D3282" s="12">
        <v>46313</v>
      </c>
      <c r="E3282" s="11">
        <v>48</v>
      </c>
      <c r="F3282" s="11" t="s">
        <v>7453</v>
      </c>
      <c r="G3282">
        <v>20240701</v>
      </c>
      <c r="I3282" s="11" t="s">
        <v>63</v>
      </c>
      <c r="J3282" s="72">
        <v>40582336</v>
      </c>
      <c r="K3282" s="99">
        <f>_xlfn.XLOOKUP(_2__ROI_Daily_Update[[#This Row],[CSM id]],SHP!F:F,SHP!EE:EE,"-")</f>
        <v>0</v>
      </c>
      <c r="L3282" s="12"/>
      <c r="N3282" s="11"/>
      <c r="P3282"/>
      <c r="Q3282"/>
      <c r="W3282" s="28"/>
      <c r="AA3282"/>
    </row>
    <row r="3283" spans="1:27" x14ac:dyDescent="0.45">
      <c r="A3283" s="57">
        <v>1211</v>
      </c>
      <c r="B3283" t="s">
        <v>1755</v>
      </c>
      <c r="C3283" t="s">
        <v>1756</v>
      </c>
      <c r="D3283" s="12">
        <v>46313</v>
      </c>
      <c r="E3283" s="11">
        <v>25</v>
      </c>
      <c r="F3283" s="11" t="s">
        <v>7480</v>
      </c>
      <c r="G3283">
        <v>20261001</v>
      </c>
      <c r="I3283" s="11" t="s">
        <v>63</v>
      </c>
      <c r="J3283" s="72">
        <v>50640562</v>
      </c>
      <c r="K3283" s="99">
        <f>_xlfn.XLOOKUP(_2__ROI_Daily_Update[[#This Row],[CSM id]],SHP!F:F,SHP!EE:EE,"-")</f>
        <v>0</v>
      </c>
      <c r="L3283" s="12"/>
      <c r="N3283" s="11"/>
      <c r="P3283"/>
      <c r="Q3283"/>
      <c r="W3283" s="28"/>
      <c r="AA3283"/>
    </row>
    <row r="3284" spans="1:27" x14ac:dyDescent="0.45">
      <c r="A3284" s="57">
        <v>1231</v>
      </c>
      <c r="B3284" t="s">
        <v>1883</v>
      </c>
      <c r="C3284" t="s">
        <v>1884</v>
      </c>
      <c r="D3284" s="12">
        <v>46313</v>
      </c>
      <c r="E3284" s="11">
        <v>140</v>
      </c>
      <c r="F3284" s="11" t="s">
        <v>7430</v>
      </c>
      <c r="G3284">
        <v>20260801</v>
      </c>
      <c r="H3284" s="12">
        <v>46388</v>
      </c>
      <c r="I3284" s="11" t="s">
        <v>63</v>
      </c>
      <c r="J3284" s="72">
        <v>40630733</v>
      </c>
      <c r="K3284" s="99">
        <f>_xlfn.XLOOKUP(_2__ROI_Daily_Update[[#This Row],[CSM id]],SHP!F:F,SHP!EE:EE,"-")</f>
        <v>0</v>
      </c>
      <c r="L3284" s="12"/>
      <c r="N3284" s="11"/>
      <c r="P3284"/>
      <c r="Q3284"/>
      <c r="W3284" s="28"/>
      <c r="AA3284"/>
    </row>
    <row r="3285" spans="1:27" x14ac:dyDescent="0.45">
      <c r="A3285" s="57">
        <v>1211</v>
      </c>
      <c r="B3285" t="s">
        <v>1763</v>
      </c>
      <c r="C3285" t="s">
        <v>1764</v>
      </c>
      <c r="D3285" s="12">
        <v>46313</v>
      </c>
      <c r="E3285" s="11">
        <v>6</v>
      </c>
      <c r="F3285" s="11" t="s">
        <v>7480</v>
      </c>
      <c r="G3285">
        <v>20250401</v>
      </c>
      <c r="I3285" s="11" t="s">
        <v>63</v>
      </c>
      <c r="J3285" s="72">
        <v>70597176</v>
      </c>
      <c r="K3285" s="99">
        <f>_xlfn.XLOOKUP(_2__ROI_Daily_Update[[#This Row],[CSM id]],SHP!F:F,SHP!EE:EE,"-")</f>
        <v>0</v>
      </c>
      <c r="L3285" s="12"/>
      <c r="N3285" s="11"/>
      <c r="P3285"/>
      <c r="Q3285"/>
      <c r="W3285" s="28"/>
      <c r="AA3285"/>
    </row>
    <row r="3286" spans="1:27" x14ac:dyDescent="0.45">
      <c r="A3286" s="57">
        <v>1122</v>
      </c>
      <c r="B3286" t="s">
        <v>6845</v>
      </c>
      <c r="C3286" t="s">
        <v>6846</v>
      </c>
      <c r="D3286" s="12">
        <v>46313</v>
      </c>
      <c r="E3286" s="11">
        <v>70</v>
      </c>
      <c r="F3286" s="11" t="s">
        <v>7499</v>
      </c>
      <c r="G3286">
        <v>20200801</v>
      </c>
      <c r="I3286" s="11" t="s">
        <v>18</v>
      </c>
      <c r="J3286" s="72">
        <v>40494783</v>
      </c>
      <c r="K3286" s="99">
        <f>_xlfn.XLOOKUP(_2__ROI_Daily_Update[[#This Row],[CSM id]],SHP!F:F,SHP!EE:EE,"-")</f>
        <v>0</v>
      </c>
      <c r="L3286" s="12"/>
      <c r="N3286" s="11"/>
      <c r="P3286"/>
      <c r="Q3286"/>
      <c r="W3286" s="28"/>
      <c r="AA3286"/>
    </row>
    <row r="3287" spans="1:27" x14ac:dyDescent="0.45">
      <c r="A3287" s="57">
        <v>1231</v>
      </c>
      <c r="B3287" t="s">
        <v>7025</v>
      </c>
      <c r="C3287" t="s">
        <v>7026</v>
      </c>
      <c r="D3287" s="12">
        <v>46313</v>
      </c>
      <c r="E3287" s="11">
        <v>44</v>
      </c>
      <c r="F3287" s="11" t="s">
        <v>7475</v>
      </c>
      <c r="G3287">
        <v>20260401</v>
      </c>
      <c r="I3287" s="11" t="s">
        <v>63</v>
      </c>
      <c r="J3287" s="72">
        <v>40628240</v>
      </c>
      <c r="K3287" s="99">
        <f>_xlfn.XLOOKUP(_2__ROI_Daily_Update[[#This Row],[CSM id]],SHP!F:F,SHP!EE:EE,"-")</f>
        <v>0</v>
      </c>
      <c r="L3287" s="12"/>
      <c r="N3287" s="11"/>
      <c r="P3287"/>
      <c r="Q3287"/>
      <c r="W3287" s="28"/>
      <c r="AA3287"/>
    </row>
    <row r="3288" spans="1:27" x14ac:dyDescent="0.45">
      <c r="A3288" s="57">
        <v>1231</v>
      </c>
      <c r="B3288" t="s">
        <v>7019</v>
      </c>
      <c r="C3288" t="s">
        <v>7020</v>
      </c>
      <c r="D3288" s="12">
        <v>46313</v>
      </c>
      <c r="E3288" s="11">
        <v>56</v>
      </c>
      <c r="F3288" s="11" t="s">
        <v>7480</v>
      </c>
      <c r="G3288">
        <v>20260401</v>
      </c>
      <c r="I3288" s="11" t="s">
        <v>63</v>
      </c>
      <c r="J3288" s="72">
        <v>40626420</v>
      </c>
      <c r="K3288" s="99">
        <f>_xlfn.XLOOKUP(_2__ROI_Daily_Update[[#This Row],[CSM id]],SHP!F:F,SHP!EE:EE,"-")</f>
        <v>0</v>
      </c>
      <c r="L3288" s="12"/>
      <c r="N3288" s="11"/>
      <c r="P3288"/>
      <c r="Q3288"/>
      <c r="W3288" s="28"/>
      <c r="AA3288"/>
    </row>
    <row r="3289" spans="1:27" x14ac:dyDescent="0.45">
      <c r="A3289" s="57">
        <v>965</v>
      </c>
      <c r="B3289" t="s">
        <v>777</v>
      </c>
      <c r="C3289" t="s">
        <v>778</v>
      </c>
      <c r="D3289" s="12">
        <v>46313</v>
      </c>
      <c r="E3289" s="11">
        <v>24</v>
      </c>
      <c r="F3289" s="11" t="s">
        <v>7415</v>
      </c>
      <c r="G3289">
        <v>20230701</v>
      </c>
      <c r="I3289" s="11" t="s">
        <v>63</v>
      </c>
      <c r="J3289" s="72">
        <v>90542116</v>
      </c>
      <c r="K3289" s="99">
        <f>_xlfn.XLOOKUP(_2__ROI_Daily_Update[[#This Row],[CSM id]],SHP!F:F,SHP!EE:EE,"-")</f>
        <v>0</v>
      </c>
      <c r="L3289" s="12"/>
      <c r="N3289" s="11"/>
      <c r="P3289"/>
      <c r="Q3289"/>
      <c r="W3289" s="28"/>
      <c r="AA3289"/>
    </row>
    <row r="3290" spans="1:27" x14ac:dyDescent="0.45">
      <c r="A3290" s="57">
        <v>1231</v>
      </c>
      <c r="B3290" t="s">
        <v>1879</v>
      </c>
      <c r="C3290" t="s">
        <v>1880</v>
      </c>
      <c r="D3290" s="12">
        <v>46313</v>
      </c>
      <c r="E3290" s="11">
        <v>80</v>
      </c>
      <c r="F3290" s="11" t="s">
        <v>7458</v>
      </c>
      <c r="G3290">
        <v>20251001</v>
      </c>
      <c r="I3290" s="11" t="s">
        <v>63</v>
      </c>
      <c r="J3290" s="72">
        <v>40614403</v>
      </c>
      <c r="K3290" s="99">
        <f>_xlfn.XLOOKUP(_2__ROI_Daily_Update[[#This Row],[CSM id]],SHP!F:F,SHP!EE:EE,"-")</f>
        <v>0</v>
      </c>
      <c r="L3290" s="12"/>
      <c r="N3290" s="11"/>
      <c r="P3290"/>
      <c r="Q3290"/>
      <c r="W3290" s="28"/>
      <c r="AA3290"/>
    </row>
    <row r="3291" spans="1:27" x14ac:dyDescent="0.45">
      <c r="A3291" s="57">
        <v>1231</v>
      </c>
      <c r="B3291" t="s">
        <v>1877</v>
      </c>
      <c r="C3291" t="s">
        <v>1878</v>
      </c>
      <c r="D3291" s="12">
        <v>46313</v>
      </c>
      <c r="E3291" s="11">
        <v>22</v>
      </c>
      <c r="F3291" s="11" t="s">
        <v>7458</v>
      </c>
      <c r="G3291">
        <v>20250401</v>
      </c>
      <c r="I3291" s="11" t="s">
        <v>63</v>
      </c>
      <c r="J3291" s="72">
        <v>40599624</v>
      </c>
      <c r="K3291" s="99">
        <f>_xlfn.XLOOKUP(_2__ROI_Daily_Update[[#This Row],[CSM id]],SHP!F:F,SHP!EE:EE,"-")</f>
        <v>0</v>
      </c>
      <c r="L3291" s="12"/>
      <c r="N3291" s="11"/>
      <c r="P3291"/>
      <c r="Q3291"/>
      <c r="W3291" s="28"/>
      <c r="AA3291"/>
    </row>
    <row r="3292" spans="1:27" x14ac:dyDescent="0.45">
      <c r="A3292" s="57">
        <v>1211</v>
      </c>
      <c r="B3292" t="s">
        <v>1765</v>
      </c>
      <c r="C3292" t="s">
        <v>1766</v>
      </c>
      <c r="D3292" s="12">
        <v>46313</v>
      </c>
      <c r="E3292" s="11">
        <v>80</v>
      </c>
      <c r="F3292" s="11" t="s">
        <v>7453</v>
      </c>
      <c r="G3292">
        <v>20261001</v>
      </c>
      <c r="I3292" s="11" t="s">
        <v>63</v>
      </c>
      <c r="J3292" s="72">
        <v>70640924</v>
      </c>
      <c r="K3292" s="99">
        <f>_xlfn.XLOOKUP(_2__ROI_Daily_Update[[#This Row],[CSM id]],SHP!F:F,SHP!EE:EE,"-")</f>
        <v>0</v>
      </c>
      <c r="L3292" s="12"/>
      <c r="N3292" s="11"/>
      <c r="P3292"/>
      <c r="Q3292"/>
      <c r="W3292" s="28"/>
      <c r="AA3292"/>
    </row>
    <row r="3293" spans="1:27" x14ac:dyDescent="0.45">
      <c r="A3293" s="57">
        <v>1231</v>
      </c>
      <c r="B3293" t="s">
        <v>1877</v>
      </c>
      <c r="C3293" t="s">
        <v>1878</v>
      </c>
      <c r="D3293" s="12">
        <v>46313</v>
      </c>
      <c r="E3293" s="11">
        <v>44</v>
      </c>
      <c r="F3293" s="11" t="s">
        <v>7425</v>
      </c>
      <c r="G3293">
        <v>20250401</v>
      </c>
      <c r="I3293" s="11" t="s">
        <v>63</v>
      </c>
      <c r="J3293" s="72">
        <v>40599624</v>
      </c>
      <c r="K3293" s="99">
        <f>_xlfn.XLOOKUP(_2__ROI_Daily_Update[[#This Row],[CSM id]],SHP!F:F,SHP!EE:EE,"-")</f>
        <v>0</v>
      </c>
      <c r="L3293" s="12"/>
      <c r="N3293" s="11"/>
      <c r="P3293"/>
      <c r="Q3293"/>
      <c r="W3293" s="28"/>
      <c r="AA3293"/>
    </row>
    <row r="3294" spans="1:27" x14ac:dyDescent="0.45">
      <c r="A3294" s="57">
        <v>1833</v>
      </c>
      <c r="B3294" t="s">
        <v>5470</v>
      </c>
      <c r="C3294" t="s">
        <v>5471</v>
      </c>
      <c r="D3294" s="12">
        <v>46313</v>
      </c>
      <c r="E3294" s="11">
        <v>180</v>
      </c>
      <c r="F3294" s="11" t="s">
        <v>7410</v>
      </c>
      <c r="G3294">
        <v>20240101</v>
      </c>
      <c r="I3294" s="11" t="s">
        <v>63</v>
      </c>
      <c r="J3294" s="72">
        <v>10567733</v>
      </c>
      <c r="K3294" s="99">
        <f>_xlfn.XLOOKUP(_2__ROI_Daily_Update[[#This Row],[CSM id]],SHP!F:F,SHP!EE:EE,"-")</f>
        <v>0</v>
      </c>
      <c r="L3294" s="12"/>
      <c r="N3294" s="11"/>
      <c r="P3294"/>
      <c r="Q3294"/>
      <c r="W3294" s="28"/>
      <c r="AA3294"/>
    </row>
    <row r="3295" spans="1:27" x14ac:dyDescent="0.45">
      <c r="A3295" s="57">
        <v>1122</v>
      </c>
      <c r="B3295" t="s">
        <v>1615</v>
      </c>
      <c r="C3295" t="s">
        <v>1616</v>
      </c>
      <c r="D3295" s="12">
        <v>46313</v>
      </c>
      <c r="E3295" s="11">
        <v>32</v>
      </c>
      <c r="F3295" s="11" t="s">
        <v>7463</v>
      </c>
      <c r="G3295">
        <v>20260401</v>
      </c>
      <c r="I3295" s="11" t="s">
        <v>63</v>
      </c>
      <c r="J3295" s="72">
        <v>40628626</v>
      </c>
      <c r="K3295" s="99">
        <f>_xlfn.XLOOKUP(_2__ROI_Daily_Update[[#This Row],[CSM id]],SHP!F:F,SHP!EE:EE,"-")</f>
        <v>0</v>
      </c>
      <c r="L3295" s="12"/>
      <c r="N3295" s="11"/>
      <c r="P3295"/>
      <c r="Q3295"/>
      <c r="W3295" s="28"/>
      <c r="AA3295"/>
    </row>
    <row r="3296" spans="1:27" x14ac:dyDescent="0.45">
      <c r="A3296" s="57">
        <v>1122</v>
      </c>
      <c r="B3296" t="s">
        <v>1617</v>
      </c>
      <c r="C3296" t="s">
        <v>1618</v>
      </c>
      <c r="D3296" s="12">
        <v>46313</v>
      </c>
      <c r="E3296" s="11">
        <v>36</v>
      </c>
      <c r="F3296" s="11" t="s">
        <v>7468</v>
      </c>
      <c r="G3296">
        <v>20200401</v>
      </c>
      <c r="I3296" s="11" t="s">
        <v>18</v>
      </c>
      <c r="J3296" s="72">
        <v>60460372</v>
      </c>
      <c r="K3296" s="99">
        <f>_xlfn.XLOOKUP(_2__ROI_Daily_Update[[#This Row],[CSM id]],SHP!F:F,SHP!EE:EE,"-")</f>
        <v>0</v>
      </c>
      <c r="L3296" s="12"/>
      <c r="N3296" s="11"/>
      <c r="P3296"/>
      <c r="Q3296"/>
      <c r="W3296" s="28"/>
      <c r="AA3296"/>
    </row>
    <row r="3297" spans="1:27" x14ac:dyDescent="0.45">
      <c r="A3297" s="57">
        <v>1211</v>
      </c>
      <c r="B3297" t="s">
        <v>1763</v>
      </c>
      <c r="C3297" t="s">
        <v>1764</v>
      </c>
      <c r="D3297" s="12">
        <v>46313</v>
      </c>
      <c r="E3297" s="11">
        <v>6</v>
      </c>
      <c r="F3297" s="11" t="s">
        <v>7440</v>
      </c>
      <c r="G3297">
        <v>20250401</v>
      </c>
      <c r="I3297" s="11" t="s">
        <v>63</v>
      </c>
      <c r="J3297" s="72">
        <v>70597176</v>
      </c>
      <c r="K3297" s="99">
        <f>_xlfn.XLOOKUP(_2__ROI_Daily_Update[[#This Row],[CSM id]],SHP!F:F,SHP!EE:EE,"-")</f>
        <v>0</v>
      </c>
      <c r="L3297" s="12"/>
      <c r="N3297" s="11"/>
      <c r="P3297"/>
      <c r="Q3297"/>
      <c r="W3297" s="28"/>
      <c r="AA3297"/>
    </row>
    <row r="3298" spans="1:27" x14ac:dyDescent="0.45">
      <c r="A3298" s="57">
        <v>1231</v>
      </c>
      <c r="B3298" t="s">
        <v>1863</v>
      </c>
      <c r="C3298" t="s">
        <v>1864</v>
      </c>
      <c r="D3298" s="12">
        <v>46313</v>
      </c>
      <c r="E3298" s="11">
        <v>56</v>
      </c>
      <c r="F3298" s="11" t="s">
        <v>7410</v>
      </c>
      <c r="G3298">
        <v>20260401</v>
      </c>
      <c r="H3298" s="12">
        <v>46569</v>
      </c>
      <c r="I3298" s="11" t="s">
        <v>63</v>
      </c>
      <c r="J3298" s="72">
        <v>20626416</v>
      </c>
      <c r="K3298" s="99">
        <f>_xlfn.XLOOKUP(_2__ROI_Daily_Update[[#This Row],[CSM id]],SHP!F:F,SHP!EE:EE,"-")</f>
        <v>0</v>
      </c>
      <c r="L3298" s="12"/>
      <c r="N3298" s="11"/>
      <c r="P3298"/>
      <c r="Q3298"/>
      <c r="W3298" s="28"/>
      <c r="AA3298"/>
    </row>
    <row r="3299" spans="1:27" x14ac:dyDescent="0.45">
      <c r="A3299" s="57">
        <v>1211</v>
      </c>
      <c r="B3299" t="s">
        <v>1715</v>
      </c>
      <c r="C3299" t="s">
        <v>1716</v>
      </c>
      <c r="D3299" s="12">
        <v>46313</v>
      </c>
      <c r="E3299" s="11">
        <v>8</v>
      </c>
      <c r="F3299" s="11" t="s">
        <v>7440</v>
      </c>
      <c r="G3299">
        <v>20230701</v>
      </c>
      <c r="I3299" s="11" t="s">
        <v>63</v>
      </c>
      <c r="J3299" s="72">
        <v>556377</v>
      </c>
      <c r="K3299" s="99">
        <f>_xlfn.XLOOKUP(_2__ROI_Daily_Update[[#This Row],[CSM id]],SHP!F:F,SHP!EE:EE,"-")</f>
        <v>0</v>
      </c>
      <c r="L3299" s="12"/>
      <c r="N3299" s="11"/>
      <c r="P3299"/>
      <c r="Q3299"/>
      <c r="W3299" s="28"/>
      <c r="AA3299"/>
    </row>
    <row r="3300" spans="1:27" x14ac:dyDescent="0.45">
      <c r="A3300" s="57">
        <v>1211</v>
      </c>
      <c r="B3300" t="s">
        <v>6333</v>
      </c>
      <c r="C3300" t="s">
        <v>6334</v>
      </c>
      <c r="D3300" s="12">
        <v>46313</v>
      </c>
      <c r="E3300" s="11">
        <v>12</v>
      </c>
      <c r="F3300" s="11" t="s">
        <v>7448</v>
      </c>
      <c r="G3300">
        <v>20260101</v>
      </c>
      <c r="I3300" s="11" t="s">
        <v>63</v>
      </c>
      <c r="J3300" s="72">
        <v>40621724</v>
      </c>
      <c r="K3300" s="99">
        <f>_xlfn.XLOOKUP(_2__ROI_Daily_Update[[#This Row],[CSM id]],SHP!F:F,SHP!EE:EE,"-")</f>
        <v>0</v>
      </c>
      <c r="L3300" s="12"/>
      <c r="N3300" s="11"/>
      <c r="P3300"/>
      <c r="Q3300"/>
      <c r="W3300" s="28"/>
      <c r="AA3300"/>
    </row>
    <row r="3301" spans="1:27" x14ac:dyDescent="0.45">
      <c r="A3301" s="57">
        <v>1231</v>
      </c>
      <c r="B3301" t="s">
        <v>1855</v>
      </c>
      <c r="C3301" t="s">
        <v>1856</v>
      </c>
      <c r="D3301" s="12">
        <v>46313</v>
      </c>
      <c r="E3301" s="11">
        <v>36</v>
      </c>
      <c r="F3301" s="11" t="s">
        <v>7475</v>
      </c>
      <c r="G3301">
        <v>20250701</v>
      </c>
      <c r="I3301" s="11" t="s">
        <v>63</v>
      </c>
      <c r="J3301" s="72">
        <v>10623423</v>
      </c>
      <c r="K3301" s="99">
        <f>_xlfn.XLOOKUP(_2__ROI_Daily_Update[[#This Row],[CSM id]],SHP!F:F,SHP!EE:EE,"-")</f>
        <v>0</v>
      </c>
      <c r="L3301" s="12"/>
      <c r="N3301" s="11"/>
      <c r="P3301"/>
      <c r="Q3301"/>
      <c r="W3301" s="28"/>
      <c r="AA3301"/>
    </row>
    <row r="3302" spans="1:27" x14ac:dyDescent="0.45">
      <c r="A3302" s="57">
        <v>1122</v>
      </c>
      <c r="B3302" t="s">
        <v>5325</v>
      </c>
      <c r="C3302" t="s">
        <v>5326</v>
      </c>
      <c r="D3302" s="12">
        <v>46313</v>
      </c>
      <c r="E3302" s="11">
        <v>40</v>
      </c>
      <c r="F3302" s="11" t="s">
        <v>7485</v>
      </c>
      <c r="G3302">
        <v>20240701</v>
      </c>
      <c r="H3302" s="12">
        <v>46478</v>
      </c>
      <c r="I3302" s="11" t="s">
        <v>32</v>
      </c>
      <c r="J3302" s="72">
        <v>90576738</v>
      </c>
      <c r="K3302" s="99">
        <f>_xlfn.XLOOKUP(_2__ROI_Daily_Update[[#This Row],[CSM id]],SHP!F:F,SHP!EE:EE,"-")</f>
        <v>0</v>
      </c>
      <c r="L3302" s="12"/>
      <c r="N3302" s="11"/>
      <c r="P3302"/>
      <c r="Q3302"/>
      <c r="W3302" s="28"/>
      <c r="AA3302"/>
    </row>
    <row r="3303" spans="1:27" x14ac:dyDescent="0.45">
      <c r="A3303" s="57">
        <v>1231</v>
      </c>
      <c r="B3303" t="s">
        <v>1861</v>
      </c>
      <c r="C3303" t="s">
        <v>1862</v>
      </c>
      <c r="D3303" s="12">
        <v>46313</v>
      </c>
      <c r="E3303" s="11">
        <v>32</v>
      </c>
      <c r="F3303" s="11" t="s">
        <v>7420</v>
      </c>
      <c r="G3303">
        <v>20260101</v>
      </c>
      <c r="I3303" s="11" t="s">
        <v>63</v>
      </c>
      <c r="J3303" s="72">
        <v>20623286</v>
      </c>
      <c r="K3303" s="99">
        <f>_xlfn.XLOOKUP(_2__ROI_Daily_Update[[#This Row],[CSM id]],SHP!F:F,SHP!EE:EE,"-")</f>
        <v>0</v>
      </c>
      <c r="L3303" s="12"/>
      <c r="N3303" s="11"/>
      <c r="P3303"/>
      <c r="Q3303"/>
      <c r="W3303" s="28"/>
      <c r="AA3303"/>
    </row>
    <row r="3304" spans="1:27" x14ac:dyDescent="0.45">
      <c r="A3304" s="57">
        <v>1231</v>
      </c>
      <c r="B3304" t="s">
        <v>6353</v>
      </c>
      <c r="C3304" t="s">
        <v>6354</v>
      </c>
      <c r="D3304" s="12">
        <v>46313</v>
      </c>
      <c r="E3304" s="11">
        <v>24</v>
      </c>
      <c r="F3304" s="11" t="s">
        <v>7448</v>
      </c>
      <c r="G3304">
        <v>20260101</v>
      </c>
      <c r="I3304" s="11" t="s">
        <v>63</v>
      </c>
      <c r="J3304" s="72">
        <v>10625648</v>
      </c>
      <c r="K3304" s="99">
        <f>_xlfn.XLOOKUP(_2__ROI_Daily_Update[[#This Row],[CSM id]],SHP!F:F,SHP!EE:EE,"-")</f>
        <v>0</v>
      </c>
      <c r="L3304" s="12"/>
      <c r="N3304" s="11"/>
      <c r="P3304"/>
      <c r="Q3304"/>
      <c r="W3304" s="28"/>
      <c r="AA3304"/>
    </row>
    <row r="3305" spans="1:27" x14ac:dyDescent="0.45">
      <c r="A3305" s="57">
        <v>1231</v>
      </c>
      <c r="B3305" t="s">
        <v>5689</v>
      </c>
      <c r="C3305" t="s">
        <v>5690</v>
      </c>
      <c r="D3305" s="12">
        <v>46313</v>
      </c>
      <c r="E3305" s="11">
        <v>16</v>
      </c>
      <c r="F3305" s="11" t="s">
        <v>7453</v>
      </c>
      <c r="G3305">
        <v>20260401</v>
      </c>
      <c r="I3305" s="11" t="s">
        <v>63</v>
      </c>
      <c r="J3305" s="72">
        <v>10625889</v>
      </c>
      <c r="K3305" s="99">
        <f>_xlfn.XLOOKUP(_2__ROI_Daily_Update[[#This Row],[CSM id]],SHP!F:F,SHP!EE:EE,"-")</f>
        <v>0</v>
      </c>
      <c r="L3305" s="12"/>
      <c r="N3305" s="11"/>
      <c r="P3305"/>
      <c r="Q3305"/>
      <c r="W3305" s="28"/>
      <c r="AA3305"/>
    </row>
    <row r="3306" spans="1:27" x14ac:dyDescent="0.45">
      <c r="A3306" s="57">
        <v>966</v>
      </c>
      <c r="B3306" t="s">
        <v>787</v>
      </c>
      <c r="C3306" t="s">
        <v>788</v>
      </c>
      <c r="D3306" s="12">
        <v>46313</v>
      </c>
      <c r="E3306" s="11">
        <v>16</v>
      </c>
      <c r="F3306" s="11" t="s">
        <v>7420</v>
      </c>
      <c r="G3306">
        <v>20230701</v>
      </c>
      <c r="I3306" s="11" t="s">
        <v>63</v>
      </c>
      <c r="J3306" s="72">
        <v>60548209</v>
      </c>
      <c r="K3306" s="99">
        <f>_xlfn.XLOOKUP(_2__ROI_Daily_Update[[#This Row],[CSM id]],SHP!F:F,SHP!EE:EE,"-")</f>
        <v>0</v>
      </c>
      <c r="L3306" s="12"/>
      <c r="N3306" s="11"/>
      <c r="P3306"/>
      <c r="Q3306"/>
      <c r="W3306" s="28"/>
      <c r="AA3306"/>
    </row>
    <row r="3307" spans="1:27" x14ac:dyDescent="0.45">
      <c r="A3307" s="57">
        <v>1831</v>
      </c>
      <c r="B3307" t="s">
        <v>5825</v>
      </c>
      <c r="C3307" t="s">
        <v>5826</v>
      </c>
      <c r="D3307" s="12">
        <v>46313</v>
      </c>
      <c r="E3307" s="11">
        <v>24</v>
      </c>
      <c r="F3307" s="11" t="s">
        <v>7468</v>
      </c>
      <c r="G3307">
        <v>20220101</v>
      </c>
      <c r="I3307" s="11" t="s">
        <v>18</v>
      </c>
      <c r="J3307" s="72">
        <v>503911</v>
      </c>
      <c r="K3307" s="99">
        <f>_xlfn.XLOOKUP(_2__ROI_Daily_Update[[#This Row],[CSM id]],SHP!F:F,SHP!EE:EE,"-")</f>
        <v>0</v>
      </c>
      <c r="L3307" s="12"/>
      <c r="N3307" s="11"/>
      <c r="P3307"/>
      <c r="Q3307"/>
      <c r="W3307" s="28"/>
      <c r="AA3307"/>
    </row>
    <row r="3308" spans="1:27" x14ac:dyDescent="0.45">
      <c r="A3308" s="57">
        <v>1211</v>
      </c>
      <c r="B3308" t="s">
        <v>6335</v>
      </c>
      <c r="C3308" t="s">
        <v>6336</v>
      </c>
      <c r="D3308" s="12">
        <v>46313</v>
      </c>
      <c r="E3308" s="11">
        <v>4</v>
      </c>
      <c r="F3308" s="11" t="s">
        <v>7448</v>
      </c>
      <c r="G3308">
        <v>20250701</v>
      </c>
      <c r="I3308" s="11" t="s">
        <v>63</v>
      </c>
      <c r="J3308" s="72">
        <v>40610730</v>
      </c>
      <c r="K3308" s="99">
        <f>_xlfn.XLOOKUP(_2__ROI_Daily_Update[[#This Row],[CSM id]],SHP!F:F,SHP!EE:EE,"-")</f>
        <v>0</v>
      </c>
    </row>
    <row r="3309" spans="1:27" x14ac:dyDescent="0.45">
      <c r="A3309" s="57">
        <v>1231</v>
      </c>
      <c r="B3309" t="s">
        <v>5689</v>
      </c>
      <c r="C3309" t="s">
        <v>5690</v>
      </c>
      <c r="D3309" s="12">
        <v>46313</v>
      </c>
      <c r="E3309" s="11">
        <v>28</v>
      </c>
      <c r="F3309" s="11" t="s">
        <v>7458</v>
      </c>
      <c r="G3309">
        <v>20260401</v>
      </c>
      <c r="I3309" s="11" t="s">
        <v>63</v>
      </c>
      <c r="J3309" s="72">
        <v>10625889</v>
      </c>
      <c r="K3309" s="99">
        <f>_xlfn.XLOOKUP(_2__ROI_Daily_Update[[#This Row],[CSM id]],SHP!F:F,SHP!EE:EE,"-")</f>
        <v>0</v>
      </c>
    </row>
    <row r="3310" spans="1:27" x14ac:dyDescent="0.45">
      <c r="A3310" s="57">
        <v>1833</v>
      </c>
      <c r="B3310" t="s">
        <v>7035</v>
      </c>
      <c r="C3310" t="s">
        <v>7036</v>
      </c>
      <c r="D3310" s="12">
        <v>46313</v>
      </c>
      <c r="E3310" s="11">
        <v>72</v>
      </c>
      <c r="F3310" s="11" t="s">
        <v>7475</v>
      </c>
      <c r="G3310">
        <v>20210701</v>
      </c>
      <c r="I3310" s="11" t="s">
        <v>63</v>
      </c>
      <c r="J3310" s="72">
        <v>40522050</v>
      </c>
      <c r="K3310" s="99">
        <f>_xlfn.XLOOKUP(_2__ROI_Daily_Update[[#This Row],[CSM id]],SHP!F:F,SHP!EE:EE,"-")</f>
        <v>0</v>
      </c>
    </row>
    <row r="3311" spans="1:27" x14ac:dyDescent="0.45">
      <c r="A3311" s="57">
        <v>1211</v>
      </c>
      <c r="B3311" t="s">
        <v>1771</v>
      </c>
      <c r="C3311" t="s">
        <v>1772</v>
      </c>
      <c r="D3311" s="12">
        <v>46313</v>
      </c>
      <c r="E3311" s="11">
        <v>4</v>
      </c>
      <c r="F3311" s="11" t="s">
        <v>7400</v>
      </c>
      <c r="G3311">
        <v>20250401</v>
      </c>
      <c r="H3311" s="12">
        <v>46569</v>
      </c>
      <c r="I3311" s="11" t="s">
        <v>63</v>
      </c>
      <c r="J3311" s="72">
        <v>80601093</v>
      </c>
      <c r="K3311" s="99">
        <f>_xlfn.XLOOKUP(_2__ROI_Daily_Update[[#This Row],[CSM id]],SHP!F:F,SHP!EE:EE,"-")</f>
        <v>0</v>
      </c>
    </row>
    <row r="3312" spans="1:27" x14ac:dyDescent="0.45">
      <c r="A3312" s="57">
        <v>1122</v>
      </c>
      <c r="B3312" t="s">
        <v>1627</v>
      </c>
      <c r="C3312" t="s">
        <v>1628</v>
      </c>
      <c r="D3312" s="12">
        <v>46313</v>
      </c>
      <c r="E3312" s="11">
        <v>10</v>
      </c>
      <c r="F3312" s="11" t="s">
        <v>7485</v>
      </c>
      <c r="G3312">
        <v>20220101</v>
      </c>
      <c r="H3312" s="12">
        <v>46478</v>
      </c>
      <c r="I3312" s="11" t="s">
        <v>32</v>
      </c>
      <c r="J3312" s="72">
        <v>80513218</v>
      </c>
      <c r="K3312" s="99">
        <f>_xlfn.XLOOKUP(_2__ROI_Daily_Update[[#This Row],[CSM id]],SHP!F:F,SHP!EE:EE,"-")</f>
        <v>0</v>
      </c>
    </row>
    <row r="3313" spans="1:11" x14ac:dyDescent="0.45">
      <c r="A3313" s="57">
        <v>1231</v>
      </c>
      <c r="B3313" t="s">
        <v>1859</v>
      </c>
      <c r="C3313" t="s">
        <v>1860</v>
      </c>
      <c r="D3313" s="12">
        <v>46313</v>
      </c>
      <c r="E3313" s="11">
        <v>84</v>
      </c>
      <c r="F3313" s="11" t="s">
        <v>7425</v>
      </c>
      <c r="G3313">
        <v>20250701</v>
      </c>
      <c r="I3313" s="11" t="s">
        <v>63</v>
      </c>
      <c r="J3313" s="72">
        <v>20605046</v>
      </c>
      <c r="K3313" s="99">
        <f>_xlfn.XLOOKUP(_2__ROI_Daily_Update[[#This Row],[CSM id]],SHP!F:F,SHP!EE:EE,"-")</f>
        <v>0</v>
      </c>
    </row>
    <row r="3314" spans="1:11" x14ac:dyDescent="0.45">
      <c r="A3314" s="57">
        <v>972</v>
      </c>
      <c r="B3314" t="s">
        <v>865</v>
      </c>
      <c r="C3314" t="s">
        <v>866</v>
      </c>
      <c r="D3314" s="12">
        <v>46313</v>
      </c>
      <c r="E3314" s="11">
        <v>20</v>
      </c>
      <c r="F3314" s="11" t="s">
        <v>7440</v>
      </c>
      <c r="G3314">
        <v>20170801</v>
      </c>
      <c r="I3314" s="11" t="s">
        <v>63</v>
      </c>
      <c r="J3314" s="72">
        <v>10363726</v>
      </c>
      <c r="K3314" s="99">
        <f>_xlfn.XLOOKUP(_2__ROI_Daily_Update[[#This Row],[CSM id]],SHP!F:F,SHP!EE:EE,"-")</f>
        <v>0</v>
      </c>
    </row>
    <row r="3315" spans="1:11" x14ac:dyDescent="0.45">
      <c r="A3315" s="57">
        <v>1832</v>
      </c>
      <c r="B3315" t="s">
        <v>3620</v>
      </c>
      <c r="C3315" t="s">
        <v>3621</v>
      </c>
      <c r="D3315" s="12">
        <v>46313</v>
      </c>
      <c r="E3315" s="11">
        <v>108</v>
      </c>
      <c r="F3315" s="11" t="s">
        <v>7480</v>
      </c>
      <c r="G3315">
        <v>20260101</v>
      </c>
      <c r="I3315" s="11" t="s">
        <v>63</v>
      </c>
      <c r="J3315" s="72">
        <v>80609635</v>
      </c>
      <c r="K3315" s="99">
        <f>_xlfn.XLOOKUP(_2__ROI_Daily_Update[[#This Row],[CSM id]],SHP!F:F,SHP!EE:EE,"-")</f>
        <v>0</v>
      </c>
    </row>
    <row r="3316" spans="1:11" x14ac:dyDescent="0.45">
      <c r="A3316" s="57">
        <v>1211</v>
      </c>
      <c r="B3316" t="s">
        <v>1769</v>
      </c>
      <c r="C3316" t="s">
        <v>1770</v>
      </c>
      <c r="D3316" s="12">
        <v>46313</v>
      </c>
      <c r="E3316" s="11">
        <v>4</v>
      </c>
      <c r="F3316" s="11" t="s">
        <v>7458</v>
      </c>
      <c r="G3316">
        <v>20250401</v>
      </c>
      <c r="H3316" s="12">
        <v>46388</v>
      </c>
      <c r="I3316" s="11" t="s">
        <v>63</v>
      </c>
      <c r="J3316" s="72">
        <v>80597185</v>
      </c>
      <c r="K3316" s="99">
        <f>_xlfn.XLOOKUP(_2__ROI_Daily_Update[[#This Row],[CSM id]],SHP!F:F,SHP!EE:EE,"-")</f>
        <v>0</v>
      </c>
    </row>
    <row r="3317" spans="1:11" x14ac:dyDescent="0.45">
      <c r="A3317" s="57">
        <v>972</v>
      </c>
      <c r="B3317" t="s">
        <v>6401</v>
      </c>
      <c r="C3317" t="s">
        <v>6402</v>
      </c>
      <c r="D3317" s="12">
        <v>46313</v>
      </c>
      <c r="E3317" s="11">
        <v>8</v>
      </c>
      <c r="F3317" s="11" t="s">
        <v>7448</v>
      </c>
      <c r="G3317">
        <v>20211001</v>
      </c>
      <c r="I3317" s="11" t="s">
        <v>63</v>
      </c>
      <c r="J3317" s="72">
        <v>10504236</v>
      </c>
      <c r="K3317" s="99">
        <f>_xlfn.XLOOKUP(_2__ROI_Daily_Update[[#This Row],[CSM id]],SHP!F:F,SHP!EE:EE,"-")</f>
        <v>0</v>
      </c>
    </row>
    <row r="3318" spans="1:11" x14ac:dyDescent="0.45">
      <c r="A3318" s="57">
        <v>1211</v>
      </c>
      <c r="B3318" t="s">
        <v>6365</v>
      </c>
      <c r="C3318" t="s">
        <v>6366</v>
      </c>
      <c r="D3318" s="12">
        <v>46313</v>
      </c>
      <c r="E3318" s="11">
        <v>24</v>
      </c>
      <c r="F3318" s="11" t="s">
        <v>7453</v>
      </c>
      <c r="G3318">
        <v>20230401</v>
      </c>
      <c r="I3318" s="11" t="s">
        <v>63</v>
      </c>
      <c r="J3318" s="72">
        <v>40536245</v>
      </c>
      <c r="K3318" s="99">
        <f>_xlfn.XLOOKUP(_2__ROI_Daily_Update[[#This Row],[CSM id]],SHP!F:F,SHP!EE:EE,"-")</f>
        <v>0</v>
      </c>
    </row>
    <row r="3319" spans="1:11" x14ac:dyDescent="0.45">
      <c r="A3319" s="57">
        <v>1122</v>
      </c>
      <c r="B3319" t="s">
        <v>5325</v>
      </c>
      <c r="C3319" t="s">
        <v>5326</v>
      </c>
      <c r="D3319" s="12">
        <v>46313</v>
      </c>
      <c r="E3319" s="11">
        <v>80</v>
      </c>
      <c r="F3319" s="11" t="s">
        <v>7480</v>
      </c>
      <c r="G3319">
        <v>20240701</v>
      </c>
      <c r="H3319" s="12">
        <v>46478</v>
      </c>
      <c r="I3319" s="11" t="s">
        <v>32</v>
      </c>
      <c r="J3319" s="72">
        <v>90576738</v>
      </c>
      <c r="K3319" s="99">
        <f>_xlfn.XLOOKUP(_2__ROI_Daily_Update[[#This Row],[CSM id]],SHP!F:F,SHP!EE:EE,"-")</f>
        <v>0</v>
      </c>
    </row>
    <row r="3320" spans="1:11" x14ac:dyDescent="0.45">
      <c r="A3320" s="57">
        <v>967</v>
      </c>
      <c r="B3320" t="s">
        <v>5973</v>
      </c>
      <c r="C3320" t="s">
        <v>5974</v>
      </c>
      <c r="D3320" s="12">
        <v>46313</v>
      </c>
      <c r="E3320" s="11">
        <v>28</v>
      </c>
      <c r="F3320" s="11" t="s">
        <v>6940</v>
      </c>
      <c r="G3320">
        <v>20260701</v>
      </c>
      <c r="I3320" s="11" t="s">
        <v>63</v>
      </c>
      <c r="J3320" s="72">
        <v>80625112</v>
      </c>
      <c r="K3320" s="99">
        <f>_xlfn.XLOOKUP(_2__ROI_Daily_Update[[#This Row],[CSM id]],SHP!F:F,SHP!EE:EE,"-")</f>
        <v>0</v>
      </c>
    </row>
    <row r="3321" spans="1:11" x14ac:dyDescent="0.45">
      <c r="A3321" s="57">
        <v>966</v>
      </c>
      <c r="B3321" t="s">
        <v>5346</v>
      </c>
      <c r="C3321" t="s">
        <v>5347</v>
      </c>
      <c r="D3321" s="12">
        <v>46313</v>
      </c>
      <c r="E3321" s="11">
        <v>4</v>
      </c>
      <c r="F3321" s="11" t="s">
        <v>7420</v>
      </c>
      <c r="G3321">
        <v>20240101</v>
      </c>
      <c r="H3321" s="12">
        <v>46661</v>
      </c>
      <c r="I3321" s="11" t="s">
        <v>63</v>
      </c>
      <c r="J3321" s="72">
        <v>80569521</v>
      </c>
      <c r="K3321" s="99">
        <f>_xlfn.XLOOKUP(_2__ROI_Daily_Update[[#This Row],[CSM id]],SHP!F:F,SHP!EE:EE,"-")</f>
        <v>0</v>
      </c>
    </row>
    <row r="3322" spans="1:11" x14ac:dyDescent="0.45">
      <c r="A3322" s="57">
        <v>1231</v>
      </c>
      <c r="B3322" t="s">
        <v>1853</v>
      </c>
      <c r="C3322" t="s">
        <v>1854</v>
      </c>
      <c r="D3322" s="12">
        <v>46313</v>
      </c>
      <c r="E3322" s="11">
        <v>220</v>
      </c>
      <c r="F3322" s="11" t="s">
        <v>7410</v>
      </c>
      <c r="G3322">
        <v>20260101</v>
      </c>
      <c r="I3322" s="11" t="s">
        <v>63</v>
      </c>
      <c r="J3322" s="72">
        <v>10622089</v>
      </c>
      <c r="K3322" s="99">
        <f>_xlfn.XLOOKUP(_2__ROI_Daily_Update[[#This Row],[CSM id]],SHP!F:F,SHP!EE:EE,"-")</f>
        <v>0</v>
      </c>
    </row>
    <row r="3323" spans="1:11" x14ac:dyDescent="0.45">
      <c r="A3323" s="57">
        <v>1211</v>
      </c>
      <c r="B3323" t="s">
        <v>1749</v>
      </c>
      <c r="C3323" t="s">
        <v>1750</v>
      </c>
      <c r="D3323" s="12">
        <v>46313</v>
      </c>
      <c r="E3323" s="11">
        <v>72</v>
      </c>
      <c r="F3323" s="11" t="s">
        <v>7420</v>
      </c>
      <c r="G3323">
        <v>20261001</v>
      </c>
      <c r="I3323" s="11" t="s">
        <v>63</v>
      </c>
      <c r="J3323" s="72">
        <v>40640845</v>
      </c>
      <c r="K3323" s="99">
        <f>_xlfn.XLOOKUP(_2__ROI_Daily_Update[[#This Row],[CSM id]],SHP!F:F,SHP!EE:EE,"-")</f>
        <v>0</v>
      </c>
    </row>
    <row r="3324" spans="1:11" x14ac:dyDescent="0.45">
      <c r="A3324" s="57">
        <v>1231</v>
      </c>
      <c r="B3324" t="s">
        <v>1863</v>
      </c>
      <c r="C3324" t="s">
        <v>1864</v>
      </c>
      <c r="D3324" s="12">
        <v>46313</v>
      </c>
      <c r="E3324" s="11">
        <v>28</v>
      </c>
      <c r="F3324" s="11" t="s">
        <v>7430</v>
      </c>
      <c r="G3324">
        <v>20260401</v>
      </c>
      <c r="H3324" s="12">
        <v>46569</v>
      </c>
      <c r="I3324" s="11" t="s">
        <v>63</v>
      </c>
      <c r="J3324" s="72">
        <v>20626416</v>
      </c>
      <c r="K3324" s="99">
        <f>_xlfn.XLOOKUP(_2__ROI_Daily_Update[[#This Row],[CSM id]],SHP!F:F,SHP!EE:EE,"-")</f>
        <v>0</v>
      </c>
    </row>
    <row r="3325" spans="1:11" x14ac:dyDescent="0.45">
      <c r="A3325" s="57">
        <v>1211</v>
      </c>
      <c r="B3325" t="s">
        <v>1773</v>
      </c>
      <c r="C3325" t="s">
        <v>1774</v>
      </c>
      <c r="D3325" s="12">
        <v>46313</v>
      </c>
      <c r="E3325" s="11">
        <v>16</v>
      </c>
      <c r="F3325" s="11" t="s">
        <v>6940</v>
      </c>
      <c r="G3325">
        <v>20261001</v>
      </c>
      <c r="I3325" s="11" t="s">
        <v>63</v>
      </c>
      <c r="J3325" s="72">
        <v>80637167</v>
      </c>
      <c r="K3325" s="99">
        <f>_xlfn.XLOOKUP(_2__ROI_Daily_Update[[#This Row],[CSM id]],SHP!F:F,SHP!EE:EE,"-")</f>
        <v>0</v>
      </c>
    </row>
    <row r="3326" spans="1:11" x14ac:dyDescent="0.45">
      <c r="A3326" s="57">
        <v>821</v>
      </c>
      <c r="B3326" t="s">
        <v>651</v>
      </c>
      <c r="C3326" t="s">
        <v>652</v>
      </c>
      <c r="D3326" s="12">
        <v>46314</v>
      </c>
      <c r="E3326" s="11">
        <v>52</v>
      </c>
      <c r="F3326" s="11" t="s">
        <v>6760</v>
      </c>
      <c r="G3326">
        <v>20250401</v>
      </c>
      <c r="I3326" s="11" t="s">
        <v>18</v>
      </c>
      <c r="J3326" s="72">
        <v>90592738</v>
      </c>
      <c r="K3326" s="99">
        <f>_xlfn.XLOOKUP(_2__ROI_Daily_Update[[#This Row],[CSM id]],SHP!F:F,SHP!EE:EE,"-")</f>
        <v>0</v>
      </c>
    </row>
    <row r="3327" spans="1:11" x14ac:dyDescent="0.45">
      <c r="A3327" s="57">
        <v>1231</v>
      </c>
      <c r="B3327" t="s">
        <v>1895</v>
      </c>
      <c r="C3327" t="s">
        <v>1896</v>
      </c>
      <c r="D3327" s="12">
        <v>46314</v>
      </c>
      <c r="E3327" s="11">
        <v>72</v>
      </c>
      <c r="F3327" s="11" t="s">
        <v>6760</v>
      </c>
      <c r="G3327">
        <v>20230401</v>
      </c>
      <c r="I3327" s="11" t="s">
        <v>18</v>
      </c>
      <c r="J3327" s="72">
        <v>60550711</v>
      </c>
      <c r="K3327" s="99">
        <f>_xlfn.XLOOKUP(_2__ROI_Daily_Update[[#This Row],[CSM id]],SHP!F:F,SHP!EE:EE,"-")</f>
        <v>0</v>
      </c>
    </row>
    <row r="3328" spans="1:11" x14ac:dyDescent="0.45">
      <c r="A3328" s="57">
        <v>921</v>
      </c>
      <c r="B3328" t="s">
        <v>692</v>
      </c>
      <c r="C3328" t="s">
        <v>693</v>
      </c>
      <c r="D3328" s="12">
        <v>46314</v>
      </c>
      <c r="E3328" s="11">
        <v>64</v>
      </c>
      <c r="F3328" s="11" t="s">
        <v>6760</v>
      </c>
      <c r="G3328">
        <v>20220701</v>
      </c>
      <c r="I3328" s="11" t="s">
        <v>18</v>
      </c>
      <c r="J3328" s="72">
        <v>50518566</v>
      </c>
      <c r="K3328" s="99">
        <f>_xlfn.XLOOKUP(_2__ROI_Daily_Update[[#This Row],[CSM id]],SHP!F:F,SHP!EE:EE,"-")</f>
        <v>0</v>
      </c>
    </row>
    <row r="3329" spans="1:11" x14ac:dyDescent="0.45">
      <c r="A3329" s="57">
        <v>1831</v>
      </c>
      <c r="B3329" t="s">
        <v>3600</v>
      </c>
      <c r="C3329" t="s">
        <v>3601</v>
      </c>
      <c r="D3329" s="12">
        <v>46314</v>
      </c>
      <c r="E3329" s="11">
        <v>82</v>
      </c>
      <c r="F3329" s="11" t="s">
        <v>6760</v>
      </c>
      <c r="G3329">
        <v>20260101</v>
      </c>
      <c r="I3329" s="11" t="s">
        <v>18</v>
      </c>
      <c r="J3329" s="72">
        <v>40591053</v>
      </c>
      <c r="K3329" s="99">
        <f>_xlfn.XLOOKUP(_2__ROI_Daily_Update[[#This Row],[CSM id]],SHP!F:F,SHP!EE:EE,"-")</f>
        <v>0</v>
      </c>
    </row>
    <row r="3330" spans="1:11" x14ac:dyDescent="0.45">
      <c r="A3330" s="57">
        <v>1122</v>
      </c>
      <c r="B3330" t="s">
        <v>1615</v>
      </c>
      <c r="C3330" t="s">
        <v>1616</v>
      </c>
      <c r="D3330" s="12">
        <v>46314</v>
      </c>
      <c r="E3330" s="11">
        <v>32</v>
      </c>
      <c r="F3330" s="11" t="s">
        <v>6760</v>
      </c>
      <c r="G3330">
        <v>20260401</v>
      </c>
      <c r="I3330" s="11" t="s">
        <v>18</v>
      </c>
      <c r="J3330" s="72">
        <v>40628626</v>
      </c>
      <c r="K3330" s="99">
        <f>_xlfn.XLOOKUP(_2__ROI_Daily_Update[[#This Row],[CSM id]],SHP!F:F,SHP!EE:EE,"-")</f>
        <v>0</v>
      </c>
    </row>
    <row r="3331" spans="1:11" x14ac:dyDescent="0.45">
      <c r="A3331" s="57">
        <v>1852</v>
      </c>
      <c r="B3331" t="s">
        <v>3713</v>
      </c>
      <c r="C3331" t="s">
        <v>3714</v>
      </c>
      <c r="D3331" s="12">
        <v>46314</v>
      </c>
      <c r="E3331" s="11">
        <v>39</v>
      </c>
      <c r="F3331" s="11" t="s">
        <v>6767</v>
      </c>
      <c r="G3331">
        <v>20260101</v>
      </c>
      <c r="I3331" s="11" t="s">
        <v>18</v>
      </c>
      <c r="J3331" s="72">
        <v>80602097</v>
      </c>
      <c r="K3331" s="99">
        <f>_xlfn.XLOOKUP(_2__ROI_Daily_Update[[#This Row],[CSM id]],SHP!F:F,SHP!EE:EE,"-")</f>
        <v>0</v>
      </c>
    </row>
    <row r="3332" spans="1:11" x14ac:dyDescent="0.45">
      <c r="A3332" s="57">
        <v>1434</v>
      </c>
      <c r="B3332" t="s">
        <v>2482</v>
      </c>
      <c r="C3332" t="s">
        <v>2483</v>
      </c>
      <c r="D3332" s="12">
        <v>46314</v>
      </c>
      <c r="E3332" s="11">
        <v>320</v>
      </c>
      <c r="F3332" s="11" t="s">
        <v>6760</v>
      </c>
      <c r="G3332">
        <v>20151201</v>
      </c>
      <c r="I3332" s="11" t="s">
        <v>18</v>
      </c>
      <c r="J3332" s="72">
        <v>313322</v>
      </c>
      <c r="K3332" s="99">
        <f>_xlfn.XLOOKUP(_2__ROI_Daily_Update[[#This Row],[CSM id]],SHP!F:F,SHP!EE:EE,"-")</f>
        <v>0</v>
      </c>
    </row>
    <row r="3333" spans="1:11" x14ac:dyDescent="0.45">
      <c r="A3333" s="57">
        <v>782</v>
      </c>
      <c r="B3333" t="s">
        <v>585</v>
      </c>
      <c r="C3333" t="s">
        <v>586</v>
      </c>
      <c r="D3333" s="12">
        <v>46314</v>
      </c>
      <c r="E3333" s="11">
        <v>91</v>
      </c>
      <c r="F3333" s="11" t="s">
        <v>6760</v>
      </c>
      <c r="G3333">
        <v>20260401</v>
      </c>
      <c r="I3333" s="11" t="s">
        <v>18</v>
      </c>
      <c r="J3333" s="72">
        <v>20629721</v>
      </c>
      <c r="K3333" s="99">
        <f>_xlfn.XLOOKUP(_2__ROI_Daily_Update[[#This Row],[CSM id]],SHP!F:F,SHP!EE:EE,"-")</f>
        <v>0</v>
      </c>
    </row>
    <row r="3334" spans="1:11" x14ac:dyDescent="0.45">
      <c r="A3334" s="57">
        <v>1122</v>
      </c>
      <c r="B3334" t="s">
        <v>1617</v>
      </c>
      <c r="C3334" t="s">
        <v>1618</v>
      </c>
      <c r="D3334" s="12">
        <v>46314</v>
      </c>
      <c r="E3334" s="11">
        <v>36</v>
      </c>
      <c r="F3334" s="11" t="s">
        <v>6760</v>
      </c>
      <c r="G3334">
        <v>20200401</v>
      </c>
      <c r="I3334" s="11" t="s">
        <v>18</v>
      </c>
      <c r="J3334" s="72">
        <v>60460372</v>
      </c>
      <c r="K3334" s="99">
        <f>_xlfn.XLOOKUP(_2__ROI_Daily_Update[[#This Row],[CSM id]],SHP!F:F,SHP!EE:EE,"-")</f>
        <v>0</v>
      </c>
    </row>
    <row r="3335" spans="1:11" x14ac:dyDescent="0.45">
      <c r="A3335" s="57">
        <v>1833</v>
      </c>
      <c r="B3335" t="s">
        <v>3626</v>
      </c>
      <c r="C3335" t="s">
        <v>3627</v>
      </c>
      <c r="D3335" s="12">
        <v>46314</v>
      </c>
      <c r="E3335" s="11">
        <v>96</v>
      </c>
      <c r="F3335" s="11" t="s">
        <v>6760</v>
      </c>
      <c r="G3335">
        <v>20140801</v>
      </c>
      <c r="I3335" s="11" t="s">
        <v>18</v>
      </c>
      <c r="J3335" s="72">
        <v>242891</v>
      </c>
      <c r="K3335" s="99">
        <f>_xlfn.XLOOKUP(_2__ROI_Daily_Update[[#This Row],[CSM id]],SHP!F:F,SHP!EE:EE,"-")</f>
        <v>0</v>
      </c>
    </row>
    <row r="3336" spans="1:11" x14ac:dyDescent="0.45">
      <c r="A3336" s="57">
        <v>623</v>
      </c>
      <c r="B3336" t="s">
        <v>5366</v>
      </c>
      <c r="C3336" t="s">
        <v>5367</v>
      </c>
      <c r="D3336" s="12">
        <v>46314</v>
      </c>
      <c r="E3336" s="11">
        <v>36</v>
      </c>
      <c r="F3336" s="11" t="s">
        <v>6760</v>
      </c>
      <c r="G3336">
        <v>20260401</v>
      </c>
      <c r="I3336" s="11" t="s">
        <v>18</v>
      </c>
      <c r="J3336" s="72">
        <v>60621431</v>
      </c>
      <c r="K3336" s="99">
        <f>_xlfn.XLOOKUP(_2__ROI_Daily_Update[[#This Row],[CSM id]],SHP!F:F,SHP!EE:EE,"-")</f>
        <v>0</v>
      </c>
    </row>
    <row r="3337" spans="1:11" x14ac:dyDescent="0.45">
      <c r="A3337" s="57">
        <v>973</v>
      </c>
      <c r="B3337" t="s">
        <v>901</v>
      </c>
      <c r="C3337" t="s">
        <v>902</v>
      </c>
      <c r="D3337" s="12">
        <v>46314</v>
      </c>
      <c r="E3337" s="11">
        <v>30</v>
      </c>
      <c r="F3337" s="11" t="s">
        <v>6760</v>
      </c>
      <c r="G3337">
        <v>20210701</v>
      </c>
      <c r="I3337" s="11" t="s">
        <v>32</v>
      </c>
      <c r="J3337" s="72">
        <v>10488967</v>
      </c>
      <c r="K3337" s="99">
        <f>_xlfn.XLOOKUP(_2__ROI_Daily_Update[[#This Row],[CSM id]],SHP!F:F,SHP!EE:EE,"-")</f>
        <v>0</v>
      </c>
    </row>
    <row r="3338" spans="1:11" x14ac:dyDescent="0.45">
      <c r="A3338" s="57">
        <v>341</v>
      </c>
      <c r="B3338" t="s">
        <v>34</v>
      </c>
      <c r="C3338" t="s">
        <v>35</v>
      </c>
      <c r="D3338" s="12">
        <v>46314</v>
      </c>
      <c r="E3338" s="11">
        <v>140</v>
      </c>
      <c r="F3338" s="11" t="s">
        <v>6760</v>
      </c>
      <c r="G3338">
        <v>20140801</v>
      </c>
      <c r="I3338" s="11" t="s">
        <v>18</v>
      </c>
      <c r="J3338" s="72">
        <v>80217977</v>
      </c>
      <c r="K3338" s="99">
        <f>_xlfn.XLOOKUP(_2__ROI_Daily_Update[[#This Row],[CSM id]],SHP!F:F,SHP!EE:EE,"-")</f>
        <v>0</v>
      </c>
    </row>
    <row r="3339" spans="1:11" x14ac:dyDescent="0.45">
      <c r="A3339" s="57">
        <v>1811</v>
      </c>
      <c r="B3339" t="s">
        <v>5348</v>
      </c>
      <c r="C3339" t="s">
        <v>5349</v>
      </c>
      <c r="D3339" s="12">
        <v>46314</v>
      </c>
      <c r="E3339" s="11">
        <v>204</v>
      </c>
      <c r="F3339" s="11" t="s">
        <v>6767</v>
      </c>
      <c r="G3339">
        <v>20240701</v>
      </c>
      <c r="I3339" s="11" t="s">
        <v>18</v>
      </c>
      <c r="J3339" s="72">
        <v>80580811</v>
      </c>
      <c r="K3339" s="99">
        <f>_xlfn.XLOOKUP(_2__ROI_Daily_Update[[#This Row],[CSM id]],SHP!F:F,SHP!EE:EE,"-")</f>
        <v>0</v>
      </c>
    </row>
    <row r="3340" spans="1:11" x14ac:dyDescent="0.45">
      <c r="A3340" s="57">
        <v>131</v>
      </c>
      <c r="B3340" t="s">
        <v>205</v>
      </c>
      <c r="C3340" t="s">
        <v>206</v>
      </c>
      <c r="D3340" s="12">
        <v>46314</v>
      </c>
      <c r="E3340" s="11">
        <v>44</v>
      </c>
      <c r="F3340" s="11" t="s">
        <v>6760</v>
      </c>
      <c r="G3340">
        <v>20260701</v>
      </c>
      <c r="I3340" s="11" t="s">
        <v>18</v>
      </c>
      <c r="J3340" s="72">
        <v>90534003</v>
      </c>
      <c r="K3340" s="99">
        <f>_xlfn.XLOOKUP(_2__ROI_Daily_Update[[#This Row],[CSM id]],SHP!F:F,SHP!EE:EE,"-")</f>
        <v>0</v>
      </c>
    </row>
    <row r="3341" spans="1:11" x14ac:dyDescent="0.45">
      <c r="A3341" s="57">
        <v>1121</v>
      </c>
      <c r="B3341" t="s">
        <v>1575</v>
      </c>
      <c r="C3341" t="s">
        <v>1576</v>
      </c>
      <c r="D3341" s="12">
        <v>46314</v>
      </c>
      <c r="E3341" s="11">
        <v>60</v>
      </c>
      <c r="F3341" s="11" t="s">
        <v>6760</v>
      </c>
      <c r="G3341">
        <v>20251001</v>
      </c>
      <c r="I3341" s="11" t="s">
        <v>18</v>
      </c>
      <c r="J3341" s="72">
        <v>20458427</v>
      </c>
      <c r="K3341" s="99">
        <f>_xlfn.XLOOKUP(_2__ROI_Daily_Update[[#This Row],[CSM id]],SHP!F:F,SHP!EE:EE,"-")</f>
        <v>0</v>
      </c>
    </row>
    <row r="3342" spans="1:11" x14ac:dyDescent="0.45">
      <c r="A3342" s="57">
        <v>1122</v>
      </c>
      <c r="B3342" t="s">
        <v>1619</v>
      </c>
      <c r="C3342" t="s">
        <v>1620</v>
      </c>
      <c r="D3342" s="12">
        <v>46314</v>
      </c>
      <c r="E3342" s="11">
        <v>50</v>
      </c>
      <c r="F3342" s="11" t="s">
        <v>6760</v>
      </c>
      <c r="G3342">
        <v>20230101</v>
      </c>
      <c r="I3342" s="11" t="s">
        <v>18</v>
      </c>
      <c r="J3342" s="72">
        <v>60544881</v>
      </c>
      <c r="K3342" s="99">
        <f>_xlfn.XLOOKUP(_2__ROI_Daily_Update[[#This Row],[CSM id]],SHP!F:F,SHP!EE:EE,"-")</f>
        <v>0</v>
      </c>
    </row>
    <row r="3343" spans="1:11" x14ac:dyDescent="0.45">
      <c r="A3343" s="57">
        <v>623</v>
      </c>
      <c r="B3343" t="s">
        <v>386</v>
      </c>
      <c r="C3343" t="s">
        <v>387</v>
      </c>
      <c r="D3343" s="12">
        <v>46314</v>
      </c>
      <c r="E3343" s="11">
        <v>36</v>
      </c>
      <c r="F3343" s="11" t="s">
        <v>6760</v>
      </c>
      <c r="G3343">
        <v>20190801</v>
      </c>
      <c r="I3343" s="11" t="s">
        <v>18</v>
      </c>
      <c r="J3343" s="72">
        <v>40433365</v>
      </c>
      <c r="K3343" s="99">
        <f>_xlfn.XLOOKUP(_2__ROI_Daily_Update[[#This Row],[CSM id]],SHP!F:F,SHP!EE:EE,"-")</f>
        <v>0</v>
      </c>
    </row>
    <row r="3344" spans="1:11" x14ac:dyDescent="0.45">
      <c r="A3344" s="57">
        <v>1121</v>
      </c>
      <c r="B3344" t="s">
        <v>1573</v>
      </c>
      <c r="C3344" t="s">
        <v>1574</v>
      </c>
      <c r="D3344" s="12">
        <v>46314</v>
      </c>
      <c r="E3344" s="11">
        <v>32</v>
      </c>
      <c r="F3344" s="11" t="s">
        <v>6760</v>
      </c>
      <c r="G3344">
        <v>20251001</v>
      </c>
      <c r="I3344" s="11" t="s">
        <v>18</v>
      </c>
      <c r="J3344" s="72">
        <v>10607258</v>
      </c>
      <c r="K3344" s="99">
        <f>_xlfn.XLOOKUP(_2__ROI_Daily_Update[[#This Row],[CSM id]],SHP!F:F,SHP!EE:EE,"-")</f>
        <v>0</v>
      </c>
    </row>
    <row r="3345" spans="1:11" x14ac:dyDescent="0.45">
      <c r="A3345" s="57">
        <v>821</v>
      </c>
      <c r="B3345" t="s">
        <v>647</v>
      </c>
      <c r="C3345" t="s">
        <v>648</v>
      </c>
      <c r="D3345" s="12">
        <v>46314</v>
      </c>
      <c r="E3345" s="11">
        <v>52</v>
      </c>
      <c r="F3345" s="11" t="s">
        <v>6760</v>
      </c>
      <c r="G3345">
        <v>20250401</v>
      </c>
      <c r="I3345" s="11" t="s">
        <v>18</v>
      </c>
      <c r="J3345" s="72">
        <v>80592753</v>
      </c>
      <c r="K3345" s="99">
        <f>_xlfn.XLOOKUP(_2__ROI_Daily_Update[[#This Row],[CSM id]],SHP!F:F,SHP!EE:EE,"-")</f>
        <v>0</v>
      </c>
    </row>
    <row r="3346" spans="1:11" x14ac:dyDescent="0.45">
      <c r="A3346" s="57">
        <v>965</v>
      </c>
      <c r="B3346" t="s">
        <v>775</v>
      </c>
      <c r="C3346" t="s">
        <v>776</v>
      </c>
      <c r="D3346" s="12">
        <v>46314</v>
      </c>
      <c r="E3346" s="11">
        <v>40</v>
      </c>
      <c r="F3346" s="11" t="s">
        <v>6760</v>
      </c>
      <c r="G3346">
        <v>20250401</v>
      </c>
      <c r="H3346" s="12">
        <v>46478</v>
      </c>
      <c r="I3346" s="11" t="s">
        <v>18</v>
      </c>
      <c r="J3346" s="72">
        <v>80595327</v>
      </c>
      <c r="K3346" s="99">
        <f>_xlfn.XLOOKUP(_2__ROI_Daily_Update[[#This Row],[CSM id]],SHP!F:F,SHP!EE:EE,"-")</f>
        <v>0</v>
      </c>
    </row>
    <row r="3347" spans="1:11" x14ac:dyDescent="0.45">
      <c r="A3347" s="57">
        <v>1211</v>
      </c>
      <c r="B3347" t="s">
        <v>5316</v>
      </c>
      <c r="C3347" t="s">
        <v>5317</v>
      </c>
      <c r="D3347" s="12">
        <v>46314</v>
      </c>
      <c r="E3347" s="11">
        <v>252</v>
      </c>
      <c r="F3347" s="11" t="s">
        <v>6760</v>
      </c>
      <c r="G3347">
        <v>20250101</v>
      </c>
      <c r="I3347" s="11" t="s">
        <v>18</v>
      </c>
      <c r="J3347" s="72">
        <v>70597708</v>
      </c>
      <c r="K3347" s="99">
        <f>_xlfn.XLOOKUP(_2__ROI_Daily_Update[[#This Row],[CSM id]],SHP!F:F,SHP!EE:EE,"-")</f>
        <v>0</v>
      </c>
    </row>
    <row r="3348" spans="1:11" x14ac:dyDescent="0.45">
      <c r="A3348" s="57">
        <v>352</v>
      </c>
      <c r="B3348" t="s">
        <v>5294</v>
      </c>
      <c r="C3348" t="s">
        <v>5295</v>
      </c>
      <c r="D3348" s="12">
        <v>46314</v>
      </c>
      <c r="E3348" s="11">
        <v>6</v>
      </c>
      <c r="F3348" s="11" t="s">
        <v>6760</v>
      </c>
      <c r="G3348">
        <v>20181001</v>
      </c>
      <c r="I3348" s="11" t="s">
        <v>18</v>
      </c>
      <c r="J3348" s="72">
        <v>20419983</v>
      </c>
      <c r="K3348" s="99">
        <f>_xlfn.XLOOKUP(_2__ROI_Daily_Update[[#This Row],[CSM id]],SHP!F:F,SHP!EE:EE,"-")</f>
        <v>0</v>
      </c>
    </row>
    <row r="3349" spans="1:11" x14ac:dyDescent="0.45">
      <c r="A3349" s="57">
        <v>1122</v>
      </c>
      <c r="B3349" t="s">
        <v>1613</v>
      </c>
      <c r="C3349" t="s">
        <v>1614</v>
      </c>
      <c r="D3349" s="12">
        <v>46314</v>
      </c>
      <c r="E3349" s="11">
        <v>66</v>
      </c>
      <c r="F3349" s="11" t="s">
        <v>6760</v>
      </c>
      <c r="G3349">
        <v>20200601</v>
      </c>
      <c r="H3349" s="12">
        <v>46478</v>
      </c>
      <c r="I3349" s="11" t="s">
        <v>18</v>
      </c>
      <c r="J3349" s="72">
        <v>40470107</v>
      </c>
      <c r="K3349" s="99">
        <f>_xlfn.XLOOKUP(_2__ROI_Daily_Update[[#This Row],[CSM id]],SHP!F:F,SHP!EE:EE,"-")</f>
        <v>0</v>
      </c>
    </row>
    <row r="3350" spans="1:11" x14ac:dyDescent="0.45">
      <c r="A3350" s="57">
        <v>113</v>
      </c>
      <c r="B3350" t="s">
        <v>56</v>
      </c>
      <c r="C3350" t="s">
        <v>57</v>
      </c>
      <c r="D3350" s="12">
        <v>46314</v>
      </c>
      <c r="E3350" s="11">
        <v>2</v>
      </c>
      <c r="F3350" s="11" t="s">
        <v>6760</v>
      </c>
      <c r="G3350">
        <v>20250401</v>
      </c>
      <c r="I3350" s="11" t="s">
        <v>18</v>
      </c>
      <c r="J3350" s="72">
        <v>60586102</v>
      </c>
      <c r="K3350" s="99">
        <f>_xlfn.XLOOKUP(_2__ROI_Daily_Update[[#This Row],[CSM id]],SHP!F:F,SHP!EE:EE,"-")</f>
        <v>0</v>
      </c>
    </row>
    <row r="3351" spans="1:11" x14ac:dyDescent="0.45">
      <c r="A3351" s="57">
        <v>1012</v>
      </c>
      <c r="B3351" t="s">
        <v>1062</v>
      </c>
      <c r="C3351" t="s">
        <v>1063</v>
      </c>
      <c r="D3351" s="12">
        <v>46314</v>
      </c>
      <c r="E3351" s="11">
        <v>30</v>
      </c>
      <c r="F3351" s="11" t="s">
        <v>6760</v>
      </c>
      <c r="G3351">
        <v>20210701</v>
      </c>
      <c r="I3351" s="11" t="s">
        <v>18</v>
      </c>
      <c r="J3351" s="72">
        <v>20404991</v>
      </c>
      <c r="K3351" s="99">
        <f>_xlfn.XLOOKUP(_2__ROI_Daily_Update[[#This Row],[CSM id]],SHP!F:F,SHP!EE:EE,"-")</f>
        <v>0</v>
      </c>
    </row>
    <row r="3352" spans="1:11" x14ac:dyDescent="0.45">
      <c r="A3352" s="57">
        <v>921</v>
      </c>
      <c r="B3352" t="s">
        <v>680</v>
      </c>
      <c r="C3352" t="s">
        <v>681</v>
      </c>
      <c r="D3352" s="12">
        <v>46314</v>
      </c>
      <c r="E3352" s="11">
        <v>108</v>
      </c>
      <c r="F3352" s="11" t="s">
        <v>6760</v>
      </c>
      <c r="G3352">
        <v>20250101</v>
      </c>
      <c r="I3352" s="11" t="s">
        <v>18</v>
      </c>
      <c r="J3352" s="72">
        <v>20582101</v>
      </c>
      <c r="K3352" s="99">
        <f>_xlfn.XLOOKUP(_2__ROI_Daily_Update[[#This Row],[CSM id]],SHP!F:F,SHP!EE:EE,"-")</f>
        <v>0</v>
      </c>
    </row>
    <row r="3353" spans="1:11" x14ac:dyDescent="0.45">
      <c r="A3353" s="57">
        <v>1233</v>
      </c>
      <c r="B3353" t="s">
        <v>2010</v>
      </c>
      <c r="C3353" t="s">
        <v>2011</v>
      </c>
      <c r="D3353" s="12">
        <v>46314</v>
      </c>
      <c r="E3353" s="11">
        <v>144</v>
      </c>
      <c r="F3353" s="11" t="s">
        <v>6760</v>
      </c>
      <c r="G3353">
        <v>20261001</v>
      </c>
      <c r="I3353" s="11" t="s">
        <v>18</v>
      </c>
      <c r="J3353" s="72">
        <v>70636272</v>
      </c>
      <c r="K3353" s="99">
        <f>_xlfn.XLOOKUP(_2__ROI_Daily_Update[[#This Row],[CSM id]],SHP!F:F,SHP!EE:EE,"-")</f>
        <v>0</v>
      </c>
    </row>
    <row r="3354" spans="1:11" x14ac:dyDescent="0.45">
      <c r="A3354" s="57">
        <v>1314</v>
      </c>
      <c r="B3354" t="s">
        <v>2064</v>
      </c>
      <c r="C3354" t="s">
        <v>2065</v>
      </c>
      <c r="D3354" s="12">
        <v>46314</v>
      </c>
      <c r="E3354" s="11">
        <v>368</v>
      </c>
      <c r="F3354" s="11" t="s">
        <v>6760</v>
      </c>
      <c r="G3354">
        <v>20181001</v>
      </c>
      <c r="I3354" s="11" t="s">
        <v>18</v>
      </c>
      <c r="J3354" s="72">
        <v>60406337</v>
      </c>
      <c r="K3354" s="99">
        <f>_xlfn.XLOOKUP(_2__ROI_Daily_Update[[#This Row],[CSM id]],SHP!F:F,SHP!EE:EE,"-")</f>
        <v>0</v>
      </c>
    </row>
    <row r="3355" spans="1:11" x14ac:dyDescent="0.45">
      <c r="A3355" s="57">
        <v>341</v>
      </c>
      <c r="B3355" t="s">
        <v>5288</v>
      </c>
      <c r="C3355" t="s">
        <v>5289</v>
      </c>
      <c r="D3355" s="12">
        <v>46314</v>
      </c>
      <c r="E3355" s="11">
        <v>23</v>
      </c>
      <c r="F3355" s="11" t="s">
        <v>6760</v>
      </c>
      <c r="G3355">
        <v>20170401</v>
      </c>
      <c r="H3355" s="12">
        <v>46478</v>
      </c>
      <c r="I3355" s="11" t="s">
        <v>18</v>
      </c>
      <c r="J3355" s="72">
        <v>90354271</v>
      </c>
      <c r="K3355" s="99">
        <f>_xlfn.XLOOKUP(_2__ROI_Daily_Update[[#This Row],[CSM id]],SHP!F:F,SHP!EE:EE,"-")</f>
        <v>0</v>
      </c>
    </row>
    <row r="3356" spans="1:11" x14ac:dyDescent="0.45">
      <c r="A3356" s="57">
        <v>341</v>
      </c>
      <c r="B3356" t="s">
        <v>301</v>
      </c>
      <c r="C3356" t="s">
        <v>302</v>
      </c>
      <c r="D3356" s="12">
        <v>46314</v>
      </c>
      <c r="E3356" s="11">
        <v>36</v>
      </c>
      <c r="F3356" s="11" t="s">
        <v>6760</v>
      </c>
      <c r="G3356">
        <v>20230901</v>
      </c>
      <c r="I3356" s="11" t="s">
        <v>18</v>
      </c>
      <c r="J3356" s="72">
        <v>60557802</v>
      </c>
      <c r="K3356" s="99">
        <f>_xlfn.XLOOKUP(_2__ROI_Daily_Update[[#This Row],[CSM id]],SHP!F:F,SHP!EE:EE,"-")</f>
        <v>0</v>
      </c>
    </row>
    <row r="3357" spans="1:11" x14ac:dyDescent="0.45">
      <c r="A3357" s="57">
        <v>1122</v>
      </c>
      <c r="B3357" t="s">
        <v>1605</v>
      </c>
      <c r="C3357" t="s">
        <v>1606</v>
      </c>
      <c r="D3357" s="12">
        <v>46314</v>
      </c>
      <c r="E3357" s="11">
        <v>20</v>
      </c>
      <c r="F3357" s="11" t="s">
        <v>6760</v>
      </c>
      <c r="G3357">
        <v>20231001</v>
      </c>
      <c r="H3357" s="12">
        <v>46478</v>
      </c>
      <c r="I3357" s="11" t="s">
        <v>18</v>
      </c>
      <c r="J3357" s="72">
        <v>20554283</v>
      </c>
      <c r="K3357" s="99">
        <f>_xlfn.XLOOKUP(_2__ROI_Daily_Update[[#This Row],[CSM id]],SHP!F:F,SHP!EE:EE,"-")</f>
        <v>0</v>
      </c>
    </row>
    <row r="3358" spans="1:11" x14ac:dyDescent="0.45">
      <c r="A3358" s="57">
        <v>1813</v>
      </c>
      <c r="B3358" t="s">
        <v>3402</v>
      </c>
      <c r="C3358" t="s">
        <v>3403</v>
      </c>
      <c r="D3358" s="12">
        <v>46314</v>
      </c>
      <c r="E3358" s="11">
        <v>312</v>
      </c>
      <c r="F3358" s="11" t="s">
        <v>6760</v>
      </c>
      <c r="G3358">
        <v>20140801</v>
      </c>
      <c r="I3358" s="11" t="s">
        <v>18</v>
      </c>
      <c r="J3358" s="72">
        <v>50177727</v>
      </c>
      <c r="K3358" s="99">
        <f>_xlfn.XLOOKUP(_2__ROI_Daily_Update[[#This Row],[CSM id]],SHP!F:F,SHP!EE:EE,"-")</f>
        <v>0</v>
      </c>
    </row>
    <row r="3359" spans="1:11" x14ac:dyDescent="0.45">
      <c r="A3359" s="57">
        <v>125</v>
      </c>
      <c r="B3359" t="s">
        <v>130</v>
      </c>
      <c r="C3359" t="s">
        <v>131</v>
      </c>
      <c r="D3359" s="12">
        <v>46314</v>
      </c>
      <c r="E3359" s="11">
        <v>20</v>
      </c>
      <c r="F3359" s="11" t="s">
        <v>6760</v>
      </c>
      <c r="G3359">
        <v>20180401</v>
      </c>
      <c r="H3359" s="12">
        <v>46569</v>
      </c>
      <c r="I3359" s="11" t="s">
        <v>18</v>
      </c>
      <c r="J3359" s="72">
        <v>90395144</v>
      </c>
      <c r="K3359" s="99">
        <f>_xlfn.XLOOKUP(_2__ROI_Daily_Update[[#This Row],[CSM id]],SHP!F:F,SHP!EE:EE,"-")</f>
        <v>0</v>
      </c>
    </row>
    <row r="3360" spans="1:11" x14ac:dyDescent="0.45">
      <c r="A3360" s="57">
        <v>341</v>
      </c>
      <c r="B3360" t="s">
        <v>52</v>
      </c>
      <c r="C3360" t="s">
        <v>53</v>
      </c>
      <c r="D3360" s="12">
        <v>46314</v>
      </c>
      <c r="E3360" s="11">
        <v>6</v>
      </c>
      <c r="F3360" s="11" t="s">
        <v>6760</v>
      </c>
      <c r="G3360">
        <v>20170401</v>
      </c>
      <c r="H3360" s="12">
        <v>46478</v>
      </c>
      <c r="I3360" s="11" t="s">
        <v>18</v>
      </c>
      <c r="J3360" s="72">
        <v>20354284</v>
      </c>
      <c r="K3360" s="99">
        <f>_xlfn.XLOOKUP(_2__ROI_Daily_Update[[#This Row],[CSM id]],SHP!F:F,SHP!EE:EE,"-")</f>
        <v>0</v>
      </c>
    </row>
    <row r="3361" spans="1:11" x14ac:dyDescent="0.45">
      <c r="A3361" s="57">
        <v>1233</v>
      </c>
      <c r="B3361" t="s">
        <v>1998</v>
      </c>
      <c r="C3361" t="s">
        <v>1999</v>
      </c>
      <c r="D3361" s="12">
        <v>46314</v>
      </c>
      <c r="E3361" s="11">
        <v>208</v>
      </c>
      <c r="F3361" s="11" t="s">
        <v>6760</v>
      </c>
      <c r="G3361">
        <v>20261001</v>
      </c>
      <c r="I3361" s="11" t="s">
        <v>18</v>
      </c>
      <c r="J3361" s="72">
        <v>50636254</v>
      </c>
      <c r="K3361" s="99">
        <f>_xlfn.XLOOKUP(_2__ROI_Daily_Update[[#This Row],[CSM id]],SHP!F:F,SHP!EE:EE,"-")</f>
        <v>0</v>
      </c>
    </row>
    <row r="3362" spans="1:11" x14ac:dyDescent="0.45">
      <c r="A3362" s="57">
        <v>1643</v>
      </c>
      <c r="B3362" t="s">
        <v>3247</v>
      </c>
      <c r="C3362" t="s">
        <v>3248</v>
      </c>
      <c r="D3362" s="12">
        <v>46314</v>
      </c>
      <c r="E3362" s="11">
        <v>20</v>
      </c>
      <c r="F3362" s="11" t="s">
        <v>6760</v>
      </c>
      <c r="G3362">
        <v>20250701</v>
      </c>
      <c r="I3362" s="11" t="s">
        <v>18</v>
      </c>
      <c r="J3362" s="72">
        <v>70601710</v>
      </c>
      <c r="K3362" s="99">
        <f>_xlfn.XLOOKUP(_2__ROI_Daily_Update[[#This Row],[CSM id]],SHP!F:F,SHP!EE:EE,"-")</f>
        <v>0</v>
      </c>
    </row>
    <row r="3363" spans="1:11" x14ac:dyDescent="0.45">
      <c r="A3363" s="57">
        <v>1836</v>
      </c>
      <c r="B3363" t="s">
        <v>3648</v>
      </c>
      <c r="C3363" t="s">
        <v>3649</v>
      </c>
      <c r="D3363" s="12">
        <v>46314</v>
      </c>
      <c r="E3363" s="11">
        <v>2280</v>
      </c>
      <c r="F3363" s="11" t="s">
        <v>6767</v>
      </c>
      <c r="G3363">
        <v>20250401</v>
      </c>
      <c r="I3363" s="11" t="s">
        <v>18</v>
      </c>
      <c r="J3363" s="72">
        <v>40185474</v>
      </c>
      <c r="K3363" s="99">
        <f>_xlfn.XLOOKUP(_2__ROI_Daily_Update[[#This Row],[CSM id]],SHP!F:F,SHP!EE:EE,"-")</f>
        <v>0</v>
      </c>
    </row>
    <row r="3364" spans="1:11" x14ac:dyDescent="0.45">
      <c r="A3364" s="57">
        <v>342</v>
      </c>
      <c r="B3364" t="s">
        <v>362</v>
      </c>
      <c r="C3364" t="s">
        <v>363</v>
      </c>
      <c r="D3364" s="12">
        <v>46314</v>
      </c>
      <c r="E3364" s="11">
        <v>32</v>
      </c>
      <c r="F3364" s="11" t="s">
        <v>6760</v>
      </c>
      <c r="G3364">
        <v>20220401</v>
      </c>
      <c r="H3364" s="12">
        <v>46569</v>
      </c>
      <c r="I3364" s="11" t="s">
        <v>18</v>
      </c>
      <c r="J3364" s="72">
        <v>90520505</v>
      </c>
      <c r="K3364" s="99">
        <f>_xlfn.XLOOKUP(_2__ROI_Daily_Update[[#This Row],[CSM id]],SHP!F:F,SHP!EE:EE,"-")</f>
        <v>0</v>
      </c>
    </row>
    <row r="3365" spans="1:11" x14ac:dyDescent="0.45">
      <c r="A3365" s="57">
        <v>131</v>
      </c>
      <c r="B3365" t="s">
        <v>5320</v>
      </c>
      <c r="C3365" t="s">
        <v>5321</v>
      </c>
      <c r="D3365" s="12">
        <v>46314</v>
      </c>
      <c r="E3365" s="11">
        <v>28</v>
      </c>
      <c r="F3365" s="11" t="s">
        <v>6760</v>
      </c>
      <c r="G3365">
        <v>20230401</v>
      </c>
      <c r="H3365" s="12">
        <v>46388</v>
      </c>
      <c r="I3365" s="11" t="s">
        <v>18</v>
      </c>
      <c r="J3365" s="72">
        <v>80482052</v>
      </c>
      <c r="K3365" s="99">
        <f>_xlfn.XLOOKUP(_2__ROI_Daily_Update[[#This Row],[CSM id]],SHP!F:F,SHP!EE:EE,"-")</f>
        <v>0</v>
      </c>
    </row>
    <row r="3366" spans="1:11" x14ac:dyDescent="0.45">
      <c r="A3366" s="57">
        <v>1122</v>
      </c>
      <c r="B3366" t="s">
        <v>1611</v>
      </c>
      <c r="C3366" t="s">
        <v>1612</v>
      </c>
      <c r="D3366" s="12">
        <v>46314</v>
      </c>
      <c r="E3366" s="11">
        <v>32</v>
      </c>
      <c r="F3366" s="11" t="s">
        <v>6760</v>
      </c>
      <c r="G3366">
        <v>20260401</v>
      </c>
      <c r="I3366" s="11" t="s">
        <v>18</v>
      </c>
      <c r="J3366" s="72">
        <v>30627199</v>
      </c>
      <c r="K3366" s="99">
        <f>_xlfn.XLOOKUP(_2__ROI_Daily_Update[[#This Row],[CSM id]],SHP!F:F,SHP!EE:EE,"-")</f>
        <v>0</v>
      </c>
    </row>
    <row r="3367" spans="1:11" x14ac:dyDescent="0.45">
      <c r="A3367" s="57">
        <v>1833</v>
      </c>
      <c r="B3367" t="s">
        <v>3628</v>
      </c>
      <c r="C3367" t="s">
        <v>3629</v>
      </c>
      <c r="D3367" s="12">
        <v>46314</v>
      </c>
      <c r="E3367" s="11">
        <v>240</v>
      </c>
      <c r="F3367" s="11" t="s">
        <v>6760</v>
      </c>
      <c r="G3367">
        <v>20240101</v>
      </c>
      <c r="I3367" s="11" t="s">
        <v>18</v>
      </c>
      <c r="J3367" s="72">
        <v>567724</v>
      </c>
      <c r="K3367" s="99">
        <f>_xlfn.XLOOKUP(_2__ROI_Daily_Update[[#This Row],[CSM id]],SHP!F:F,SHP!EE:EE,"-")</f>
        <v>0</v>
      </c>
    </row>
    <row r="3368" spans="1:11" x14ac:dyDescent="0.45">
      <c r="A3368" s="57">
        <v>1132</v>
      </c>
      <c r="B3368" t="s">
        <v>1689</v>
      </c>
      <c r="C3368" t="s">
        <v>1690</v>
      </c>
      <c r="D3368" s="12">
        <v>46314</v>
      </c>
      <c r="E3368" s="11">
        <v>344</v>
      </c>
      <c r="F3368" s="11" t="s">
        <v>6760</v>
      </c>
      <c r="G3368">
        <v>20250701</v>
      </c>
      <c r="I3368" s="11" t="s">
        <v>18</v>
      </c>
      <c r="J3368" s="72">
        <v>80610262</v>
      </c>
      <c r="K3368" s="99">
        <f>_xlfn.XLOOKUP(_2__ROI_Daily_Update[[#This Row],[CSM id]],SHP!F:F,SHP!EE:EE,"-")</f>
        <v>0</v>
      </c>
    </row>
    <row r="3369" spans="1:11" x14ac:dyDescent="0.45">
      <c r="A3369" s="57">
        <v>1643</v>
      </c>
      <c r="B3369" t="s">
        <v>3221</v>
      </c>
      <c r="C3369" t="s">
        <v>3222</v>
      </c>
      <c r="D3369" s="12">
        <v>46314</v>
      </c>
      <c r="E3369" s="11">
        <v>180</v>
      </c>
      <c r="F3369" s="11" t="s">
        <v>6760</v>
      </c>
      <c r="G3369">
        <v>20230101</v>
      </c>
      <c r="I3369" s="11" t="s">
        <v>18</v>
      </c>
      <c r="J3369" s="72">
        <v>10557079</v>
      </c>
      <c r="K3369" s="99">
        <f>_xlfn.XLOOKUP(_2__ROI_Daily_Update[[#This Row],[CSM id]],SHP!F:F,SHP!EE:EE,"-")</f>
        <v>0</v>
      </c>
    </row>
    <row r="3370" spans="1:11" x14ac:dyDescent="0.45">
      <c r="A3370" s="57">
        <v>1122</v>
      </c>
      <c r="B3370" t="s">
        <v>1601</v>
      </c>
      <c r="C3370" t="s">
        <v>1602</v>
      </c>
      <c r="D3370" s="12">
        <v>46314</v>
      </c>
      <c r="E3370" s="11">
        <v>48</v>
      </c>
      <c r="F3370" s="11" t="s">
        <v>6760</v>
      </c>
      <c r="G3370">
        <v>20200401</v>
      </c>
      <c r="I3370" s="11" t="s">
        <v>18</v>
      </c>
      <c r="J3370" s="72">
        <v>10460591</v>
      </c>
      <c r="K3370" s="99">
        <f>_xlfn.XLOOKUP(_2__ROI_Daily_Update[[#This Row],[CSM id]],SHP!F:F,SHP!EE:EE,"-")</f>
        <v>0</v>
      </c>
    </row>
    <row r="3371" spans="1:11" x14ac:dyDescent="0.45">
      <c r="A3371" s="57">
        <v>1643</v>
      </c>
      <c r="B3371" t="s">
        <v>5318</v>
      </c>
      <c r="C3371" t="s">
        <v>5319</v>
      </c>
      <c r="D3371" s="12">
        <v>46314</v>
      </c>
      <c r="E3371" s="11">
        <v>576</v>
      </c>
      <c r="F3371" s="11" t="s">
        <v>6760</v>
      </c>
      <c r="G3371">
        <v>20220401</v>
      </c>
      <c r="I3371" s="11" t="s">
        <v>18</v>
      </c>
      <c r="J3371" s="72">
        <v>70499350</v>
      </c>
      <c r="K3371" s="99">
        <f>_xlfn.XLOOKUP(_2__ROI_Daily_Update[[#This Row],[CSM id]],SHP!F:F,SHP!EE:EE,"-")</f>
        <v>0</v>
      </c>
    </row>
    <row r="3372" spans="1:11" x14ac:dyDescent="0.45">
      <c r="A3372" s="57">
        <v>981</v>
      </c>
      <c r="B3372" t="s">
        <v>945</v>
      </c>
      <c r="C3372" t="s">
        <v>946</v>
      </c>
      <c r="D3372" s="12">
        <v>46314</v>
      </c>
      <c r="E3372" s="11">
        <v>40</v>
      </c>
      <c r="F3372" s="11" t="s">
        <v>6760</v>
      </c>
      <c r="G3372">
        <v>20251001</v>
      </c>
      <c r="H3372" s="12">
        <v>46478</v>
      </c>
      <c r="I3372" s="11" t="s">
        <v>18</v>
      </c>
      <c r="J3372" s="72">
        <v>60603234</v>
      </c>
      <c r="K3372" s="99">
        <f>_xlfn.XLOOKUP(_2__ROI_Daily_Update[[#This Row],[CSM id]],SHP!F:F,SHP!EE:EE,"-")</f>
        <v>0</v>
      </c>
    </row>
    <row r="3373" spans="1:11" x14ac:dyDescent="0.45">
      <c r="A3373" s="57">
        <v>1122</v>
      </c>
      <c r="B3373" t="s">
        <v>1625</v>
      </c>
      <c r="C3373" t="s">
        <v>1626</v>
      </c>
      <c r="D3373" s="12">
        <v>46314</v>
      </c>
      <c r="E3373" s="11">
        <v>230</v>
      </c>
      <c r="F3373" s="11" t="s">
        <v>6760</v>
      </c>
      <c r="G3373">
        <v>20190801</v>
      </c>
      <c r="H3373" s="12">
        <v>46478</v>
      </c>
      <c r="I3373" s="11" t="s">
        <v>18</v>
      </c>
      <c r="J3373" s="72">
        <v>80446097</v>
      </c>
      <c r="K3373" s="99">
        <f>_xlfn.XLOOKUP(_2__ROI_Daily_Update[[#This Row],[CSM id]],SHP!F:F,SHP!EE:EE,"-")</f>
        <v>0</v>
      </c>
    </row>
    <row r="3374" spans="1:11" x14ac:dyDescent="0.45">
      <c r="A3374" s="57">
        <v>782</v>
      </c>
      <c r="B3374" t="s">
        <v>609</v>
      </c>
      <c r="C3374" t="s">
        <v>610</v>
      </c>
      <c r="D3374" s="12">
        <v>46314</v>
      </c>
      <c r="E3374" s="11">
        <v>60</v>
      </c>
      <c r="F3374" s="11" t="s">
        <v>6760</v>
      </c>
      <c r="G3374">
        <v>20200801</v>
      </c>
      <c r="I3374" s="11" t="s">
        <v>32</v>
      </c>
      <c r="J3374" s="72">
        <v>90465735</v>
      </c>
      <c r="K3374" s="99">
        <f>_xlfn.XLOOKUP(_2__ROI_Daily_Update[[#This Row],[CSM id]],SHP!F:F,SHP!EE:EE,"-")</f>
        <v>0</v>
      </c>
    </row>
    <row r="3375" spans="1:11" x14ac:dyDescent="0.45">
      <c r="A3375" s="57">
        <v>1831</v>
      </c>
      <c r="B3375" t="s">
        <v>3582</v>
      </c>
      <c r="C3375" t="s">
        <v>3583</v>
      </c>
      <c r="D3375" s="12">
        <v>46314</v>
      </c>
      <c r="E3375" s="11">
        <v>116</v>
      </c>
      <c r="F3375" s="11" t="s">
        <v>6767</v>
      </c>
      <c r="G3375">
        <v>20190201</v>
      </c>
      <c r="I3375" s="11" t="s">
        <v>18</v>
      </c>
      <c r="J3375" s="72">
        <v>20428553</v>
      </c>
      <c r="K3375" s="99">
        <f>_xlfn.XLOOKUP(_2__ROI_Daily_Update[[#This Row],[CSM id]],SHP!F:F,SHP!EE:EE,"-")</f>
        <v>0</v>
      </c>
    </row>
    <row r="3376" spans="1:11" x14ac:dyDescent="0.45">
      <c r="A3376" s="57">
        <v>821</v>
      </c>
      <c r="B3376" t="s">
        <v>5354</v>
      </c>
      <c r="C3376" t="s">
        <v>5355</v>
      </c>
      <c r="D3376" s="12">
        <v>46314</v>
      </c>
      <c r="E3376" s="11">
        <v>52</v>
      </c>
      <c r="F3376" s="11" t="s">
        <v>6760</v>
      </c>
      <c r="G3376">
        <v>20251001</v>
      </c>
      <c r="H3376" s="12">
        <v>46569</v>
      </c>
      <c r="I3376" s="11" t="s">
        <v>18</v>
      </c>
      <c r="J3376" s="72">
        <v>605429</v>
      </c>
      <c r="K3376" s="99">
        <f>_xlfn.XLOOKUP(_2__ROI_Daily_Update[[#This Row],[CSM id]],SHP!F:F,SHP!EE:EE,"-")</f>
        <v>0</v>
      </c>
    </row>
    <row r="3377" spans="1:11" x14ac:dyDescent="0.45">
      <c r="A3377" s="57">
        <v>1641</v>
      </c>
      <c r="B3377" t="s">
        <v>3183</v>
      </c>
      <c r="C3377" t="s">
        <v>3184</v>
      </c>
      <c r="D3377" s="12">
        <v>46314</v>
      </c>
      <c r="E3377" s="11">
        <v>48</v>
      </c>
      <c r="F3377" s="11" t="s">
        <v>6760</v>
      </c>
      <c r="G3377">
        <v>20160201</v>
      </c>
      <c r="I3377" s="11" t="s">
        <v>18</v>
      </c>
      <c r="J3377" s="72">
        <v>80300472</v>
      </c>
      <c r="K3377" s="99">
        <f>_xlfn.XLOOKUP(_2__ROI_Daily_Update[[#This Row],[CSM id]],SHP!F:F,SHP!EE:EE,"-")</f>
        <v>0</v>
      </c>
    </row>
    <row r="3378" spans="1:11" x14ac:dyDescent="0.45">
      <c r="A3378" s="57">
        <v>1231</v>
      </c>
      <c r="B3378" t="s">
        <v>1909</v>
      </c>
      <c r="C3378" t="s">
        <v>1910</v>
      </c>
      <c r="D3378" s="12">
        <v>46314</v>
      </c>
      <c r="E3378" s="11">
        <v>204</v>
      </c>
      <c r="F3378" s="11" t="s">
        <v>6760</v>
      </c>
      <c r="G3378">
        <v>20180801</v>
      </c>
      <c r="I3378" s="11" t="s">
        <v>18</v>
      </c>
      <c r="J3378" s="72">
        <v>70372775</v>
      </c>
      <c r="K3378" s="99">
        <f>_xlfn.XLOOKUP(_2__ROI_Daily_Update[[#This Row],[CSM id]],SHP!F:F,SHP!EE:EE,"-")</f>
        <v>0</v>
      </c>
    </row>
    <row r="3379" spans="1:11" x14ac:dyDescent="0.45">
      <c r="A3379" s="57">
        <v>972</v>
      </c>
      <c r="B3379" t="s">
        <v>873</v>
      </c>
      <c r="C3379" t="s">
        <v>874</v>
      </c>
      <c r="D3379" s="12">
        <v>46314</v>
      </c>
      <c r="E3379" s="11">
        <v>42</v>
      </c>
      <c r="F3379" s="11" t="s">
        <v>6767</v>
      </c>
      <c r="G3379">
        <v>20261001</v>
      </c>
      <c r="I3379" s="11" t="s">
        <v>18</v>
      </c>
      <c r="J3379" s="72">
        <v>20641474</v>
      </c>
      <c r="K3379" s="99">
        <f>_xlfn.XLOOKUP(_2__ROI_Daily_Update[[#This Row],[CSM id]],SHP!F:F,SHP!EE:EE,"-")</f>
        <v>0</v>
      </c>
    </row>
    <row r="3380" spans="1:11" x14ac:dyDescent="0.45">
      <c r="A3380" s="57">
        <v>983</v>
      </c>
      <c r="B3380" t="s">
        <v>978</v>
      </c>
      <c r="C3380" t="s">
        <v>979</v>
      </c>
      <c r="D3380" s="12">
        <v>46314</v>
      </c>
      <c r="E3380" s="11">
        <v>12</v>
      </c>
      <c r="F3380" s="11" t="s">
        <v>6767</v>
      </c>
      <c r="G3380">
        <v>20140801</v>
      </c>
      <c r="I3380" s="11" t="s">
        <v>18</v>
      </c>
      <c r="J3380" s="72">
        <v>30165216</v>
      </c>
      <c r="K3380" s="99">
        <f>_xlfn.XLOOKUP(_2__ROI_Daily_Update[[#This Row],[CSM id]],SHP!F:F,SHP!EE:EE,"-")</f>
        <v>0</v>
      </c>
    </row>
    <row r="3381" spans="1:11" x14ac:dyDescent="0.45">
      <c r="A3381" s="57">
        <v>1231</v>
      </c>
      <c r="B3381" t="s">
        <v>1913</v>
      </c>
      <c r="C3381" t="s">
        <v>1914</v>
      </c>
      <c r="D3381" s="12">
        <v>46314</v>
      </c>
      <c r="E3381" s="11">
        <v>30</v>
      </c>
      <c r="F3381" s="11" t="s">
        <v>6760</v>
      </c>
      <c r="G3381">
        <v>20230401</v>
      </c>
      <c r="I3381" s="11" t="s">
        <v>18</v>
      </c>
      <c r="J3381" s="72">
        <v>70550697</v>
      </c>
      <c r="K3381" s="99">
        <f>_xlfn.XLOOKUP(_2__ROI_Daily_Update[[#This Row],[CSM id]],SHP!F:F,SHP!EE:EE,"-")</f>
        <v>0</v>
      </c>
    </row>
    <row r="3382" spans="1:11" x14ac:dyDescent="0.45">
      <c r="A3382" s="57">
        <v>782</v>
      </c>
      <c r="B3382" t="s">
        <v>605</v>
      </c>
      <c r="C3382" t="s">
        <v>606</v>
      </c>
      <c r="D3382" s="12">
        <v>46314</v>
      </c>
      <c r="E3382" s="11">
        <v>56</v>
      </c>
      <c r="F3382" s="11" t="s">
        <v>6760</v>
      </c>
      <c r="G3382">
        <v>20260401</v>
      </c>
      <c r="I3382" s="11" t="s">
        <v>18</v>
      </c>
      <c r="J3382" s="72">
        <v>80629718</v>
      </c>
      <c r="K3382" s="99">
        <f>_xlfn.XLOOKUP(_2__ROI_Daily_Update[[#This Row],[CSM id]],SHP!F:F,SHP!EE:EE,"-")</f>
        <v>0</v>
      </c>
    </row>
    <row r="3383" spans="1:11" x14ac:dyDescent="0.45">
      <c r="A3383" s="57">
        <v>1231</v>
      </c>
      <c r="B3383" t="s">
        <v>1869</v>
      </c>
      <c r="C3383" t="s">
        <v>1870</v>
      </c>
      <c r="D3383" s="12">
        <v>46314</v>
      </c>
      <c r="E3383" s="11">
        <v>240</v>
      </c>
      <c r="F3383" s="11" t="s">
        <v>6760</v>
      </c>
      <c r="G3383">
        <v>20230401</v>
      </c>
      <c r="I3383" s="11" t="s">
        <v>18</v>
      </c>
      <c r="J3383" s="72">
        <v>30550703</v>
      </c>
      <c r="K3383" s="99">
        <f>_xlfn.XLOOKUP(_2__ROI_Daily_Update[[#This Row],[CSM id]],SHP!F:F,SHP!EE:EE,"-")</f>
        <v>0</v>
      </c>
    </row>
    <row r="3384" spans="1:11" x14ac:dyDescent="0.45">
      <c r="A3384" s="57">
        <v>922</v>
      </c>
      <c r="B3384" t="s">
        <v>5422</v>
      </c>
      <c r="C3384" t="s">
        <v>5423</v>
      </c>
      <c r="D3384" s="12">
        <v>46314</v>
      </c>
      <c r="E3384" s="11">
        <v>1088</v>
      </c>
      <c r="F3384" s="11" t="s">
        <v>6760</v>
      </c>
      <c r="G3384">
        <v>20250101</v>
      </c>
      <c r="I3384" s="11" t="s">
        <v>18</v>
      </c>
      <c r="J3384" s="72">
        <v>30591015</v>
      </c>
      <c r="K3384" s="99">
        <f>_xlfn.XLOOKUP(_2__ROI_Daily_Update[[#This Row],[CSM id]],SHP!F:F,SHP!EE:EE,"-")</f>
        <v>0</v>
      </c>
    </row>
    <row r="3385" spans="1:11" x14ac:dyDescent="0.45">
      <c r="A3385" s="57">
        <v>125</v>
      </c>
      <c r="B3385" t="s">
        <v>106</v>
      </c>
      <c r="C3385" t="s">
        <v>107</v>
      </c>
      <c r="D3385" s="12">
        <v>46314</v>
      </c>
      <c r="E3385" s="11">
        <v>2</v>
      </c>
      <c r="F3385" s="11" t="s">
        <v>6760</v>
      </c>
      <c r="G3385">
        <v>20261001</v>
      </c>
      <c r="I3385" s="11" t="s">
        <v>18</v>
      </c>
      <c r="J3385" s="72">
        <v>10628944</v>
      </c>
      <c r="K3385" s="99">
        <f>_xlfn.XLOOKUP(_2__ROI_Daily_Update[[#This Row],[CSM id]],SHP!F:F,SHP!EE:EE,"-")</f>
        <v>0</v>
      </c>
    </row>
    <row r="3386" spans="1:11" x14ac:dyDescent="0.45">
      <c r="A3386" s="57">
        <v>1821</v>
      </c>
      <c r="B3386" t="s">
        <v>3556</v>
      </c>
      <c r="C3386" t="s">
        <v>3557</v>
      </c>
      <c r="D3386" s="12">
        <v>46315</v>
      </c>
      <c r="E3386" s="11">
        <v>60</v>
      </c>
      <c r="F3386" s="11" t="s">
        <v>6734</v>
      </c>
      <c r="G3386">
        <v>20180201</v>
      </c>
      <c r="I3386" s="11" t="s">
        <v>32</v>
      </c>
      <c r="J3386" s="72">
        <v>90321619</v>
      </c>
      <c r="K3386" s="99" t="str">
        <f>_xlfn.XLOOKUP(_2__ROI_Daily_Update[[#This Row],[CSM id]],SHP!F:F,SHP!EE:EE,"-")</f>
        <v>-</v>
      </c>
    </row>
    <row r="3387" spans="1:11" x14ac:dyDescent="0.45">
      <c r="A3387" s="57">
        <v>431</v>
      </c>
      <c r="B3387" t="s">
        <v>330</v>
      </c>
      <c r="C3387" t="s">
        <v>331</v>
      </c>
      <c r="D3387" s="12">
        <v>46315</v>
      </c>
      <c r="E3387" s="11">
        <v>12</v>
      </c>
      <c r="F3387" s="11" t="s">
        <v>6734</v>
      </c>
      <c r="G3387">
        <v>20230401</v>
      </c>
      <c r="I3387" s="11" t="s">
        <v>32</v>
      </c>
      <c r="J3387" s="72">
        <v>80483240</v>
      </c>
      <c r="K3387" s="99" t="str">
        <f>_xlfn.XLOOKUP(_2__ROI_Daily_Update[[#This Row],[CSM id]],SHP!F:F,SHP!EE:EE,"-")</f>
        <v>-</v>
      </c>
    </row>
    <row r="3388" spans="1:11" x14ac:dyDescent="0.45">
      <c r="A3388" s="57">
        <v>431</v>
      </c>
      <c r="B3388" t="s">
        <v>459</v>
      </c>
      <c r="C3388" t="s">
        <v>460</v>
      </c>
      <c r="D3388" s="12">
        <v>46315</v>
      </c>
      <c r="E3388" s="11">
        <v>8</v>
      </c>
      <c r="F3388" s="11" t="s">
        <v>6734</v>
      </c>
      <c r="G3388">
        <v>20261001</v>
      </c>
      <c r="I3388" s="11" t="s">
        <v>32</v>
      </c>
      <c r="J3388" s="72">
        <v>90561119</v>
      </c>
      <c r="K3388" s="99" t="str">
        <f>_xlfn.XLOOKUP(_2__ROI_Daily_Update[[#This Row],[CSM id]],SHP!F:F,SHP!EE:EE,"-")</f>
        <v>-</v>
      </c>
    </row>
    <row r="3389" spans="1:11" x14ac:dyDescent="0.45">
      <c r="A3389" s="57">
        <v>214</v>
      </c>
      <c r="B3389" t="s">
        <v>251</v>
      </c>
      <c r="C3389" t="s">
        <v>252</v>
      </c>
      <c r="D3389" s="12">
        <v>46315</v>
      </c>
      <c r="E3389" s="11">
        <v>70</v>
      </c>
      <c r="F3389" s="11" t="s">
        <v>6734</v>
      </c>
      <c r="G3389">
        <v>20140801</v>
      </c>
      <c r="I3389" s="11" t="s">
        <v>32</v>
      </c>
      <c r="J3389" s="72">
        <v>60275685</v>
      </c>
      <c r="K3389" s="99" t="str">
        <f>_xlfn.XLOOKUP(_2__ROI_Daily_Update[[#This Row],[CSM id]],SHP!F:F,SHP!EE:EE,"-")</f>
        <v>-</v>
      </c>
    </row>
    <row r="3390" spans="1:11" x14ac:dyDescent="0.45">
      <c r="A3390" s="57">
        <v>432</v>
      </c>
      <c r="B3390" t="s">
        <v>6598</v>
      </c>
      <c r="C3390" t="s">
        <v>6599</v>
      </c>
      <c r="D3390" s="12">
        <v>46315</v>
      </c>
      <c r="E3390" s="11">
        <v>14</v>
      </c>
      <c r="F3390" s="11" t="s">
        <v>6734</v>
      </c>
      <c r="G3390">
        <v>20250101</v>
      </c>
      <c r="I3390" s="11" t="s">
        <v>32</v>
      </c>
      <c r="J3390" s="72">
        <v>90561765</v>
      </c>
      <c r="K3390" s="99" t="str">
        <f>_xlfn.XLOOKUP(_2__ROI_Daily_Update[[#This Row],[CSM id]],SHP!F:F,SHP!EE:EE,"-")</f>
        <v>-</v>
      </c>
    </row>
    <row r="3391" spans="1:11" x14ac:dyDescent="0.45">
      <c r="A3391" s="57">
        <v>217</v>
      </c>
      <c r="B3391" t="s">
        <v>303</v>
      </c>
      <c r="C3391" t="s">
        <v>304</v>
      </c>
      <c r="D3391" s="12">
        <v>46316</v>
      </c>
      <c r="E3391" s="11">
        <v>20</v>
      </c>
      <c r="F3391" s="11" t="s">
        <v>5777</v>
      </c>
      <c r="G3391">
        <v>20220701</v>
      </c>
      <c r="I3391" s="11" t="s">
        <v>32</v>
      </c>
      <c r="J3391" s="72">
        <v>483263</v>
      </c>
      <c r="K3391" s="99">
        <f>_xlfn.XLOOKUP(_2__ROI_Daily_Update[[#This Row],[CSM id]],SHP!F:F,SHP!EE:EE,"-")</f>
        <v>0</v>
      </c>
    </row>
    <row r="3392" spans="1:11" x14ac:dyDescent="0.45">
      <c r="A3392" s="57">
        <v>431</v>
      </c>
      <c r="B3392" t="s">
        <v>457</v>
      </c>
      <c r="C3392" t="s">
        <v>458</v>
      </c>
      <c r="D3392" s="12">
        <v>46316</v>
      </c>
      <c r="E3392" s="11">
        <v>16</v>
      </c>
      <c r="F3392" s="11" t="s">
        <v>5777</v>
      </c>
      <c r="G3392">
        <v>20261001</v>
      </c>
      <c r="I3392" s="11" t="s">
        <v>32</v>
      </c>
      <c r="J3392" s="72">
        <v>90559282</v>
      </c>
      <c r="K3392" s="99">
        <f>_xlfn.XLOOKUP(_2__ROI_Daily_Update[[#This Row],[CSM id]],SHP!F:F,SHP!EE:EE,"-")</f>
        <v>0</v>
      </c>
    </row>
    <row r="3393" spans="1:11" x14ac:dyDescent="0.45">
      <c r="A3393" s="57">
        <v>431</v>
      </c>
      <c r="B3393" t="s">
        <v>459</v>
      </c>
      <c r="C3393" t="s">
        <v>460</v>
      </c>
      <c r="D3393" s="12">
        <v>46316</v>
      </c>
      <c r="E3393" s="11">
        <v>40</v>
      </c>
      <c r="F3393" s="11" t="s">
        <v>5777</v>
      </c>
      <c r="G3393">
        <v>20261001</v>
      </c>
      <c r="I3393" s="11" t="s">
        <v>32</v>
      </c>
      <c r="J3393" s="72">
        <v>90561119</v>
      </c>
      <c r="K3393" s="99">
        <f>_xlfn.XLOOKUP(_2__ROI_Daily_Update[[#This Row],[CSM id]],SHP!F:F,SHP!EE:EE,"-")</f>
        <v>0</v>
      </c>
    </row>
    <row r="3394" spans="1:11" x14ac:dyDescent="0.45">
      <c r="A3394" s="57">
        <v>431</v>
      </c>
      <c r="B3394" t="s">
        <v>453</v>
      </c>
      <c r="C3394" t="s">
        <v>454</v>
      </c>
      <c r="D3394" s="12">
        <v>46316</v>
      </c>
      <c r="E3394" s="11">
        <v>6</v>
      </c>
      <c r="F3394" s="11" t="s">
        <v>5777</v>
      </c>
      <c r="G3394">
        <v>20261001</v>
      </c>
      <c r="I3394" s="11" t="s">
        <v>32</v>
      </c>
      <c r="J3394" s="72">
        <v>50561116</v>
      </c>
      <c r="K3394" s="99">
        <f>_xlfn.XLOOKUP(_2__ROI_Daily_Update[[#This Row],[CSM id]],SHP!F:F,SHP!EE:EE,"-")</f>
        <v>0</v>
      </c>
    </row>
    <row r="3395" spans="1:11" x14ac:dyDescent="0.45">
      <c r="A3395" s="57">
        <v>981</v>
      </c>
      <c r="B3395" t="s">
        <v>6596</v>
      </c>
      <c r="C3395" t="s">
        <v>6597</v>
      </c>
      <c r="D3395" s="12">
        <v>46317</v>
      </c>
      <c r="E3395" s="11">
        <v>26</v>
      </c>
      <c r="F3395" s="11" t="s">
        <v>6949</v>
      </c>
      <c r="G3395">
        <v>20180201</v>
      </c>
      <c r="I3395" s="11" t="s">
        <v>18</v>
      </c>
      <c r="J3395" s="72">
        <v>70365176</v>
      </c>
      <c r="K3395" s="99">
        <f>_xlfn.XLOOKUP(_2__ROI_Daily_Update[[#This Row],[CSM id]],SHP!F:F,SHP!EE:EE,"-")</f>
        <v>0</v>
      </c>
    </row>
    <row r="3396" spans="1:11" x14ac:dyDescent="0.45">
      <c r="A3396" s="57">
        <v>1813</v>
      </c>
      <c r="B3396" t="s">
        <v>3418</v>
      </c>
      <c r="C3396" t="s">
        <v>3419</v>
      </c>
      <c r="D3396" s="12">
        <v>46317</v>
      </c>
      <c r="E3396" s="11">
        <v>360</v>
      </c>
      <c r="F3396" s="11" t="s">
        <v>6949</v>
      </c>
      <c r="G3396">
        <v>20220701</v>
      </c>
      <c r="I3396" s="11" t="s">
        <v>18</v>
      </c>
      <c r="J3396" s="72">
        <v>70531939</v>
      </c>
      <c r="K3396" s="99">
        <f>_xlfn.XLOOKUP(_2__ROI_Daily_Update[[#This Row],[CSM id]],SHP!F:F,SHP!EE:EE,"-")</f>
        <v>0</v>
      </c>
    </row>
    <row r="3397" spans="1:11" x14ac:dyDescent="0.45">
      <c r="A3397" s="57">
        <v>1012</v>
      </c>
      <c r="B3397" t="s">
        <v>1064</v>
      </c>
      <c r="C3397" t="s">
        <v>1065</v>
      </c>
      <c r="D3397" s="12">
        <v>46317</v>
      </c>
      <c r="E3397" s="11">
        <v>18</v>
      </c>
      <c r="F3397" s="11" t="s">
        <v>6949</v>
      </c>
      <c r="G3397">
        <v>20140801</v>
      </c>
      <c r="I3397" s="11" t="s">
        <v>18</v>
      </c>
      <c r="J3397" s="72">
        <v>30283899</v>
      </c>
      <c r="K3397" s="99">
        <f>_xlfn.XLOOKUP(_2__ROI_Daily_Update[[#This Row],[CSM id]],SHP!F:F,SHP!EE:EE,"-")</f>
        <v>0</v>
      </c>
    </row>
    <row r="3398" spans="1:11" x14ac:dyDescent="0.45">
      <c r="A3398" s="57">
        <v>353</v>
      </c>
      <c r="B3398" t="s">
        <v>404</v>
      </c>
      <c r="C3398" t="s">
        <v>405</v>
      </c>
      <c r="D3398" s="12">
        <v>46317</v>
      </c>
      <c r="E3398" s="11">
        <v>9</v>
      </c>
      <c r="F3398" s="11" t="s">
        <v>6949</v>
      </c>
      <c r="G3398">
        <v>20211001</v>
      </c>
      <c r="I3398" s="11" t="s">
        <v>18</v>
      </c>
      <c r="J3398" s="72">
        <v>90474773</v>
      </c>
      <c r="K3398" s="99">
        <f>_xlfn.XLOOKUP(_2__ROI_Daily_Update[[#This Row],[CSM id]],SHP!F:F,SHP!EE:EE,"-")</f>
        <v>0</v>
      </c>
    </row>
    <row r="3399" spans="1:11" x14ac:dyDescent="0.45">
      <c r="A3399" s="57">
        <v>972</v>
      </c>
      <c r="B3399" t="s">
        <v>877</v>
      </c>
      <c r="C3399" t="s">
        <v>878</v>
      </c>
      <c r="D3399" s="12">
        <v>46317</v>
      </c>
      <c r="E3399" s="11">
        <v>15</v>
      </c>
      <c r="F3399" s="11" t="s">
        <v>6949</v>
      </c>
      <c r="G3399">
        <v>20160401</v>
      </c>
      <c r="I3399" s="11" t="s">
        <v>32</v>
      </c>
      <c r="J3399" s="72">
        <v>40319973</v>
      </c>
      <c r="K3399" s="99">
        <f>_xlfn.XLOOKUP(_2__ROI_Daily_Update[[#This Row],[CSM id]],SHP!F:F,SHP!EE:EE,"-")</f>
        <v>0</v>
      </c>
    </row>
    <row r="3400" spans="1:11" x14ac:dyDescent="0.45">
      <c r="A3400" s="57">
        <v>125</v>
      </c>
      <c r="B3400" t="s">
        <v>134</v>
      </c>
      <c r="C3400" t="s">
        <v>135</v>
      </c>
      <c r="D3400" s="12">
        <v>46317</v>
      </c>
      <c r="E3400" s="11">
        <v>2</v>
      </c>
      <c r="F3400" s="11" t="s">
        <v>102</v>
      </c>
      <c r="G3400">
        <v>20261001</v>
      </c>
      <c r="I3400" s="11" t="s">
        <v>32</v>
      </c>
      <c r="J3400" s="72">
        <v>90624348</v>
      </c>
      <c r="K3400" s="99">
        <f>_xlfn.XLOOKUP(_2__ROI_Daily_Update[[#This Row],[CSM id]],SHP!F:F,SHP!EE:EE,"-")</f>
        <v>0</v>
      </c>
    </row>
    <row r="3401" spans="1:11" x14ac:dyDescent="0.45">
      <c r="A3401" s="57">
        <v>432</v>
      </c>
      <c r="B3401" t="s">
        <v>461</v>
      </c>
      <c r="C3401" t="s">
        <v>462</v>
      </c>
      <c r="D3401" s="12">
        <v>46317</v>
      </c>
      <c r="E3401" s="11">
        <v>36</v>
      </c>
      <c r="F3401" s="11" t="s">
        <v>6949</v>
      </c>
      <c r="G3401">
        <v>20180201</v>
      </c>
      <c r="H3401" s="12">
        <v>46388</v>
      </c>
      <c r="I3401" s="11" t="s">
        <v>18</v>
      </c>
      <c r="J3401" s="72">
        <v>40355659</v>
      </c>
      <c r="K3401" s="99">
        <f>_xlfn.XLOOKUP(_2__ROI_Daily_Update[[#This Row],[CSM id]],SHP!F:F,SHP!EE:EE,"-")</f>
        <v>0</v>
      </c>
    </row>
    <row r="3402" spans="1:11" x14ac:dyDescent="0.45">
      <c r="A3402" s="57">
        <v>431</v>
      </c>
      <c r="B3402" t="s">
        <v>441</v>
      </c>
      <c r="C3402" t="s">
        <v>442</v>
      </c>
      <c r="D3402" s="12">
        <v>46317</v>
      </c>
      <c r="E3402" s="11">
        <v>8</v>
      </c>
      <c r="F3402" s="11" t="s">
        <v>6949</v>
      </c>
      <c r="G3402">
        <v>20180201</v>
      </c>
      <c r="H3402" s="12">
        <v>46388</v>
      </c>
      <c r="I3402" s="11" t="s">
        <v>18</v>
      </c>
      <c r="J3402" s="72">
        <v>383485</v>
      </c>
      <c r="K3402" s="99">
        <f>_xlfn.XLOOKUP(_2__ROI_Daily_Update[[#This Row],[CSM id]],SHP!F:F,SHP!EE:EE,"-")</f>
        <v>0</v>
      </c>
    </row>
    <row r="3403" spans="1:11" x14ac:dyDescent="0.45">
      <c r="A3403" s="57">
        <v>822</v>
      </c>
      <c r="B3403" t="s">
        <v>6513</v>
      </c>
      <c r="C3403" t="s">
        <v>6514</v>
      </c>
      <c r="D3403" s="12">
        <v>46317</v>
      </c>
      <c r="E3403" s="11">
        <v>156</v>
      </c>
      <c r="F3403" s="11" t="s">
        <v>6949</v>
      </c>
      <c r="G3403">
        <v>20250701</v>
      </c>
      <c r="H3403" s="12">
        <v>46569</v>
      </c>
      <c r="I3403" s="11" t="s">
        <v>18</v>
      </c>
      <c r="J3403" s="72">
        <v>605250</v>
      </c>
      <c r="K3403" s="99">
        <f>_xlfn.XLOOKUP(_2__ROI_Daily_Update[[#This Row],[CSM id]],SHP!F:F,SHP!EE:EE,"-")</f>
        <v>0</v>
      </c>
    </row>
    <row r="3404" spans="1:11" x14ac:dyDescent="0.45">
      <c r="A3404" s="57">
        <v>1132</v>
      </c>
      <c r="B3404" t="s">
        <v>1685</v>
      </c>
      <c r="C3404" t="s">
        <v>1686</v>
      </c>
      <c r="D3404" s="12">
        <v>46317</v>
      </c>
      <c r="E3404" s="11">
        <v>344</v>
      </c>
      <c r="F3404" s="11" t="s">
        <v>6949</v>
      </c>
      <c r="G3404">
        <v>20250701</v>
      </c>
      <c r="I3404" s="11" t="s">
        <v>18</v>
      </c>
      <c r="J3404" s="72">
        <v>30610269</v>
      </c>
      <c r="K3404" s="99">
        <f>_xlfn.XLOOKUP(_2__ROI_Daily_Update[[#This Row],[CSM id]],SHP!F:F,SHP!EE:EE,"-")</f>
        <v>0</v>
      </c>
    </row>
    <row r="3405" spans="1:11" x14ac:dyDescent="0.45">
      <c r="A3405" s="57">
        <v>361</v>
      </c>
      <c r="B3405" t="s">
        <v>30</v>
      </c>
      <c r="C3405" t="s">
        <v>31</v>
      </c>
      <c r="D3405" s="12">
        <v>46317</v>
      </c>
      <c r="E3405" s="11">
        <v>60</v>
      </c>
      <c r="F3405" s="11" t="s">
        <v>6949</v>
      </c>
      <c r="G3405">
        <v>20210401</v>
      </c>
      <c r="I3405" s="11" t="s">
        <v>32</v>
      </c>
      <c r="J3405" s="72">
        <v>60515992</v>
      </c>
      <c r="K3405" s="99">
        <f>_xlfn.XLOOKUP(_2__ROI_Daily_Update[[#This Row],[CSM id]],SHP!F:F,SHP!EE:EE,"-")</f>
        <v>0</v>
      </c>
    </row>
    <row r="3406" spans="1:11" x14ac:dyDescent="0.45">
      <c r="A3406" s="57">
        <v>217</v>
      </c>
      <c r="B3406" t="s">
        <v>6521</v>
      </c>
      <c r="C3406" t="s">
        <v>6522</v>
      </c>
      <c r="D3406" s="12">
        <v>46317</v>
      </c>
      <c r="E3406" s="11">
        <v>36</v>
      </c>
      <c r="F3406" s="11" t="s">
        <v>6949</v>
      </c>
      <c r="G3406">
        <v>20201001</v>
      </c>
      <c r="H3406" s="12">
        <v>46569</v>
      </c>
      <c r="I3406" s="11" t="s">
        <v>18</v>
      </c>
      <c r="J3406" s="72">
        <v>476521</v>
      </c>
      <c r="K3406" s="99">
        <f>_xlfn.XLOOKUP(_2__ROI_Daily_Update[[#This Row],[CSM id]],SHP!F:F,SHP!EE:EE,"-")</f>
        <v>0</v>
      </c>
    </row>
    <row r="3407" spans="1:11" x14ac:dyDescent="0.45">
      <c r="A3407" s="57">
        <v>1645</v>
      </c>
      <c r="B3407" t="s">
        <v>6397</v>
      </c>
      <c r="C3407" t="s">
        <v>6398</v>
      </c>
      <c r="D3407" s="12">
        <v>46317</v>
      </c>
      <c r="E3407" s="11">
        <v>10</v>
      </c>
      <c r="F3407" s="11" t="s">
        <v>6949</v>
      </c>
      <c r="G3407">
        <v>20250101</v>
      </c>
      <c r="I3407" s="11" t="s">
        <v>18</v>
      </c>
      <c r="J3407" s="72">
        <v>30591586</v>
      </c>
      <c r="K3407" s="99">
        <f>_xlfn.XLOOKUP(_2__ROI_Daily_Update[[#This Row],[CSM id]],SHP!F:F,SHP!EE:EE,"-")</f>
        <v>0</v>
      </c>
    </row>
    <row r="3408" spans="1:11" x14ac:dyDescent="0.45">
      <c r="A3408" s="57">
        <v>1233</v>
      </c>
      <c r="B3408" t="s">
        <v>2002</v>
      </c>
      <c r="C3408" t="s">
        <v>2003</v>
      </c>
      <c r="D3408" s="12">
        <v>46317</v>
      </c>
      <c r="E3408" s="11">
        <v>120</v>
      </c>
      <c r="F3408" s="11" t="s">
        <v>6949</v>
      </c>
      <c r="G3408">
        <v>20251001</v>
      </c>
      <c r="I3408" s="11" t="s">
        <v>18</v>
      </c>
      <c r="J3408" s="72">
        <v>60612163</v>
      </c>
      <c r="K3408" s="99">
        <f>_xlfn.XLOOKUP(_2__ROI_Daily_Update[[#This Row],[CSM id]],SHP!F:F,SHP!EE:EE,"-")</f>
        <v>0</v>
      </c>
    </row>
    <row r="3409" spans="1:11" x14ac:dyDescent="0.45">
      <c r="A3409" s="57">
        <v>1645</v>
      </c>
      <c r="B3409" t="s">
        <v>6413</v>
      </c>
      <c r="C3409" t="s">
        <v>6414</v>
      </c>
      <c r="D3409" s="12">
        <v>46317</v>
      </c>
      <c r="E3409" s="11">
        <v>14</v>
      </c>
      <c r="F3409" s="11" t="s">
        <v>6949</v>
      </c>
      <c r="G3409">
        <v>20251001</v>
      </c>
      <c r="I3409" s="11" t="s">
        <v>18</v>
      </c>
      <c r="J3409" s="72">
        <v>20609879</v>
      </c>
      <c r="K3409" s="99">
        <f>_xlfn.XLOOKUP(_2__ROI_Daily_Update[[#This Row],[CSM id]],SHP!F:F,SHP!EE:EE,"-")</f>
        <v>0</v>
      </c>
    </row>
    <row r="3410" spans="1:11" x14ac:dyDescent="0.45">
      <c r="A3410" s="57">
        <v>341</v>
      </c>
      <c r="B3410" t="s">
        <v>372</v>
      </c>
      <c r="C3410" t="s">
        <v>373</v>
      </c>
      <c r="D3410" s="12">
        <v>46317</v>
      </c>
      <c r="E3410" s="11">
        <v>72</v>
      </c>
      <c r="F3410" s="11" t="s">
        <v>6949</v>
      </c>
      <c r="G3410">
        <v>20140801</v>
      </c>
      <c r="I3410" s="11" t="s">
        <v>18</v>
      </c>
      <c r="J3410" s="72">
        <v>70264304</v>
      </c>
      <c r="K3410" s="99">
        <f>_xlfn.XLOOKUP(_2__ROI_Daily_Update[[#This Row],[CSM id]],SHP!F:F,SHP!EE:EE,"-")</f>
        <v>0</v>
      </c>
    </row>
    <row r="3411" spans="1:11" x14ac:dyDescent="0.45">
      <c r="A3411" s="57">
        <v>1231</v>
      </c>
      <c r="B3411" t="s">
        <v>1909</v>
      </c>
      <c r="C3411" t="s">
        <v>1910</v>
      </c>
      <c r="D3411" s="12">
        <v>46317</v>
      </c>
      <c r="E3411" s="11">
        <v>204</v>
      </c>
      <c r="F3411" s="11" t="s">
        <v>6949</v>
      </c>
      <c r="G3411">
        <v>20180801</v>
      </c>
      <c r="I3411" s="11" t="s">
        <v>18</v>
      </c>
      <c r="J3411" s="72">
        <v>70372775</v>
      </c>
      <c r="K3411" s="99">
        <f>_xlfn.XLOOKUP(_2__ROI_Daily_Update[[#This Row],[CSM id]],SHP!F:F,SHP!EE:EE,"-")</f>
        <v>0</v>
      </c>
    </row>
    <row r="3412" spans="1:11" x14ac:dyDescent="0.45">
      <c r="A3412" s="57">
        <v>972</v>
      </c>
      <c r="B3412" t="s">
        <v>897</v>
      </c>
      <c r="C3412" t="s">
        <v>898</v>
      </c>
      <c r="D3412" s="12">
        <v>46317</v>
      </c>
      <c r="E3412" s="11">
        <v>576</v>
      </c>
      <c r="F3412" s="11" t="s">
        <v>6949</v>
      </c>
      <c r="G3412">
        <v>20190801</v>
      </c>
      <c r="I3412" s="11" t="s">
        <v>32</v>
      </c>
      <c r="J3412" s="72">
        <v>90469960</v>
      </c>
      <c r="K3412" s="99">
        <f>_xlfn.XLOOKUP(_2__ROI_Daily_Update[[#This Row],[CSM id]],SHP!F:F,SHP!EE:EE,"-")</f>
        <v>0</v>
      </c>
    </row>
    <row r="3413" spans="1:11" x14ac:dyDescent="0.45">
      <c r="A3413" s="57">
        <v>214</v>
      </c>
      <c r="B3413" t="s">
        <v>6483</v>
      </c>
      <c r="C3413" t="s">
        <v>6484</v>
      </c>
      <c r="D3413" s="12">
        <v>46317</v>
      </c>
      <c r="E3413" s="11">
        <v>36</v>
      </c>
      <c r="F3413" s="11" t="s">
        <v>6949</v>
      </c>
      <c r="G3413">
        <v>20210701</v>
      </c>
      <c r="I3413" s="11" t="s">
        <v>18</v>
      </c>
      <c r="J3413" s="72">
        <v>10483880</v>
      </c>
      <c r="K3413" s="99">
        <f>_xlfn.XLOOKUP(_2__ROI_Daily_Update[[#This Row],[CSM id]],SHP!F:F,SHP!EE:EE,"-")</f>
        <v>0</v>
      </c>
    </row>
    <row r="3414" spans="1:11" x14ac:dyDescent="0.45">
      <c r="A3414" s="57">
        <v>972</v>
      </c>
      <c r="B3414" t="s">
        <v>887</v>
      </c>
      <c r="C3414" t="s">
        <v>888</v>
      </c>
      <c r="D3414" s="12">
        <v>46317</v>
      </c>
      <c r="E3414" s="11">
        <v>96</v>
      </c>
      <c r="F3414" s="11" t="s">
        <v>6949</v>
      </c>
      <c r="G3414">
        <v>20240401</v>
      </c>
      <c r="I3414" s="11" t="s">
        <v>32</v>
      </c>
      <c r="J3414" s="72">
        <v>60572001</v>
      </c>
      <c r="K3414" s="99">
        <f>_xlfn.XLOOKUP(_2__ROI_Daily_Update[[#This Row],[CSM id]],SHP!F:F,SHP!EE:EE,"-")</f>
        <v>0</v>
      </c>
    </row>
    <row r="3415" spans="1:11" x14ac:dyDescent="0.45">
      <c r="A3415" s="57">
        <v>341</v>
      </c>
      <c r="B3415" t="s">
        <v>52</v>
      </c>
      <c r="C3415" t="s">
        <v>53</v>
      </c>
      <c r="D3415" s="12">
        <v>46317</v>
      </c>
      <c r="E3415" s="11">
        <v>6</v>
      </c>
      <c r="F3415" s="11" t="s">
        <v>6949</v>
      </c>
      <c r="G3415">
        <v>20170401</v>
      </c>
      <c r="H3415" s="12">
        <v>46478</v>
      </c>
      <c r="I3415" s="11" t="s">
        <v>18</v>
      </c>
      <c r="J3415" s="72">
        <v>20354284</v>
      </c>
      <c r="K3415" s="99">
        <f>_xlfn.XLOOKUP(_2__ROI_Daily_Update[[#This Row],[CSM id]],SHP!F:F,SHP!EE:EE,"-")</f>
        <v>0</v>
      </c>
    </row>
    <row r="3416" spans="1:11" x14ac:dyDescent="0.45">
      <c r="A3416" s="57">
        <v>342</v>
      </c>
      <c r="B3416" t="s">
        <v>374</v>
      </c>
      <c r="C3416" t="s">
        <v>375</v>
      </c>
      <c r="D3416" s="12">
        <v>46317</v>
      </c>
      <c r="E3416" s="11">
        <v>40</v>
      </c>
      <c r="F3416" s="11" t="s">
        <v>6949</v>
      </c>
      <c r="G3416">
        <v>20200401</v>
      </c>
      <c r="H3416" s="12">
        <v>46569</v>
      </c>
      <c r="I3416" s="11" t="s">
        <v>18</v>
      </c>
      <c r="J3416" s="72">
        <v>30406796</v>
      </c>
      <c r="K3416" s="99">
        <f>_xlfn.XLOOKUP(_2__ROI_Daily_Update[[#This Row],[CSM id]],SHP!F:F,SHP!EE:EE,"-")</f>
        <v>0</v>
      </c>
    </row>
    <row r="3417" spans="1:11" x14ac:dyDescent="0.45">
      <c r="A3417" s="57">
        <v>981</v>
      </c>
      <c r="B3417" t="s">
        <v>5128</v>
      </c>
      <c r="C3417" t="s">
        <v>5129</v>
      </c>
      <c r="D3417" s="12">
        <v>46317</v>
      </c>
      <c r="E3417" s="11">
        <v>24</v>
      </c>
      <c r="F3417" s="11" t="s">
        <v>6949</v>
      </c>
      <c r="G3417">
        <v>20241001</v>
      </c>
      <c r="I3417" s="11" t="s">
        <v>18</v>
      </c>
      <c r="J3417" s="72">
        <v>60581982</v>
      </c>
      <c r="K3417" s="99">
        <f>_xlfn.XLOOKUP(_2__ROI_Daily_Update[[#This Row],[CSM id]],SHP!F:F,SHP!EE:EE,"-")</f>
        <v>0</v>
      </c>
    </row>
    <row r="3418" spans="1:11" x14ac:dyDescent="0.45">
      <c r="A3418" s="57">
        <v>824</v>
      </c>
      <c r="B3418" t="s">
        <v>672</v>
      </c>
      <c r="C3418" t="s">
        <v>673</v>
      </c>
      <c r="D3418" s="12">
        <v>46317</v>
      </c>
      <c r="E3418" s="11">
        <v>6</v>
      </c>
      <c r="F3418" s="11" t="s">
        <v>102</v>
      </c>
      <c r="G3418">
        <v>20231001</v>
      </c>
      <c r="I3418" s="11" t="s">
        <v>32</v>
      </c>
      <c r="J3418" s="72">
        <v>80566749</v>
      </c>
      <c r="K3418" s="99">
        <f>_xlfn.XLOOKUP(_2__ROI_Daily_Update[[#This Row],[CSM id]],SHP!F:F,SHP!EE:EE,"-")</f>
        <v>0</v>
      </c>
    </row>
    <row r="3419" spans="1:11" x14ac:dyDescent="0.45">
      <c r="A3419" s="57">
        <v>1833</v>
      </c>
      <c r="B3419" t="s">
        <v>3628</v>
      </c>
      <c r="C3419" t="s">
        <v>3629</v>
      </c>
      <c r="D3419" s="12">
        <v>46317</v>
      </c>
      <c r="E3419" s="11">
        <v>120</v>
      </c>
      <c r="F3419" s="11" t="s">
        <v>6949</v>
      </c>
      <c r="G3419">
        <v>20240101</v>
      </c>
      <c r="I3419" s="11" t="s">
        <v>18</v>
      </c>
      <c r="J3419" s="72">
        <v>567724</v>
      </c>
      <c r="K3419" s="99">
        <f>_xlfn.XLOOKUP(_2__ROI_Daily_Update[[#This Row],[CSM id]],SHP!F:F,SHP!EE:EE,"-")</f>
        <v>0</v>
      </c>
    </row>
    <row r="3420" spans="1:11" x14ac:dyDescent="0.45">
      <c r="A3420" s="57">
        <v>1831</v>
      </c>
      <c r="B3420" t="s">
        <v>5825</v>
      </c>
      <c r="C3420" t="s">
        <v>5826</v>
      </c>
      <c r="D3420" s="12">
        <v>46317</v>
      </c>
      <c r="E3420" s="11">
        <v>24</v>
      </c>
      <c r="F3420" s="11" t="s">
        <v>6949</v>
      </c>
      <c r="G3420">
        <v>20220101</v>
      </c>
      <c r="I3420" s="11" t="s">
        <v>18</v>
      </c>
      <c r="J3420" s="72">
        <v>503911</v>
      </c>
      <c r="K3420" s="99">
        <f>_xlfn.XLOOKUP(_2__ROI_Daily_Update[[#This Row],[CSM id]],SHP!F:F,SHP!EE:EE,"-")</f>
        <v>0</v>
      </c>
    </row>
    <row r="3421" spans="1:11" x14ac:dyDescent="0.45">
      <c r="A3421" s="57">
        <v>131</v>
      </c>
      <c r="B3421" t="s">
        <v>164</v>
      </c>
      <c r="C3421" t="s">
        <v>165</v>
      </c>
      <c r="D3421" s="12">
        <v>46317</v>
      </c>
      <c r="E3421" s="11">
        <v>72</v>
      </c>
      <c r="F3421" s="11" t="s">
        <v>6903</v>
      </c>
      <c r="G3421">
        <v>20220401</v>
      </c>
      <c r="I3421" s="11" t="s">
        <v>32</v>
      </c>
      <c r="J3421" s="72">
        <v>10514792</v>
      </c>
      <c r="K3421" s="99">
        <f>_xlfn.XLOOKUP(_2__ROI_Daily_Update[[#This Row],[CSM id]],SHP!F:F,SHP!EE:EE,"-")</f>
        <v>0</v>
      </c>
    </row>
    <row r="3422" spans="1:11" x14ac:dyDescent="0.45">
      <c r="A3422" s="57">
        <v>126</v>
      </c>
      <c r="B3422" t="s">
        <v>6753</v>
      </c>
      <c r="C3422" t="s">
        <v>6754</v>
      </c>
      <c r="D3422" s="12">
        <v>46317</v>
      </c>
      <c r="E3422" s="11">
        <v>48</v>
      </c>
      <c r="F3422" s="11" t="s">
        <v>6949</v>
      </c>
      <c r="G3422">
        <v>20260701</v>
      </c>
      <c r="H3422" s="12">
        <v>46569</v>
      </c>
      <c r="I3422" s="11" t="s">
        <v>18</v>
      </c>
      <c r="J3422" s="72">
        <v>629680</v>
      </c>
      <c r="K3422" s="99">
        <f>_xlfn.XLOOKUP(_2__ROI_Daily_Update[[#This Row],[CSM id]],SHP!F:F,SHP!EE:EE,"-")</f>
        <v>0</v>
      </c>
    </row>
    <row r="3423" spans="1:11" x14ac:dyDescent="0.45">
      <c r="A3423" s="57">
        <v>1551</v>
      </c>
      <c r="B3423" t="s">
        <v>6415</v>
      </c>
      <c r="C3423" t="s">
        <v>6416</v>
      </c>
      <c r="D3423" s="12">
        <v>46317</v>
      </c>
      <c r="E3423" s="11">
        <v>64</v>
      </c>
      <c r="F3423" s="11" t="s">
        <v>6949</v>
      </c>
      <c r="G3423">
        <v>20170401</v>
      </c>
      <c r="I3423" s="11" t="s">
        <v>18</v>
      </c>
      <c r="J3423" s="72">
        <v>30313325</v>
      </c>
      <c r="K3423" s="99">
        <f>_xlfn.XLOOKUP(_2__ROI_Daily_Update[[#This Row],[CSM id]],SHP!F:F,SHP!EE:EE,"-")</f>
        <v>0</v>
      </c>
    </row>
    <row r="3424" spans="1:11" x14ac:dyDescent="0.45">
      <c r="A3424" s="57">
        <v>1122</v>
      </c>
      <c r="B3424" t="s">
        <v>1625</v>
      </c>
      <c r="C3424" t="s">
        <v>1626</v>
      </c>
      <c r="D3424" s="12">
        <v>46317</v>
      </c>
      <c r="E3424" s="11">
        <v>70</v>
      </c>
      <c r="F3424" s="11" t="s">
        <v>6949</v>
      </c>
      <c r="G3424">
        <v>20190801</v>
      </c>
      <c r="H3424" s="12">
        <v>46478</v>
      </c>
      <c r="I3424" s="11" t="s">
        <v>18</v>
      </c>
      <c r="J3424" s="72">
        <v>80446097</v>
      </c>
      <c r="K3424" s="99">
        <f>_xlfn.XLOOKUP(_2__ROI_Daily_Update[[#This Row],[CSM id]],SHP!F:F,SHP!EE:EE,"-")</f>
        <v>0</v>
      </c>
    </row>
    <row r="3425" spans="1:11" x14ac:dyDescent="0.45">
      <c r="A3425" s="57">
        <v>1852</v>
      </c>
      <c r="B3425" t="s">
        <v>3682</v>
      </c>
      <c r="C3425" t="s">
        <v>3683</v>
      </c>
      <c r="D3425" s="12">
        <v>46317</v>
      </c>
      <c r="E3425" s="11">
        <v>124</v>
      </c>
      <c r="F3425" s="11" t="s">
        <v>6949</v>
      </c>
      <c r="G3425">
        <v>20210701</v>
      </c>
      <c r="I3425" s="11" t="s">
        <v>18</v>
      </c>
      <c r="J3425" s="72">
        <v>30503863</v>
      </c>
      <c r="K3425" s="99">
        <f>_xlfn.XLOOKUP(_2__ROI_Daily_Update[[#This Row],[CSM id]],SHP!F:F,SHP!EE:EE,"-")</f>
        <v>0</v>
      </c>
    </row>
    <row r="3426" spans="1:11" x14ac:dyDescent="0.45">
      <c r="A3426" s="57">
        <v>125</v>
      </c>
      <c r="B3426" t="s">
        <v>106</v>
      </c>
      <c r="C3426" t="s">
        <v>107</v>
      </c>
      <c r="D3426" s="12">
        <v>46317</v>
      </c>
      <c r="E3426" s="11">
        <v>2</v>
      </c>
      <c r="F3426" s="11" t="s">
        <v>6949</v>
      </c>
      <c r="G3426">
        <v>20261001</v>
      </c>
      <c r="I3426" s="11" t="s">
        <v>18</v>
      </c>
      <c r="J3426" s="72">
        <v>10628944</v>
      </c>
      <c r="K3426" s="99">
        <f>_xlfn.XLOOKUP(_2__ROI_Daily_Update[[#This Row],[CSM id]],SHP!F:F,SHP!EE:EE,"-")</f>
        <v>0</v>
      </c>
    </row>
    <row r="3427" spans="1:11" x14ac:dyDescent="0.45">
      <c r="A3427" s="57">
        <v>214</v>
      </c>
      <c r="B3427" t="s">
        <v>255</v>
      </c>
      <c r="C3427" t="s">
        <v>256</v>
      </c>
      <c r="D3427" s="12">
        <v>46317</v>
      </c>
      <c r="E3427" s="11">
        <v>18</v>
      </c>
      <c r="F3427" s="11" t="s">
        <v>6903</v>
      </c>
      <c r="G3427">
        <v>20230701</v>
      </c>
      <c r="I3427" s="11" t="s">
        <v>32</v>
      </c>
      <c r="J3427" s="72">
        <v>70522044</v>
      </c>
      <c r="K3427" s="99">
        <f>_xlfn.XLOOKUP(_2__ROI_Daily_Update[[#This Row],[CSM id]],SHP!F:F,SHP!EE:EE,"-")</f>
        <v>0</v>
      </c>
    </row>
    <row r="3428" spans="1:11" x14ac:dyDescent="0.45">
      <c r="A3428" s="57">
        <v>435</v>
      </c>
      <c r="B3428" t="s">
        <v>21</v>
      </c>
      <c r="C3428" t="s">
        <v>22</v>
      </c>
      <c r="D3428" s="12">
        <v>46317</v>
      </c>
      <c r="E3428" s="11">
        <v>24</v>
      </c>
      <c r="F3428" s="11" t="s">
        <v>6949</v>
      </c>
      <c r="G3428">
        <v>20180801</v>
      </c>
      <c r="I3428" s="11" t="s">
        <v>18</v>
      </c>
      <c r="J3428" s="72">
        <v>80397308</v>
      </c>
      <c r="K3428" s="99">
        <f>_xlfn.XLOOKUP(_2__ROI_Daily_Update[[#This Row],[CSM id]],SHP!F:F,SHP!EE:EE,"-")</f>
        <v>0</v>
      </c>
    </row>
    <row r="3429" spans="1:11" x14ac:dyDescent="0.45">
      <c r="A3429" s="57">
        <v>1132</v>
      </c>
      <c r="B3429" t="s">
        <v>6827</v>
      </c>
      <c r="C3429" t="s">
        <v>6828</v>
      </c>
      <c r="D3429" s="12">
        <v>46317</v>
      </c>
      <c r="E3429" s="11">
        <v>172</v>
      </c>
      <c r="F3429" s="11" t="s">
        <v>6949</v>
      </c>
      <c r="G3429">
        <v>20250701</v>
      </c>
      <c r="I3429" s="11" t="s">
        <v>18</v>
      </c>
      <c r="J3429" s="72">
        <v>60611861</v>
      </c>
      <c r="K3429" s="99">
        <f>_xlfn.XLOOKUP(_2__ROI_Daily_Update[[#This Row],[CSM id]],SHP!F:F,SHP!EE:EE,"-")</f>
        <v>0</v>
      </c>
    </row>
    <row r="3430" spans="1:11" x14ac:dyDescent="0.45">
      <c r="A3430" s="57">
        <v>972</v>
      </c>
      <c r="B3430" t="s">
        <v>889</v>
      </c>
      <c r="C3430" t="s">
        <v>890</v>
      </c>
      <c r="D3430" s="12">
        <v>46317</v>
      </c>
      <c r="E3430" s="11">
        <v>108</v>
      </c>
      <c r="F3430" s="11" t="s">
        <v>6949</v>
      </c>
      <c r="G3430">
        <v>20170801</v>
      </c>
      <c r="I3430" s="11" t="s">
        <v>32</v>
      </c>
      <c r="J3430" s="72">
        <v>70320055</v>
      </c>
      <c r="K3430" s="99">
        <f>_xlfn.XLOOKUP(_2__ROI_Daily_Update[[#This Row],[CSM id]],SHP!F:F,SHP!EE:EE,"-")</f>
        <v>0</v>
      </c>
    </row>
    <row r="3431" spans="1:11" x14ac:dyDescent="0.45">
      <c r="A3431" s="57">
        <v>341</v>
      </c>
      <c r="B3431" t="s">
        <v>283</v>
      </c>
      <c r="C3431" t="s">
        <v>284</v>
      </c>
      <c r="D3431" s="12">
        <v>46317</v>
      </c>
      <c r="E3431" s="11">
        <v>16</v>
      </c>
      <c r="F3431" s="11" t="s">
        <v>6949</v>
      </c>
      <c r="G3431">
        <v>20170401</v>
      </c>
      <c r="H3431" s="12">
        <v>46478</v>
      </c>
      <c r="I3431" s="11" t="s">
        <v>18</v>
      </c>
      <c r="J3431" s="72">
        <v>80354281</v>
      </c>
      <c r="K3431" s="99">
        <f>_xlfn.XLOOKUP(_2__ROI_Daily_Update[[#This Row],[CSM id]],SHP!F:F,SHP!EE:EE,"-")</f>
        <v>0</v>
      </c>
    </row>
    <row r="3432" spans="1:11" x14ac:dyDescent="0.45">
      <c r="A3432" s="57">
        <v>1122</v>
      </c>
      <c r="B3432" t="s">
        <v>1605</v>
      </c>
      <c r="C3432" t="s">
        <v>1606</v>
      </c>
      <c r="D3432" s="12">
        <v>46317</v>
      </c>
      <c r="E3432" s="11">
        <v>10</v>
      </c>
      <c r="F3432" s="11" t="s">
        <v>6949</v>
      </c>
      <c r="G3432">
        <v>20231001</v>
      </c>
      <c r="H3432" s="12">
        <v>46478</v>
      </c>
      <c r="I3432" s="11" t="s">
        <v>18</v>
      </c>
      <c r="J3432" s="72">
        <v>20554283</v>
      </c>
      <c r="K3432" s="99">
        <f>_xlfn.XLOOKUP(_2__ROI_Daily_Update[[#This Row],[CSM id]],SHP!F:F,SHP!EE:EE,"-")</f>
        <v>0</v>
      </c>
    </row>
    <row r="3433" spans="1:11" x14ac:dyDescent="0.45">
      <c r="A3433" s="57">
        <v>623</v>
      </c>
      <c r="B3433" t="s">
        <v>427</v>
      </c>
      <c r="C3433" t="s">
        <v>428</v>
      </c>
      <c r="D3433" s="12">
        <v>46317</v>
      </c>
      <c r="E3433" s="11">
        <v>288</v>
      </c>
      <c r="F3433" s="11" t="s">
        <v>6949</v>
      </c>
      <c r="G3433">
        <v>20260101</v>
      </c>
      <c r="I3433" s="11" t="s">
        <v>18</v>
      </c>
      <c r="J3433" s="72">
        <v>70600961</v>
      </c>
      <c r="K3433" s="99">
        <f>_xlfn.XLOOKUP(_2__ROI_Daily_Update[[#This Row],[CSM id]],SHP!F:F,SHP!EE:EE,"-")</f>
        <v>0</v>
      </c>
    </row>
    <row r="3434" spans="1:11" x14ac:dyDescent="0.45">
      <c r="A3434" s="57">
        <v>435</v>
      </c>
      <c r="B3434" t="s">
        <v>38</v>
      </c>
      <c r="C3434" t="s">
        <v>39</v>
      </c>
      <c r="D3434" s="12">
        <v>46317</v>
      </c>
      <c r="E3434" s="11">
        <v>42</v>
      </c>
      <c r="F3434" s="11" t="s">
        <v>6949</v>
      </c>
      <c r="G3434">
        <v>20221001</v>
      </c>
      <c r="I3434" s="11" t="s">
        <v>18</v>
      </c>
      <c r="J3434" s="72">
        <v>70530987</v>
      </c>
      <c r="K3434" s="99">
        <f>_xlfn.XLOOKUP(_2__ROI_Daily_Update[[#This Row],[CSM id]],SHP!F:F,SHP!EE:EE,"-")</f>
        <v>0</v>
      </c>
    </row>
    <row r="3435" spans="1:11" x14ac:dyDescent="0.45">
      <c r="A3435" s="57">
        <v>341</v>
      </c>
      <c r="B3435" t="s">
        <v>349</v>
      </c>
      <c r="C3435" t="s">
        <v>350</v>
      </c>
      <c r="D3435" s="12">
        <v>46317</v>
      </c>
      <c r="E3435" s="11">
        <v>27</v>
      </c>
      <c r="F3435" s="11" t="s">
        <v>6903</v>
      </c>
      <c r="G3435">
        <v>20170801</v>
      </c>
      <c r="I3435" s="11" t="s">
        <v>32</v>
      </c>
      <c r="J3435" s="72">
        <v>361756</v>
      </c>
      <c r="K3435" s="99">
        <f>_xlfn.XLOOKUP(_2__ROI_Daily_Update[[#This Row],[CSM id]],SHP!F:F,SHP!EE:EE,"-")</f>
        <v>0</v>
      </c>
    </row>
    <row r="3436" spans="1:11" x14ac:dyDescent="0.45">
      <c r="A3436" s="57">
        <v>1811</v>
      </c>
      <c r="B3436" t="s">
        <v>3325</v>
      </c>
      <c r="C3436" t="s">
        <v>3326</v>
      </c>
      <c r="D3436" s="12">
        <v>46317</v>
      </c>
      <c r="E3436" s="11">
        <v>204</v>
      </c>
      <c r="F3436" s="11" t="s">
        <v>6949</v>
      </c>
      <c r="G3436">
        <v>20190201</v>
      </c>
      <c r="I3436" s="11" t="s">
        <v>18</v>
      </c>
      <c r="J3436" s="72">
        <v>20443978</v>
      </c>
      <c r="K3436" s="99">
        <f>_xlfn.XLOOKUP(_2__ROI_Daily_Update[[#This Row],[CSM id]],SHP!F:F,SHP!EE:EE,"-")</f>
        <v>0</v>
      </c>
    </row>
    <row r="3437" spans="1:11" x14ac:dyDescent="0.45">
      <c r="A3437" s="57">
        <v>824</v>
      </c>
      <c r="B3437" t="s">
        <v>665</v>
      </c>
      <c r="C3437" t="s">
        <v>666</v>
      </c>
      <c r="D3437" s="12">
        <v>46317</v>
      </c>
      <c r="E3437" s="11">
        <v>6</v>
      </c>
      <c r="F3437" s="11" t="s">
        <v>102</v>
      </c>
      <c r="G3437">
        <v>20261001</v>
      </c>
      <c r="I3437" s="11" t="s">
        <v>32</v>
      </c>
      <c r="J3437" s="72">
        <v>30628207</v>
      </c>
      <c r="K3437" s="99">
        <f>_xlfn.XLOOKUP(_2__ROI_Daily_Update[[#This Row],[CSM id]],SHP!F:F,SHP!EE:EE,"-")</f>
        <v>0</v>
      </c>
    </row>
    <row r="3438" spans="1:11" x14ac:dyDescent="0.45">
      <c r="A3438" s="57">
        <v>1813</v>
      </c>
      <c r="B3438" t="s">
        <v>3432</v>
      </c>
      <c r="C3438" t="s">
        <v>3433</v>
      </c>
      <c r="D3438" s="12">
        <v>46317</v>
      </c>
      <c r="E3438" s="11">
        <v>96</v>
      </c>
      <c r="F3438" s="11" t="s">
        <v>6949</v>
      </c>
      <c r="G3438">
        <v>20190601</v>
      </c>
      <c r="I3438" s="11" t="s">
        <v>18</v>
      </c>
      <c r="J3438" s="72">
        <v>80439695</v>
      </c>
      <c r="K3438" s="99">
        <f>_xlfn.XLOOKUP(_2__ROI_Daily_Update[[#This Row],[CSM id]],SHP!F:F,SHP!EE:EE,"-")</f>
        <v>0</v>
      </c>
    </row>
    <row r="3439" spans="1:11" x14ac:dyDescent="0.45">
      <c r="A3439" s="57">
        <v>1882</v>
      </c>
      <c r="B3439" t="s">
        <v>3743</v>
      </c>
      <c r="C3439" t="s">
        <v>3744</v>
      </c>
      <c r="D3439" s="12">
        <v>46317</v>
      </c>
      <c r="E3439" s="11">
        <v>504</v>
      </c>
      <c r="F3439" s="11" t="s">
        <v>6949</v>
      </c>
      <c r="G3439">
        <v>20140801</v>
      </c>
      <c r="I3439" s="11" t="s">
        <v>18</v>
      </c>
      <c r="J3439" s="72">
        <v>70147758</v>
      </c>
      <c r="K3439" s="99">
        <f>_xlfn.XLOOKUP(_2__ROI_Daily_Update[[#This Row],[CSM id]],SHP!F:F,SHP!EE:EE,"-")</f>
        <v>0</v>
      </c>
    </row>
    <row r="3440" spans="1:11" x14ac:dyDescent="0.45">
      <c r="A3440" s="57">
        <v>361</v>
      </c>
      <c r="B3440" t="s">
        <v>368</v>
      </c>
      <c r="C3440" t="s">
        <v>369</v>
      </c>
      <c r="D3440" s="12">
        <v>46317</v>
      </c>
      <c r="E3440" s="11">
        <v>36</v>
      </c>
      <c r="F3440" s="11" t="s">
        <v>6949</v>
      </c>
      <c r="G3440">
        <v>20210201</v>
      </c>
      <c r="I3440" s="11" t="s">
        <v>18</v>
      </c>
      <c r="J3440" s="72">
        <v>80485102</v>
      </c>
      <c r="K3440" s="99">
        <f>_xlfn.XLOOKUP(_2__ROI_Daily_Update[[#This Row],[CSM id]],SHP!F:F,SHP!EE:EE,"-")</f>
        <v>0</v>
      </c>
    </row>
    <row r="3441" spans="1:11" x14ac:dyDescent="0.45">
      <c r="A3441" s="57">
        <v>1815</v>
      </c>
      <c r="B3441" t="s">
        <v>3496</v>
      </c>
      <c r="C3441" t="s">
        <v>3497</v>
      </c>
      <c r="D3441" s="12">
        <v>46317</v>
      </c>
      <c r="E3441" s="11">
        <v>180</v>
      </c>
      <c r="F3441" s="11" t="s">
        <v>6949</v>
      </c>
      <c r="G3441">
        <v>20260701</v>
      </c>
      <c r="I3441" s="11" t="s">
        <v>18</v>
      </c>
      <c r="J3441" s="72">
        <v>90644285</v>
      </c>
      <c r="K3441" s="99">
        <f>_xlfn.XLOOKUP(_2__ROI_Daily_Update[[#This Row],[CSM id]],SHP!F:F,SHP!EE:EE,"-")</f>
        <v>0</v>
      </c>
    </row>
    <row r="3442" spans="1:11" x14ac:dyDescent="0.45">
      <c r="A3442" s="57">
        <v>1641</v>
      </c>
      <c r="B3442" t="s">
        <v>3165</v>
      </c>
      <c r="C3442" t="s">
        <v>3166</v>
      </c>
      <c r="D3442" s="12">
        <v>46317</v>
      </c>
      <c r="E3442" s="11">
        <v>408</v>
      </c>
      <c r="F3442" s="11" t="s">
        <v>6949</v>
      </c>
      <c r="G3442">
        <v>20200201</v>
      </c>
      <c r="I3442" s="11" t="s">
        <v>18</v>
      </c>
      <c r="J3442" s="72">
        <v>60429758</v>
      </c>
      <c r="K3442" s="99">
        <f>_xlfn.XLOOKUP(_2__ROI_Daily_Update[[#This Row],[CSM id]],SHP!F:F,SHP!EE:EE,"-")</f>
        <v>0</v>
      </c>
    </row>
    <row r="3443" spans="1:11" x14ac:dyDescent="0.45">
      <c r="A3443" s="57">
        <v>1714</v>
      </c>
      <c r="B3443" t="s">
        <v>3299</v>
      </c>
      <c r="C3443" t="s">
        <v>3300</v>
      </c>
      <c r="D3443" s="12">
        <v>46317</v>
      </c>
      <c r="E3443" s="11">
        <v>60</v>
      </c>
      <c r="F3443" s="11" t="s">
        <v>6949</v>
      </c>
      <c r="G3443">
        <v>20140801</v>
      </c>
      <c r="I3443" s="11" t="s">
        <v>18</v>
      </c>
      <c r="J3443" s="72">
        <v>80278579</v>
      </c>
      <c r="K3443" s="99">
        <f>_xlfn.XLOOKUP(_2__ROI_Daily_Update[[#This Row],[CSM id]],SHP!F:F,SHP!EE:EE,"-")</f>
        <v>0</v>
      </c>
    </row>
    <row r="3444" spans="1:11" x14ac:dyDescent="0.45">
      <c r="A3444" s="57">
        <v>1211</v>
      </c>
      <c r="B3444" t="s">
        <v>5902</v>
      </c>
      <c r="C3444" t="s">
        <v>5903</v>
      </c>
      <c r="D3444" s="12">
        <v>46317</v>
      </c>
      <c r="E3444" s="11">
        <v>12</v>
      </c>
      <c r="F3444" s="11" t="s">
        <v>6949</v>
      </c>
      <c r="G3444">
        <v>20200201</v>
      </c>
      <c r="I3444" s="11" t="s">
        <v>18</v>
      </c>
      <c r="J3444" s="72">
        <v>50462791</v>
      </c>
      <c r="K3444" s="99">
        <f>_xlfn.XLOOKUP(_2__ROI_Daily_Update[[#This Row],[CSM id]],SHP!F:F,SHP!EE:EE,"-")</f>
        <v>0</v>
      </c>
    </row>
    <row r="3445" spans="1:11" x14ac:dyDescent="0.45">
      <c r="A3445" s="57">
        <v>1434</v>
      </c>
      <c r="B3445" t="s">
        <v>2490</v>
      </c>
      <c r="C3445" t="s">
        <v>2491</v>
      </c>
      <c r="D3445" s="12">
        <v>46317</v>
      </c>
      <c r="E3445" s="11">
        <v>168</v>
      </c>
      <c r="F3445" s="11" t="s">
        <v>6949</v>
      </c>
      <c r="G3445">
        <v>20240101</v>
      </c>
      <c r="I3445" s="11" t="s">
        <v>18</v>
      </c>
      <c r="J3445" s="72">
        <v>40572808</v>
      </c>
      <c r="K3445" s="99">
        <f>_xlfn.XLOOKUP(_2__ROI_Daily_Update[[#This Row],[CSM id]],SHP!F:F,SHP!EE:EE,"-")</f>
        <v>0</v>
      </c>
    </row>
    <row r="3446" spans="1:11" x14ac:dyDescent="0.45">
      <c r="A3446" s="57">
        <v>1852</v>
      </c>
      <c r="B3446" t="s">
        <v>6525</v>
      </c>
      <c r="C3446" t="s">
        <v>6526</v>
      </c>
      <c r="D3446" s="12">
        <v>46317</v>
      </c>
      <c r="E3446" s="11">
        <v>60</v>
      </c>
      <c r="F3446" s="11" t="s">
        <v>6949</v>
      </c>
      <c r="G3446">
        <v>20250401</v>
      </c>
      <c r="I3446" s="11" t="s">
        <v>18</v>
      </c>
      <c r="J3446" s="72">
        <v>20592256</v>
      </c>
      <c r="K3446" s="99">
        <f>_xlfn.XLOOKUP(_2__ROI_Daily_Update[[#This Row],[CSM id]],SHP!F:F,SHP!EE:EE,"-")</f>
        <v>0</v>
      </c>
    </row>
    <row r="3447" spans="1:11" x14ac:dyDescent="0.45">
      <c r="A3447" s="57">
        <v>424</v>
      </c>
      <c r="B3447" t="s">
        <v>447</v>
      </c>
      <c r="C3447" t="s">
        <v>448</v>
      </c>
      <c r="D3447" s="12">
        <v>46317</v>
      </c>
      <c r="E3447" s="11">
        <v>184</v>
      </c>
      <c r="F3447" s="11" t="s">
        <v>6949</v>
      </c>
      <c r="G3447">
        <v>20190801</v>
      </c>
      <c r="I3447" s="11" t="s">
        <v>18</v>
      </c>
      <c r="J3447" s="72">
        <v>431311</v>
      </c>
      <c r="K3447" s="99">
        <f>_xlfn.XLOOKUP(_2__ROI_Daily_Update[[#This Row],[CSM id]],SHP!F:F,SHP!EE:EE,"-")</f>
        <v>0</v>
      </c>
    </row>
    <row r="3448" spans="1:11" x14ac:dyDescent="0.45">
      <c r="A3448" s="57">
        <v>1122</v>
      </c>
      <c r="B3448" t="s">
        <v>5325</v>
      </c>
      <c r="C3448" t="s">
        <v>5326</v>
      </c>
      <c r="D3448" s="12">
        <v>46317</v>
      </c>
      <c r="E3448" s="11">
        <v>20</v>
      </c>
      <c r="F3448" s="11" t="s">
        <v>6949</v>
      </c>
      <c r="G3448">
        <v>20240701</v>
      </c>
      <c r="H3448" s="12">
        <v>46478</v>
      </c>
      <c r="I3448" s="11" t="s">
        <v>32</v>
      </c>
      <c r="J3448" s="72">
        <v>90576738</v>
      </c>
      <c r="K3448" s="99">
        <f>_xlfn.XLOOKUP(_2__ROI_Daily_Update[[#This Row],[CSM id]],SHP!F:F,SHP!EE:EE,"-")</f>
        <v>0</v>
      </c>
    </row>
    <row r="3449" spans="1:11" x14ac:dyDescent="0.45">
      <c r="A3449" s="57">
        <v>782</v>
      </c>
      <c r="B3449" t="s">
        <v>602</v>
      </c>
      <c r="C3449" t="s">
        <v>603</v>
      </c>
      <c r="D3449" s="12">
        <v>46317</v>
      </c>
      <c r="E3449" s="11">
        <v>19</v>
      </c>
      <c r="F3449" s="11" t="s">
        <v>6949</v>
      </c>
      <c r="G3449">
        <v>20250101</v>
      </c>
      <c r="I3449" s="11" t="s">
        <v>18</v>
      </c>
      <c r="J3449" s="72">
        <v>70591768</v>
      </c>
      <c r="K3449" s="99">
        <f>_xlfn.XLOOKUP(_2__ROI_Daily_Update[[#This Row],[CSM id]],SHP!F:F,SHP!EE:EE,"-")</f>
        <v>0</v>
      </c>
    </row>
    <row r="3450" spans="1:11" x14ac:dyDescent="0.45">
      <c r="A3450" s="57">
        <v>782</v>
      </c>
      <c r="B3450" t="s">
        <v>589</v>
      </c>
      <c r="C3450" t="s">
        <v>590</v>
      </c>
      <c r="D3450" s="12">
        <v>46317</v>
      </c>
      <c r="E3450" s="11">
        <v>24</v>
      </c>
      <c r="F3450" s="11" t="s">
        <v>6949</v>
      </c>
      <c r="G3450">
        <v>20250101</v>
      </c>
      <c r="I3450" s="11" t="s">
        <v>18</v>
      </c>
      <c r="J3450" s="72">
        <v>40586792</v>
      </c>
      <c r="K3450" s="99">
        <f>_xlfn.XLOOKUP(_2__ROI_Daily_Update[[#This Row],[CSM id]],SHP!F:F,SHP!EE:EE,"-")</f>
        <v>0</v>
      </c>
    </row>
    <row r="3451" spans="1:11" x14ac:dyDescent="0.45">
      <c r="A3451" s="57">
        <v>1831</v>
      </c>
      <c r="B3451" t="s">
        <v>3576</v>
      </c>
      <c r="C3451" t="s">
        <v>3577</v>
      </c>
      <c r="D3451" s="12">
        <v>46317</v>
      </c>
      <c r="E3451" s="11">
        <v>72</v>
      </c>
      <c r="F3451" s="11" t="s">
        <v>6949</v>
      </c>
      <c r="G3451">
        <v>20220101</v>
      </c>
      <c r="I3451" s="11" t="s">
        <v>18</v>
      </c>
      <c r="J3451" s="72">
        <v>10503920</v>
      </c>
      <c r="K3451" s="99">
        <f>_xlfn.XLOOKUP(_2__ROI_Daily_Update[[#This Row],[CSM id]],SHP!F:F,SHP!EE:EE,"-")</f>
        <v>0</v>
      </c>
    </row>
    <row r="3452" spans="1:11" x14ac:dyDescent="0.45">
      <c r="A3452" s="57">
        <v>1121</v>
      </c>
      <c r="B3452" t="s">
        <v>1583</v>
      </c>
      <c r="C3452" t="s">
        <v>1584</v>
      </c>
      <c r="D3452" s="12">
        <v>46317</v>
      </c>
      <c r="E3452" s="11">
        <v>48</v>
      </c>
      <c r="F3452" s="11" t="s">
        <v>6949</v>
      </c>
      <c r="G3452">
        <v>20200201</v>
      </c>
      <c r="I3452" s="11" t="s">
        <v>18</v>
      </c>
      <c r="J3452" s="72">
        <v>50457006</v>
      </c>
      <c r="K3452" s="99">
        <f>_xlfn.XLOOKUP(_2__ROI_Daily_Update[[#This Row],[CSM id]],SHP!F:F,SHP!EE:EE,"-")</f>
        <v>0</v>
      </c>
    </row>
    <row r="3453" spans="1:11" x14ac:dyDescent="0.45">
      <c r="A3453" s="57">
        <v>1811</v>
      </c>
      <c r="B3453" t="s">
        <v>3341</v>
      </c>
      <c r="C3453" t="s">
        <v>3342</v>
      </c>
      <c r="D3453" s="12">
        <v>46317</v>
      </c>
      <c r="E3453" s="11">
        <v>336</v>
      </c>
      <c r="F3453" s="11" t="s">
        <v>6949</v>
      </c>
      <c r="G3453">
        <v>20240401</v>
      </c>
      <c r="I3453" s="11" t="s">
        <v>18</v>
      </c>
      <c r="J3453" s="72">
        <v>60480544</v>
      </c>
      <c r="K3453" s="99">
        <f>_xlfn.XLOOKUP(_2__ROI_Daily_Update[[#This Row],[CSM id]],SHP!F:F,SHP!EE:EE,"-")</f>
        <v>0</v>
      </c>
    </row>
    <row r="3454" spans="1:11" x14ac:dyDescent="0.45">
      <c r="A3454" s="57">
        <v>1433</v>
      </c>
      <c r="B3454" t="s">
        <v>6467</v>
      </c>
      <c r="C3454" t="s">
        <v>6468</v>
      </c>
      <c r="D3454" s="12">
        <v>46317</v>
      </c>
      <c r="E3454" s="11">
        <v>1520</v>
      </c>
      <c r="F3454" s="11" t="s">
        <v>6949</v>
      </c>
      <c r="G3454">
        <v>20180601</v>
      </c>
      <c r="I3454" s="11" t="s">
        <v>18</v>
      </c>
      <c r="J3454" s="72">
        <v>50353688</v>
      </c>
      <c r="K3454" s="99">
        <f>_xlfn.XLOOKUP(_2__ROI_Daily_Update[[#This Row],[CSM id]],SHP!F:F,SHP!EE:EE,"-")</f>
        <v>0</v>
      </c>
    </row>
    <row r="3455" spans="1:11" x14ac:dyDescent="0.45">
      <c r="A3455" s="57">
        <v>1121</v>
      </c>
      <c r="B3455" t="s">
        <v>1575</v>
      </c>
      <c r="C3455" t="s">
        <v>1576</v>
      </c>
      <c r="D3455" s="12">
        <v>46317</v>
      </c>
      <c r="E3455" s="11">
        <v>40</v>
      </c>
      <c r="F3455" s="11" t="s">
        <v>6949</v>
      </c>
      <c r="G3455">
        <v>20251001</v>
      </c>
      <c r="I3455" s="11" t="s">
        <v>18</v>
      </c>
      <c r="J3455" s="72">
        <v>20458427</v>
      </c>
      <c r="K3455" s="99">
        <f>_xlfn.XLOOKUP(_2__ROI_Daily_Update[[#This Row],[CSM id]],SHP!F:F,SHP!EE:EE,"-")</f>
        <v>0</v>
      </c>
    </row>
    <row r="3456" spans="1:11" x14ac:dyDescent="0.45">
      <c r="A3456" s="57">
        <v>981</v>
      </c>
      <c r="B3456" t="s">
        <v>951</v>
      </c>
      <c r="C3456" t="s">
        <v>952</v>
      </c>
      <c r="D3456" s="12">
        <v>46317</v>
      </c>
      <c r="E3456" s="11">
        <v>24</v>
      </c>
      <c r="F3456" s="11" t="s">
        <v>102</v>
      </c>
      <c r="G3456">
        <v>20260201</v>
      </c>
      <c r="I3456" s="11" t="s">
        <v>32</v>
      </c>
      <c r="J3456" s="72">
        <v>90603181</v>
      </c>
      <c r="K3456" s="99">
        <f>_xlfn.XLOOKUP(_2__ROI_Daily_Update[[#This Row],[CSM id]],SHP!F:F,SHP!EE:EE,"-")</f>
        <v>0</v>
      </c>
    </row>
    <row r="3457" spans="1:11" x14ac:dyDescent="0.45">
      <c r="A3457" s="57">
        <v>965</v>
      </c>
      <c r="B3457" t="s">
        <v>775</v>
      </c>
      <c r="C3457" t="s">
        <v>776</v>
      </c>
      <c r="D3457" s="12">
        <v>46317</v>
      </c>
      <c r="E3457" s="11">
        <v>40</v>
      </c>
      <c r="F3457" s="11" t="s">
        <v>6949</v>
      </c>
      <c r="G3457">
        <v>20250401</v>
      </c>
      <c r="H3457" s="12">
        <v>46478</v>
      </c>
      <c r="I3457" s="11" t="s">
        <v>18</v>
      </c>
      <c r="J3457" s="72">
        <v>80595327</v>
      </c>
      <c r="K3457" s="99">
        <f>_xlfn.XLOOKUP(_2__ROI_Daily_Update[[#This Row],[CSM id]],SHP!F:F,SHP!EE:EE,"-")</f>
        <v>0</v>
      </c>
    </row>
    <row r="3458" spans="1:11" x14ac:dyDescent="0.45">
      <c r="A3458" s="57">
        <v>341</v>
      </c>
      <c r="B3458" t="s">
        <v>301</v>
      </c>
      <c r="C3458" t="s">
        <v>302</v>
      </c>
      <c r="D3458" s="12">
        <v>46317</v>
      </c>
      <c r="E3458" s="11">
        <v>36</v>
      </c>
      <c r="F3458" s="11" t="s">
        <v>6949</v>
      </c>
      <c r="G3458">
        <v>20230901</v>
      </c>
      <c r="I3458" s="11" t="s">
        <v>18</v>
      </c>
      <c r="J3458" s="72">
        <v>60557802</v>
      </c>
      <c r="K3458" s="99">
        <f>_xlfn.XLOOKUP(_2__ROI_Daily_Update[[#This Row],[CSM id]],SHP!F:F,SHP!EE:EE,"-")</f>
        <v>0</v>
      </c>
    </row>
    <row r="3459" spans="1:11" x14ac:dyDescent="0.45">
      <c r="A3459" s="57">
        <v>622</v>
      </c>
      <c r="B3459" t="s">
        <v>512</v>
      </c>
      <c r="C3459" t="s">
        <v>513</v>
      </c>
      <c r="D3459" s="12">
        <v>46317</v>
      </c>
      <c r="E3459" s="11">
        <v>120</v>
      </c>
      <c r="F3459" s="11" t="s">
        <v>6949</v>
      </c>
      <c r="G3459">
        <v>20190201</v>
      </c>
      <c r="I3459" s="11" t="s">
        <v>18</v>
      </c>
      <c r="J3459" s="72">
        <v>20381287</v>
      </c>
      <c r="K3459" s="99">
        <f>_xlfn.XLOOKUP(_2__ROI_Daily_Update[[#This Row],[CSM id]],SHP!F:F,SHP!EE:EE,"-")</f>
        <v>0</v>
      </c>
    </row>
    <row r="3460" spans="1:11" x14ac:dyDescent="0.45">
      <c r="A3460" s="57">
        <v>821</v>
      </c>
      <c r="B3460" t="s">
        <v>645</v>
      </c>
      <c r="C3460" t="s">
        <v>646</v>
      </c>
      <c r="D3460" s="12">
        <v>46317</v>
      </c>
      <c r="E3460" s="11">
        <v>28</v>
      </c>
      <c r="F3460" s="11" t="s">
        <v>6949</v>
      </c>
      <c r="G3460">
        <v>20200401</v>
      </c>
      <c r="I3460" s="11" t="s">
        <v>18</v>
      </c>
      <c r="J3460" s="72">
        <v>80457236</v>
      </c>
      <c r="K3460" s="99">
        <f>_xlfn.XLOOKUP(_2__ROI_Daily_Update[[#This Row],[CSM id]],SHP!F:F,SHP!EE:EE,"-")</f>
        <v>0</v>
      </c>
    </row>
    <row r="3461" spans="1:11" x14ac:dyDescent="0.45">
      <c r="A3461" s="57">
        <v>821</v>
      </c>
      <c r="B3461" t="s">
        <v>635</v>
      </c>
      <c r="C3461" t="s">
        <v>636</v>
      </c>
      <c r="D3461" s="12">
        <v>46317</v>
      </c>
      <c r="E3461" s="11">
        <v>52</v>
      </c>
      <c r="F3461" s="11" t="s">
        <v>6949</v>
      </c>
      <c r="G3461">
        <v>20250401</v>
      </c>
      <c r="I3461" s="11" t="s">
        <v>18</v>
      </c>
      <c r="J3461" s="72">
        <v>40592745</v>
      </c>
      <c r="K3461" s="99">
        <f>_xlfn.XLOOKUP(_2__ROI_Daily_Update[[#This Row],[CSM id]],SHP!F:F,SHP!EE:EE,"-")</f>
        <v>0</v>
      </c>
    </row>
    <row r="3462" spans="1:11" x14ac:dyDescent="0.45">
      <c r="A3462" s="57">
        <v>1641</v>
      </c>
      <c r="B3462" t="s">
        <v>3159</v>
      </c>
      <c r="C3462" t="s">
        <v>3160</v>
      </c>
      <c r="D3462" s="12">
        <v>46317</v>
      </c>
      <c r="E3462" s="11">
        <v>20</v>
      </c>
      <c r="F3462" s="11" t="s">
        <v>6949</v>
      </c>
      <c r="G3462">
        <v>20240401</v>
      </c>
      <c r="I3462" s="11" t="s">
        <v>18</v>
      </c>
      <c r="J3462" s="72">
        <v>50553710</v>
      </c>
      <c r="K3462" s="99">
        <f>_xlfn.XLOOKUP(_2__ROI_Daily_Update[[#This Row],[CSM id]],SHP!F:F,SHP!EE:EE,"-")</f>
        <v>0</v>
      </c>
    </row>
    <row r="3463" spans="1:11" x14ac:dyDescent="0.45">
      <c r="A3463" s="57">
        <v>217</v>
      </c>
      <c r="B3463" t="s">
        <v>5622</v>
      </c>
      <c r="C3463" t="s">
        <v>5623</v>
      </c>
      <c r="D3463" s="12">
        <v>46317</v>
      </c>
      <c r="E3463" s="11">
        <v>96</v>
      </c>
      <c r="F3463" s="11" t="s">
        <v>6949</v>
      </c>
      <c r="G3463">
        <v>20210701</v>
      </c>
      <c r="I3463" s="11" t="s">
        <v>18</v>
      </c>
      <c r="J3463" s="72">
        <v>70483882</v>
      </c>
      <c r="K3463" s="99">
        <f>_xlfn.XLOOKUP(_2__ROI_Daily_Update[[#This Row],[CSM id]],SHP!F:F,SHP!EE:EE,"-")</f>
        <v>0</v>
      </c>
    </row>
    <row r="3464" spans="1:11" x14ac:dyDescent="0.45">
      <c r="A3464" s="57">
        <v>612</v>
      </c>
      <c r="B3464" t="s">
        <v>358</v>
      </c>
      <c r="C3464" t="s">
        <v>359</v>
      </c>
      <c r="D3464" s="12">
        <v>46317</v>
      </c>
      <c r="E3464" s="11">
        <v>28</v>
      </c>
      <c r="F3464" s="11" t="s">
        <v>6949</v>
      </c>
      <c r="G3464">
        <v>20250101</v>
      </c>
      <c r="H3464" s="12">
        <v>46569</v>
      </c>
      <c r="I3464" s="11" t="s">
        <v>18</v>
      </c>
      <c r="J3464" s="72">
        <v>20573173</v>
      </c>
      <c r="K3464" s="99">
        <f>_xlfn.XLOOKUP(_2__ROI_Daily_Update[[#This Row],[CSM id]],SHP!F:F,SHP!EE:EE,"-")</f>
        <v>0</v>
      </c>
    </row>
    <row r="3465" spans="1:11" x14ac:dyDescent="0.45">
      <c r="A3465" s="57">
        <v>1882</v>
      </c>
      <c r="B3465" t="s">
        <v>3739</v>
      </c>
      <c r="C3465" t="s">
        <v>3740</v>
      </c>
      <c r="D3465" s="12">
        <v>46317</v>
      </c>
      <c r="E3465" s="11">
        <v>360</v>
      </c>
      <c r="F3465" s="11" t="s">
        <v>6949</v>
      </c>
      <c r="G3465">
        <v>20240701</v>
      </c>
      <c r="I3465" s="11" t="s">
        <v>18</v>
      </c>
      <c r="J3465" s="72">
        <v>50572964</v>
      </c>
      <c r="K3465" s="99">
        <f>_xlfn.XLOOKUP(_2__ROI_Daily_Update[[#This Row],[CSM id]],SHP!F:F,SHP!EE:EE,"-")</f>
        <v>0</v>
      </c>
    </row>
    <row r="3466" spans="1:11" x14ac:dyDescent="0.45">
      <c r="A3466" s="57">
        <v>973</v>
      </c>
      <c r="B3466" t="s">
        <v>917</v>
      </c>
      <c r="C3466" t="s">
        <v>918</v>
      </c>
      <c r="D3466" s="12">
        <v>46317</v>
      </c>
      <c r="E3466" s="11">
        <v>154</v>
      </c>
      <c r="F3466" s="11" t="s">
        <v>6949</v>
      </c>
      <c r="G3466">
        <v>20190801</v>
      </c>
      <c r="I3466" s="11" t="s">
        <v>18</v>
      </c>
      <c r="J3466" s="72">
        <v>80461083</v>
      </c>
      <c r="K3466" s="99">
        <f>_xlfn.XLOOKUP(_2__ROI_Daily_Update[[#This Row],[CSM id]],SHP!F:F,SHP!EE:EE,"-")</f>
        <v>0</v>
      </c>
    </row>
    <row r="3467" spans="1:11" x14ac:dyDescent="0.45">
      <c r="A3467" s="57">
        <v>1122</v>
      </c>
      <c r="B3467" t="s">
        <v>1627</v>
      </c>
      <c r="C3467" t="s">
        <v>1628</v>
      </c>
      <c r="D3467" s="12">
        <v>46317</v>
      </c>
      <c r="E3467" s="11">
        <v>20</v>
      </c>
      <c r="F3467" s="11" t="s">
        <v>6949</v>
      </c>
      <c r="G3467">
        <v>20220101</v>
      </c>
      <c r="H3467" s="12">
        <v>46478</v>
      </c>
      <c r="I3467" s="11" t="s">
        <v>32</v>
      </c>
      <c r="J3467" s="72">
        <v>80513218</v>
      </c>
      <c r="K3467" s="99">
        <f>_xlfn.XLOOKUP(_2__ROI_Daily_Update[[#This Row],[CSM id]],SHP!F:F,SHP!EE:EE,"-")</f>
        <v>0</v>
      </c>
    </row>
    <row r="3468" spans="1:11" x14ac:dyDescent="0.45">
      <c r="A3468" s="57">
        <v>1433</v>
      </c>
      <c r="B3468" t="s">
        <v>6829</v>
      </c>
      <c r="C3468" t="s">
        <v>6830</v>
      </c>
      <c r="D3468" s="12">
        <v>46317</v>
      </c>
      <c r="E3468" s="11">
        <v>5472</v>
      </c>
      <c r="F3468" s="11" t="s">
        <v>6949</v>
      </c>
      <c r="G3468">
        <v>20250701</v>
      </c>
      <c r="I3468" s="11" t="s">
        <v>18</v>
      </c>
      <c r="J3468" s="72">
        <v>90565853</v>
      </c>
      <c r="K3468" s="99">
        <f>_xlfn.XLOOKUP(_2__ROI_Daily_Update[[#This Row],[CSM id]],SHP!F:F,SHP!EE:EE,"-")</f>
        <v>0</v>
      </c>
    </row>
    <row r="3469" spans="1:11" x14ac:dyDescent="0.45">
      <c r="A3469" s="57">
        <v>1643</v>
      </c>
      <c r="B3469" t="s">
        <v>3229</v>
      </c>
      <c r="C3469" t="s">
        <v>3230</v>
      </c>
      <c r="D3469" s="12">
        <v>46317</v>
      </c>
      <c r="E3469" s="11">
        <v>9</v>
      </c>
      <c r="F3469" s="11" t="s">
        <v>6949</v>
      </c>
      <c r="G3469">
        <v>20221001</v>
      </c>
      <c r="I3469" s="11" t="s">
        <v>18</v>
      </c>
      <c r="J3469" s="72">
        <v>30540865</v>
      </c>
      <c r="K3469" s="99">
        <f>_xlfn.XLOOKUP(_2__ROI_Daily_Update[[#This Row],[CSM id]],SHP!F:F,SHP!EE:EE,"-")</f>
        <v>0</v>
      </c>
    </row>
    <row r="3470" spans="1:11" x14ac:dyDescent="0.45">
      <c r="A3470" s="57">
        <v>1821</v>
      </c>
      <c r="B3470" t="s">
        <v>3527</v>
      </c>
      <c r="C3470" t="s">
        <v>3528</v>
      </c>
      <c r="D3470" s="12">
        <v>46317</v>
      </c>
      <c r="E3470" s="11">
        <v>40</v>
      </c>
      <c r="F3470" s="11" t="s">
        <v>6949</v>
      </c>
      <c r="G3470">
        <v>20180201</v>
      </c>
      <c r="I3470" s="11" t="s">
        <v>18</v>
      </c>
      <c r="J3470" s="72">
        <v>40320797</v>
      </c>
      <c r="K3470" s="99">
        <f>_xlfn.XLOOKUP(_2__ROI_Daily_Update[[#This Row],[CSM id]],SHP!F:F,SHP!EE:EE,"-")</f>
        <v>0</v>
      </c>
    </row>
    <row r="3471" spans="1:11" x14ac:dyDescent="0.45">
      <c r="A3471" s="57">
        <v>821</v>
      </c>
      <c r="B3471" t="s">
        <v>639</v>
      </c>
      <c r="C3471" t="s">
        <v>640</v>
      </c>
      <c r="D3471" s="12">
        <v>46317</v>
      </c>
      <c r="E3471" s="11">
        <v>32</v>
      </c>
      <c r="F3471" s="11" t="s">
        <v>6949</v>
      </c>
      <c r="G3471">
        <v>20220701</v>
      </c>
      <c r="I3471" s="11" t="s">
        <v>18</v>
      </c>
      <c r="J3471" s="72">
        <v>70530628</v>
      </c>
      <c r="K3471" s="99">
        <f>_xlfn.XLOOKUP(_2__ROI_Daily_Update[[#This Row],[CSM id]],SHP!F:F,SHP!EE:EE,"-")</f>
        <v>0</v>
      </c>
    </row>
    <row r="3472" spans="1:11" x14ac:dyDescent="0.45">
      <c r="A3472" s="57">
        <v>361</v>
      </c>
      <c r="B3472" t="s">
        <v>416</v>
      </c>
      <c r="C3472" t="s">
        <v>417</v>
      </c>
      <c r="D3472" s="12">
        <v>46317</v>
      </c>
      <c r="E3472" s="11">
        <v>42</v>
      </c>
      <c r="F3472" s="11" t="s">
        <v>6949</v>
      </c>
      <c r="G3472">
        <v>20210601</v>
      </c>
      <c r="I3472" s="11" t="s">
        <v>18</v>
      </c>
      <c r="J3472" s="72">
        <v>70500527</v>
      </c>
      <c r="K3472" s="99">
        <f>_xlfn.XLOOKUP(_2__ROI_Daily_Update[[#This Row],[CSM id]],SHP!F:F,SHP!EE:EE,"-")</f>
        <v>0</v>
      </c>
    </row>
    <row r="3473" spans="1:11" x14ac:dyDescent="0.45">
      <c r="A3473" s="57">
        <v>125</v>
      </c>
      <c r="B3473" t="s">
        <v>98</v>
      </c>
      <c r="C3473" t="s">
        <v>99</v>
      </c>
      <c r="D3473" s="12">
        <v>46317</v>
      </c>
      <c r="E3473" s="11">
        <v>4</v>
      </c>
      <c r="F3473" s="11" t="s">
        <v>102</v>
      </c>
      <c r="G3473">
        <v>20261001</v>
      </c>
      <c r="I3473" s="11" t="s">
        <v>32</v>
      </c>
      <c r="J3473" s="72">
        <v>10624333</v>
      </c>
      <c r="K3473" s="99">
        <f>_xlfn.XLOOKUP(_2__ROI_Daily_Update[[#This Row],[CSM id]],SHP!F:F,SHP!EE:EE,"-")</f>
        <v>0</v>
      </c>
    </row>
    <row r="3474" spans="1:11" x14ac:dyDescent="0.45">
      <c r="A3474" s="57">
        <v>612</v>
      </c>
      <c r="B3474" t="s">
        <v>496</v>
      </c>
      <c r="C3474" t="s">
        <v>497</v>
      </c>
      <c r="D3474" s="12">
        <v>46317</v>
      </c>
      <c r="E3474" s="11">
        <v>120</v>
      </c>
      <c r="F3474" s="11" t="s">
        <v>6949</v>
      </c>
      <c r="G3474">
        <v>20250401</v>
      </c>
      <c r="I3474" s="11" t="s">
        <v>18</v>
      </c>
      <c r="J3474" s="72">
        <v>10594944</v>
      </c>
      <c r="K3474" s="99">
        <f>_xlfn.XLOOKUP(_2__ROI_Daily_Update[[#This Row],[CSM id]],SHP!F:F,SHP!EE:EE,"-")</f>
        <v>0</v>
      </c>
    </row>
    <row r="3475" spans="1:11" x14ac:dyDescent="0.45">
      <c r="A3475" s="57">
        <v>1622</v>
      </c>
      <c r="B3475" t="s">
        <v>6950</v>
      </c>
      <c r="C3475" t="s">
        <v>6951</v>
      </c>
      <c r="D3475" s="12">
        <v>46318</v>
      </c>
      <c r="E3475" s="11">
        <v>40</v>
      </c>
      <c r="F3475" s="11" t="s">
        <v>0</v>
      </c>
      <c r="G3475">
        <v>20160401</v>
      </c>
      <c r="I3475" s="11" t="s">
        <v>32</v>
      </c>
      <c r="J3475" s="72">
        <v>60339908</v>
      </c>
      <c r="K3475" s="99" t="str">
        <f>_xlfn.XLOOKUP(_2__ROI_Daily_Update[[#This Row],[CSM id]],SHP!F:F,SHP!EE:EE,"-")</f>
        <v>-</v>
      </c>
    </row>
    <row r="3476" spans="1:11" x14ac:dyDescent="0.45">
      <c r="A3476" s="57">
        <v>1622</v>
      </c>
      <c r="B3476" t="s">
        <v>2897</v>
      </c>
      <c r="C3476" t="s">
        <v>2898</v>
      </c>
      <c r="D3476" s="12">
        <v>46318</v>
      </c>
      <c r="E3476" s="11">
        <v>6</v>
      </c>
      <c r="F3476" s="11" t="s">
        <v>0</v>
      </c>
      <c r="G3476">
        <v>20240701</v>
      </c>
      <c r="I3476" s="11" t="s">
        <v>32</v>
      </c>
      <c r="J3476" s="72">
        <v>588670</v>
      </c>
      <c r="K3476" s="99" t="str">
        <f>_xlfn.XLOOKUP(_2__ROI_Daily_Update[[#This Row],[CSM id]],SHP!F:F,SHP!EE:EE,"-")</f>
        <v>-</v>
      </c>
    </row>
    <row r="3477" spans="1:11" x14ac:dyDescent="0.45">
      <c r="A3477" s="57">
        <v>1622</v>
      </c>
      <c r="B3477" t="s">
        <v>2895</v>
      </c>
      <c r="C3477" t="s">
        <v>2896</v>
      </c>
      <c r="D3477" s="12">
        <v>46318</v>
      </c>
      <c r="E3477" s="11">
        <v>20</v>
      </c>
      <c r="F3477" s="11" t="s">
        <v>0</v>
      </c>
      <c r="G3477">
        <v>20160801</v>
      </c>
      <c r="I3477" s="11" t="s">
        <v>32</v>
      </c>
      <c r="J3477" s="72">
        <v>341122</v>
      </c>
      <c r="K3477" s="99" t="str">
        <f>_xlfn.XLOOKUP(_2__ROI_Daily_Update[[#This Row],[CSM id]],SHP!F:F,SHP!EE:EE,"-")</f>
        <v>-</v>
      </c>
    </row>
    <row r="3478" spans="1:11" x14ac:dyDescent="0.45">
      <c r="A3478" s="57">
        <v>1622</v>
      </c>
      <c r="B3478" t="s">
        <v>2905</v>
      </c>
      <c r="C3478" t="s">
        <v>2906</v>
      </c>
      <c r="D3478" s="12">
        <v>46318</v>
      </c>
      <c r="E3478" s="11">
        <v>36</v>
      </c>
      <c r="F3478" s="11" t="s">
        <v>0</v>
      </c>
      <c r="G3478">
        <v>20260101</v>
      </c>
      <c r="I3478" s="11" t="s">
        <v>32</v>
      </c>
      <c r="J3478" s="72">
        <v>60625759</v>
      </c>
      <c r="K3478" s="99" t="str">
        <f>_xlfn.XLOOKUP(_2__ROI_Daily_Update[[#This Row],[CSM id]],SHP!F:F,SHP!EE:EE,"-")</f>
        <v>-</v>
      </c>
    </row>
    <row r="3479" spans="1:11" x14ac:dyDescent="0.45">
      <c r="A3479" s="57">
        <v>1622</v>
      </c>
      <c r="B3479" t="s">
        <v>2907</v>
      </c>
      <c r="C3479" t="s">
        <v>2908</v>
      </c>
      <c r="D3479" s="12">
        <v>46318</v>
      </c>
      <c r="E3479" s="11">
        <v>20</v>
      </c>
      <c r="F3479" s="11" t="s">
        <v>0</v>
      </c>
      <c r="G3479">
        <v>20260101</v>
      </c>
      <c r="I3479" s="11" t="s">
        <v>32</v>
      </c>
      <c r="J3479" s="72">
        <v>70625768</v>
      </c>
      <c r="K3479" s="99" t="str">
        <f>_xlfn.XLOOKUP(_2__ROI_Daily_Update[[#This Row],[CSM id]],SHP!F:F,SHP!EE:EE,"-")</f>
        <v>-</v>
      </c>
    </row>
    <row r="3480" spans="1:11" x14ac:dyDescent="0.45">
      <c r="A3480" s="57">
        <v>1622</v>
      </c>
      <c r="B3480" t="s">
        <v>6732</v>
      </c>
      <c r="C3480" t="s">
        <v>6733</v>
      </c>
      <c r="D3480" s="12">
        <v>46318</v>
      </c>
      <c r="E3480" s="11">
        <v>20</v>
      </c>
      <c r="F3480" s="11" t="s">
        <v>0</v>
      </c>
      <c r="G3480">
        <v>20160401</v>
      </c>
      <c r="I3480" s="11" t="s">
        <v>32</v>
      </c>
      <c r="J3480" s="72">
        <v>50339918</v>
      </c>
      <c r="K3480" s="99" t="str">
        <f>_xlfn.XLOOKUP(_2__ROI_Daily_Update[[#This Row],[CSM id]],SHP!F:F,SHP!EE:EE,"-")</f>
        <v>-</v>
      </c>
    </row>
    <row r="3481" spans="1:11" x14ac:dyDescent="0.45">
      <c r="A3481" s="57">
        <v>1622</v>
      </c>
      <c r="B3481" t="s">
        <v>2899</v>
      </c>
      <c r="C3481" t="s">
        <v>2900</v>
      </c>
      <c r="D3481" s="12">
        <v>46318</v>
      </c>
      <c r="E3481" s="11">
        <v>40</v>
      </c>
      <c r="F3481" s="11" t="s">
        <v>0</v>
      </c>
      <c r="G3481">
        <v>20160401</v>
      </c>
      <c r="I3481" s="11" t="s">
        <v>32</v>
      </c>
      <c r="J3481" s="72">
        <v>40339914</v>
      </c>
      <c r="K3481" s="99" t="str">
        <f>_xlfn.XLOOKUP(_2__ROI_Daily_Update[[#This Row],[CSM id]],SHP!F:F,SHP!EE:EE,"-")</f>
        <v>-</v>
      </c>
    </row>
    <row r="3482" spans="1:11" x14ac:dyDescent="0.45">
      <c r="A3482" s="57">
        <v>1622</v>
      </c>
      <c r="B3482" t="s">
        <v>2901</v>
      </c>
      <c r="C3482" t="s">
        <v>2902</v>
      </c>
      <c r="D3482" s="12">
        <v>46318</v>
      </c>
      <c r="E3482" s="11">
        <v>20</v>
      </c>
      <c r="F3482" s="11" t="s">
        <v>0</v>
      </c>
      <c r="G3482">
        <v>20161001</v>
      </c>
      <c r="I3482" s="11" t="s">
        <v>32</v>
      </c>
      <c r="J3482" s="72">
        <v>40342271</v>
      </c>
      <c r="K3482" s="99" t="str">
        <f>_xlfn.XLOOKUP(_2__ROI_Daily_Update[[#This Row],[CSM id]],SHP!F:F,SHP!EE:EE,"-")</f>
        <v>-</v>
      </c>
    </row>
    <row r="3483" spans="1:11" x14ac:dyDescent="0.45">
      <c r="A3483" s="57">
        <v>1622</v>
      </c>
      <c r="B3483" t="s">
        <v>2903</v>
      </c>
      <c r="C3483" t="s">
        <v>2904</v>
      </c>
      <c r="D3483" s="12">
        <v>46318</v>
      </c>
      <c r="E3483" s="11">
        <v>60</v>
      </c>
      <c r="F3483" s="11" t="s">
        <v>0</v>
      </c>
      <c r="G3483">
        <v>20260101</v>
      </c>
      <c r="I3483" s="11" t="s">
        <v>32</v>
      </c>
      <c r="J3483" s="72">
        <v>40625755</v>
      </c>
      <c r="K3483" s="99" t="str">
        <f>_xlfn.XLOOKUP(_2__ROI_Daily_Update[[#This Row],[CSM id]],SHP!F:F,SHP!EE:EE,"-")</f>
        <v>-</v>
      </c>
    </row>
    <row r="3484" spans="1:11" x14ac:dyDescent="0.45">
      <c r="A3484" s="57">
        <v>1622</v>
      </c>
      <c r="B3484" t="s">
        <v>5682</v>
      </c>
      <c r="C3484" t="s">
        <v>5683</v>
      </c>
      <c r="D3484" s="12">
        <v>46318</v>
      </c>
      <c r="E3484" s="11">
        <v>40</v>
      </c>
      <c r="F3484" s="11" t="s">
        <v>0</v>
      </c>
      <c r="G3484">
        <v>20161001</v>
      </c>
      <c r="I3484" s="11" t="s">
        <v>32</v>
      </c>
      <c r="J3484" s="72">
        <v>20342267</v>
      </c>
      <c r="K3484" s="99" t="str">
        <f>_xlfn.XLOOKUP(_2__ROI_Daily_Update[[#This Row],[CSM id]],SHP!F:F,SHP!EE:EE,"-")</f>
        <v>-</v>
      </c>
    </row>
    <row r="3485" spans="1:11" x14ac:dyDescent="0.45">
      <c r="A3485" s="57">
        <v>782</v>
      </c>
      <c r="B3485" t="s">
        <v>605</v>
      </c>
      <c r="C3485" t="s">
        <v>606</v>
      </c>
      <c r="D3485" s="12">
        <v>46319</v>
      </c>
      <c r="E3485" s="11">
        <v>56</v>
      </c>
      <c r="F3485" s="11" t="s">
        <v>6952</v>
      </c>
      <c r="G3485">
        <v>20260401</v>
      </c>
      <c r="I3485" s="11" t="s">
        <v>18</v>
      </c>
      <c r="J3485" s="72">
        <v>80629718</v>
      </c>
      <c r="K3485" s="99">
        <f>_xlfn.XLOOKUP(_2__ROI_Daily_Update[[#This Row],[CSM id]],SHP!F:F,SHP!EE:EE,"-")</f>
        <v>0</v>
      </c>
    </row>
    <row r="3486" spans="1:11" x14ac:dyDescent="0.45">
      <c r="A3486" s="57">
        <v>1641</v>
      </c>
      <c r="B3486" t="s">
        <v>3159</v>
      </c>
      <c r="C3486" t="s">
        <v>3160</v>
      </c>
      <c r="D3486" s="12">
        <v>46319</v>
      </c>
      <c r="E3486" s="11">
        <v>20</v>
      </c>
      <c r="F3486" s="11" t="s">
        <v>6952</v>
      </c>
      <c r="G3486">
        <v>20240401</v>
      </c>
      <c r="I3486" s="11" t="s">
        <v>18</v>
      </c>
      <c r="J3486" s="72">
        <v>50553710</v>
      </c>
      <c r="K3486" s="99">
        <f>_xlfn.XLOOKUP(_2__ROI_Daily_Update[[#This Row],[CSM id]],SHP!F:F,SHP!EE:EE,"-")</f>
        <v>0</v>
      </c>
    </row>
    <row r="3487" spans="1:11" x14ac:dyDescent="0.45">
      <c r="A3487" s="57">
        <v>341</v>
      </c>
      <c r="B3487" t="s">
        <v>341</v>
      </c>
      <c r="C3487" t="s">
        <v>342</v>
      </c>
      <c r="D3487" s="12">
        <v>46319</v>
      </c>
      <c r="E3487" s="11">
        <v>27</v>
      </c>
      <c r="F3487" s="11" t="s">
        <v>5447</v>
      </c>
      <c r="G3487">
        <v>20210401</v>
      </c>
      <c r="I3487" s="11" t="s">
        <v>32</v>
      </c>
      <c r="J3487" s="72">
        <v>30460665</v>
      </c>
      <c r="K3487" s="99">
        <f>_xlfn.XLOOKUP(_2__ROI_Daily_Update[[#This Row],[CSM id]],SHP!F:F,SHP!EE:EE,"-")</f>
        <v>0</v>
      </c>
    </row>
    <row r="3488" spans="1:11" x14ac:dyDescent="0.45">
      <c r="A3488" s="57">
        <v>921</v>
      </c>
      <c r="B3488" t="s">
        <v>686</v>
      </c>
      <c r="C3488" t="s">
        <v>687</v>
      </c>
      <c r="D3488" s="12">
        <v>46319</v>
      </c>
      <c r="E3488" s="11">
        <v>28</v>
      </c>
      <c r="F3488" s="11" t="s">
        <v>5778</v>
      </c>
      <c r="G3488">
        <v>20210201</v>
      </c>
      <c r="I3488" s="11" t="s">
        <v>32</v>
      </c>
      <c r="J3488" s="72">
        <v>40433544</v>
      </c>
      <c r="K3488" s="99">
        <f>_xlfn.XLOOKUP(_2__ROI_Daily_Update[[#This Row],[CSM id]],SHP!F:F,SHP!EE:EE,"-")</f>
        <v>0</v>
      </c>
    </row>
    <row r="3489" spans="1:11" x14ac:dyDescent="0.45">
      <c r="A3489" s="57">
        <v>435</v>
      </c>
      <c r="B3489" t="s">
        <v>38</v>
      </c>
      <c r="C3489" t="s">
        <v>39</v>
      </c>
      <c r="D3489" s="12">
        <v>46319</v>
      </c>
      <c r="E3489" s="11">
        <v>42</v>
      </c>
      <c r="F3489" s="11" t="s">
        <v>6952</v>
      </c>
      <c r="G3489">
        <v>20221001</v>
      </c>
      <c r="I3489" s="11" t="s">
        <v>18</v>
      </c>
      <c r="J3489" s="72">
        <v>70530987</v>
      </c>
      <c r="K3489" s="99">
        <f>_xlfn.XLOOKUP(_2__ROI_Daily_Update[[#This Row],[CSM id]],SHP!F:F,SHP!EE:EE,"-")</f>
        <v>0</v>
      </c>
    </row>
    <row r="3490" spans="1:11" x14ac:dyDescent="0.45">
      <c r="A3490" s="57">
        <v>921</v>
      </c>
      <c r="B3490" t="s">
        <v>694</v>
      </c>
      <c r="C3490" t="s">
        <v>695</v>
      </c>
      <c r="D3490" s="12">
        <v>46319</v>
      </c>
      <c r="E3490" s="11">
        <v>14</v>
      </c>
      <c r="F3490" s="11" t="s">
        <v>6952</v>
      </c>
      <c r="G3490">
        <v>20170401</v>
      </c>
      <c r="I3490" s="11" t="s">
        <v>18</v>
      </c>
      <c r="J3490" s="72">
        <v>60351429</v>
      </c>
      <c r="K3490" s="99">
        <f>_xlfn.XLOOKUP(_2__ROI_Daily_Update[[#This Row],[CSM id]],SHP!F:F,SHP!EE:EE,"-")</f>
        <v>0</v>
      </c>
    </row>
    <row r="3491" spans="1:11" x14ac:dyDescent="0.45">
      <c r="A3491" s="57">
        <v>1434</v>
      </c>
      <c r="B3491" t="s">
        <v>2490</v>
      </c>
      <c r="C3491" t="s">
        <v>2491</v>
      </c>
      <c r="D3491" s="12">
        <v>46319</v>
      </c>
      <c r="E3491" s="11">
        <v>336</v>
      </c>
      <c r="F3491" s="11" t="s">
        <v>6952</v>
      </c>
      <c r="G3491">
        <v>20240101</v>
      </c>
      <c r="I3491" s="11" t="s">
        <v>18</v>
      </c>
      <c r="J3491" s="72">
        <v>40572808</v>
      </c>
      <c r="K3491" s="99">
        <f>_xlfn.XLOOKUP(_2__ROI_Daily_Update[[#This Row],[CSM id]],SHP!F:F,SHP!EE:EE,"-")</f>
        <v>0</v>
      </c>
    </row>
    <row r="3492" spans="1:11" x14ac:dyDescent="0.45">
      <c r="A3492" s="57">
        <v>1011</v>
      </c>
      <c r="B3492" t="s">
        <v>1036</v>
      </c>
      <c r="C3492" t="s">
        <v>1037</v>
      </c>
      <c r="D3492" s="12">
        <v>46319</v>
      </c>
      <c r="E3492" s="11">
        <v>12</v>
      </c>
      <c r="F3492" s="11" t="s">
        <v>6952</v>
      </c>
      <c r="G3492">
        <v>20160401</v>
      </c>
      <c r="I3492" s="11" t="s">
        <v>18</v>
      </c>
      <c r="J3492" s="72">
        <v>80321323</v>
      </c>
      <c r="K3492" s="99">
        <f>_xlfn.XLOOKUP(_2__ROI_Daily_Update[[#This Row],[CSM id]],SHP!F:F,SHP!EE:EE,"-")</f>
        <v>0</v>
      </c>
    </row>
    <row r="3493" spans="1:11" x14ac:dyDescent="0.45">
      <c r="A3493" s="57">
        <v>921</v>
      </c>
      <c r="B3493" t="s">
        <v>696</v>
      </c>
      <c r="C3493" t="s">
        <v>697</v>
      </c>
      <c r="D3493" s="12">
        <v>46319</v>
      </c>
      <c r="E3493" s="11">
        <v>26</v>
      </c>
      <c r="F3493" s="11" t="s">
        <v>5779</v>
      </c>
      <c r="G3493">
        <v>20170401</v>
      </c>
      <c r="I3493" s="11" t="s">
        <v>32</v>
      </c>
      <c r="J3493" s="72">
        <v>60351434</v>
      </c>
      <c r="K3493" s="99">
        <f>_xlfn.XLOOKUP(_2__ROI_Daily_Update[[#This Row],[CSM id]],SHP!F:F,SHP!EE:EE,"-")</f>
        <v>0</v>
      </c>
    </row>
    <row r="3494" spans="1:11" x14ac:dyDescent="0.45">
      <c r="A3494" s="57">
        <v>215</v>
      </c>
      <c r="B3494" t="s">
        <v>291</v>
      </c>
      <c r="C3494" t="s">
        <v>292</v>
      </c>
      <c r="D3494" s="12">
        <v>46319</v>
      </c>
      <c r="E3494" s="11">
        <v>30</v>
      </c>
      <c r="F3494" s="11" t="s">
        <v>5388</v>
      </c>
      <c r="G3494">
        <v>20170401</v>
      </c>
      <c r="I3494" s="11" t="s">
        <v>32</v>
      </c>
      <c r="J3494" s="72">
        <v>70362917</v>
      </c>
      <c r="K3494" s="99">
        <f>_xlfn.XLOOKUP(_2__ROI_Daily_Update[[#This Row],[CSM id]],SHP!F:F,SHP!EE:EE,"-")</f>
        <v>0</v>
      </c>
    </row>
    <row r="3495" spans="1:11" x14ac:dyDescent="0.45">
      <c r="A3495" s="57">
        <v>921</v>
      </c>
      <c r="B3495" t="s">
        <v>6151</v>
      </c>
      <c r="C3495" t="s">
        <v>6152</v>
      </c>
      <c r="D3495" s="12">
        <v>46319</v>
      </c>
      <c r="E3495" s="11">
        <v>88</v>
      </c>
      <c r="F3495" s="11" t="s">
        <v>6952</v>
      </c>
      <c r="G3495">
        <v>20250101</v>
      </c>
      <c r="I3495" s="11" t="s">
        <v>18</v>
      </c>
      <c r="J3495" s="72">
        <v>10582088</v>
      </c>
      <c r="K3495" s="99">
        <f>_xlfn.XLOOKUP(_2__ROI_Daily_Update[[#This Row],[CSM id]],SHP!F:F,SHP!EE:EE,"-")</f>
        <v>0</v>
      </c>
    </row>
    <row r="3496" spans="1:11" x14ac:dyDescent="0.45">
      <c r="A3496" s="57">
        <v>435</v>
      </c>
      <c r="B3496" t="s">
        <v>21</v>
      </c>
      <c r="C3496" t="s">
        <v>22</v>
      </c>
      <c r="D3496" s="12">
        <v>46319</v>
      </c>
      <c r="E3496" s="11">
        <v>24</v>
      </c>
      <c r="F3496" s="11" t="s">
        <v>6952</v>
      </c>
      <c r="G3496">
        <v>20180801</v>
      </c>
      <c r="I3496" s="11" t="s">
        <v>18</v>
      </c>
      <c r="J3496" s="72">
        <v>80397308</v>
      </c>
      <c r="K3496" s="99">
        <f>_xlfn.XLOOKUP(_2__ROI_Daily_Update[[#This Row],[CSM id]],SHP!F:F,SHP!EE:EE,"-")</f>
        <v>0</v>
      </c>
    </row>
    <row r="3497" spans="1:11" x14ac:dyDescent="0.45">
      <c r="A3497" s="57">
        <v>125</v>
      </c>
      <c r="B3497" t="s">
        <v>115</v>
      </c>
      <c r="C3497" t="s">
        <v>116</v>
      </c>
      <c r="D3497" s="12">
        <v>46319</v>
      </c>
      <c r="E3497" s="11">
        <v>12</v>
      </c>
      <c r="F3497" s="11" t="s">
        <v>6061</v>
      </c>
      <c r="G3497">
        <v>20260401</v>
      </c>
      <c r="I3497" s="11" t="s">
        <v>32</v>
      </c>
      <c r="J3497" s="72">
        <v>40623860</v>
      </c>
      <c r="K3497" s="99">
        <f>_xlfn.XLOOKUP(_2__ROI_Daily_Update[[#This Row],[CSM id]],SHP!F:F,SHP!EE:EE,"-")</f>
        <v>0</v>
      </c>
    </row>
    <row r="3498" spans="1:11" x14ac:dyDescent="0.45">
      <c r="A3498" s="57">
        <v>1122</v>
      </c>
      <c r="B3498" t="s">
        <v>5325</v>
      </c>
      <c r="C3498" t="s">
        <v>5326</v>
      </c>
      <c r="D3498" s="12">
        <v>46319</v>
      </c>
      <c r="E3498" s="11">
        <v>10</v>
      </c>
      <c r="F3498" s="11" t="s">
        <v>6952</v>
      </c>
      <c r="G3498">
        <v>20240701</v>
      </c>
      <c r="H3498" s="12">
        <v>46478</v>
      </c>
      <c r="I3498" s="11" t="s">
        <v>32</v>
      </c>
      <c r="J3498" s="72">
        <v>90576738</v>
      </c>
      <c r="K3498" s="99">
        <f>_xlfn.XLOOKUP(_2__ROI_Daily_Update[[#This Row],[CSM id]],SHP!F:F,SHP!EE:EE,"-")</f>
        <v>0</v>
      </c>
    </row>
    <row r="3499" spans="1:11" x14ac:dyDescent="0.45">
      <c r="A3499" s="57">
        <v>215</v>
      </c>
      <c r="B3499" t="s">
        <v>289</v>
      </c>
      <c r="C3499" t="s">
        <v>290</v>
      </c>
      <c r="D3499" s="12">
        <v>46319</v>
      </c>
      <c r="E3499" s="11">
        <v>24</v>
      </c>
      <c r="F3499" s="11" t="s">
        <v>5388</v>
      </c>
      <c r="G3499">
        <v>20170401</v>
      </c>
      <c r="I3499" s="11" t="s">
        <v>32</v>
      </c>
      <c r="J3499" s="72">
        <v>70351886</v>
      </c>
      <c r="K3499" s="99">
        <f>_xlfn.XLOOKUP(_2__ROI_Daily_Update[[#This Row],[CSM id]],SHP!F:F,SHP!EE:EE,"-")</f>
        <v>0</v>
      </c>
    </row>
    <row r="3500" spans="1:11" x14ac:dyDescent="0.45">
      <c r="A3500" s="57">
        <v>972</v>
      </c>
      <c r="B3500" t="s">
        <v>871</v>
      </c>
      <c r="C3500" t="s">
        <v>872</v>
      </c>
      <c r="D3500" s="12">
        <v>46319</v>
      </c>
      <c r="E3500" s="11">
        <v>45</v>
      </c>
      <c r="F3500" s="11" t="s">
        <v>6952</v>
      </c>
      <c r="G3500">
        <v>20240701</v>
      </c>
      <c r="I3500" s="11" t="s">
        <v>18</v>
      </c>
      <c r="J3500" s="72">
        <v>20581366</v>
      </c>
      <c r="K3500" s="99">
        <f>_xlfn.XLOOKUP(_2__ROI_Daily_Update[[#This Row],[CSM id]],SHP!F:F,SHP!EE:EE,"-")</f>
        <v>0</v>
      </c>
    </row>
    <row r="3501" spans="1:11" x14ac:dyDescent="0.45">
      <c r="A3501" s="57">
        <v>215</v>
      </c>
      <c r="B3501" t="s">
        <v>289</v>
      </c>
      <c r="C3501" t="s">
        <v>290</v>
      </c>
      <c r="D3501" s="12">
        <v>46319</v>
      </c>
      <c r="E3501" s="11">
        <v>36</v>
      </c>
      <c r="F3501" s="11" t="s">
        <v>5778</v>
      </c>
      <c r="G3501">
        <v>20170401</v>
      </c>
      <c r="I3501" s="11" t="s">
        <v>32</v>
      </c>
      <c r="J3501" s="72">
        <v>70351886</v>
      </c>
      <c r="K3501" s="99">
        <f>_xlfn.XLOOKUP(_2__ROI_Daily_Update[[#This Row],[CSM id]],SHP!F:F,SHP!EE:EE,"-")</f>
        <v>0</v>
      </c>
    </row>
    <row r="3502" spans="1:11" x14ac:dyDescent="0.45">
      <c r="A3502" s="57">
        <v>125</v>
      </c>
      <c r="B3502" t="s">
        <v>108</v>
      </c>
      <c r="C3502" t="s">
        <v>109</v>
      </c>
      <c r="D3502" s="12">
        <v>46319</v>
      </c>
      <c r="E3502" s="11">
        <v>20</v>
      </c>
      <c r="F3502" s="11" t="s">
        <v>6952</v>
      </c>
      <c r="G3502">
        <v>20240101</v>
      </c>
      <c r="H3502" s="12">
        <v>46388</v>
      </c>
      <c r="I3502" s="11" t="s">
        <v>18</v>
      </c>
      <c r="J3502" s="72">
        <v>20570829</v>
      </c>
      <c r="K3502" s="99">
        <f>_xlfn.XLOOKUP(_2__ROI_Daily_Update[[#This Row],[CSM id]],SHP!F:F,SHP!EE:EE,"-")</f>
        <v>0</v>
      </c>
    </row>
    <row r="3503" spans="1:11" x14ac:dyDescent="0.45">
      <c r="A3503" s="57">
        <v>431</v>
      </c>
      <c r="B3503" t="s">
        <v>330</v>
      </c>
      <c r="C3503" t="s">
        <v>331</v>
      </c>
      <c r="D3503" s="12">
        <v>46319</v>
      </c>
      <c r="E3503" s="11">
        <v>6</v>
      </c>
      <c r="F3503" s="11" t="s">
        <v>7325</v>
      </c>
      <c r="G3503">
        <v>20230401</v>
      </c>
      <c r="I3503" s="11" t="s">
        <v>32</v>
      </c>
      <c r="J3503" s="72">
        <v>80483240</v>
      </c>
      <c r="K3503" s="99" t="str">
        <f>_xlfn.XLOOKUP(_2__ROI_Daily_Update[[#This Row],[CSM id]],SHP!F:F,SHP!EE:EE,"-")</f>
        <v>-</v>
      </c>
    </row>
    <row r="3504" spans="1:11" x14ac:dyDescent="0.45">
      <c r="A3504" s="57">
        <v>341</v>
      </c>
      <c r="B3504" t="s">
        <v>52</v>
      </c>
      <c r="C3504" t="s">
        <v>53</v>
      </c>
      <c r="D3504" s="12">
        <v>46319</v>
      </c>
      <c r="E3504" s="11">
        <v>6</v>
      </c>
      <c r="F3504" s="11" t="s">
        <v>6952</v>
      </c>
      <c r="G3504">
        <v>20170401</v>
      </c>
      <c r="H3504" s="12">
        <v>46478</v>
      </c>
      <c r="I3504" s="11" t="s">
        <v>18</v>
      </c>
      <c r="J3504" s="72">
        <v>20354284</v>
      </c>
      <c r="K3504" s="99">
        <f>_xlfn.XLOOKUP(_2__ROI_Daily_Update[[#This Row],[CSM id]],SHP!F:F,SHP!EE:EE,"-")</f>
        <v>0</v>
      </c>
    </row>
    <row r="3505" spans="1:11" x14ac:dyDescent="0.45">
      <c r="A3505" s="57">
        <v>922</v>
      </c>
      <c r="B3505" t="s">
        <v>733</v>
      </c>
      <c r="C3505" t="s">
        <v>734</v>
      </c>
      <c r="D3505" s="12">
        <v>46319</v>
      </c>
      <c r="E3505" s="11">
        <v>420</v>
      </c>
      <c r="F3505" s="11" t="s">
        <v>6952</v>
      </c>
      <c r="G3505">
        <v>20260101</v>
      </c>
      <c r="I3505" s="11" t="s">
        <v>18</v>
      </c>
      <c r="J3505" s="72">
        <v>80604119</v>
      </c>
      <c r="K3505" s="99">
        <f>_xlfn.XLOOKUP(_2__ROI_Daily_Update[[#This Row],[CSM id]],SHP!F:F,SHP!EE:EE,"-")</f>
        <v>0</v>
      </c>
    </row>
    <row r="3506" spans="1:11" x14ac:dyDescent="0.45">
      <c r="A3506" s="57">
        <v>1821</v>
      </c>
      <c r="B3506" t="s">
        <v>3556</v>
      </c>
      <c r="C3506" t="s">
        <v>3557</v>
      </c>
      <c r="D3506" s="12">
        <v>46319</v>
      </c>
      <c r="E3506" s="11">
        <v>30</v>
      </c>
      <c r="F3506" s="11" t="s">
        <v>7325</v>
      </c>
      <c r="G3506">
        <v>20180201</v>
      </c>
      <c r="I3506" s="11" t="s">
        <v>32</v>
      </c>
      <c r="J3506" s="72">
        <v>90321619</v>
      </c>
      <c r="K3506" s="99" t="str">
        <f>_xlfn.XLOOKUP(_2__ROI_Daily_Update[[#This Row],[CSM id]],SHP!F:F,SHP!EE:EE,"-")</f>
        <v>-</v>
      </c>
    </row>
    <row r="3507" spans="1:11" x14ac:dyDescent="0.45">
      <c r="A3507" s="57">
        <v>126</v>
      </c>
      <c r="B3507" t="s">
        <v>136</v>
      </c>
      <c r="C3507" t="s">
        <v>137</v>
      </c>
      <c r="D3507" s="12">
        <v>46319</v>
      </c>
      <c r="E3507" s="11">
        <v>24</v>
      </c>
      <c r="F3507" s="11" t="s">
        <v>6952</v>
      </c>
      <c r="G3507">
        <v>20241001</v>
      </c>
      <c r="H3507" s="12">
        <v>46478</v>
      </c>
      <c r="I3507" s="11" t="s">
        <v>18</v>
      </c>
      <c r="J3507" s="72">
        <v>572768</v>
      </c>
      <c r="K3507" s="99">
        <f>_xlfn.XLOOKUP(_2__ROI_Daily_Update[[#This Row],[CSM id]],SHP!F:F,SHP!EE:EE,"-")</f>
        <v>0</v>
      </c>
    </row>
    <row r="3508" spans="1:11" x14ac:dyDescent="0.45">
      <c r="A3508" s="57">
        <v>214</v>
      </c>
      <c r="B3508" t="s">
        <v>249</v>
      </c>
      <c r="C3508" t="s">
        <v>250</v>
      </c>
      <c r="D3508" s="12">
        <v>46319</v>
      </c>
      <c r="E3508" s="11">
        <v>26</v>
      </c>
      <c r="F3508" s="11" t="s">
        <v>5447</v>
      </c>
      <c r="G3508">
        <v>20230701</v>
      </c>
      <c r="I3508" s="11" t="s">
        <v>32</v>
      </c>
      <c r="J3508" s="72">
        <v>30522041</v>
      </c>
      <c r="K3508" s="99">
        <f>_xlfn.XLOOKUP(_2__ROI_Daily_Update[[#This Row],[CSM id]],SHP!F:F,SHP!EE:EE,"-")</f>
        <v>0</v>
      </c>
    </row>
    <row r="3509" spans="1:11" x14ac:dyDescent="0.45">
      <c r="A3509" s="57">
        <v>341</v>
      </c>
      <c r="B3509" t="s">
        <v>301</v>
      </c>
      <c r="C3509" t="s">
        <v>302</v>
      </c>
      <c r="D3509" s="12">
        <v>46319</v>
      </c>
      <c r="E3509" s="11">
        <v>36</v>
      </c>
      <c r="F3509" s="11" t="s">
        <v>6952</v>
      </c>
      <c r="G3509">
        <v>20230901</v>
      </c>
      <c r="I3509" s="11" t="s">
        <v>18</v>
      </c>
      <c r="J3509" s="72">
        <v>60557802</v>
      </c>
      <c r="K3509" s="99">
        <f>_xlfn.XLOOKUP(_2__ROI_Daily_Update[[#This Row],[CSM id]],SHP!F:F,SHP!EE:EE,"-")</f>
        <v>0</v>
      </c>
    </row>
    <row r="3510" spans="1:11" x14ac:dyDescent="0.45">
      <c r="A3510" s="57">
        <v>1123</v>
      </c>
      <c r="B3510" t="s">
        <v>5979</v>
      </c>
      <c r="C3510" t="s">
        <v>5980</v>
      </c>
      <c r="D3510" s="12">
        <v>46319</v>
      </c>
      <c r="E3510" s="11">
        <v>24</v>
      </c>
      <c r="F3510" s="11" t="s">
        <v>6952</v>
      </c>
      <c r="G3510">
        <v>20241001</v>
      </c>
      <c r="I3510" s="11" t="s">
        <v>18</v>
      </c>
      <c r="J3510" s="72">
        <v>60543612</v>
      </c>
      <c r="K3510" s="99">
        <f>_xlfn.XLOOKUP(_2__ROI_Daily_Update[[#This Row],[CSM id]],SHP!F:F,SHP!EE:EE,"-")</f>
        <v>0</v>
      </c>
    </row>
    <row r="3511" spans="1:11" x14ac:dyDescent="0.45">
      <c r="A3511" s="57">
        <v>1122</v>
      </c>
      <c r="B3511" t="s">
        <v>1623</v>
      </c>
      <c r="C3511" t="s">
        <v>1624</v>
      </c>
      <c r="D3511" s="12">
        <v>46319</v>
      </c>
      <c r="E3511" s="11">
        <v>154</v>
      </c>
      <c r="F3511" s="11" t="s">
        <v>6952</v>
      </c>
      <c r="G3511">
        <v>20190801</v>
      </c>
      <c r="H3511" s="12">
        <v>46388</v>
      </c>
      <c r="I3511" s="11" t="s">
        <v>32</v>
      </c>
      <c r="J3511" s="72">
        <v>70444367</v>
      </c>
      <c r="K3511" s="99">
        <f>_xlfn.XLOOKUP(_2__ROI_Daily_Update[[#This Row],[CSM id]],SHP!F:F,SHP!EE:EE,"-")</f>
        <v>0</v>
      </c>
    </row>
    <row r="3512" spans="1:11" x14ac:dyDescent="0.45">
      <c r="A3512" s="57">
        <v>1882</v>
      </c>
      <c r="B3512" t="s">
        <v>3743</v>
      </c>
      <c r="C3512" t="s">
        <v>3744</v>
      </c>
      <c r="D3512" s="12">
        <v>46319</v>
      </c>
      <c r="E3512" s="11">
        <v>504</v>
      </c>
      <c r="F3512" s="11" t="s">
        <v>6952</v>
      </c>
      <c r="G3512">
        <v>20140801</v>
      </c>
      <c r="I3512" s="11" t="s">
        <v>18</v>
      </c>
      <c r="J3512" s="72">
        <v>70147758</v>
      </c>
      <c r="K3512" s="99">
        <f>_xlfn.XLOOKUP(_2__ROI_Daily_Update[[#This Row],[CSM id]],SHP!F:F,SHP!EE:EE,"-")</f>
        <v>0</v>
      </c>
    </row>
    <row r="3513" spans="1:11" x14ac:dyDescent="0.45">
      <c r="A3513" s="57">
        <v>1633</v>
      </c>
      <c r="B3513" t="s">
        <v>3000</v>
      </c>
      <c r="C3513" t="s">
        <v>3001</v>
      </c>
      <c r="D3513" s="12">
        <v>46319</v>
      </c>
      <c r="E3513" s="11">
        <v>480</v>
      </c>
      <c r="F3513" s="11" t="s">
        <v>6952</v>
      </c>
      <c r="G3513">
        <v>20210401</v>
      </c>
      <c r="I3513" s="11" t="s">
        <v>32</v>
      </c>
      <c r="J3513" s="72">
        <v>50470989</v>
      </c>
      <c r="K3513" s="99">
        <f>_xlfn.XLOOKUP(_2__ROI_Daily_Update[[#This Row],[CSM id]],SHP!F:F,SHP!EE:EE,"-")</f>
        <v>0</v>
      </c>
    </row>
    <row r="3514" spans="1:11" x14ac:dyDescent="0.45">
      <c r="A3514" s="57">
        <v>125</v>
      </c>
      <c r="B3514" t="s">
        <v>122</v>
      </c>
      <c r="C3514" t="s">
        <v>123</v>
      </c>
      <c r="D3514" s="12">
        <v>46319</v>
      </c>
      <c r="E3514" s="11">
        <v>8</v>
      </c>
      <c r="F3514" s="11" t="s">
        <v>5650</v>
      </c>
      <c r="G3514">
        <v>20240101</v>
      </c>
      <c r="I3514" s="11" t="s">
        <v>32</v>
      </c>
      <c r="J3514" s="72">
        <v>70570836</v>
      </c>
      <c r="K3514" s="99">
        <f>_xlfn.XLOOKUP(_2__ROI_Daily_Update[[#This Row],[CSM id]],SHP!F:F,SHP!EE:EE,"-")</f>
        <v>0</v>
      </c>
    </row>
    <row r="3515" spans="1:11" x14ac:dyDescent="0.45">
      <c r="A3515" s="57">
        <v>1122</v>
      </c>
      <c r="B3515" t="s">
        <v>1627</v>
      </c>
      <c r="C3515" t="s">
        <v>1628</v>
      </c>
      <c r="D3515" s="12">
        <v>46319</v>
      </c>
      <c r="E3515" s="11">
        <v>80</v>
      </c>
      <c r="F3515" s="11" t="s">
        <v>6952</v>
      </c>
      <c r="G3515">
        <v>20220101</v>
      </c>
      <c r="H3515" s="12">
        <v>46478</v>
      </c>
      <c r="I3515" s="11" t="s">
        <v>32</v>
      </c>
      <c r="J3515" s="72">
        <v>80513218</v>
      </c>
      <c r="K3515" s="99">
        <f>_xlfn.XLOOKUP(_2__ROI_Daily_Update[[#This Row],[CSM id]],SHP!F:F,SHP!EE:EE,"-")</f>
        <v>0</v>
      </c>
    </row>
    <row r="3516" spans="1:11" x14ac:dyDescent="0.45">
      <c r="A3516" s="57">
        <v>821</v>
      </c>
      <c r="B3516" t="s">
        <v>5981</v>
      </c>
      <c r="C3516" t="s">
        <v>5982</v>
      </c>
      <c r="D3516" s="12">
        <v>46319</v>
      </c>
      <c r="E3516" s="11">
        <v>36</v>
      </c>
      <c r="F3516" s="11" t="s">
        <v>6952</v>
      </c>
      <c r="G3516">
        <v>20250401</v>
      </c>
      <c r="I3516" s="11" t="s">
        <v>18</v>
      </c>
      <c r="J3516" s="72">
        <v>80592734</v>
      </c>
      <c r="K3516" s="99">
        <f>_xlfn.XLOOKUP(_2__ROI_Daily_Update[[#This Row],[CSM id]],SHP!F:F,SHP!EE:EE,"-")</f>
        <v>0</v>
      </c>
    </row>
    <row r="3517" spans="1:11" x14ac:dyDescent="0.45">
      <c r="A3517" s="57">
        <v>125</v>
      </c>
      <c r="B3517" t="s">
        <v>103</v>
      </c>
      <c r="C3517" t="s">
        <v>104</v>
      </c>
      <c r="D3517" s="12">
        <v>46319</v>
      </c>
      <c r="E3517" s="11">
        <v>4</v>
      </c>
      <c r="F3517" s="11" t="s">
        <v>5650</v>
      </c>
      <c r="G3517">
        <v>20261001</v>
      </c>
      <c r="I3517" s="11" t="s">
        <v>32</v>
      </c>
      <c r="J3517" s="72">
        <v>10624347</v>
      </c>
      <c r="K3517" s="99">
        <f>_xlfn.XLOOKUP(_2__ROI_Daily_Update[[#This Row],[CSM id]],SHP!F:F,SHP!EE:EE,"-")</f>
        <v>0</v>
      </c>
    </row>
    <row r="3518" spans="1:11" x14ac:dyDescent="0.45">
      <c r="A3518" s="57">
        <v>214</v>
      </c>
      <c r="B3518" t="s">
        <v>240</v>
      </c>
      <c r="C3518" t="s">
        <v>241</v>
      </c>
      <c r="D3518" s="12">
        <v>46319</v>
      </c>
      <c r="E3518" s="11">
        <v>14</v>
      </c>
      <c r="F3518" s="11" t="s">
        <v>5779</v>
      </c>
      <c r="G3518">
        <v>20240401</v>
      </c>
      <c r="I3518" s="11" t="s">
        <v>32</v>
      </c>
      <c r="J3518" s="72">
        <v>522047</v>
      </c>
      <c r="K3518" s="99">
        <f>_xlfn.XLOOKUP(_2__ROI_Daily_Update[[#This Row],[CSM id]],SHP!F:F,SHP!EE:EE,"-")</f>
        <v>0</v>
      </c>
    </row>
    <row r="3519" spans="1:11" x14ac:dyDescent="0.45">
      <c r="A3519" s="57">
        <v>1821</v>
      </c>
      <c r="B3519" t="s">
        <v>6901</v>
      </c>
      <c r="C3519" t="s">
        <v>6902</v>
      </c>
      <c r="D3519" s="12">
        <v>46319</v>
      </c>
      <c r="E3519" s="11">
        <v>120</v>
      </c>
      <c r="F3519" s="11" t="s">
        <v>7325</v>
      </c>
      <c r="G3519">
        <v>20180201</v>
      </c>
      <c r="I3519" s="11" t="s">
        <v>32</v>
      </c>
      <c r="J3519" s="72">
        <v>80320804</v>
      </c>
      <c r="K3519" s="99" t="str">
        <f>_xlfn.XLOOKUP(_2__ROI_Daily_Update[[#This Row],[CSM id]],SHP!F:F,SHP!EE:EE,"-")</f>
        <v>-</v>
      </c>
    </row>
    <row r="3520" spans="1:11" x14ac:dyDescent="0.45">
      <c r="A3520" s="57">
        <v>1132</v>
      </c>
      <c r="B3520" t="s">
        <v>1681</v>
      </c>
      <c r="C3520" t="s">
        <v>1682</v>
      </c>
      <c r="D3520" s="12">
        <v>46319</v>
      </c>
      <c r="E3520" s="11">
        <v>320</v>
      </c>
      <c r="F3520" s="11" t="s">
        <v>6952</v>
      </c>
      <c r="G3520">
        <v>20240701</v>
      </c>
      <c r="I3520" s="11" t="s">
        <v>18</v>
      </c>
      <c r="J3520" s="72">
        <v>581904</v>
      </c>
      <c r="K3520" s="99">
        <f>_xlfn.XLOOKUP(_2__ROI_Daily_Update[[#This Row],[CSM id]],SHP!F:F,SHP!EE:EE,"-")</f>
        <v>0</v>
      </c>
    </row>
    <row r="3521" spans="1:11" x14ac:dyDescent="0.45">
      <c r="A3521" s="57">
        <v>216</v>
      </c>
      <c r="B3521" t="s">
        <v>46</v>
      </c>
      <c r="C3521" t="s">
        <v>47</v>
      </c>
      <c r="D3521" s="12">
        <v>46319</v>
      </c>
      <c r="E3521" s="11">
        <v>224</v>
      </c>
      <c r="F3521" s="11" t="s">
        <v>6952</v>
      </c>
      <c r="G3521">
        <v>20190401</v>
      </c>
      <c r="I3521" s="11" t="s">
        <v>18</v>
      </c>
      <c r="J3521" s="72">
        <v>70430520</v>
      </c>
      <c r="K3521" s="99">
        <f>_xlfn.XLOOKUP(_2__ROI_Daily_Update[[#This Row],[CSM id]],SHP!F:F,SHP!EE:EE,"-")</f>
        <v>0</v>
      </c>
    </row>
    <row r="3522" spans="1:11" x14ac:dyDescent="0.45">
      <c r="A3522" s="57">
        <v>922</v>
      </c>
      <c r="B3522" t="s">
        <v>710</v>
      </c>
      <c r="C3522" t="s">
        <v>711</v>
      </c>
      <c r="D3522" s="12">
        <v>46319</v>
      </c>
      <c r="E3522" s="11">
        <v>44</v>
      </c>
      <c r="F3522" s="11" t="s">
        <v>6952</v>
      </c>
      <c r="G3522">
        <v>20231001</v>
      </c>
      <c r="I3522" s="11" t="s">
        <v>32</v>
      </c>
      <c r="J3522" s="72">
        <v>20550176</v>
      </c>
      <c r="K3522" s="99">
        <f>_xlfn.XLOOKUP(_2__ROI_Daily_Update[[#This Row],[CSM id]],SHP!F:F,SHP!EE:EE,"-")</f>
        <v>0</v>
      </c>
    </row>
    <row r="3523" spans="1:11" x14ac:dyDescent="0.45">
      <c r="A3523" s="57">
        <v>612</v>
      </c>
      <c r="B3523" t="s">
        <v>483</v>
      </c>
      <c r="C3523" t="s">
        <v>484</v>
      </c>
      <c r="D3523" s="12">
        <v>46319</v>
      </c>
      <c r="E3523" s="11">
        <v>66</v>
      </c>
      <c r="F3523" s="11" t="s">
        <v>6952</v>
      </c>
      <c r="G3523">
        <v>20150101</v>
      </c>
      <c r="I3523" s="11" t="s">
        <v>18</v>
      </c>
      <c r="J3523" s="72">
        <v>50243968</v>
      </c>
      <c r="K3523" s="99">
        <f>_xlfn.XLOOKUP(_2__ROI_Daily_Update[[#This Row],[CSM id]],SHP!F:F,SHP!EE:EE,"-")</f>
        <v>0</v>
      </c>
    </row>
    <row r="3524" spans="1:11" x14ac:dyDescent="0.45">
      <c r="A3524" s="57">
        <v>1233</v>
      </c>
      <c r="B3524" t="s">
        <v>1982</v>
      </c>
      <c r="C3524" t="s">
        <v>1983</v>
      </c>
      <c r="D3524" s="12">
        <v>46319</v>
      </c>
      <c r="E3524" s="11">
        <v>96</v>
      </c>
      <c r="F3524" s="11" t="s">
        <v>6952</v>
      </c>
      <c r="G3524">
        <v>20230701</v>
      </c>
      <c r="I3524" s="11" t="s">
        <v>18</v>
      </c>
      <c r="J3524" s="72">
        <v>560204</v>
      </c>
      <c r="K3524" s="99">
        <f>_xlfn.XLOOKUP(_2__ROI_Daily_Update[[#This Row],[CSM id]],SHP!F:F,SHP!EE:EE,"-")</f>
        <v>0</v>
      </c>
    </row>
    <row r="3525" spans="1:11" x14ac:dyDescent="0.45">
      <c r="A3525" s="57">
        <v>922</v>
      </c>
      <c r="B3525" t="s">
        <v>712</v>
      </c>
      <c r="C3525" t="s">
        <v>713</v>
      </c>
      <c r="D3525" s="12">
        <v>46319</v>
      </c>
      <c r="E3525" s="11">
        <v>420</v>
      </c>
      <c r="F3525" s="11" t="s">
        <v>6952</v>
      </c>
      <c r="G3525">
        <v>20260101</v>
      </c>
      <c r="I3525" s="11" t="s">
        <v>18</v>
      </c>
      <c r="J3525" s="72">
        <v>20604117</v>
      </c>
      <c r="K3525" s="99">
        <f>_xlfn.XLOOKUP(_2__ROI_Daily_Update[[#This Row],[CSM id]],SHP!F:F,SHP!EE:EE,"-")</f>
        <v>0</v>
      </c>
    </row>
    <row r="3526" spans="1:11" x14ac:dyDescent="0.45">
      <c r="A3526" s="57">
        <v>623</v>
      </c>
      <c r="B3526" t="s">
        <v>5931</v>
      </c>
      <c r="C3526" t="s">
        <v>5932</v>
      </c>
      <c r="D3526" s="12">
        <v>46319</v>
      </c>
      <c r="E3526" s="11">
        <v>108</v>
      </c>
      <c r="F3526" s="11" t="s">
        <v>6952</v>
      </c>
      <c r="G3526">
        <v>20260701</v>
      </c>
      <c r="I3526" s="11" t="s">
        <v>18</v>
      </c>
      <c r="J3526" s="72">
        <v>30382371</v>
      </c>
      <c r="K3526" s="99">
        <f>_xlfn.XLOOKUP(_2__ROI_Daily_Update[[#This Row],[CSM id]],SHP!F:F,SHP!EE:EE,"-")</f>
        <v>0</v>
      </c>
    </row>
    <row r="3527" spans="1:11" x14ac:dyDescent="0.45">
      <c r="A3527" s="57">
        <v>981</v>
      </c>
      <c r="B3527" t="s">
        <v>5174</v>
      </c>
      <c r="C3527" t="s">
        <v>5175</v>
      </c>
      <c r="D3527" s="12">
        <v>46319</v>
      </c>
      <c r="E3527" s="11">
        <v>24</v>
      </c>
      <c r="F3527" s="11" t="s">
        <v>6952</v>
      </c>
      <c r="G3527">
        <v>20241001</v>
      </c>
      <c r="I3527" s="11" t="s">
        <v>18</v>
      </c>
      <c r="J3527" s="72">
        <v>10581989</v>
      </c>
      <c r="K3527" s="99">
        <f>_xlfn.XLOOKUP(_2__ROI_Daily_Update[[#This Row],[CSM id]],SHP!F:F,SHP!EE:EE,"-")</f>
        <v>0</v>
      </c>
    </row>
    <row r="3528" spans="1:11" x14ac:dyDescent="0.45">
      <c r="A3528" s="57">
        <v>1122</v>
      </c>
      <c r="B3528" t="s">
        <v>1621</v>
      </c>
      <c r="C3528" t="s">
        <v>1622</v>
      </c>
      <c r="D3528" s="12">
        <v>46319</v>
      </c>
      <c r="E3528" s="11">
        <v>96</v>
      </c>
      <c r="F3528" s="11" t="s">
        <v>6952</v>
      </c>
      <c r="G3528">
        <v>20250101</v>
      </c>
      <c r="H3528" s="12">
        <v>46478</v>
      </c>
      <c r="I3528" s="11" t="s">
        <v>32</v>
      </c>
      <c r="J3528" s="72">
        <v>60596196</v>
      </c>
      <c r="K3528" s="99">
        <f>_xlfn.XLOOKUP(_2__ROI_Daily_Update[[#This Row],[CSM id]],SHP!F:F,SHP!EE:EE,"-")</f>
        <v>0</v>
      </c>
    </row>
    <row r="3529" spans="1:11" x14ac:dyDescent="0.45">
      <c r="A3529" s="57">
        <v>821</v>
      </c>
      <c r="B3529" t="s">
        <v>645</v>
      </c>
      <c r="C3529" t="s">
        <v>646</v>
      </c>
      <c r="D3529" s="12">
        <v>46319</v>
      </c>
      <c r="E3529" s="11">
        <v>14</v>
      </c>
      <c r="F3529" s="11" t="s">
        <v>6952</v>
      </c>
      <c r="G3529">
        <v>20200401</v>
      </c>
      <c r="I3529" s="11" t="s">
        <v>18</v>
      </c>
      <c r="J3529" s="72">
        <v>80457236</v>
      </c>
      <c r="K3529" s="99">
        <f>_xlfn.XLOOKUP(_2__ROI_Daily_Update[[#This Row],[CSM id]],SHP!F:F,SHP!EE:EE,"-")</f>
        <v>0</v>
      </c>
    </row>
    <row r="3530" spans="1:11" x14ac:dyDescent="0.45">
      <c r="A3530" s="57">
        <v>623</v>
      </c>
      <c r="B3530" t="s">
        <v>6043</v>
      </c>
      <c r="C3530" t="s">
        <v>6044</v>
      </c>
      <c r="D3530" s="12">
        <v>46319</v>
      </c>
      <c r="E3530" s="11">
        <v>126</v>
      </c>
      <c r="F3530" s="11" t="s">
        <v>6952</v>
      </c>
      <c r="G3530">
        <v>20140801</v>
      </c>
      <c r="I3530" s="11" t="s">
        <v>18</v>
      </c>
      <c r="J3530" s="72">
        <v>10197261</v>
      </c>
      <c r="K3530" s="99">
        <f>_xlfn.XLOOKUP(_2__ROI_Daily_Update[[#This Row],[CSM id]],SHP!F:F,SHP!EE:EE,"-")</f>
        <v>0</v>
      </c>
    </row>
    <row r="3531" spans="1:11" x14ac:dyDescent="0.45">
      <c r="A3531" s="57">
        <v>217</v>
      </c>
      <c r="B3531" t="s">
        <v>5622</v>
      </c>
      <c r="C3531" t="s">
        <v>5623</v>
      </c>
      <c r="D3531" s="12">
        <v>46319</v>
      </c>
      <c r="E3531" s="11">
        <v>32</v>
      </c>
      <c r="F3531" s="11" t="s">
        <v>6952</v>
      </c>
      <c r="G3531">
        <v>20210701</v>
      </c>
      <c r="I3531" s="11" t="s">
        <v>18</v>
      </c>
      <c r="J3531" s="72">
        <v>70483882</v>
      </c>
      <c r="K3531" s="99">
        <f>_xlfn.XLOOKUP(_2__ROI_Daily_Update[[#This Row],[CSM id]],SHP!F:F,SHP!EE:EE,"-")</f>
        <v>0</v>
      </c>
    </row>
    <row r="3532" spans="1:11" x14ac:dyDescent="0.45">
      <c r="A3532" s="57">
        <v>1832</v>
      </c>
      <c r="B3532" t="s">
        <v>3614</v>
      </c>
      <c r="C3532" t="s">
        <v>3615</v>
      </c>
      <c r="D3532" s="12">
        <v>46319</v>
      </c>
      <c r="E3532" s="11">
        <v>908</v>
      </c>
      <c r="F3532" s="11" t="s">
        <v>6952</v>
      </c>
      <c r="G3532">
        <v>20171001</v>
      </c>
      <c r="I3532" s="11" t="s">
        <v>18</v>
      </c>
      <c r="J3532" s="72">
        <v>40317078</v>
      </c>
      <c r="K3532" s="99">
        <f>_xlfn.XLOOKUP(_2__ROI_Daily_Update[[#This Row],[CSM id]],SHP!F:F,SHP!EE:EE,"-")</f>
        <v>0</v>
      </c>
    </row>
    <row r="3533" spans="1:11" x14ac:dyDescent="0.45">
      <c r="A3533" s="57">
        <v>371</v>
      </c>
      <c r="B3533" t="s">
        <v>433</v>
      </c>
      <c r="C3533" t="s">
        <v>434</v>
      </c>
      <c r="D3533" s="12">
        <v>46319</v>
      </c>
      <c r="E3533" s="11">
        <v>18</v>
      </c>
      <c r="F3533" s="11" t="s">
        <v>5650</v>
      </c>
      <c r="G3533">
        <v>20260701</v>
      </c>
      <c r="I3533" s="11" t="s">
        <v>32</v>
      </c>
      <c r="J3533" s="72">
        <v>60629286</v>
      </c>
      <c r="K3533" s="99">
        <f>_xlfn.XLOOKUP(_2__ROI_Daily_Update[[#This Row],[CSM id]],SHP!F:F,SHP!EE:EE,"-")</f>
        <v>0</v>
      </c>
    </row>
    <row r="3534" spans="1:11" x14ac:dyDescent="0.45">
      <c r="A3534" s="57">
        <v>371</v>
      </c>
      <c r="B3534" t="s">
        <v>433</v>
      </c>
      <c r="C3534" t="s">
        <v>434</v>
      </c>
      <c r="D3534" s="12">
        <v>46319</v>
      </c>
      <c r="E3534" s="11">
        <v>30</v>
      </c>
      <c r="F3534" s="11" t="s">
        <v>6061</v>
      </c>
      <c r="G3534">
        <v>20260701</v>
      </c>
      <c r="I3534" s="11" t="s">
        <v>32</v>
      </c>
      <c r="J3534" s="72">
        <v>60629286</v>
      </c>
      <c r="K3534" s="99">
        <f>_xlfn.XLOOKUP(_2__ROI_Daily_Update[[#This Row],[CSM id]],SHP!F:F,SHP!EE:EE,"-")</f>
        <v>0</v>
      </c>
    </row>
    <row r="3535" spans="1:11" x14ac:dyDescent="0.45">
      <c r="A3535" s="57">
        <v>623</v>
      </c>
      <c r="B3535" t="s">
        <v>386</v>
      </c>
      <c r="C3535" t="s">
        <v>387</v>
      </c>
      <c r="D3535" s="12">
        <v>46319</v>
      </c>
      <c r="E3535" s="11">
        <v>36</v>
      </c>
      <c r="F3535" s="11" t="s">
        <v>6952</v>
      </c>
      <c r="G3535">
        <v>20190801</v>
      </c>
      <c r="I3535" s="11" t="s">
        <v>18</v>
      </c>
      <c r="J3535" s="72">
        <v>40433365</v>
      </c>
      <c r="K3535" s="99">
        <f>_xlfn.XLOOKUP(_2__ROI_Daily_Update[[#This Row],[CSM id]],SHP!F:F,SHP!EE:EE,"-")</f>
        <v>0</v>
      </c>
    </row>
    <row r="3536" spans="1:11" x14ac:dyDescent="0.45">
      <c r="A3536" s="57">
        <v>215</v>
      </c>
      <c r="B3536" t="s">
        <v>273</v>
      </c>
      <c r="C3536" t="s">
        <v>274</v>
      </c>
      <c r="D3536" s="12">
        <v>46319</v>
      </c>
      <c r="E3536" s="11">
        <v>28</v>
      </c>
      <c r="F3536" s="11" t="s">
        <v>5778</v>
      </c>
      <c r="G3536">
        <v>20170401</v>
      </c>
      <c r="I3536" s="11" t="s">
        <v>32</v>
      </c>
      <c r="J3536" s="72">
        <v>40351883</v>
      </c>
      <c r="K3536" s="99">
        <f>_xlfn.XLOOKUP(_2__ROI_Daily_Update[[#This Row],[CSM id]],SHP!F:F,SHP!EE:EE,"-")</f>
        <v>0</v>
      </c>
    </row>
    <row r="3537" spans="1:11" x14ac:dyDescent="0.45">
      <c r="A3537" s="57">
        <v>424</v>
      </c>
      <c r="B3537" t="s">
        <v>5999</v>
      </c>
      <c r="C3537" t="s">
        <v>6000</v>
      </c>
      <c r="D3537" s="12">
        <v>46319</v>
      </c>
      <c r="E3537" s="11">
        <v>52</v>
      </c>
      <c r="F3537" s="11" t="s">
        <v>6952</v>
      </c>
      <c r="G3537">
        <v>20190801</v>
      </c>
      <c r="I3537" s="11" t="s">
        <v>18</v>
      </c>
      <c r="J3537" s="72">
        <v>80431307</v>
      </c>
      <c r="K3537" s="99">
        <f>_xlfn.XLOOKUP(_2__ROI_Daily_Update[[#This Row],[CSM id]],SHP!F:F,SHP!EE:EE,"-")</f>
        <v>0</v>
      </c>
    </row>
    <row r="3538" spans="1:11" x14ac:dyDescent="0.45">
      <c r="A3538" s="57">
        <v>217</v>
      </c>
      <c r="B3538" t="s">
        <v>5993</v>
      </c>
      <c r="C3538" t="s">
        <v>5994</v>
      </c>
      <c r="D3538" s="12">
        <v>46319</v>
      </c>
      <c r="E3538" s="11">
        <v>40</v>
      </c>
      <c r="F3538" s="11" t="s">
        <v>6952</v>
      </c>
      <c r="G3538">
        <v>20160801</v>
      </c>
      <c r="H3538" s="12">
        <v>46569</v>
      </c>
      <c r="I3538" s="11" t="s">
        <v>18</v>
      </c>
      <c r="J3538" s="72">
        <v>80328678</v>
      </c>
      <c r="K3538" s="99">
        <f>_xlfn.XLOOKUP(_2__ROI_Daily_Update[[#This Row],[CSM id]],SHP!F:F,SHP!EE:EE,"-")</f>
        <v>0</v>
      </c>
    </row>
    <row r="3539" spans="1:11" x14ac:dyDescent="0.45">
      <c r="A3539" s="57">
        <v>922</v>
      </c>
      <c r="B3539" t="s">
        <v>716</v>
      </c>
      <c r="C3539" t="s">
        <v>717</v>
      </c>
      <c r="D3539" s="12">
        <v>46319</v>
      </c>
      <c r="E3539" s="11">
        <v>192</v>
      </c>
      <c r="F3539" s="11" t="s">
        <v>6952</v>
      </c>
      <c r="G3539">
        <v>20190201</v>
      </c>
      <c r="I3539" s="11" t="s">
        <v>18</v>
      </c>
      <c r="J3539" s="72">
        <v>30421339</v>
      </c>
      <c r="K3539" s="99">
        <f>_xlfn.XLOOKUP(_2__ROI_Daily_Update[[#This Row],[CSM id]],SHP!F:F,SHP!EE:EE,"-")</f>
        <v>0</v>
      </c>
    </row>
    <row r="3540" spans="1:11" x14ac:dyDescent="0.45">
      <c r="A3540" s="57">
        <v>1882</v>
      </c>
      <c r="B3540" t="s">
        <v>3745</v>
      </c>
      <c r="C3540" t="s">
        <v>3746</v>
      </c>
      <c r="D3540" s="12">
        <v>46319</v>
      </c>
      <c r="E3540" s="11">
        <v>1536</v>
      </c>
      <c r="F3540" s="11" t="s">
        <v>6952</v>
      </c>
      <c r="G3540">
        <v>20190201</v>
      </c>
      <c r="I3540" s="11" t="s">
        <v>18</v>
      </c>
      <c r="J3540" s="72">
        <v>70425627</v>
      </c>
      <c r="K3540" s="99">
        <f>_xlfn.XLOOKUP(_2__ROI_Daily_Update[[#This Row],[CSM id]],SHP!F:F,SHP!EE:EE,"-")</f>
        <v>0</v>
      </c>
    </row>
    <row r="3541" spans="1:11" x14ac:dyDescent="0.45">
      <c r="A3541" s="57">
        <v>821</v>
      </c>
      <c r="B3541" t="s">
        <v>625</v>
      </c>
      <c r="C3541" t="s">
        <v>626</v>
      </c>
      <c r="D3541" s="12">
        <v>46319</v>
      </c>
      <c r="E3541" s="11">
        <v>64</v>
      </c>
      <c r="F3541" s="11" t="s">
        <v>6952</v>
      </c>
      <c r="G3541">
        <v>20260101</v>
      </c>
      <c r="I3541" s="11" t="s">
        <v>18</v>
      </c>
      <c r="J3541" s="72">
        <v>20611815</v>
      </c>
      <c r="K3541" s="99">
        <f>_xlfn.XLOOKUP(_2__ROI_Daily_Update[[#This Row],[CSM id]],SHP!F:F,SHP!EE:EE,"-")</f>
        <v>0</v>
      </c>
    </row>
    <row r="3542" spans="1:11" x14ac:dyDescent="0.45">
      <c r="A3542" s="57">
        <v>623</v>
      </c>
      <c r="B3542" t="s">
        <v>5366</v>
      </c>
      <c r="C3542" t="s">
        <v>5367</v>
      </c>
      <c r="D3542" s="12">
        <v>46319</v>
      </c>
      <c r="E3542" s="11">
        <v>36</v>
      </c>
      <c r="F3542" s="11" t="s">
        <v>6952</v>
      </c>
      <c r="G3542">
        <v>20260401</v>
      </c>
      <c r="I3542" s="11" t="s">
        <v>18</v>
      </c>
      <c r="J3542" s="72">
        <v>60621431</v>
      </c>
      <c r="K3542" s="99">
        <f>_xlfn.XLOOKUP(_2__ROI_Daily_Update[[#This Row],[CSM id]],SHP!F:F,SHP!EE:EE,"-")</f>
        <v>0</v>
      </c>
    </row>
    <row r="3543" spans="1:11" x14ac:dyDescent="0.45">
      <c r="A3543" s="57">
        <v>981</v>
      </c>
      <c r="B3543" t="s">
        <v>943</v>
      </c>
      <c r="C3543" t="s">
        <v>944</v>
      </c>
      <c r="D3543" s="12">
        <v>46319</v>
      </c>
      <c r="E3543" s="11">
        <v>42</v>
      </c>
      <c r="F3543" s="11" t="s">
        <v>6952</v>
      </c>
      <c r="G3543">
        <v>20140801</v>
      </c>
      <c r="I3543" s="11" t="s">
        <v>18</v>
      </c>
      <c r="J3543" s="72">
        <v>30176644</v>
      </c>
      <c r="K3543" s="99">
        <f>_xlfn.XLOOKUP(_2__ROI_Daily_Update[[#This Row],[CSM id]],SHP!F:F,SHP!EE:EE,"-")</f>
        <v>0</v>
      </c>
    </row>
    <row r="3544" spans="1:11" x14ac:dyDescent="0.45">
      <c r="A3544" s="57">
        <v>966</v>
      </c>
      <c r="B3544" t="s">
        <v>5961</v>
      </c>
      <c r="C3544" t="s">
        <v>5962</v>
      </c>
      <c r="D3544" s="12">
        <v>46319</v>
      </c>
      <c r="E3544" s="11">
        <v>88</v>
      </c>
      <c r="F3544" s="11" t="s">
        <v>6952</v>
      </c>
      <c r="G3544">
        <v>20251001</v>
      </c>
      <c r="I3544" s="11" t="s">
        <v>18</v>
      </c>
      <c r="J3544" s="72">
        <v>80615090</v>
      </c>
      <c r="K3544" s="99">
        <f>_xlfn.XLOOKUP(_2__ROI_Daily_Update[[#This Row],[CSM id]],SHP!F:F,SHP!EE:EE,"-")</f>
        <v>0</v>
      </c>
    </row>
    <row r="3545" spans="1:11" x14ac:dyDescent="0.45">
      <c r="A3545" s="57">
        <v>352</v>
      </c>
      <c r="B3545" t="s">
        <v>396</v>
      </c>
      <c r="C3545" t="s">
        <v>397</v>
      </c>
      <c r="D3545" s="12">
        <v>46319</v>
      </c>
      <c r="E3545" s="11">
        <v>10</v>
      </c>
      <c r="F3545" s="11" t="s">
        <v>6061</v>
      </c>
      <c r="G3545">
        <v>20210701</v>
      </c>
      <c r="I3545" s="11" t="s">
        <v>32</v>
      </c>
      <c r="J3545" s="72">
        <v>50492203</v>
      </c>
      <c r="K3545" s="99">
        <f>_xlfn.XLOOKUP(_2__ROI_Daily_Update[[#This Row],[CSM id]],SHP!F:F,SHP!EE:EE,"-")</f>
        <v>0</v>
      </c>
    </row>
    <row r="3546" spans="1:11" x14ac:dyDescent="0.45">
      <c r="A3546" s="57">
        <v>1852</v>
      </c>
      <c r="B3546" t="s">
        <v>6037</v>
      </c>
      <c r="C3546" t="s">
        <v>6038</v>
      </c>
      <c r="D3546" s="12">
        <v>46319</v>
      </c>
      <c r="E3546" s="11">
        <v>378</v>
      </c>
      <c r="F3546" s="11" t="s">
        <v>6952</v>
      </c>
      <c r="G3546">
        <v>20260401</v>
      </c>
      <c r="I3546" s="11" t="s">
        <v>18</v>
      </c>
      <c r="J3546" s="72">
        <v>612774</v>
      </c>
      <c r="K3546" s="99">
        <f>_xlfn.XLOOKUP(_2__ROI_Daily_Update[[#This Row],[CSM id]],SHP!F:F,SHP!EE:EE,"-")</f>
        <v>0</v>
      </c>
    </row>
    <row r="3547" spans="1:11" x14ac:dyDescent="0.45">
      <c r="A3547" s="57">
        <v>435</v>
      </c>
      <c r="B3547" t="s">
        <v>477</v>
      </c>
      <c r="C3547" t="s">
        <v>478</v>
      </c>
      <c r="D3547" s="12">
        <v>46319</v>
      </c>
      <c r="E3547" s="11">
        <v>44</v>
      </c>
      <c r="F3547" s="11" t="s">
        <v>6952</v>
      </c>
      <c r="G3547">
        <v>20250101</v>
      </c>
      <c r="I3547" s="11" t="s">
        <v>18</v>
      </c>
      <c r="J3547" s="72">
        <v>70585885</v>
      </c>
      <c r="K3547" s="99">
        <f>_xlfn.XLOOKUP(_2__ROI_Daily_Update[[#This Row],[CSM id]],SHP!F:F,SHP!EE:EE,"-")</f>
        <v>0</v>
      </c>
    </row>
    <row r="3548" spans="1:11" x14ac:dyDescent="0.45">
      <c r="A3548" s="57">
        <v>1811</v>
      </c>
      <c r="B3548" t="s">
        <v>3327</v>
      </c>
      <c r="C3548" t="s">
        <v>3328</v>
      </c>
      <c r="D3548" s="12">
        <v>46319</v>
      </c>
      <c r="E3548" s="11">
        <v>378</v>
      </c>
      <c r="F3548" s="11" t="s">
        <v>6952</v>
      </c>
      <c r="G3548">
        <v>20240401</v>
      </c>
      <c r="I3548" s="11" t="s">
        <v>18</v>
      </c>
      <c r="J3548" s="72">
        <v>20546472</v>
      </c>
      <c r="K3548" s="99">
        <f>_xlfn.XLOOKUP(_2__ROI_Daily_Update[[#This Row],[CSM id]],SHP!F:F,SHP!EE:EE,"-")</f>
        <v>0</v>
      </c>
    </row>
    <row r="3549" spans="1:11" x14ac:dyDescent="0.45">
      <c r="A3549" s="57">
        <v>1831</v>
      </c>
      <c r="B3549" t="s">
        <v>6029</v>
      </c>
      <c r="C3549" t="s">
        <v>6030</v>
      </c>
      <c r="D3549" s="12">
        <v>46319</v>
      </c>
      <c r="E3549" s="11">
        <v>80</v>
      </c>
      <c r="F3549" s="11" t="s">
        <v>6952</v>
      </c>
      <c r="G3549">
        <v>20220101</v>
      </c>
      <c r="I3549" s="11" t="s">
        <v>18</v>
      </c>
      <c r="J3549" s="72">
        <v>30503924</v>
      </c>
      <c r="K3549" s="99">
        <f>_xlfn.XLOOKUP(_2__ROI_Daily_Update[[#This Row],[CSM id]],SHP!F:F,SHP!EE:EE,"-")</f>
        <v>0</v>
      </c>
    </row>
    <row r="3550" spans="1:11" x14ac:dyDescent="0.45">
      <c r="A3550" s="57">
        <v>352</v>
      </c>
      <c r="B3550" t="s">
        <v>396</v>
      </c>
      <c r="C3550" t="s">
        <v>397</v>
      </c>
      <c r="D3550" s="12">
        <v>46319</v>
      </c>
      <c r="E3550" s="11">
        <v>10</v>
      </c>
      <c r="F3550" s="11" t="s">
        <v>5650</v>
      </c>
      <c r="G3550">
        <v>20210701</v>
      </c>
      <c r="I3550" s="11" t="s">
        <v>32</v>
      </c>
      <c r="J3550" s="72">
        <v>50492203</v>
      </c>
      <c r="K3550" s="99">
        <f>_xlfn.XLOOKUP(_2__ROI_Daily_Update[[#This Row],[CSM id]],SHP!F:F,SHP!EE:EE,"-")</f>
        <v>0</v>
      </c>
    </row>
    <row r="3551" spans="1:11" x14ac:dyDescent="0.45">
      <c r="A3551" s="57">
        <v>511</v>
      </c>
      <c r="B3551" t="s">
        <v>410</v>
      </c>
      <c r="C3551" t="s">
        <v>411</v>
      </c>
      <c r="D3551" s="12">
        <v>46319</v>
      </c>
      <c r="E3551" s="11">
        <v>12</v>
      </c>
      <c r="F3551" s="11" t="s">
        <v>6952</v>
      </c>
      <c r="G3551">
        <v>20231001</v>
      </c>
      <c r="I3551" s="11" t="s">
        <v>32</v>
      </c>
      <c r="J3551" s="72">
        <v>70568635</v>
      </c>
      <c r="K3551" s="99">
        <f>_xlfn.XLOOKUP(_2__ROI_Daily_Update[[#This Row],[CSM id]],SHP!F:F,SHP!EE:EE,"-")</f>
        <v>0</v>
      </c>
    </row>
    <row r="3552" spans="1:11" x14ac:dyDescent="0.45">
      <c r="A3552" s="57">
        <v>343</v>
      </c>
      <c r="B3552" t="s">
        <v>339</v>
      </c>
      <c r="C3552" t="s">
        <v>340</v>
      </c>
      <c r="D3552" s="12">
        <v>46319</v>
      </c>
      <c r="E3552" s="11">
        <v>12</v>
      </c>
      <c r="F3552" s="11" t="s">
        <v>5447</v>
      </c>
      <c r="G3552">
        <v>20170601</v>
      </c>
      <c r="H3552" s="12">
        <v>46478</v>
      </c>
      <c r="I3552" s="11" t="s">
        <v>32</v>
      </c>
      <c r="J3552" s="72">
        <v>40354283</v>
      </c>
      <c r="K3552" s="99">
        <f>_xlfn.XLOOKUP(_2__ROI_Daily_Update[[#This Row],[CSM id]],SHP!F:F,SHP!EE:EE,"-")</f>
        <v>0</v>
      </c>
    </row>
    <row r="3553" spans="1:11" x14ac:dyDescent="0.45">
      <c r="A3553" s="57">
        <v>1122</v>
      </c>
      <c r="B3553" t="s">
        <v>1601</v>
      </c>
      <c r="C3553" t="s">
        <v>1602</v>
      </c>
      <c r="D3553" s="12">
        <v>46319</v>
      </c>
      <c r="E3553" s="11">
        <v>48</v>
      </c>
      <c r="F3553" s="11" t="s">
        <v>6952</v>
      </c>
      <c r="G3553">
        <v>20200401</v>
      </c>
      <c r="I3553" s="11" t="s">
        <v>18</v>
      </c>
      <c r="J3553" s="72">
        <v>10460591</v>
      </c>
      <c r="K3553" s="99">
        <f>_xlfn.XLOOKUP(_2__ROI_Daily_Update[[#This Row],[CSM id]],SHP!F:F,SHP!EE:EE,"-")</f>
        <v>0</v>
      </c>
    </row>
    <row r="3554" spans="1:11" x14ac:dyDescent="0.45">
      <c r="A3554" s="57">
        <v>981</v>
      </c>
      <c r="B3554" t="s">
        <v>5188</v>
      </c>
      <c r="C3554" t="s">
        <v>5189</v>
      </c>
      <c r="D3554" s="12">
        <v>46319</v>
      </c>
      <c r="E3554" s="11">
        <v>26</v>
      </c>
      <c r="F3554" s="11" t="s">
        <v>6952</v>
      </c>
      <c r="G3554">
        <v>20241001</v>
      </c>
      <c r="I3554" s="11" t="s">
        <v>18</v>
      </c>
      <c r="J3554" s="72">
        <v>30581993</v>
      </c>
      <c r="K3554" s="99">
        <f>_xlfn.XLOOKUP(_2__ROI_Daily_Update[[#This Row],[CSM id]],SHP!F:F,SHP!EE:EE,"-")</f>
        <v>0</v>
      </c>
    </row>
    <row r="3555" spans="1:11" x14ac:dyDescent="0.45">
      <c r="A3555" s="57">
        <v>612</v>
      </c>
      <c r="B3555" t="s">
        <v>498</v>
      </c>
      <c r="C3555" t="s">
        <v>499</v>
      </c>
      <c r="D3555" s="12">
        <v>46319</v>
      </c>
      <c r="E3555" s="11">
        <v>56</v>
      </c>
      <c r="F3555" s="11" t="s">
        <v>6952</v>
      </c>
      <c r="G3555">
        <v>20250701</v>
      </c>
      <c r="I3555" s="11" t="s">
        <v>18</v>
      </c>
      <c r="J3555" s="72">
        <v>30613908</v>
      </c>
      <c r="K3555" s="99">
        <f>_xlfn.XLOOKUP(_2__ROI_Daily_Update[[#This Row],[CSM id]],SHP!F:F,SHP!EE:EE,"-")</f>
        <v>0</v>
      </c>
    </row>
    <row r="3556" spans="1:11" x14ac:dyDescent="0.45">
      <c r="A3556" s="57">
        <v>1641</v>
      </c>
      <c r="B3556" t="s">
        <v>6033</v>
      </c>
      <c r="C3556" t="s">
        <v>6034</v>
      </c>
      <c r="D3556" s="12">
        <v>46319</v>
      </c>
      <c r="E3556" s="11">
        <v>40</v>
      </c>
      <c r="F3556" s="11" t="s">
        <v>6952</v>
      </c>
      <c r="G3556">
        <v>20240401</v>
      </c>
      <c r="I3556" s="11" t="s">
        <v>18</v>
      </c>
      <c r="J3556" s="72">
        <v>20550096</v>
      </c>
      <c r="K3556" s="99">
        <f>_xlfn.XLOOKUP(_2__ROI_Daily_Update[[#This Row],[CSM id]],SHP!F:F,SHP!EE:EE,"-")</f>
        <v>0</v>
      </c>
    </row>
    <row r="3557" spans="1:11" x14ac:dyDescent="0.45">
      <c r="A3557" s="57">
        <v>131</v>
      </c>
      <c r="B3557" t="s">
        <v>151</v>
      </c>
      <c r="C3557" t="s">
        <v>152</v>
      </c>
      <c r="D3557" s="12">
        <v>46319</v>
      </c>
      <c r="E3557" s="11">
        <v>30</v>
      </c>
      <c r="F3557" s="11" t="s">
        <v>5779</v>
      </c>
      <c r="G3557">
        <v>20231001</v>
      </c>
      <c r="I3557" s="11" t="s">
        <v>32</v>
      </c>
      <c r="J3557" s="72">
        <v>541423</v>
      </c>
      <c r="K3557" s="99">
        <f>_xlfn.XLOOKUP(_2__ROI_Daily_Update[[#This Row],[CSM id]],SHP!F:F,SHP!EE:EE,"-")</f>
        <v>0</v>
      </c>
    </row>
    <row r="3558" spans="1:11" x14ac:dyDescent="0.45">
      <c r="A3558" s="57">
        <v>1833</v>
      </c>
      <c r="B3558" t="s">
        <v>3626</v>
      </c>
      <c r="C3558" t="s">
        <v>3627</v>
      </c>
      <c r="D3558" s="12">
        <v>46319</v>
      </c>
      <c r="E3558" s="11">
        <v>96</v>
      </c>
      <c r="F3558" s="11" t="s">
        <v>6952</v>
      </c>
      <c r="G3558">
        <v>20140801</v>
      </c>
      <c r="I3558" s="11" t="s">
        <v>18</v>
      </c>
      <c r="J3558" s="72">
        <v>242891</v>
      </c>
      <c r="K3558" s="99">
        <f>_xlfn.XLOOKUP(_2__ROI_Daily_Update[[#This Row],[CSM id]],SHP!F:F,SHP!EE:EE,"-")</f>
        <v>0</v>
      </c>
    </row>
    <row r="3559" spans="1:11" x14ac:dyDescent="0.45">
      <c r="A3559" s="57">
        <v>241</v>
      </c>
      <c r="B3559" t="s">
        <v>335</v>
      </c>
      <c r="C3559" t="s">
        <v>336</v>
      </c>
      <c r="D3559" s="12">
        <v>46319</v>
      </c>
      <c r="E3559" s="11">
        <v>27</v>
      </c>
      <c r="F3559" s="11" t="s">
        <v>6952</v>
      </c>
      <c r="G3559">
        <v>20140801</v>
      </c>
      <c r="I3559" s="11" t="s">
        <v>18</v>
      </c>
      <c r="J3559" s="72">
        <v>167207</v>
      </c>
      <c r="K3559" s="99">
        <f>_xlfn.XLOOKUP(_2__ROI_Daily_Update[[#This Row],[CSM id]],SHP!F:F,SHP!EE:EE,"-")</f>
        <v>0</v>
      </c>
    </row>
    <row r="3560" spans="1:11" x14ac:dyDescent="0.45">
      <c r="A3560" s="57">
        <v>921</v>
      </c>
      <c r="B3560" t="s">
        <v>696</v>
      </c>
      <c r="C3560" t="s">
        <v>697</v>
      </c>
      <c r="D3560" s="12">
        <v>46321</v>
      </c>
      <c r="E3560" s="11">
        <v>26</v>
      </c>
      <c r="F3560" s="11" t="s">
        <v>6755</v>
      </c>
      <c r="G3560">
        <v>20170401</v>
      </c>
      <c r="I3560" s="11" t="s">
        <v>32</v>
      </c>
      <c r="J3560" s="72">
        <v>60351434</v>
      </c>
      <c r="K3560" s="99">
        <f>_xlfn.XLOOKUP(_2__ROI_Daily_Update[[#This Row],[CSM id]],SHP!F:F,SHP!EE:EE,"-")</f>
        <v>0</v>
      </c>
    </row>
    <row r="3561" spans="1:11" x14ac:dyDescent="0.45">
      <c r="A3561" s="57">
        <v>511</v>
      </c>
      <c r="B3561" t="s">
        <v>327</v>
      </c>
      <c r="C3561" t="s">
        <v>328</v>
      </c>
      <c r="D3561" s="12">
        <v>46321</v>
      </c>
      <c r="E3561" s="11">
        <v>6</v>
      </c>
      <c r="F3561" s="11" t="s">
        <v>6559</v>
      </c>
      <c r="G3561">
        <v>20201001</v>
      </c>
      <c r="I3561" s="11" t="s">
        <v>32</v>
      </c>
      <c r="J3561" s="72">
        <v>60470050</v>
      </c>
      <c r="K3561" s="99">
        <f>_xlfn.XLOOKUP(_2__ROI_Daily_Update[[#This Row],[CSM id]],SHP!F:F,SHP!EE:EE,"-")</f>
        <v>0</v>
      </c>
    </row>
    <row r="3562" spans="1:11" x14ac:dyDescent="0.45">
      <c r="A3562" s="57">
        <v>511</v>
      </c>
      <c r="B3562" t="s">
        <v>319</v>
      </c>
      <c r="C3562" t="s">
        <v>320</v>
      </c>
      <c r="D3562" s="12">
        <v>46321</v>
      </c>
      <c r="E3562" s="11">
        <v>12</v>
      </c>
      <c r="F3562" s="11" t="s">
        <v>6559</v>
      </c>
      <c r="G3562">
        <v>20220401</v>
      </c>
      <c r="I3562" s="11" t="s">
        <v>32</v>
      </c>
      <c r="J3562" s="72">
        <v>30481639</v>
      </c>
      <c r="K3562" s="99">
        <f>_xlfn.XLOOKUP(_2__ROI_Daily_Update[[#This Row],[CSM id]],SHP!F:F,SHP!EE:EE,"-")</f>
        <v>0</v>
      </c>
    </row>
    <row r="3563" spans="1:11" x14ac:dyDescent="0.45">
      <c r="A3563" s="57">
        <v>214</v>
      </c>
      <c r="B3563" t="s">
        <v>255</v>
      </c>
      <c r="C3563" t="s">
        <v>256</v>
      </c>
      <c r="D3563" s="12">
        <v>46321</v>
      </c>
      <c r="E3563" s="11">
        <v>72</v>
      </c>
      <c r="F3563" s="11" t="s">
        <v>6755</v>
      </c>
      <c r="G3563">
        <v>20230701</v>
      </c>
      <c r="I3563" s="11" t="s">
        <v>32</v>
      </c>
      <c r="J3563" s="72">
        <v>70522044</v>
      </c>
      <c r="K3563" s="99">
        <f>_xlfn.XLOOKUP(_2__ROI_Daily_Update[[#This Row],[CSM id]],SHP!F:F,SHP!EE:EE,"-")</f>
        <v>0</v>
      </c>
    </row>
    <row r="3564" spans="1:11" x14ac:dyDescent="0.45">
      <c r="A3564" s="57">
        <v>511</v>
      </c>
      <c r="B3564" t="s">
        <v>325</v>
      </c>
      <c r="C3564" t="s">
        <v>326</v>
      </c>
      <c r="D3564" s="12">
        <v>46321</v>
      </c>
      <c r="E3564" s="11">
        <v>6</v>
      </c>
      <c r="F3564" s="11" t="s">
        <v>7507</v>
      </c>
      <c r="G3564">
        <v>20201001</v>
      </c>
      <c r="I3564" s="11" t="s">
        <v>32</v>
      </c>
      <c r="J3564" s="72">
        <v>470072</v>
      </c>
      <c r="K3564" s="99">
        <f>_xlfn.XLOOKUP(_2__ROI_Daily_Update[[#This Row],[CSM id]],SHP!F:F,SHP!EE:EE,"-")</f>
        <v>0</v>
      </c>
    </row>
    <row r="3565" spans="1:11" x14ac:dyDescent="0.45">
      <c r="A3565" s="57">
        <v>511</v>
      </c>
      <c r="B3565" t="s">
        <v>6904</v>
      </c>
      <c r="C3565" t="s">
        <v>6905</v>
      </c>
      <c r="D3565" s="12">
        <v>46321</v>
      </c>
      <c r="E3565" s="11">
        <v>6</v>
      </c>
      <c r="F3565" s="11" t="s">
        <v>7507</v>
      </c>
      <c r="G3565">
        <v>20250401</v>
      </c>
      <c r="I3565" s="11" t="s">
        <v>32</v>
      </c>
      <c r="J3565" s="72">
        <v>90569988</v>
      </c>
      <c r="K3565" s="99">
        <f>_xlfn.XLOOKUP(_2__ROI_Daily_Update[[#This Row],[CSM id]],SHP!F:F,SHP!EE:EE,"-")</f>
        <v>0</v>
      </c>
    </row>
    <row r="3566" spans="1:11" x14ac:dyDescent="0.45">
      <c r="A3566" s="57">
        <v>513</v>
      </c>
      <c r="B3566" t="s">
        <v>481</v>
      </c>
      <c r="C3566" t="s">
        <v>482</v>
      </c>
      <c r="D3566" s="12">
        <v>46321</v>
      </c>
      <c r="E3566" s="11">
        <v>15</v>
      </c>
      <c r="F3566" s="11" t="s">
        <v>6559</v>
      </c>
      <c r="G3566">
        <v>20241001</v>
      </c>
      <c r="I3566" s="11" t="s">
        <v>32</v>
      </c>
      <c r="J3566" s="72">
        <v>575192</v>
      </c>
      <c r="K3566" s="99">
        <f>_xlfn.XLOOKUP(_2__ROI_Daily_Update[[#This Row],[CSM id]],SHP!F:F,SHP!EE:EE,"-")</f>
        <v>0</v>
      </c>
    </row>
    <row r="3567" spans="1:11" x14ac:dyDescent="0.45">
      <c r="A3567" s="57">
        <v>1813</v>
      </c>
      <c r="B3567" t="s">
        <v>3438</v>
      </c>
      <c r="C3567" t="s">
        <v>3439</v>
      </c>
      <c r="D3567" s="12">
        <v>46322</v>
      </c>
      <c r="E3567" s="11">
        <v>864</v>
      </c>
      <c r="F3567" s="11" t="s">
        <v>3324</v>
      </c>
      <c r="G3567">
        <v>20260701</v>
      </c>
      <c r="I3567" s="11" t="s">
        <v>32</v>
      </c>
      <c r="J3567" s="72">
        <v>80534386</v>
      </c>
      <c r="K3567" s="99">
        <f>_xlfn.XLOOKUP(_2__ROI_Daily_Update[[#This Row],[CSM id]],SHP!F:F,SHP!EE:EE,"-")</f>
        <v>0</v>
      </c>
    </row>
    <row r="3568" spans="1:11" x14ac:dyDescent="0.45">
      <c r="A3568" s="57">
        <v>1811</v>
      </c>
      <c r="B3568" t="s">
        <v>3321</v>
      </c>
      <c r="C3568" t="s">
        <v>3322</v>
      </c>
      <c r="D3568" s="12">
        <v>46322</v>
      </c>
      <c r="E3568" s="11">
        <v>16</v>
      </c>
      <c r="F3568" s="11" t="s">
        <v>3324</v>
      </c>
      <c r="G3568">
        <v>20200801</v>
      </c>
      <c r="I3568" s="11" t="s">
        <v>32</v>
      </c>
      <c r="J3568" s="72">
        <v>20376479</v>
      </c>
      <c r="K3568" s="99">
        <f>_xlfn.XLOOKUP(_2__ROI_Daily_Update[[#This Row],[CSM id]],SHP!F:F,SHP!EE:EE,"-")</f>
        <v>0</v>
      </c>
    </row>
    <row r="3569" spans="1:11" x14ac:dyDescent="0.45">
      <c r="A3569" s="57">
        <v>1811</v>
      </c>
      <c r="B3569" t="s">
        <v>3321</v>
      </c>
      <c r="C3569" t="s">
        <v>3322</v>
      </c>
      <c r="D3569" s="12">
        <v>46322</v>
      </c>
      <c r="E3569" s="11">
        <v>64</v>
      </c>
      <c r="F3569" s="11" t="s">
        <v>3323</v>
      </c>
      <c r="G3569">
        <v>20200801</v>
      </c>
      <c r="I3569" s="11" t="s">
        <v>32</v>
      </c>
      <c r="J3569" s="72">
        <v>20376479</v>
      </c>
      <c r="K3569" s="99">
        <f>_xlfn.XLOOKUP(_2__ROI_Daily_Update[[#This Row],[CSM id]],SHP!F:F,SHP!EE:EE,"-")</f>
        <v>0</v>
      </c>
    </row>
    <row r="3570" spans="1:11" x14ac:dyDescent="0.45">
      <c r="A3570" s="57">
        <v>1852</v>
      </c>
      <c r="B3570" t="s">
        <v>3699</v>
      </c>
      <c r="C3570" t="s">
        <v>3700</v>
      </c>
      <c r="D3570" s="12">
        <v>46322</v>
      </c>
      <c r="E3570" s="11">
        <v>72</v>
      </c>
      <c r="F3570" s="11" t="s">
        <v>3323</v>
      </c>
      <c r="G3570">
        <v>20260401</v>
      </c>
      <c r="I3570" s="11" t="s">
        <v>32</v>
      </c>
      <c r="J3570" s="72">
        <v>60339932</v>
      </c>
      <c r="K3570" s="99">
        <f>_xlfn.XLOOKUP(_2__ROI_Daily_Update[[#This Row],[CSM id]],SHP!F:F,SHP!EE:EE,"-")</f>
        <v>0</v>
      </c>
    </row>
    <row r="3571" spans="1:11" x14ac:dyDescent="0.45">
      <c r="A3571" s="57">
        <v>1852</v>
      </c>
      <c r="B3571" t="s">
        <v>3691</v>
      </c>
      <c r="C3571" t="s">
        <v>3692</v>
      </c>
      <c r="D3571" s="12">
        <v>46322</v>
      </c>
      <c r="E3571" s="11">
        <v>56</v>
      </c>
      <c r="F3571" s="11" t="s">
        <v>3323</v>
      </c>
      <c r="G3571">
        <v>20260401</v>
      </c>
      <c r="I3571" s="11" t="s">
        <v>32</v>
      </c>
      <c r="J3571" s="72">
        <v>50339937</v>
      </c>
      <c r="K3571" s="99">
        <f>_xlfn.XLOOKUP(_2__ROI_Daily_Update[[#This Row],[CSM id]],SHP!F:F,SHP!EE:EE,"-")</f>
        <v>0</v>
      </c>
    </row>
    <row r="3572" spans="1:11" x14ac:dyDescent="0.45">
      <c r="A3572" s="57">
        <v>1852</v>
      </c>
      <c r="B3572" t="s">
        <v>3699</v>
      </c>
      <c r="C3572" t="s">
        <v>3700</v>
      </c>
      <c r="D3572" s="12">
        <v>46322</v>
      </c>
      <c r="E3572" s="11">
        <v>72</v>
      </c>
      <c r="F3572" s="11" t="s">
        <v>3324</v>
      </c>
      <c r="G3572">
        <v>20260401</v>
      </c>
      <c r="I3572" s="11" t="s">
        <v>32</v>
      </c>
      <c r="J3572" s="72">
        <v>60339932</v>
      </c>
      <c r="K3572" s="99">
        <f>_xlfn.XLOOKUP(_2__ROI_Daily_Update[[#This Row],[CSM id]],SHP!F:F,SHP!EE:EE,"-")</f>
        <v>0</v>
      </c>
    </row>
    <row r="3573" spans="1:11" x14ac:dyDescent="0.45">
      <c r="A3573" s="57">
        <v>1852</v>
      </c>
      <c r="B3573" t="s">
        <v>3686</v>
      </c>
      <c r="C3573" t="s">
        <v>3687</v>
      </c>
      <c r="D3573" s="12">
        <v>46322</v>
      </c>
      <c r="E3573" s="11">
        <v>72</v>
      </c>
      <c r="F3573" s="11" t="s">
        <v>3323</v>
      </c>
      <c r="G3573">
        <v>20180401</v>
      </c>
      <c r="I3573" s="11" t="s">
        <v>32</v>
      </c>
      <c r="J3573" s="72">
        <v>40339933</v>
      </c>
      <c r="K3573" s="99">
        <f>_xlfn.XLOOKUP(_2__ROI_Daily_Update[[#This Row],[CSM id]],SHP!F:F,SHP!EE:EE,"-")</f>
        <v>0</v>
      </c>
    </row>
    <row r="3574" spans="1:11" x14ac:dyDescent="0.45">
      <c r="A3574" s="57">
        <v>1852</v>
      </c>
      <c r="B3574" t="s">
        <v>3691</v>
      </c>
      <c r="C3574" t="s">
        <v>3692</v>
      </c>
      <c r="D3574" s="12">
        <v>46322</v>
      </c>
      <c r="E3574" s="11">
        <v>28</v>
      </c>
      <c r="F3574" s="11" t="s">
        <v>3324</v>
      </c>
      <c r="G3574">
        <v>20260401</v>
      </c>
      <c r="I3574" s="11" t="s">
        <v>32</v>
      </c>
      <c r="J3574" s="72">
        <v>50339937</v>
      </c>
      <c r="K3574" s="99">
        <f>_xlfn.XLOOKUP(_2__ROI_Daily_Update[[#This Row],[CSM id]],SHP!F:F,SHP!EE:EE,"-")</f>
        <v>0</v>
      </c>
    </row>
    <row r="3575" spans="1:11" x14ac:dyDescent="0.45">
      <c r="A3575" s="57">
        <v>1623</v>
      </c>
      <c r="B3575" t="s">
        <v>5644</v>
      </c>
      <c r="C3575" t="s">
        <v>5645</v>
      </c>
      <c r="D3575" s="12">
        <v>46324</v>
      </c>
      <c r="E3575" s="11">
        <v>12</v>
      </c>
      <c r="F3575" s="11" t="s">
        <v>7806</v>
      </c>
      <c r="G3575">
        <v>20260401</v>
      </c>
      <c r="I3575" s="11" t="s">
        <v>18</v>
      </c>
      <c r="J3575" s="72">
        <v>90600875</v>
      </c>
      <c r="K3575" s="99">
        <f>_xlfn.XLOOKUP(_2__ROI_Daily_Update[[#This Row],[CSM id]],SHP!F:F,SHP!EE:EE,"-")</f>
        <v>0</v>
      </c>
    </row>
    <row r="3576" spans="1:11" x14ac:dyDescent="0.45">
      <c r="A3576" s="57">
        <v>217</v>
      </c>
      <c r="B3576" t="s">
        <v>5622</v>
      </c>
      <c r="C3576" t="s">
        <v>5623</v>
      </c>
      <c r="D3576" s="12">
        <v>46324</v>
      </c>
      <c r="E3576" s="11">
        <v>32</v>
      </c>
      <c r="F3576" s="11" t="s">
        <v>7806</v>
      </c>
      <c r="G3576">
        <v>20210701</v>
      </c>
      <c r="I3576" s="11" t="s">
        <v>18</v>
      </c>
      <c r="J3576" s="72">
        <v>70483882</v>
      </c>
      <c r="K3576" s="99">
        <f>_xlfn.XLOOKUP(_2__ROI_Daily_Update[[#This Row],[CSM id]],SHP!F:F,SHP!EE:EE,"-")</f>
        <v>0</v>
      </c>
    </row>
    <row r="3577" spans="1:11" x14ac:dyDescent="0.45">
      <c r="A3577" s="57">
        <v>1831</v>
      </c>
      <c r="B3577" t="s">
        <v>5624</v>
      </c>
      <c r="C3577" t="s">
        <v>5625</v>
      </c>
      <c r="D3577" s="12">
        <v>46324</v>
      </c>
      <c r="E3577" s="11">
        <v>48</v>
      </c>
      <c r="F3577" s="11" t="s">
        <v>7806</v>
      </c>
      <c r="G3577">
        <v>20220101</v>
      </c>
      <c r="I3577" s="11" t="s">
        <v>18</v>
      </c>
      <c r="J3577" s="72">
        <v>80503912</v>
      </c>
      <c r="K3577" s="99">
        <f>_xlfn.XLOOKUP(_2__ROI_Daily_Update[[#This Row],[CSM id]],SHP!F:F,SHP!EE:EE,"-")</f>
        <v>0</v>
      </c>
    </row>
    <row r="3578" spans="1:11" x14ac:dyDescent="0.45">
      <c r="A3578" s="57">
        <v>1623</v>
      </c>
      <c r="B3578" t="s">
        <v>2918</v>
      </c>
      <c r="C3578" t="s">
        <v>2919</v>
      </c>
      <c r="D3578" s="12">
        <v>46324</v>
      </c>
      <c r="E3578" s="11">
        <v>6</v>
      </c>
      <c r="F3578" s="11" t="s">
        <v>7806</v>
      </c>
      <c r="G3578">
        <v>20260401</v>
      </c>
      <c r="I3578" s="11" t="s">
        <v>18</v>
      </c>
      <c r="J3578" s="72">
        <v>60615246</v>
      </c>
      <c r="K3578" s="99">
        <f>_xlfn.XLOOKUP(_2__ROI_Daily_Update[[#This Row],[CSM id]],SHP!F:F,SHP!EE:EE,"-")</f>
        <v>0</v>
      </c>
    </row>
    <row r="3579" spans="1:11" x14ac:dyDescent="0.45">
      <c r="A3579" s="57">
        <v>922</v>
      </c>
      <c r="B3579" t="s">
        <v>5550</v>
      </c>
      <c r="C3579" t="s">
        <v>5551</v>
      </c>
      <c r="D3579" s="12">
        <v>46324</v>
      </c>
      <c r="E3579" s="11">
        <v>70</v>
      </c>
      <c r="F3579" s="11" t="s">
        <v>7806</v>
      </c>
      <c r="G3579">
        <v>20251001</v>
      </c>
      <c r="H3579" s="12">
        <v>46478</v>
      </c>
      <c r="I3579" s="11" t="s">
        <v>18</v>
      </c>
      <c r="J3579" s="72">
        <v>10603217</v>
      </c>
      <c r="K3579" s="99">
        <f>_xlfn.XLOOKUP(_2__ROI_Daily_Update[[#This Row],[CSM id]],SHP!F:F,SHP!EE:EE,"-")</f>
        <v>0</v>
      </c>
    </row>
    <row r="3580" spans="1:11" x14ac:dyDescent="0.45">
      <c r="A3580" s="57">
        <v>215</v>
      </c>
      <c r="B3580" t="s">
        <v>42</v>
      </c>
      <c r="C3580" t="s">
        <v>43</v>
      </c>
      <c r="D3580" s="12">
        <v>46324</v>
      </c>
      <c r="E3580" s="11">
        <v>34</v>
      </c>
      <c r="F3580" s="11" t="s">
        <v>7806</v>
      </c>
      <c r="G3580">
        <v>20251001</v>
      </c>
      <c r="I3580" s="11" t="s">
        <v>18</v>
      </c>
      <c r="J3580" s="72">
        <v>628930</v>
      </c>
      <c r="K3580" s="99">
        <f>_xlfn.XLOOKUP(_2__ROI_Daily_Update[[#This Row],[CSM id]],SHP!F:F,SHP!EE:EE,"-")</f>
        <v>0</v>
      </c>
    </row>
    <row r="3581" spans="1:11" x14ac:dyDescent="0.45">
      <c r="A3581" s="57">
        <v>922</v>
      </c>
      <c r="B3581" t="s">
        <v>710</v>
      </c>
      <c r="C3581" t="s">
        <v>711</v>
      </c>
      <c r="D3581" s="12">
        <v>46324</v>
      </c>
      <c r="E3581" s="11">
        <v>22</v>
      </c>
      <c r="F3581" s="11" t="s">
        <v>7806</v>
      </c>
      <c r="G3581">
        <v>20231001</v>
      </c>
      <c r="I3581" s="11" t="s">
        <v>32</v>
      </c>
      <c r="J3581" s="72">
        <v>20550176</v>
      </c>
      <c r="K3581" s="99">
        <f>_xlfn.XLOOKUP(_2__ROI_Daily_Update[[#This Row],[CSM id]],SHP!F:F,SHP!EE:EE,"-")</f>
        <v>0</v>
      </c>
    </row>
    <row r="3582" spans="1:11" x14ac:dyDescent="0.45">
      <c r="A3582" s="57">
        <v>1831</v>
      </c>
      <c r="B3582" t="s">
        <v>3584</v>
      </c>
      <c r="C3582" t="s">
        <v>3585</v>
      </c>
      <c r="D3582" s="12">
        <v>46324</v>
      </c>
      <c r="E3582" s="11">
        <v>540</v>
      </c>
      <c r="F3582" s="11" t="s">
        <v>7806</v>
      </c>
      <c r="G3582">
        <v>20200201</v>
      </c>
      <c r="I3582" s="11" t="s">
        <v>18</v>
      </c>
      <c r="J3582" s="72">
        <v>20469421</v>
      </c>
      <c r="K3582" s="99">
        <f>_xlfn.XLOOKUP(_2__ROI_Daily_Update[[#This Row],[CSM id]],SHP!F:F,SHP!EE:EE,"-")</f>
        <v>0</v>
      </c>
    </row>
    <row r="3583" spans="1:11" x14ac:dyDescent="0.45">
      <c r="A3583" s="57">
        <v>215</v>
      </c>
      <c r="B3583" t="s">
        <v>285</v>
      </c>
      <c r="C3583" t="s">
        <v>286</v>
      </c>
      <c r="D3583" s="12">
        <v>46324</v>
      </c>
      <c r="E3583" s="11">
        <v>44</v>
      </c>
      <c r="F3583" s="11" t="s">
        <v>7806</v>
      </c>
      <c r="G3583">
        <v>20210701</v>
      </c>
      <c r="I3583" s="11" t="s">
        <v>18</v>
      </c>
      <c r="J3583" s="72">
        <v>60483873</v>
      </c>
      <c r="K3583" s="99">
        <f>_xlfn.XLOOKUP(_2__ROI_Daily_Update[[#This Row],[CSM id]],SHP!F:F,SHP!EE:EE,"-")</f>
        <v>0</v>
      </c>
    </row>
    <row r="3584" spans="1:11" x14ac:dyDescent="0.45">
      <c r="A3584" s="57">
        <v>1882</v>
      </c>
      <c r="B3584" t="s">
        <v>3733</v>
      </c>
      <c r="C3584" t="s">
        <v>3734</v>
      </c>
      <c r="D3584" s="12">
        <v>46324</v>
      </c>
      <c r="E3584" s="11">
        <v>336</v>
      </c>
      <c r="F3584" s="11" t="s">
        <v>7806</v>
      </c>
      <c r="G3584">
        <v>20221001</v>
      </c>
      <c r="I3584" s="11" t="s">
        <v>18</v>
      </c>
      <c r="J3584" s="72">
        <v>20527096</v>
      </c>
      <c r="K3584" s="99">
        <f>_xlfn.XLOOKUP(_2__ROI_Daily_Update[[#This Row],[CSM id]],SHP!F:F,SHP!EE:EE,"-")</f>
        <v>0</v>
      </c>
    </row>
    <row r="3585" spans="1:11" x14ac:dyDescent="0.45">
      <c r="A3585" s="57">
        <v>1815</v>
      </c>
      <c r="B3585" t="s">
        <v>3496</v>
      </c>
      <c r="C3585" t="s">
        <v>3497</v>
      </c>
      <c r="D3585" s="12">
        <v>46324</v>
      </c>
      <c r="E3585" s="11">
        <v>180</v>
      </c>
      <c r="F3585" s="11" t="s">
        <v>7806</v>
      </c>
      <c r="G3585">
        <v>20260701</v>
      </c>
      <c r="I3585" s="11" t="s">
        <v>18</v>
      </c>
      <c r="J3585" s="72">
        <v>90644285</v>
      </c>
      <c r="K3585" s="99">
        <f>_xlfn.XLOOKUP(_2__ROI_Daily_Update[[#This Row],[CSM id]],SHP!F:F,SHP!EE:EE,"-")</f>
        <v>0</v>
      </c>
    </row>
    <row r="3586" spans="1:11" x14ac:dyDescent="0.45">
      <c r="A3586" s="57">
        <v>921</v>
      </c>
      <c r="B3586" t="s">
        <v>694</v>
      </c>
      <c r="C3586" t="s">
        <v>695</v>
      </c>
      <c r="D3586" s="12">
        <v>46324</v>
      </c>
      <c r="E3586" s="11">
        <v>22</v>
      </c>
      <c r="F3586" s="11" t="s">
        <v>7806</v>
      </c>
      <c r="G3586">
        <v>20170401</v>
      </c>
      <c r="I3586" s="11" t="s">
        <v>18</v>
      </c>
      <c r="J3586" s="72">
        <v>60351429</v>
      </c>
      <c r="K3586" s="99">
        <f>_xlfn.XLOOKUP(_2__ROI_Daily_Update[[#This Row],[CSM id]],SHP!F:F,SHP!EE:EE,"-")</f>
        <v>0</v>
      </c>
    </row>
    <row r="3587" spans="1:11" x14ac:dyDescent="0.45">
      <c r="A3587" s="57">
        <v>1122</v>
      </c>
      <c r="B3587" t="s">
        <v>1627</v>
      </c>
      <c r="C3587" t="s">
        <v>1628</v>
      </c>
      <c r="D3587" s="12">
        <v>46324</v>
      </c>
      <c r="E3587" s="11">
        <v>10</v>
      </c>
      <c r="F3587" s="11" t="s">
        <v>7806</v>
      </c>
      <c r="G3587">
        <v>20220101</v>
      </c>
      <c r="H3587" s="12">
        <v>46478</v>
      </c>
      <c r="I3587" s="11" t="s">
        <v>32</v>
      </c>
      <c r="J3587" s="72">
        <v>80513218</v>
      </c>
      <c r="K3587" s="99">
        <f>_xlfn.XLOOKUP(_2__ROI_Daily_Update[[#This Row],[CSM id]],SHP!F:F,SHP!EE:EE,"-")</f>
        <v>0</v>
      </c>
    </row>
    <row r="3588" spans="1:11" x14ac:dyDescent="0.45">
      <c r="A3588" s="57">
        <v>1434</v>
      </c>
      <c r="B3588" t="s">
        <v>2486</v>
      </c>
      <c r="C3588" t="s">
        <v>2487</v>
      </c>
      <c r="D3588" s="12">
        <v>46324</v>
      </c>
      <c r="E3588" s="11">
        <v>68</v>
      </c>
      <c r="F3588" s="11" t="s">
        <v>7806</v>
      </c>
      <c r="G3588">
        <v>20261001</v>
      </c>
      <c r="I3588" s="11" t="s">
        <v>18</v>
      </c>
      <c r="J3588" s="72">
        <v>30497720</v>
      </c>
      <c r="K3588" s="99">
        <f>_xlfn.XLOOKUP(_2__ROI_Daily_Update[[#This Row],[CSM id]],SHP!F:F,SHP!EE:EE,"-")</f>
        <v>0</v>
      </c>
    </row>
    <row r="3589" spans="1:11" x14ac:dyDescent="0.45">
      <c r="A3589" s="57">
        <v>761</v>
      </c>
      <c r="B3589" t="s">
        <v>7508</v>
      </c>
      <c r="C3589" t="s">
        <v>7509</v>
      </c>
      <c r="D3589" s="12">
        <v>46324</v>
      </c>
      <c r="E3589" s="11">
        <v>110</v>
      </c>
      <c r="F3589" s="11" t="s">
        <v>7806</v>
      </c>
      <c r="G3589">
        <v>20211001</v>
      </c>
      <c r="I3589" s="11" t="s">
        <v>18</v>
      </c>
      <c r="J3589" s="72">
        <v>40486410</v>
      </c>
      <c r="K3589" s="99">
        <f>_xlfn.XLOOKUP(_2__ROI_Daily_Update[[#This Row],[CSM id]],SHP!F:F,SHP!EE:EE,"-")</f>
        <v>0</v>
      </c>
    </row>
    <row r="3590" spans="1:11" x14ac:dyDescent="0.45">
      <c r="A3590" s="57">
        <v>973</v>
      </c>
      <c r="B3590" t="s">
        <v>917</v>
      </c>
      <c r="C3590" t="s">
        <v>918</v>
      </c>
      <c r="D3590" s="12">
        <v>46324</v>
      </c>
      <c r="E3590" s="11">
        <v>154</v>
      </c>
      <c r="F3590" s="11" t="s">
        <v>7806</v>
      </c>
      <c r="G3590">
        <v>20190801</v>
      </c>
      <c r="I3590" s="11" t="s">
        <v>18</v>
      </c>
      <c r="J3590" s="72">
        <v>80461083</v>
      </c>
      <c r="K3590" s="99">
        <f>_xlfn.XLOOKUP(_2__ROI_Daily_Update[[#This Row],[CSM id]],SHP!F:F,SHP!EE:EE,"-")</f>
        <v>0</v>
      </c>
    </row>
    <row r="3591" spans="1:11" x14ac:dyDescent="0.45">
      <c r="A3591" s="57">
        <v>782</v>
      </c>
      <c r="B3591" t="s">
        <v>591</v>
      </c>
      <c r="C3591" t="s">
        <v>592</v>
      </c>
      <c r="D3591" s="12">
        <v>46324</v>
      </c>
      <c r="E3591" s="11">
        <v>52</v>
      </c>
      <c r="F3591" s="11" t="s">
        <v>7813</v>
      </c>
      <c r="G3591">
        <v>20140801</v>
      </c>
      <c r="I3591" s="11" t="s">
        <v>18</v>
      </c>
      <c r="J3591" s="72">
        <v>50225592</v>
      </c>
      <c r="K3591" s="99">
        <f>_xlfn.XLOOKUP(_2__ROI_Daily_Update[[#This Row],[CSM id]],SHP!F:F,SHP!EE:EE,"-")</f>
        <v>0</v>
      </c>
    </row>
    <row r="3592" spans="1:11" x14ac:dyDescent="0.45">
      <c r="A3592" s="57">
        <v>435</v>
      </c>
      <c r="B3592" t="s">
        <v>38</v>
      </c>
      <c r="C3592" t="s">
        <v>39</v>
      </c>
      <c r="D3592" s="12">
        <v>46324</v>
      </c>
      <c r="E3592" s="11">
        <v>42</v>
      </c>
      <c r="F3592" s="11" t="s">
        <v>7806</v>
      </c>
      <c r="G3592">
        <v>20221001</v>
      </c>
      <c r="I3592" s="11" t="s">
        <v>18</v>
      </c>
      <c r="J3592" s="72">
        <v>70530987</v>
      </c>
      <c r="K3592" s="99">
        <f>_xlfn.XLOOKUP(_2__ROI_Daily_Update[[#This Row],[CSM id]],SHP!F:F,SHP!EE:EE,"-")</f>
        <v>0</v>
      </c>
    </row>
    <row r="3593" spans="1:11" x14ac:dyDescent="0.45">
      <c r="A3593" s="57">
        <v>1811</v>
      </c>
      <c r="B3593" t="s">
        <v>3343</v>
      </c>
      <c r="C3593" t="s">
        <v>3344</v>
      </c>
      <c r="D3593" s="12">
        <v>46324</v>
      </c>
      <c r="E3593" s="11">
        <v>64</v>
      </c>
      <c r="F3593" s="11" t="s">
        <v>7806</v>
      </c>
      <c r="G3593">
        <v>20250701</v>
      </c>
      <c r="I3593" s="11" t="s">
        <v>18</v>
      </c>
      <c r="J3593" s="72">
        <v>60596926</v>
      </c>
      <c r="K3593" s="99">
        <f>_xlfn.XLOOKUP(_2__ROI_Daily_Update[[#This Row],[CSM id]],SHP!F:F,SHP!EE:EE,"-")</f>
        <v>0</v>
      </c>
    </row>
    <row r="3594" spans="1:11" x14ac:dyDescent="0.45">
      <c r="A3594" s="57">
        <v>241</v>
      </c>
      <c r="B3594" t="s">
        <v>347</v>
      </c>
      <c r="C3594" t="s">
        <v>348</v>
      </c>
      <c r="D3594" s="12">
        <v>46324</v>
      </c>
      <c r="E3594" s="11">
        <v>14</v>
      </c>
      <c r="F3594" s="11" t="s">
        <v>7806</v>
      </c>
      <c r="G3594">
        <v>20221001</v>
      </c>
      <c r="I3594" s="11" t="s">
        <v>18</v>
      </c>
      <c r="J3594" s="72">
        <v>80530977</v>
      </c>
      <c r="K3594" s="99">
        <f>_xlfn.XLOOKUP(_2__ROI_Daily_Update[[#This Row],[CSM id]],SHP!F:F,SHP!EE:EE,"-")</f>
        <v>0</v>
      </c>
    </row>
    <row r="3595" spans="1:11" x14ac:dyDescent="0.45">
      <c r="A3595" s="57">
        <v>1811</v>
      </c>
      <c r="B3595" t="s">
        <v>3341</v>
      </c>
      <c r="C3595" t="s">
        <v>3342</v>
      </c>
      <c r="D3595" s="12">
        <v>46324</v>
      </c>
      <c r="E3595" s="11">
        <v>168</v>
      </c>
      <c r="F3595" s="11" t="s">
        <v>7806</v>
      </c>
      <c r="G3595">
        <v>20240401</v>
      </c>
      <c r="I3595" s="11" t="s">
        <v>18</v>
      </c>
      <c r="J3595" s="72">
        <v>60480544</v>
      </c>
      <c r="K3595" s="99">
        <f>_xlfn.XLOOKUP(_2__ROI_Daily_Update[[#This Row],[CSM id]],SHP!F:F,SHP!EE:EE,"-")</f>
        <v>0</v>
      </c>
    </row>
    <row r="3596" spans="1:11" x14ac:dyDescent="0.45">
      <c r="A3596" s="57">
        <v>1433</v>
      </c>
      <c r="B3596" t="s">
        <v>7143</v>
      </c>
      <c r="C3596" t="s">
        <v>7144</v>
      </c>
      <c r="D3596" s="12">
        <v>46324</v>
      </c>
      <c r="E3596" s="11">
        <v>1200</v>
      </c>
      <c r="F3596" s="11" t="s">
        <v>7806</v>
      </c>
      <c r="G3596">
        <v>20250101</v>
      </c>
      <c r="I3596" s="11" t="s">
        <v>18</v>
      </c>
      <c r="J3596" s="72">
        <v>90595440</v>
      </c>
      <c r="K3596" s="99">
        <f>_xlfn.XLOOKUP(_2__ROI_Daily_Update[[#This Row],[CSM id]],SHP!F:F,SHP!EE:EE,"-")</f>
        <v>0</v>
      </c>
    </row>
    <row r="3597" spans="1:11" x14ac:dyDescent="0.45">
      <c r="A3597" s="57">
        <v>433</v>
      </c>
      <c r="B3597" t="s">
        <v>473</v>
      </c>
      <c r="C3597" t="s">
        <v>474</v>
      </c>
      <c r="D3597" s="12">
        <v>46324</v>
      </c>
      <c r="E3597" s="11">
        <v>50</v>
      </c>
      <c r="F3597" s="11" t="s">
        <v>7806</v>
      </c>
      <c r="G3597">
        <v>20240401</v>
      </c>
      <c r="I3597" s="11" t="s">
        <v>18</v>
      </c>
      <c r="J3597" s="72">
        <v>80558216</v>
      </c>
      <c r="K3597" s="99">
        <f>_xlfn.XLOOKUP(_2__ROI_Daily_Update[[#This Row],[CSM id]],SHP!F:F,SHP!EE:EE,"-")</f>
        <v>0</v>
      </c>
    </row>
    <row r="3598" spans="1:11" x14ac:dyDescent="0.45">
      <c r="A3598" s="57">
        <v>811</v>
      </c>
      <c r="B3598" t="s">
        <v>7155</v>
      </c>
      <c r="C3598" t="s">
        <v>7156</v>
      </c>
      <c r="D3598" s="12">
        <v>46324</v>
      </c>
      <c r="E3598" s="11">
        <v>37</v>
      </c>
      <c r="F3598" s="11" t="s">
        <v>7806</v>
      </c>
      <c r="G3598">
        <v>20250401</v>
      </c>
      <c r="I3598" s="11" t="s">
        <v>18</v>
      </c>
      <c r="J3598" s="72">
        <v>50594555</v>
      </c>
      <c r="K3598" s="99">
        <f>_xlfn.XLOOKUP(_2__ROI_Daily_Update[[#This Row],[CSM id]],SHP!F:F,SHP!EE:EE,"-")</f>
        <v>0</v>
      </c>
    </row>
    <row r="3599" spans="1:11" x14ac:dyDescent="0.45">
      <c r="A3599" s="57">
        <v>1811</v>
      </c>
      <c r="B3599" t="s">
        <v>3327</v>
      </c>
      <c r="C3599" t="s">
        <v>3328</v>
      </c>
      <c r="D3599" s="12">
        <v>46324</v>
      </c>
      <c r="E3599" s="11">
        <v>378</v>
      </c>
      <c r="F3599" s="11" t="s">
        <v>7806</v>
      </c>
      <c r="G3599">
        <v>20240401</v>
      </c>
      <c r="I3599" s="11" t="s">
        <v>18</v>
      </c>
      <c r="J3599" s="72">
        <v>20546472</v>
      </c>
      <c r="K3599" s="99">
        <f>_xlfn.XLOOKUP(_2__ROI_Daily_Update[[#This Row],[CSM id]],SHP!F:F,SHP!EE:EE,"-")</f>
        <v>0</v>
      </c>
    </row>
    <row r="3600" spans="1:11" x14ac:dyDescent="0.45">
      <c r="A3600" s="57">
        <v>431</v>
      </c>
      <c r="B3600" t="s">
        <v>451</v>
      </c>
      <c r="C3600" t="s">
        <v>452</v>
      </c>
      <c r="D3600" s="12">
        <v>46324</v>
      </c>
      <c r="E3600" s="11">
        <v>16</v>
      </c>
      <c r="F3600" s="11" t="s">
        <v>7806</v>
      </c>
      <c r="G3600">
        <v>20180201</v>
      </c>
      <c r="H3600" s="12">
        <v>46388</v>
      </c>
      <c r="I3600" s="11" t="s">
        <v>18</v>
      </c>
      <c r="J3600" s="72">
        <v>355661</v>
      </c>
      <c r="K3600" s="99">
        <f>_xlfn.XLOOKUP(_2__ROI_Daily_Update[[#This Row],[CSM id]],SHP!F:F,SHP!EE:EE,"-")</f>
        <v>0</v>
      </c>
    </row>
    <row r="3601" spans="1:11" x14ac:dyDescent="0.45">
      <c r="A3601" s="57">
        <v>1641</v>
      </c>
      <c r="B3601" t="s">
        <v>7221</v>
      </c>
      <c r="C3601" t="s">
        <v>7222</v>
      </c>
      <c r="D3601" s="12">
        <v>46324</v>
      </c>
      <c r="E3601" s="11">
        <v>80</v>
      </c>
      <c r="F3601" s="11" t="s">
        <v>7806</v>
      </c>
      <c r="G3601">
        <v>20240401</v>
      </c>
      <c r="I3601" s="11" t="s">
        <v>18</v>
      </c>
      <c r="J3601" s="72">
        <v>80550055</v>
      </c>
      <c r="K3601" s="99">
        <f>_xlfn.XLOOKUP(_2__ROI_Daily_Update[[#This Row],[CSM id]],SHP!F:F,SHP!EE:EE,"-")</f>
        <v>0</v>
      </c>
    </row>
    <row r="3602" spans="1:11" x14ac:dyDescent="0.45">
      <c r="A3602" s="57">
        <v>821</v>
      </c>
      <c r="B3602" t="s">
        <v>625</v>
      </c>
      <c r="C3602" t="s">
        <v>626</v>
      </c>
      <c r="D3602" s="12">
        <v>46324</v>
      </c>
      <c r="E3602" s="11">
        <v>64</v>
      </c>
      <c r="F3602" s="11" t="s">
        <v>7806</v>
      </c>
      <c r="G3602">
        <v>20260101</v>
      </c>
      <c r="I3602" s="11" t="s">
        <v>18</v>
      </c>
      <c r="J3602" s="72">
        <v>20611815</v>
      </c>
      <c r="K3602" s="99">
        <f>_xlfn.XLOOKUP(_2__ROI_Daily_Update[[#This Row],[CSM id]],SHP!F:F,SHP!EE:EE,"-")</f>
        <v>0</v>
      </c>
    </row>
    <row r="3603" spans="1:11" x14ac:dyDescent="0.45">
      <c r="A3603" s="57">
        <v>1815</v>
      </c>
      <c r="B3603" t="s">
        <v>7125</v>
      </c>
      <c r="C3603" t="s">
        <v>7126</v>
      </c>
      <c r="D3603" s="12">
        <v>46324</v>
      </c>
      <c r="E3603" s="11">
        <v>200</v>
      </c>
      <c r="F3603" s="11" t="s">
        <v>7806</v>
      </c>
      <c r="G3603">
        <v>20261001</v>
      </c>
      <c r="I3603" s="11" t="s">
        <v>18</v>
      </c>
      <c r="J3603" s="72">
        <v>60630609</v>
      </c>
      <c r="K3603" s="99">
        <f>_xlfn.XLOOKUP(_2__ROI_Daily_Update[[#This Row],[CSM id]],SHP!F:F,SHP!EE:EE,"-")</f>
        <v>0</v>
      </c>
    </row>
    <row r="3604" spans="1:11" x14ac:dyDescent="0.45">
      <c r="A3604" s="57">
        <v>821</v>
      </c>
      <c r="B3604" t="s">
        <v>635</v>
      </c>
      <c r="C3604" t="s">
        <v>636</v>
      </c>
      <c r="D3604" s="12">
        <v>46324</v>
      </c>
      <c r="E3604" s="11">
        <v>52</v>
      </c>
      <c r="F3604" s="11" t="s">
        <v>7806</v>
      </c>
      <c r="G3604">
        <v>20250401</v>
      </c>
      <c r="I3604" s="11" t="s">
        <v>18</v>
      </c>
      <c r="J3604" s="72">
        <v>40592745</v>
      </c>
      <c r="K3604" s="99">
        <f>_xlfn.XLOOKUP(_2__ROI_Daily_Update[[#This Row],[CSM id]],SHP!F:F,SHP!EE:EE,"-")</f>
        <v>0</v>
      </c>
    </row>
    <row r="3605" spans="1:11" x14ac:dyDescent="0.45">
      <c r="A3605" s="57">
        <v>821</v>
      </c>
      <c r="B3605" t="s">
        <v>637</v>
      </c>
      <c r="C3605" t="s">
        <v>638</v>
      </c>
      <c r="D3605" s="12">
        <v>46324</v>
      </c>
      <c r="E3605" s="11">
        <v>32</v>
      </c>
      <c r="F3605" s="11" t="s">
        <v>7806</v>
      </c>
      <c r="G3605">
        <v>20170401</v>
      </c>
      <c r="I3605" s="11" t="s">
        <v>18</v>
      </c>
      <c r="J3605" s="72">
        <v>70350938</v>
      </c>
      <c r="K3605" s="99">
        <f>_xlfn.XLOOKUP(_2__ROI_Daily_Update[[#This Row],[CSM id]],SHP!F:F,SHP!EE:EE,"-")</f>
        <v>0</v>
      </c>
    </row>
    <row r="3606" spans="1:11" x14ac:dyDescent="0.45">
      <c r="A3606" s="57">
        <v>821</v>
      </c>
      <c r="B3606" t="s">
        <v>639</v>
      </c>
      <c r="C3606" t="s">
        <v>640</v>
      </c>
      <c r="D3606" s="12">
        <v>46324</v>
      </c>
      <c r="E3606" s="11">
        <v>32</v>
      </c>
      <c r="F3606" s="11" t="s">
        <v>7806</v>
      </c>
      <c r="G3606">
        <v>20220701</v>
      </c>
      <c r="I3606" s="11" t="s">
        <v>18</v>
      </c>
      <c r="J3606" s="72">
        <v>70530628</v>
      </c>
      <c r="K3606" s="99">
        <f>_xlfn.XLOOKUP(_2__ROI_Daily_Update[[#This Row],[CSM id]],SHP!F:F,SHP!EE:EE,"-")</f>
        <v>0</v>
      </c>
    </row>
    <row r="3607" spans="1:11" x14ac:dyDescent="0.45">
      <c r="A3607" s="57">
        <v>1852</v>
      </c>
      <c r="B3607" t="s">
        <v>3689</v>
      </c>
      <c r="C3607" t="s">
        <v>3690</v>
      </c>
      <c r="D3607" s="12">
        <v>46324</v>
      </c>
      <c r="E3607" s="11">
        <v>60</v>
      </c>
      <c r="F3607" s="11" t="s">
        <v>7806</v>
      </c>
      <c r="G3607">
        <v>20261001</v>
      </c>
      <c r="I3607" s="11" t="s">
        <v>18</v>
      </c>
      <c r="J3607" s="72">
        <v>40645305</v>
      </c>
      <c r="K3607" s="99">
        <f>_xlfn.XLOOKUP(_2__ROI_Daily_Update[[#This Row],[CSM id]],SHP!F:F,SHP!EE:EE,"-")</f>
        <v>0</v>
      </c>
    </row>
    <row r="3608" spans="1:11" x14ac:dyDescent="0.45">
      <c r="A3608" s="57">
        <v>981</v>
      </c>
      <c r="B3608" t="s">
        <v>5174</v>
      </c>
      <c r="C3608" t="s">
        <v>5175</v>
      </c>
      <c r="D3608" s="12">
        <v>46324</v>
      </c>
      <c r="E3608" s="11">
        <v>24</v>
      </c>
      <c r="F3608" s="11" t="s">
        <v>7806</v>
      </c>
      <c r="G3608">
        <v>20241001</v>
      </c>
      <c r="I3608" s="11" t="s">
        <v>18</v>
      </c>
      <c r="J3608" s="72">
        <v>10581989</v>
      </c>
      <c r="K3608" s="99">
        <f>_xlfn.XLOOKUP(_2__ROI_Daily_Update[[#This Row],[CSM id]],SHP!F:F,SHP!EE:EE,"-")</f>
        <v>0</v>
      </c>
    </row>
    <row r="3609" spans="1:11" x14ac:dyDescent="0.45">
      <c r="A3609" s="57">
        <v>1122</v>
      </c>
      <c r="B3609" t="s">
        <v>1625</v>
      </c>
      <c r="C3609" t="s">
        <v>1626</v>
      </c>
      <c r="D3609" s="12">
        <v>46324</v>
      </c>
      <c r="E3609" s="11">
        <v>40</v>
      </c>
      <c r="F3609" s="11" t="s">
        <v>7806</v>
      </c>
      <c r="G3609">
        <v>20190801</v>
      </c>
      <c r="H3609" s="12">
        <v>46478</v>
      </c>
      <c r="I3609" s="11" t="s">
        <v>18</v>
      </c>
      <c r="J3609" s="72">
        <v>80446097</v>
      </c>
      <c r="K3609" s="99">
        <f>_xlfn.XLOOKUP(_2__ROI_Daily_Update[[#This Row],[CSM id]],SHP!F:F,SHP!EE:EE,"-")</f>
        <v>0</v>
      </c>
    </row>
    <row r="3610" spans="1:11" x14ac:dyDescent="0.45">
      <c r="A3610" s="57">
        <v>1011</v>
      </c>
      <c r="B3610" t="s">
        <v>1036</v>
      </c>
      <c r="C3610" t="s">
        <v>1037</v>
      </c>
      <c r="D3610" s="12">
        <v>46324</v>
      </c>
      <c r="E3610" s="11">
        <v>12</v>
      </c>
      <c r="F3610" s="11" t="s">
        <v>7806</v>
      </c>
      <c r="G3610">
        <v>20160401</v>
      </c>
      <c r="I3610" s="11" t="s">
        <v>18</v>
      </c>
      <c r="J3610" s="72">
        <v>80321323</v>
      </c>
      <c r="K3610" s="99">
        <f>_xlfn.XLOOKUP(_2__ROI_Daily_Update[[#This Row],[CSM id]],SHP!F:F,SHP!EE:EE,"-")</f>
        <v>0</v>
      </c>
    </row>
    <row r="3611" spans="1:11" x14ac:dyDescent="0.45">
      <c r="A3611" s="57">
        <v>361</v>
      </c>
      <c r="B3611" t="s">
        <v>6969</v>
      </c>
      <c r="C3611" t="s">
        <v>6970</v>
      </c>
      <c r="D3611" s="12">
        <v>46324</v>
      </c>
      <c r="E3611" s="11">
        <v>72</v>
      </c>
      <c r="F3611" s="11" t="s">
        <v>7806</v>
      </c>
      <c r="G3611">
        <v>20210201</v>
      </c>
      <c r="I3611" s="11" t="s">
        <v>18</v>
      </c>
      <c r="J3611" s="72">
        <v>80474783</v>
      </c>
      <c r="K3611" s="99">
        <f>_xlfn.XLOOKUP(_2__ROI_Daily_Update[[#This Row],[CSM id]],SHP!F:F,SHP!EE:EE,"-")</f>
        <v>0</v>
      </c>
    </row>
    <row r="3612" spans="1:11" x14ac:dyDescent="0.45">
      <c r="A3612" s="57">
        <v>353</v>
      </c>
      <c r="B3612" t="s">
        <v>7137</v>
      </c>
      <c r="C3612" t="s">
        <v>7138</v>
      </c>
      <c r="D3612" s="12">
        <v>46324</v>
      </c>
      <c r="E3612" s="11">
        <v>32</v>
      </c>
      <c r="F3612" s="11" t="s">
        <v>7806</v>
      </c>
      <c r="G3612">
        <v>20211001</v>
      </c>
      <c r="I3612" s="11" t="s">
        <v>18</v>
      </c>
      <c r="J3612" s="72">
        <v>60485099</v>
      </c>
      <c r="K3612" s="99">
        <f>_xlfn.XLOOKUP(_2__ROI_Daily_Update[[#This Row],[CSM id]],SHP!F:F,SHP!EE:EE,"-")</f>
        <v>0</v>
      </c>
    </row>
    <row r="3613" spans="1:11" x14ac:dyDescent="0.45">
      <c r="A3613" s="57">
        <v>424</v>
      </c>
      <c r="B3613" t="s">
        <v>7292</v>
      </c>
      <c r="C3613" t="s">
        <v>7293</v>
      </c>
      <c r="D3613" s="12">
        <v>46324</v>
      </c>
      <c r="E3613" s="11">
        <v>72</v>
      </c>
      <c r="F3613" s="11" t="s">
        <v>7806</v>
      </c>
      <c r="G3613">
        <v>20190801</v>
      </c>
      <c r="I3613" s="11" t="s">
        <v>18</v>
      </c>
      <c r="J3613" s="72">
        <v>50431323</v>
      </c>
      <c r="K3613" s="99">
        <f>_xlfn.XLOOKUP(_2__ROI_Daily_Update[[#This Row],[CSM id]],SHP!F:F,SHP!EE:EE,"-")</f>
        <v>0</v>
      </c>
    </row>
    <row r="3614" spans="1:11" x14ac:dyDescent="0.45">
      <c r="A3614" s="57">
        <v>341</v>
      </c>
      <c r="B3614" t="s">
        <v>7219</v>
      </c>
      <c r="C3614" t="s">
        <v>7220</v>
      </c>
      <c r="D3614" s="12">
        <v>46324</v>
      </c>
      <c r="E3614" s="11">
        <v>8</v>
      </c>
      <c r="F3614" s="11" t="s">
        <v>7806</v>
      </c>
      <c r="G3614">
        <v>20230701</v>
      </c>
      <c r="I3614" s="11" t="s">
        <v>18</v>
      </c>
      <c r="J3614" s="72">
        <v>60493952</v>
      </c>
      <c r="K3614" s="99">
        <f>_xlfn.XLOOKUP(_2__ROI_Daily_Update[[#This Row],[CSM id]],SHP!F:F,SHP!EE:EE,"-")</f>
        <v>0</v>
      </c>
    </row>
    <row r="3615" spans="1:11" x14ac:dyDescent="0.45">
      <c r="A3615" s="57">
        <v>1012</v>
      </c>
      <c r="B3615" t="s">
        <v>1064</v>
      </c>
      <c r="C3615" t="s">
        <v>1065</v>
      </c>
      <c r="D3615" s="12">
        <v>46324</v>
      </c>
      <c r="E3615" s="11">
        <v>18</v>
      </c>
      <c r="F3615" s="11" t="s">
        <v>7806</v>
      </c>
      <c r="G3615">
        <v>20140801</v>
      </c>
      <c r="I3615" s="11" t="s">
        <v>18</v>
      </c>
      <c r="J3615" s="72">
        <v>30283899</v>
      </c>
      <c r="K3615" s="99">
        <f>_xlfn.XLOOKUP(_2__ROI_Daily_Update[[#This Row],[CSM id]],SHP!F:F,SHP!EE:EE,"-")</f>
        <v>0</v>
      </c>
    </row>
    <row r="3616" spans="1:11" x14ac:dyDescent="0.45">
      <c r="A3616" s="57">
        <v>215</v>
      </c>
      <c r="B3616" t="s">
        <v>7127</v>
      </c>
      <c r="C3616" t="s">
        <v>7128</v>
      </c>
      <c r="D3616" s="12">
        <v>46324</v>
      </c>
      <c r="E3616" s="11">
        <v>6</v>
      </c>
      <c r="F3616" s="11" t="s">
        <v>7806</v>
      </c>
      <c r="G3616">
        <v>20180801</v>
      </c>
      <c r="I3616" s="11" t="s">
        <v>18</v>
      </c>
      <c r="J3616" s="72">
        <v>60409939</v>
      </c>
      <c r="K3616" s="99">
        <f>_xlfn.XLOOKUP(_2__ROI_Daily_Update[[#This Row],[CSM id]],SHP!F:F,SHP!EE:EE,"-")</f>
        <v>0</v>
      </c>
    </row>
    <row r="3617" spans="1:11" x14ac:dyDescent="0.45">
      <c r="A3617" s="57">
        <v>1641</v>
      </c>
      <c r="B3617" t="s">
        <v>7157</v>
      </c>
      <c r="C3617" t="s">
        <v>7158</v>
      </c>
      <c r="D3617" s="12">
        <v>46324</v>
      </c>
      <c r="E3617" s="11">
        <v>20</v>
      </c>
      <c r="F3617" s="11" t="s">
        <v>7806</v>
      </c>
      <c r="G3617">
        <v>20240401</v>
      </c>
      <c r="I3617" s="11" t="s">
        <v>18</v>
      </c>
      <c r="J3617" s="72">
        <v>40550104</v>
      </c>
      <c r="K3617" s="99">
        <f>_xlfn.XLOOKUP(_2__ROI_Daily_Update[[#This Row],[CSM id]],SHP!F:F,SHP!EE:EE,"-")</f>
        <v>0</v>
      </c>
    </row>
    <row r="3618" spans="1:11" x14ac:dyDescent="0.45">
      <c r="A3618" s="57">
        <v>214</v>
      </c>
      <c r="B3618" t="s">
        <v>6483</v>
      </c>
      <c r="C3618" t="s">
        <v>6484</v>
      </c>
      <c r="D3618" s="12">
        <v>46324</v>
      </c>
      <c r="E3618" s="11">
        <v>36</v>
      </c>
      <c r="F3618" s="11" t="s">
        <v>7806</v>
      </c>
      <c r="G3618">
        <v>20210701</v>
      </c>
      <c r="I3618" s="11" t="s">
        <v>18</v>
      </c>
      <c r="J3618" s="72">
        <v>10483880</v>
      </c>
      <c r="K3618" s="99">
        <f>_xlfn.XLOOKUP(_2__ROI_Daily_Update[[#This Row],[CSM id]],SHP!F:F,SHP!EE:EE,"-")</f>
        <v>0</v>
      </c>
    </row>
    <row r="3619" spans="1:11" x14ac:dyDescent="0.45">
      <c r="A3619" s="57">
        <v>1813</v>
      </c>
      <c r="B3619" t="s">
        <v>3398</v>
      </c>
      <c r="C3619" t="s">
        <v>3399</v>
      </c>
      <c r="D3619" s="12">
        <v>46324</v>
      </c>
      <c r="E3619" s="11">
        <v>140</v>
      </c>
      <c r="F3619" s="11" t="s">
        <v>7806</v>
      </c>
      <c r="G3619">
        <v>20250401</v>
      </c>
      <c r="I3619" s="11" t="s">
        <v>18</v>
      </c>
      <c r="J3619" s="72">
        <v>40590765</v>
      </c>
      <c r="K3619" s="99">
        <f>_xlfn.XLOOKUP(_2__ROI_Daily_Update[[#This Row],[CSM id]],SHP!F:F,SHP!EE:EE,"-")</f>
        <v>0</v>
      </c>
    </row>
    <row r="3620" spans="1:11" x14ac:dyDescent="0.45">
      <c r="A3620" s="57">
        <v>1433</v>
      </c>
      <c r="B3620" t="s">
        <v>2466</v>
      </c>
      <c r="C3620" t="s">
        <v>2467</v>
      </c>
      <c r="D3620" s="12">
        <v>46324</v>
      </c>
      <c r="E3620" s="11">
        <v>3150</v>
      </c>
      <c r="F3620" s="11" t="s">
        <v>7806</v>
      </c>
      <c r="G3620">
        <v>20230701</v>
      </c>
      <c r="I3620" s="11" t="s">
        <v>18</v>
      </c>
      <c r="J3620" s="72">
        <v>60561007</v>
      </c>
      <c r="K3620" s="99">
        <f>_xlfn.XLOOKUP(_2__ROI_Daily_Update[[#This Row],[CSM id]],SHP!F:F,SHP!EE:EE,"-")</f>
        <v>0</v>
      </c>
    </row>
    <row r="3621" spans="1:11" x14ac:dyDescent="0.45">
      <c r="A3621" s="57">
        <v>432</v>
      </c>
      <c r="B3621" t="s">
        <v>299</v>
      </c>
      <c r="C3621" t="s">
        <v>300</v>
      </c>
      <c r="D3621" s="12">
        <v>46324</v>
      </c>
      <c r="E3621" s="11">
        <v>60</v>
      </c>
      <c r="F3621" s="11" t="s">
        <v>7806</v>
      </c>
      <c r="G3621">
        <v>20231001</v>
      </c>
      <c r="I3621" s="11" t="s">
        <v>18</v>
      </c>
      <c r="J3621" s="72">
        <v>60569980</v>
      </c>
      <c r="K3621" s="99">
        <f>_xlfn.XLOOKUP(_2__ROI_Daily_Update[[#This Row],[CSM id]],SHP!F:F,SHP!EE:EE,"-")</f>
        <v>0</v>
      </c>
    </row>
    <row r="3622" spans="1:11" x14ac:dyDescent="0.45">
      <c r="A3622" s="57">
        <v>433</v>
      </c>
      <c r="B3622" t="s">
        <v>7135</v>
      </c>
      <c r="C3622" t="s">
        <v>7136</v>
      </c>
      <c r="D3622" s="12">
        <v>46324</v>
      </c>
      <c r="E3622" s="11">
        <v>25</v>
      </c>
      <c r="F3622" s="11" t="s">
        <v>7806</v>
      </c>
      <c r="G3622">
        <v>20240401</v>
      </c>
      <c r="I3622" s="11" t="s">
        <v>18</v>
      </c>
      <c r="J3622" s="72">
        <v>558215</v>
      </c>
      <c r="K3622" s="99">
        <f>_xlfn.XLOOKUP(_2__ROI_Daily_Update[[#This Row],[CSM id]],SHP!F:F,SHP!EE:EE,"-")</f>
        <v>0</v>
      </c>
    </row>
    <row r="3623" spans="1:11" x14ac:dyDescent="0.45">
      <c r="A3623" s="57">
        <v>435</v>
      </c>
      <c r="B3623" t="s">
        <v>6995</v>
      </c>
      <c r="C3623" t="s">
        <v>6996</v>
      </c>
      <c r="D3623" s="12">
        <v>46324</v>
      </c>
      <c r="E3623" s="11">
        <v>12</v>
      </c>
      <c r="F3623" s="11" t="s">
        <v>7806</v>
      </c>
      <c r="G3623">
        <v>20230101</v>
      </c>
      <c r="I3623" s="11" t="s">
        <v>18</v>
      </c>
      <c r="J3623" s="72">
        <v>40530267</v>
      </c>
      <c r="K3623" s="99">
        <f>_xlfn.XLOOKUP(_2__ROI_Daily_Update[[#This Row],[CSM id]],SHP!F:F,SHP!EE:EE,"-")</f>
        <v>0</v>
      </c>
    </row>
    <row r="3624" spans="1:11" x14ac:dyDescent="0.45">
      <c r="A3624" s="57">
        <v>623</v>
      </c>
      <c r="B3624" t="s">
        <v>5931</v>
      </c>
      <c r="C3624" t="s">
        <v>5932</v>
      </c>
      <c r="D3624" s="12">
        <v>46324</v>
      </c>
      <c r="E3624" s="11">
        <v>54</v>
      </c>
      <c r="F3624" s="11" t="s">
        <v>7806</v>
      </c>
      <c r="G3624">
        <v>20260701</v>
      </c>
      <c r="I3624" s="11" t="s">
        <v>18</v>
      </c>
      <c r="J3624" s="72">
        <v>30382371</v>
      </c>
      <c r="K3624" s="99">
        <f>_xlfn.XLOOKUP(_2__ROI_Daily_Update[[#This Row],[CSM id]],SHP!F:F,SHP!EE:EE,"-")</f>
        <v>0</v>
      </c>
    </row>
    <row r="3625" spans="1:11" x14ac:dyDescent="0.45">
      <c r="A3625" s="57">
        <v>1121</v>
      </c>
      <c r="B3625" t="s">
        <v>1583</v>
      </c>
      <c r="C3625" t="s">
        <v>1584</v>
      </c>
      <c r="D3625" s="12">
        <v>46324</v>
      </c>
      <c r="E3625" s="11">
        <v>48</v>
      </c>
      <c r="F3625" s="11" t="s">
        <v>7806</v>
      </c>
      <c r="G3625">
        <v>20200201</v>
      </c>
      <c r="I3625" s="11" t="s">
        <v>18</v>
      </c>
      <c r="J3625" s="72">
        <v>50457006</v>
      </c>
      <c r="K3625" s="99">
        <f>_xlfn.XLOOKUP(_2__ROI_Daily_Update[[#This Row],[CSM id]],SHP!F:F,SHP!EE:EE,"-")</f>
        <v>0</v>
      </c>
    </row>
    <row r="3626" spans="1:11" x14ac:dyDescent="0.45">
      <c r="A3626" s="57">
        <v>972</v>
      </c>
      <c r="B3626" t="s">
        <v>873</v>
      </c>
      <c r="C3626" t="s">
        <v>874</v>
      </c>
      <c r="D3626" s="12">
        <v>46324</v>
      </c>
      <c r="E3626" s="11">
        <v>42</v>
      </c>
      <c r="F3626" s="11" t="s">
        <v>7806</v>
      </c>
      <c r="G3626">
        <v>20261001</v>
      </c>
      <c r="I3626" s="11" t="s">
        <v>18</v>
      </c>
      <c r="J3626" s="72">
        <v>20641474</v>
      </c>
      <c r="K3626" s="99">
        <f>_xlfn.XLOOKUP(_2__ROI_Daily_Update[[#This Row],[CSM id]],SHP!F:F,SHP!EE:EE,"-")</f>
        <v>0</v>
      </c>
    </row>
    <row r="3627" spans="1:11" x14ac:dyDescent="0.45">
      <c r="A3627" s="57">
        <v>1852</v>
      </c>
      <c r="B3627" t="s">
        <v>3676</v>
      </c>
      <c r="C3627" t="s">
        <v>3677</v>
      </c>
      <c r="D3627" s="12">
        <v>46324</v>
      </c>
      <c r="E3627" s="11">
        <v>35</v>
      </c>
      <c r="F3627" s="11" t="s">
        <v>7806</v>
      </c>
      <c r="G3627">
        <v>20240101</v>
      </c>
      <c r="I3627" s="11" t="s">
        <v>18</v>
      </c>
      <c r="J3627" s="72">
        <v>20559978</v>
      </c>
      <c r="K3627" s="99">
        <f>_xlfn.XLOOKUP(_2__ROI_Daily_Update[[#This Row],[CSM id]],SHP!F:F,SHP!EE:EE,"-")</f>
        <v>0</v>
      </c>
    </row>
    <row r="3628" spans="1:11" x14ac:dyDescent="0.45">
      <c r="A3628" s="57">
        <v>1813</v>
      </c>
      <c r="B3628" t="s">
        <v>3372</v>
      </c>
      <c r="C3628" t="s">
        <v>3373</v>
      </c>
      <c r="D3628" s="12">
        <v>46324</v>
      </c>
      <c r="E3628" s="11">
        <v>72</v>
      </c>
      <c r="F3628" s="11" t="s">
        <v>7806</v>
      </c>
      <c r="G3628">
        <v>20260701</v>
      </c>
      <c r="I3628" s="11" t="s">
        <v>18</v>
      </c>
      <c r="J3628" s="72">
        <v>598589</v>
      </c>
      <c r="K3628" s="99">
        <f>_xlfn.XLOOKUP(_2__ROI_Daily_Update[[#This Row],[CSM id]],SHP!F:F,SHP!EE:EE,"-")</f>
        <v>0</v>
      </c>
    </row>
    <row r="3629" spans="1:11" x14ac:dyDescent="0.45">
      <c r="A3629" s="57">
        <v>1122</v>
      </c>
      <c r="B3629" t="s">
        <v>1621</v>
      </c>
      <c r="C3629" t="s">
        <v>1622</v>
      </c>
      <c r="D3629" s="12">
        <v>46324</v>
      </c>
      <c r="E3629" s="11">
        <v>12</v>
      </c>
      <c r="F3629" s="11" t="s">
        <v>7806</v>
      </c>
      <c r="G3629">
        <v>20250101</v>
      </c>
      <c r="H3629" s="12">
        <v>46478</v>
      </c>
      <c r="I3629" s="11" t="s">
        <v>32</v>
      </c>
      <c r="J3629" s="72">
        <v>60596196</v>
      </c>
      <c r="K3629" s="99">
        <f>_xlfn.XLOOKUP(_2__ROI_Daily_Update[[#This Row],[CSM id]],SHP!F:F,SHP!EE:EE,"-")</f>
        <v>0</v>
      </c>
    </row>
    <row r="3630" spans="1:11" x14ac:dyDescent="0.45">
      <c r="A3630" s="57">
        <v>1231</v>
      </c>
      <c r="B3630" t="s">
        <v>1909</v>
      </c>
      <c r="C3630" t="s">
        <v>1910</v>
      </c>
      <c r="D3630" s="12">
        <v>46324</v>
      </c>
      <c r="E3630" s="11">
        <v>68</v>
      </c>
      <c r="F3630" s="11" t="s">
        <v>7806</v>
      </c>
      <c r="G3630">
        <v>20180801</v>
      </c>
      <c r="I3630" s="11" t="s">
        <v>18</v>
      </c>
      <c r="J3630" s="72">
        <v>70372775</v>
      </c>
      <c r="K3630" s="99">
        <f>_xlfn.XLOOKUP(_2__ROI_Daily_Update[[#This Row],[CSM id]],SHP!F:F,SHP!EE:EE,"-")</f>
        <v>0</v>
      </c>
    </row>
    <row r="3631" spans="1:11" x14ac:dyDescent="0.45">
      <c r="A3631" s="57">
        <v>1831</v>
      </c>
      <c r="B3631" t="s">
        <v>5825</v>
      </c>
      <c r="C3631" t="s">
        <v>5826</v>
      </c>
      <c r="D3631" s="12">
        <v>46324</v>
      </c>
      <c r="E3631" s="11">
        <v>12</v>
      </c>
      <c r="F3631" s="11" t="s">
        <v>7806</v>
      </c>
      <c r="G3631">
        <v>20220101</v>
      </c>
      <c r="I3631" s="11" t="s">
        <v>18</v>
      </c>
      <c r="J3631" s="72">
        <v>503911</v>
      </c>
      <c r="K3631" s="99">
        <f>_xlfn.XLOOKUP(_2__ROI_Daily_Update[[#This Row],[CSM id]],SHP!F:F,SHP!EE:EE,"-")</f>
        <v>0</v>
      </c>
    </row>
    <row r="3632" spans="1:11" x14ac:dyDescent="0.45">
      <c r="A3632" s="57">
        <v>1132</v>
      </c>
      <c r="B3632" t="s">
        <v>1681</v>
      </c>
      <c r="C3632" t="s">
        <v>1682</v>
      </c>
      <c r="D3632" s="12">
        <v>46324</v>
      </c>
      <c r="E3632" s="11">
        <v>320</v>
      </c>
      <c r="F3632" s="11" t="s">
        <v>7806</v>
      </c>
      <c r="G3632">
        <v>20240701</v>
      </c>
      <c r="I3632" s="11" t="s">
        <v>18</v>
      </c>
      <c r="J3632" s="72">
        <v>581904</v>
      </c>
      <c r="K3632" s="99">
        <f>_xlfn.XLOOKUP(_2__ROI_Daily_Update[[#This Row],[CSM id]],SHP!F:F,SHP!EE:EE,"-")</f>
        <v>0</v>
      </c>
    </row>
    <row r="3633" spans="1:11" x14ac:dyDescent="0.45">
      <c r="A3633" s="57">
        <v>433</v>
      </c>
      <c r="B3633" t="s">
        <v>467</v>
      </c>
      <c r="C3633" t="s">
        <v>468</v>
      </c>
      <c r="D3633" s="12">
        <v>46324</v>
      </c>
      <c r="E3633" s="11">
        <v>39</v>
      </c>
      <c r="F3633" s="11" t="s">
        <v>7806</v>
      </c>
      <c r="G3633">
        <v>20140801</v>
      </c>
      <c r="I3633" s="11" t="s">
        <v>18</v>
      </c>
      <c r="J3633" s="72">
        <v>30231631</v>
      </c>
      <c r="K3633" s="99">
        <f>_xlfn.XLOOKUP(_2__ROI_Daily_Update[[#This Row],[CSM id]],SHP!F:F,SHP!EE:EE,"-")</f>
        <v>0</v>
      </c>
    </row>
    <row r="3634" spans="1:11" x14ac:dyDescent="0.45">
      <c r="A3634" s="57">
        <v>341</v>
      </c>
      <c r="B3634" t="s">
        <v>34</v>
      </c>
      <c r="C3634" t="s">
        <v>35</v>
      </c>
      <c r="D3634" s="12">
        <v>46324</v>
      </c>
      <c r="E3634" s="11">
        <v>280</v>
      </c>
      <c r="F3634" s="11" t="s">
        <v>7806</v>
      </c>
      <c r="G3634">
        <v>20140801</v>
      </c>
      <c r="I3634" s="11" t="s">
        <v>18</v>
      </c>
      <c r="J3634" s="72">
        <v>80217977</v>
      </c>
      <c r="K3634" s="99">
        <f>_xlfn.XLOOKUP(_2__ROI_Daily_Update[[#This Row],[CSM id]],SHP!F:F,SHP!EE:EE,"-")</f>
        <v>0</v>
      </c>
    </row>
    <row r="3635" spans="1:11" x14ac:dyDescent="0.45">
      <c r="A3635" s="57">
        <v>822</v>
      </c>
      <c r="B3635" t="s">
        <v>7223</v>
      </c>
      <c r="C3635" t="s">
        <v>7224</v>
      </c>
      <c r="D3635" s="12">
        <v>46324</v>
      </c>
      <c r="E3635" s="11">
        <v>50</v>
      </c>
      <c r="F3635" s="11" t="s">
        <v>7806</v>
      </c>
      <c r="G3635">
        <v>20251001</v>
      </c>
      <c r="I3635" s="11" t="s">
        <v>18</v>
      </c>
      <c r="J3635" s="72">
        <v>50608133</v>
      </c>
      <c r="K3635" s="99">
        <f>_xlfn.XLOOKUP(_2__ROI_Daily_Update[[#This Row],[CSM id]],SHP!F:F,SHP!EE:EE,"-")</f>
        <v>0</v>
      </c>
    </row>
    <row r="3636" spans="1:11" x14ac:dyDescent="0.45">
      <c r="A3636" s="57">
        <v>822</v>
      </c>
      <c r="B3636" t="s">
        <v>7153</v>
      </c>
      <c r="C3636" t="s">
        <v>7154</v>
      </c>
      <c r="D3636" s="12">
        <v>46324</v>
      </c>
      <c r="E3636" s="11">
        <v>100</v>
      </c>
      <c r="F3636" s="11" t="s">
        <v>7806</v>
      </c>
      <c r="G3636">
        <v>20191001</v>
      </c>
      <c r="I3636" s="11" t="s">
        <v>18</v>
      </c>
      <c r="J3636" s="72">
        <v>80420040</v>
      </c>
      <c r="K3636" s="99">
        <f>_xlfn.XLOOKUP(_2__ROI_Daily_Update[[#This Row],[CSM id]],SHP!F:F,SHP!EE:EE,"-")</f>
        <v>0</v>
      </c>
    </row>
    <row r="3637" spans="1:11" x14ac:dyDescent="0.45">
      <c r="A3637" s="57">
        <v>1132</v>
      </c>
      <c r="B3637" t="s">
        <v>6827</v>
      </c>
      <c r="C3637" t="s">
        <v>6828</v>
      </c>
      <c r="D3637" s="12">
        <v>46324</v>
      </c>
      <c r="E3637" s="11">
        <v>1376</v>
      </c>
      <c r="F3637" s="11" t="s">
        <v>7806</v>
      </c>
      <c r="G3637">
        <v>20250701</v>
      </c>
      <c r="I3637" s="11" t="s">
        <v>18</v>
      </c>
      <c r="J3637" s="72">
        <v>60611861</v>
      </c>
      <c r="K3637" s="99">
        <f>_xlfn.XLOOKUP(_2__ROI_Daily_Update[[#This Row],[CSM id]],SHP!F:F,SHP!EE:EE,"-")</f>
        <v>0</v>
      </c>
    </row>
    <row r="3638" spans="1:11" x14ac:dyDescent="0.45">
      <c r="A3638" s="57">
        <v>1644</v>
      </c>
      <c r="B3638" t="s">
        <v>3257</v>
      </c>
      <c r="C3638" t="s">
        <v>3258</v>
      </c>
      <c r="D3638" s="12">
        <v>46324</v>
      </c>
      <c r="E3638" s="11">
        <v>96</v>
      </c>
      <c r="F3638" s="11" t="s">
        <v>7806</v>
      </c>
      <c r="G3638">
        <v>20151001</v>
      </c>
      <c r="I3638" s="11" t="s">
        <v>18</v>
      </c>
      <c r="J3638" s="72">
        <v>30297467</v>
      </c>
      <c r="K3638" s="99">
        <f>_xlfn.XLOOKUP(_2__ROI_Daily_Update[[#This Row],[CSM id]],SHP!F:F,SHP!EE:EE,"-")</f>
        <v>0</v>
      </c>
    </row>
    <row r="3639" spans="1:11" x14ac:dyDescent="0.45">
      <c r="A3639" s="57">
        <v>131</v>
      </c>
      <c r="B3639" t="s">
        <v>169</v>
      </c>
      <c r="C3639" t="s">
        <v>170</v>
      </c>
      <c r="D3639" s="12">
        <v>46324</v>
      </c>
      <c r="E3639" s="11">
        <v>28</v>
      </c>
      <c r="F3639" s="11" t="s">
        <v>7806</v>
      </c>
      <c r="G3639">
        <v>20230401</v>
      </c>
      <c r="I3639" s="11" t="s">
        <v>18</v>
      </c>
      <c r="J3639" s="72">
        <v>20530918</v>
      </c>
      <c r="K3639" s="99">
        <f>_xlfn.XLOOKUP(_2__ROI_Daily_Update[[#This Row],[CSM id]],SHP!F:F,SHP!EE:EE,"-")</f>
        <v>0</v>
      </c>
    </row>
    <row r="3640" spans="1:11" x14ac:dyDescent="0.45">
      <c r="A3640" s="57">
        <v>341</v>
      </c>
      <c r="B3640" t="s">
        <v>283</v>
      </c>
      <c r="C3640" t="s">
        <v>284</v>
      </c>
      <c r="D3640" s="12">
        <v>46324</v>
      </c>
      <c r="E3640" s="11">
        <v>16</v>
      </c>
      <c r="F3640" s="11" t="s">
        <v>7806</v>
      </c>
      <c r="G3640">
        <v>20170401</v>
      </c>
      <c r="H3640" s="12">
        <v>46478</v>
      </c>
      <c r="I3640" s="11" t="s">
        <v>18</v>
      </c>
      <c r="J3640" s="72">
        <v>80354281</v>
      </c>
      <c r="K3640" s="99">
        <f>_xlfn.XLOOKUP(_2__ROI_Daily_Update[[#This Row],[CSM id]],SHP!F:F,SHP!EE:EE,"-")</f>
        <v>0</v>
      </c>
    </row>
    <row r="3641" spans="1:11" x14ac:dyDescent="0.45">
      <c r="A3641" s="57">
        <v>1132</v>
      </c>
      <c r="B3641" t="s">
        <v>1685</v>
      </c>
      <c r="C3641" t="s">
        <v>1686</v>
      </c>
      <c r="D3641" s="12">
        <v>46324</v>
      </c>
      <c r="E3641" s="11">
        <v>344</v>
      </c>
      <c r="F3641" s="11" t="s">
        <v>7806</v>
      </c>
      <c r="G3641">
        <v>20250701</v>
      </c>
      <c r="I3641" s="11" t="s">
        <v>18</v>
      </c>
      <c r="J3641" s="72">
        <v>30610269</v>
      </c>
      <c r="K3641" s="99">
        <f>_xlfn.XLOOKUP(_2__ROI_Daily_Update[[#This Row],[CSM id]],SHP!F:F,SHP!EE:EE,"-")</f>
        <v>0</v>
      </c>
    </row>
    <row r="3642" spans="1:11" x14ac:dyDescent="0.45">
      <c r="A3642" s="57">
        <v>821</v>
      </c>
      <c r="B3642" t="s">
        <v>649</v>
      </c>
      <c r="C3642" t="s">
        <v>650</v>
      </c>
      <c r="D3642" s="12">
        <v>46324</v>
      </c>
      <c r="E3642" s="11">
        <v>64</v>
      </c>
      <c r="F3642" s="11" t="s">
        <v>7806</v>
      </c>
      <c r="G3642">
        <v>20260101</v>
      </c>
      <c r="I3642" s="11" t="s">
        <v>18</v>
      </c>
      <c r="J3642" s="72">
        <v>80611817</v>
      </c>
      <c r="K3642" s="99">
        <f>_xlfn.XLOOKUP(_2__ROI_Daily_Update[[#This Row],[CSM id]],SHP!F:F,SHP!EE:EE,"-")</f>
        <v>0</v>
      </c>
    </row>
    <row r="3643" spans="1:11" x14ac:dyDescent="0.45">
      <c r="A3643" s="57">
        <v>1233</v>
      </c>
      <c r="B3643" t="s">
        <v>7149</v>
      </c>
      <c r="C3643" t="s">
        <v>7150</v>
      </c>
      <c r="D3643" s="12">
        <v>46324</v>
      </c>
      <c r="E3643" s="11">
        <v>180</v>
      </c>
      <c r="F3643" s="11" t="s">
        <v>7806</v>
      </c>
      <c r="G3643">
        <v>20221001</v>
      </c>
      <c r="I3643" s="11" t="s">
        <v>18</v>
      </c>
      <c r="J3643" s="72">
        <v>10538118</v>
      </c>
      <c r="K3643" s="99">
        <f>_xlfn.XLOOKUP(_2__ROI_Daily_Update[[#This Row],[CSM id]],SHP!F:F,SHP!EE:EE,"-")</f>
        <v>0</v>
      </c>
    </row>
    <row r="3644" spans="1:11" x14ac:dyDescent="0.45">
      <c r="A3644" s="57">
        <v>981</v>
      </c>
      <c r="B3644" t="s">
        <v>947</v>
      </c>
      <c r="C3644" t="s">
        <v>948</v>
      </c>
      <c r="D3644" s="12">
        <v>46324</v>
      </c>
      <c r="E3644" s="11">
        <v>24</v>
      </c>
      <c r="F3644" s="11" t="s">
        <v>7806</v>
      </c>
      <c r="G3644">
        <v>20180401</v>
      </c>
      <c r="I3644" s="11" t="s">
        <v>18</v>
      </c>
      <c r="J3644" s="72">
        <v>90365364</v>
      </c>
      <c r="K3644" s="99">
        <f>_xlfn.XLOOKUP(_2__ROI_Daily_Update[[#This Row],[CSM id]],SHP!F:F,SHP!EE:EE,"-")</f>
        <v>0</v>
      </c>
    </row>
    <row r="3645" spans="1:11" x14ac:dyDescent="0.45">
      <c r="A3645" s="57">
        <v>1233</v>
      </c>
      <c r="B3645" t="s">
        <v>2014</v>
      </c>
      <c r="C3645" t="s">
        <v>2015</v>
      </c>
      <c r="D3645" s="12">
        <v>46324</v>
      </c>
      <c r="E3645" s="11">
        <v>20</v>
      </c>
      <c r="F3645" s="11" t="s">
        <v>7806</v>
      </c>
      <c r="G3645">
        <v>20261001</v>
      </c>
      <c r="I3645" s="11" t="s">
        <v>18</v>
      </c>
      <c r="J3645" s="72">
        <v>90635158</v>
      </c>
      <c r="K3645" s="99">
        <f>_xlfn.XLOOKUP(_2__ROI_Daily_Update[[#This Row],[CSM id]],SHP!F:F,SHP!EE:EE,"-")</f>
        <v>0</v>
      </c>
    </row>
    <row r="3646" spans="1:11" x14ac:dyDescent="0.45">
      <c r="A3646" s="57">
        <v>921</v>
      </c>
      <c r="B3646" t="s">
        <v>680</v>
      </c>
      <c r="C3646" t="s">
        <v>681</v>
      </c>
      <c r="D3646" s="12">
        <v>46324</v>
      </c>
      <c r="E3646" s="11">
        <v>108</v>
      </c>
      <c r="F3646" s="11" t="s">
        <v>7806</v>
      </c>
      <c r="G3646">
        <v>20250101</v>
      </c>
      <c r="I3646" s="11" t="s">
        <v>18</v>
      </c>
      <c r="J3646" s="72">
        <v>20582101</v>
      </c>
      <c r="K3646" s="99">
        <f>_xlfn.XLOOKUP(_2__ROI_Daily_Update[[#This Row],[CSM id]],SHP!F:F,SHP!EE:EE,"-")</f>
        <v>0</v>
      </c>
    </row>
    <row r="3647" spans="1:11" x14ac:dyDescent="0.45">
      <c r="A3647" s="57">
        <v>1622</v>
      </c>
      <c r="B3647" t="s">
        <v>2903</v>
      </c>
      <c r="C3647" t="s">
        <v>2904</v>
      </c>
      <c r="D3647" s="12">
        <v>46325</v>
      </c>
      <c r="E3647" s="11">
        <v>20</v>
      </c>
      <c r="F3647" s="11" t="s">
        <v>0</v>
      </c>
      <c r="G3647">
        <v>20260101</v>
      </c>
      <c r="I3647" s="11" t="s">
        <v>32</v>
      </c>
      <c r="J3647" s="72">
        <v>40625755</v>
      </c>
      <c r="K3647" s="99" t="str">
        <f>_xlfn.XLOOKUP(_2__ROI_Daily_Update[[#This Row],[CSM id]],SHP!F:F,SHP!EE:EE,"-")</f>
        <v>-</v>
      </c>
    </row>
    <row r="3648" spans="1:11" x14ac:dyDescent="0.45">
      <c r="A3648" s="57">
        <v>1622</v>
      </c>
      <c r="B3648" t="s">
        <v>2901</v>
      </c>
      <c r="C3648" t="s">
        <v>2902</v>
      </c>
      <c r="D3648" s="12">
        <v>46325</v>
      </c>
      <c r="E3648" s="11">
        <v>20</v>
      </c>
      <c r="F3648" s="11" t="s">
        <v>0</v>
      </c>
      <c r="G3648">
        <v>20161001</v>
      </c>
      <c r="I3648" s="11" t="s">
        <v>32</v>
      </c>
      <c r="J3648" s="72">
        <v>40342271</v>
      </c>
      <c r="K3648" s="99" t="str">
        <f>_xlfn.XLOOKUP(_2__ROI_Daily_Update[[#This Row],[CSM id]],SHP!F:F,SHP!EE:EE,"-")</f>
        <v>-</v>
      </c>
    </row>
    <row r="3649" spans="1:11" x14ac:dyDescent="0.45">
      <c r="A3649" s="57">
        <v>1622</v>
      </c>
      <c r="B3649" t="s">
        <v>6950</v>
      </c>
      <c r="C3649" t="s">
        <v>6951</v>
      </c>
      <c r="D3649" s="12">
        <v>46325</v>
      </c>
      <c r="E3649" s="11">
        <v>20</v>
      </c>
      <c r="F3649" s="11" t="s">
        <v>0</v>
      </c>
      <c r="G3649">
        <v>20160401</v>
      </c>
      <c r="I3649" s="11" t="s">
        <v>32</v>
      </c>
      <c r="J3649" s="72">
        <v>60339908</v>
      </c>
      <c r="K3649" s="99" t="str">
        <f>_xlfn.XLOOKUP(_2__ROI_Daily_Update[[#This Row],[CSM id]],SHP!F:F,SHP!EE:EE,"-")</f>
        <v>-</v>
      </c>
    </row>
    <row r="3650" spans="1:11" x14ac:dyDescent="0.45">
      <c r="A3650" s="57">
        <v>1622</v>
      </c>
      <c r="B3650" t="s">
        <v>7818</v>
      </c>
      <c r="C3650" t="s">
        <v>7819</v>
      </c>
      <c r="D3650" s="12">
        <v>46325</v>
      </c>
      <c r="E3650" s="11">
        <v>12</v>
      </c>
      <c r="F3650" s="11" t="s">
        <v>0</v>
      </c>
      <c r="G3650">
        <v>20260101</v>
      </c>
      <c r="I3650" s="11" t="s">
        <v>32</v>
      </c>
      <c r="J3650" s="72">
        <v>30625765</v>
      </c>
      <c r="K3650" s="99" t="str">
        <f>_xlfn.XLOOKUP(_2__ROI_Daily_Update[[#This Row],[CSM id]],SHP!F:F,SHP!EE:EE,"-")</f>
        <v>-</v>
      </c>
    </row>
    <row r="3651" spans="1:11" x14ac:dyDescent="0.45">
      <c r="A3651" s="57">
        <v>1622</v>
      </c>
      <c r="B3651" t="s">
        <v>7820</v>
      </c>
      <c r="C3651" t="s">
        <v>7821</v>
      </c>
      <c r="D3651" s="12">
        <v>46325</v>
      </c>
      <c r="E3651" s="11">
        <v>12</v>
      </c>
      <c r="F3651" s="11" t="s">
        <v>0</v>
      </c>
      <c r="G3651">
        <v>20240701</v>
      </c>
      <c r="I3651" s="11" t="s">
        <v>32</v>
      </c>
      <c r="J3651" s="72">
        <v>30588664</v>
      </c>
      <c r="K3651" s="99" t="str">
        <f>_xlfn.XLOOKUP(_2__ROI_Daily_Update[[#This Row],[CSM id]],SHP!F:F,SHP!EE:EE,"-")</f>
        <v>-</v>
      </c>
    </row>
    <row r="3652" spans="1:11" x14ac:dyDescent="0.45">
      <c r="A3652" s="57">
        <v>341</v>
      </c>
      <c r="B3652" t="s">
        <v>333</v>
      </c>
      <c r="C3652" t="s">
        <v>334</v>
      </c>
      <c r="D3652" s="12">
        <v>46325</v>
      </c>
      <c r="E3652" s="11">
        <v>9</v>
      </c>
      <c r="F3652" s="11" t="s">
        <v>7746</v>
      </c>
      <c r="G3652">
        <v>20170401</v>
      </c>
      <c r="H3652" s="12">
        <v>46478</v>
      </c>
      <c r="I3652" s="11" t="s">
        <v>32</v>
      </c>
      <c r="J3652" s="72">
        <v>80354276</v>
      </c>
      <c r="K3652" s="99" t="str">
        <f>_xlfn.XLOOKUP(_2__ROI_Daily_Update[[#This Row],[CSM id]],SHP!F:F,SHP!EE:EE,"-")</f>
        <v>-</v>
      </c>
    </row>
    <row r="3653" spans="1:11" x14ac:dyDescent="0.45">
      <c r="A3653" s="57">
        <v>1622</v>
      </c>
      <c r="B3653" t="s">
        <v>7822</v>
      </c>
      <c r="C3653" t="s">
        <v>7823</v>
      </c>
      <c r="D3653" s="12">
        <v>46325</v>
      </c>
      <c r="E3653" s="11">
        <v>58</v>
      </c>
      <c r="F3653" s="11" t="s">
        <v>0</v>
      </c>
      <c r="G3653">
        <v>20161001</v>
      </c>
      <c r="I3653" s="11" t="s">
        <v>32</v>
      </c>
      <c r="J3653" s="72">
        <v>342268</v>
      </c>
      <c r="K3653" s="99" t="str">
        <f>_xlfn.XLOOKUP(_2__ROI_Daily_Update[[#This Row],[CSM id]],SHP!F:F,SHP!EE:EE,"-")</f>
        <v>-</v>
      </c>
    </row>
    <row r="3654" spans="1:11" x14ac:dyDescent="0.45">
      <c r="A3654" s="57">
        <v>1622</v>
      </c>
      <c r="B3654" t="s">
        <v>7824</v>
      </c>
      <c r="C3654" t="s">
        <v>7825</v>
      </c>
      <c r="D3654" s="12">
        <v>46325</v>
      </c>
      <c r="E3654" s="11">
        <v>20</v>
      </c>
      <c r="F3654" s="11" t="s">
        <v>0</v>
      </c>
      <c r="G3654">
        <v>20260101</v>
      </c>
      <c r="I3654" s="11" t="s">
        <v>32</v>
      </c>
      <c r="J3654" s="72">
        <v>70625754</v>
      </c>
      <c r="K3654" s="99" t="str">
        <f>_xlfn.XLOOKUP(_2__ROI_Daily_Update[[#This Row],[CSM id]],SHP!F:F,SHP!EE:EE,"-")</f>
        <v>-</v>
      </c>
    </row>
    <row r="3655" spans="1:11" x14ac:dyDescent="0.45">
      <c r="A3655" s="57">
        <v>921</v>
      </c>
      <c r="B3655" t="s">
        <v>678</v>
      </c>
      <c r="C3655" t="s">
        <v>679</v>
      </c>
      <c r="D3655" s="12">
        <v>46325</v>
      </c>
      <c r="E3655" s="11">
        <v>52</v>
      </c>
      <c r="F3655" s="11" t="s">
        <v>7746</v>
      </c>
      <c r="G3655">
        <v>20170401</v>
      </c>
      <c r="I3655" s="11" t="s">
        <v>32</v>
      </c>
      <c r="J3655" s="72">
        <v>20351431</v>
      </c>
      <c r="K3655" s="99" t="str">
        <f>_xlfn.XLOOKUP(_2__ROI_Daily_Update[[#This Row],[CSM id]],SHP!F:F,SHP!EE:EE,"-")</f>
        <v>-</v>
      </c>
    </row>
    <row r="3656" spans="1:11" x14ac:dyDescent="0.45">
      <c r="A3656" s="57">
        <v>1622</v>
      </c>
      <c r="B3656" t="s">
        <v>2907</v>
      </c>
      <c r="C3656" t="s">
        <v>2908</v>
      </c>
      <c r="D3656" s="12">
        <v>46325</v>
      </c>
      <c r="E3656" s="11">
        <v>20</v>
      </c>
      <c r="F3656" s="11" t="s">
        <v>0</v>
      </c>
      <c r="G3656">
        <v>20260101</v>
      </c>
      <c r="I3656" s="11" t="s">
        <v>32</v>
      </c>
      <c r="J3656" s="72">
        <v>70625768</v>
      </c>
      <c r="K3656" s="99" t="str">
        <f>_xlfn.XLOOKUP(_2__ROI_Daily_Update[[#This Row],[CSM id]],SHP!F:F,SHP!EE:EE,"-")</f>
        <v>-</v>
      </c>
    </row>
    <row r="3657" spans="1:11" x14ac:dyDescent="0.45">
      <c r="A3657" s="57">
        <v>1622</v>
      </c>
      <c r="B3657" t="s">
        <v>7826</v>
      </c>
      <c r="C3657" t="s">
        <v>7827</v>
      </c>
      <c r="D3657" s="12">
        <v>46325</v>
      </c>
      <c r="E3657" s="11">
        <v>12</v>
      </c>
      <c r="F3657" s="11" t="s">
        <v>0</v>
      </c>
      <c r="G3657">
        <v>20260101</v>
      </c>
      <c r="I3657" s="11" t="s">
        <v>32</v>
      </c>
      <c r="J3657" s="72">
        <v>80625758</v>
      </c>
      <c r="K3657" s="99" t="str">
        <f>_xlfn.XLOOKUP(_2__ROI_Daily_Update[[#This Row],[CSM id]],SHP!F:F,SHP!EE:EE,"-")</f>
        <v>-</v>
      </c>
    </row>
    <row r="3658" spans="1:11" x14ac:dyDescent="0.45">
      <c r="A3658" s="57">
        <v>921</v>
      </c>
      <c r="B3658" t="s">
        <v>696</v>
      </c>
      <c r="C3658" t="s">
        <v>697</v>
      </c>
      <c r="D3658" s="12">
        <v>46325</v>
      </c>
      <c r="E3658" s="11">
        <v>52</v>
      </c>
      <c r="F3658" s="11" t="s">
        <v>7746</v>
      </c>
      <c r="G3658">
        <v>20170401</v>
      </c>
      <c r="I3658" s="11" t="s">
        <v>32</v>
      </c>
      <c r="J3658" s="72">
        <v>60351434</v>
      </c>
      <c r="K3658" s="99" t="str">
        <f>_xlfn.XLOOKUP(_2__ROI_Daily_Update[[#This Row],[CSM id]],SHP!F:F,SHP!EE:EE,"-")</f>
        <v>-</v>
      </c>
    </row>
    <row r="3659" spans="1:11" x14ac:dyDescent="0.45">
      <c r="A3659" s="57">
        <v>1622</v>
      </c>
      <c r="B3659" t="s">
        <v>2899</v>
      </c>
      <c r="C3659" t="s">
        <v>2900</v>
      </c>
      <c r="D3659" s="12">
        <v>46325</v>
      </c>
      <c r="E3659" s="11">
        <v>40</v>
      </c>
      <c r="F3659" s="11" t="s">
        <v>0</v>
      </c>
      <c r="G3659">
        <v>20160401</v>
      </c>
      <c r="I3659" s="11" t="s">
        <v>32</v>
      </c>
      <c r="J3659" s="72">
        <v>40339914</v>
      </c>
      <c r="K3659" s="99" t="str">
        <f>_xlfn.XLOOKUP(_2__ROI_Daily_Update[[#This Row],[CSM id]],SHP!F:F,SHP!EE:EE,"-")</f>
        <v>-</v>
      </c>
    </row>
    <row r="3660" spans="1:11" x14ac:dyDescent="0.45">
      <c r="A3660" s="57">
        <v>131</v>
      </c>
      <c r="B3660" t="s">
        <v>164</v>
      </c>
      <c r="C3660" t="s">
        <v>165</v>
      </c>
      <c r="D3660" s="12">
        <v>46325</v>
      </c>
      <c r="E3660" s="11">
        <v>72</v>
      </c>
      <c r="F3660" s="11" t="s">
        <v>7746</v>
      </c>
      <c r="G3660">
        <v>20220401</v>
      </c>
      <c r="I3660" s="11" t="s">
        <v>32</v>
      </c>
      <c r="J3660" s="72">
        <v>10514792</v>
      </c>
      <c r="K3660" s="99" t="str">
        <f>_xlfn.XLOOKUP(_2__ROI_Daily_Update[[#This Row],[CSM id]],SHP!F:F,SHP!EE:EE,"-")</f>
        <v>-</v>
      </c>
    </row>
    <row r="3661" spans="1:11" x14ac:dyDescent="0.45">
      <c r="A3661" s="57">
        <v>131</v>
      </c>
      <c r="B3661" t="s">
        <v>151</v>
      </c>
      <c r="C3661" t="s">
        <v>152</v>
      </c>
      <c r="D3661" s="12">
        <v>46325</v>
      </c>
      <c r="E3661" s="11">
        <v>30</v>
      </c>
      <c r="F3661" s="11" t="s">
        <v>7746</v>
      </c>
      <c r="G3661">
        <v>20231001</v>
      </c>
      <c r="I3661" s="11" t="s">
        <v>32</v>
      </c>
      <c r="J3661" s="72">
        <v>541423</v>
      </c>
      <c r="K3661" s="99" t="str">
        <f>_xlfn.XLOOKUP(_2__ROI_Daily_Update[[#This Row],[CSM id]],SHP!F:F,SHP!EE:EE,"-")</f>
        <v>-</v>
      </c>
    </row>
    <row r="3662" spans="1:11" x14ac:dyDescent="0.45">
      <c r="A3662" s="57">
        <v>125</v>
      </c>
      <c r="B3662" t="s">
        <v>134</v>
      </c>
      <c r="C3662" t="s">
        <v>135</v>
      </c>
      <c r="D3662" s="12">
        <v>46326</v>
      </c>
      <c r="E3662" s="11">
        <v>2</v>
      </c>
      <c r="F3662" s="11" t="s">
        <v>0</v>
      </c>
      <c r="G3662">
        <v>20261001</v>
      </c>
      <c r="I3662" s="11" t="s">
        <v>32</v>
      </c>
      <c r="J3662" s="72">
        <v>90624348</v>
      </c>
      <c r="K3662" s="99" t="str">
        <f>_xlfn.XLOOKUP(_2__ROI_Daily_Update[[#This Row],[CSM id]],SHP!F:F,SHP!EE:EE,"-")</f>
        <v>-</v>
      </c>
    </row>
    <row r="3663" spans="1:11" x14ac:dyDescent="0.45">
      <c r="A3663" s="57">
        <v>131</v>
      </c>
      <c r="B3663" t="s">
        <v>196</v>
      </c>
      <c r="C3663" t="s">
        <v>197</v>
      </c>
      <c r="D3663" s="12">
        <v>46327</v>
      </c>
      <c r="E3663" s="11">
        <v>28</v>
      </c>
      <c r="F3663" s="11" t="s">
        <v>5780</v>
      </c>
      <c r="G3663">
        <v>20250701</v>
      </c>
      <c r="I3663" s="11" t="s">
        <v>32</v>
      </c>
      <c r="J3663" s="72">
        <v>70606166</v>
      </c>
      <c r="K3663" s="99">
        <f>_xlfn.XLOOKUP(_2__ROI_Daily_Update[[#This Row],[CSM id]],SHP!F:F,SHP!EE:EE,"-")</f>
        <v>0</v>
      </c>
    </row>
    <row r="3664" spans="1:11" x14ac:dyDescent="0.45">
      <c r="A3664" s="57">
        <v>131</v>
      </c>
      <c r="B3664" t="s">
        <v>184</v>
      </c>
      <c r="C3664" t="s">
        <v>185</v>
      </c>
      <c r="D3664" s="12">
        <v>46327</v>
      </c>
      <c r="E3664" s="11">
        <v>18</v>
      </c>
      <c r="F3664" s="11" t="s">
        <v>5780</v>
      </c>
      <c r="G3664">
        <v>20260401</v>
      </c>
      <c r="I3664" s="11" t="s">
        <v>32</v>
      </c>
      <c r="J3664" s="72">
        <v>50609000</v>
      </c>
      <c r="K3664" s="99">
        <f>_xlfn.XLOOKUP(_2__ROI_Daily_Update[[#This Row],[CSM id]],SHP!F:F,SHP!EE:EE,"-")</f>
        <v>0</v>
      </c>
    </row>
    <row r="3665" spans="1:11" x14ac:dyDescent="0.45">
      <c r="A3665" s="57">
        <v>131</v>
      </c>
      <c r="B3665" t="s">
        <v>179</v>
      </c>
      <c r="C3665" t="s">
        <v>180</v>
      </c>
      <c r="D3665" s="12">
        <v>46327</v>
      </c>
      <c r="E3665" s="11">
        <v>44</v>
      </c>
      <c r="F3665" s="11" t="s">
        <v>5780</v>
      </c>
      <c r="G3665">
        <v>20161001</v>
      </c>
      <c r="I3665" s="11" t="s">
        <v>32</v>
      </c>
      <c r="J3665" s="72">
        <v>50337820</v>
      </c>
      <c r="K3665" s="99">
        <f>_xlfn.XLOOKUP(_2__ROI_Daily_Update[[#This Row],[CSM id]],SHP!F:F,SHP!EE:EE,"-")</f>
        <v>0</v>
      </c>
    </row>
    <row r="3666" spans="1:11" x14ac:dyDescent="0.45">
      <c r="A3666" s="57">
        <v>341</v>
      </c>
      <c r="B3666" t="s">
        <v>349</v>
      </c>
      <c r="C3666" t="s">
        <v>350</v>
      </c>
      <c r="D3666" s="12">
        <v>46328</v>
      </c>
      <c r="E3666" s="11">
        <v>27</v>
      </c>
      <c r="F3666" s="11" t="s">
        <v>7289</v>
      </c>
      <c r="G3666">
        <v>20170801</v>
      </c>
      <c r="I3666" s="11" t="s">
        <v>32</v>
      </c>
      <c r="J3666" s="72">
        <v>361756</v>
      </c>
      <c r="K3666" s="99" t="str">
        <f>_xlfn.XLOOKUP(_2__ROI_Daily_Update[[#This Row],[CSM id]],SHP!F:F,SHP!EE:EE,"-")</f>
        <v>-</v>
      </c>
    </row>
    <row r="3667" spans="1:11" x14ac:dyDescent="0.45">
      <c r="A3667" s="57">
        <v>131</v>
      </c>
      <c r="B3667" t="s">
        <v>151</v>
      </c>
      <c r="C3667" t="s">
        <v>152</v>
      </c>
      <c r="D3667" s="12">
        <v>46328</v>
      </c>
      <c r="E3667" s="11">
        <v>30</v>
      </c>
      <c r="F3667" s="11" t="s">
        <v>7289</v>
      </c>
      <c r="G3667">
        <v>20231001</v>
      </c>
      <c r="I3667" s="11" t="s">
        <v>32</v>
      </c>
      <c r="J3667" s="72">
        <v>541423</v>
      </c>
      <c r="K3667" s="99" t="str">
        <f>_xlfn.XLOOKUP(_2__ROI_Daily_Update[[#This Row],[CSM id]],SHP!F:F,SHP!EE:EE,"-")</f>
        <v>-</v>
      </c>
    </row>
    <row r="3668" spans="1:11" x14ac:dyDescent="0.45">
      <c r="A3668" s="57">
        <v>214</v>
      </c>
      <c r="B3668" t="s">
        <v>255</v>
      </c>
      <c r="C3668" t="s">
        <v>256</v>
      </c>
      <c r="D3668" s="12">
        <v>46328</v>
      </c>
      <c r="E3668" s="11">
        <v>72</v>
      </c>
      <c r="F3668" s="11" t="s">
        <v>7289</v>
      </c>
      <c r="G3668">
        <v>20230701</v>
      </c>
      <c r="I3668" s="11" t="s">
        <v>32</v>
      </c>
      <c r="J3668" s="72">
        <v>70522044</v>
      </c>
      <c r="K3668" s="99" t="str">
        <f>_xlfn.XLOOKUP(_2__ROI_Daily_Update[[#This Row],[CSM id]],SHP!F:F,SHP!EE:EE,"-")</f>
        <v>-</v>
      </c>
    </row>
    <row r="3669" spans="1:11" x14ac:dyDescent="0.45">
      <c r="A3669" s="57">
        <v>341</v>
      </c>
      <c r="B3669" t="s">
        <v>341</v>
      </c>
      <c r="C3669" t="s">
        <v>342</v>
      </c>
      <c r="D3669" s="12">
        <v>46328</v>
      </c>
      <c r="E3669" s="11">
        <v>27</v>
      </c>
      <c r="F3669" s="11" t="s">
        <v>7289</v>
      </c>
      <c r="G3669">
        <v>20210401</v>
      </c>
      <c r="I3669" s="11" t="s">
        <v>32</v>
      </c>
      <c r="J3669" s="72">
        <v>30460665</v>
      </c>
      <c r="K3669" s="99" t="str">
        <f>_xlfn.XLOOKUP(_2__ROI_Daily_Update[[#This Row],[CSM id]],SHP!F:F,SHP!EE:EE,"-")</f>
        <v>-</v>
      </c>
    </row>
    <row r="3670" spans="1:11" x14ac:dyDescent="0.45">
      <c r="A3670" s="57">
        <v>431</v>
      </c>
      <c r="B3670" t="s">
        <v>459</v>
      </c>
      <c r="C3670" t="s">
        <v>460</v>
      </c>
      <c r="D3670" s="12">
        <v>46328</v>
      </c>
      <c r="E3670" s="11">
        <v>24</v>
      </c>
      <c r="F3670" s="11" t="s">
        <v>7828</v>
      </c>
      <c r="G3670">
        <v>20261001</v>
      </c>
      <c r="I3670" s="11" t="s">
        <v>32</v>
      </c>
      <c r="J3670" s="72">
        <v>90561119</v>
      </c>
      <c r="K3670" s="99" t="str">
        <f>_xlfn.XLOOKUP(_2__ROI_Daily_Update[[#This Row],[CSM id]],SHP!F:F,SHP!EE:EE,"-")</f>
        <v>-</v>
      </c>
    </row>
    <row r="3671" spans="1:11" x14ac:dyDescent="0.45">
      <c r="A3671" s="57">
        <v>1821</v>
      </c>
      <c r="B3671" t="s">
        <v>3525</v>
      </c>
      <c r="C3671" t="s">
        <v>3526</v>
      </c>
      <c r="D3671" s="12">
        <v>46328</v>
      </c>
      <c r="E3671" s="11">
        <v>30</v>
      </c>
      <c r="F3671" s="11" t="s">
        <v>7828</v>
      </c>
      <c r="G3671">
        <v>20220701</v>
      </c>
      <c r="I3671" s="11" t="s">
        <v>32</v>
      </c>
      <c r="J3671" s="72">
        <v>30534379</v>
      </c>
      <c r="K3671" s="99" t="str">
        <f>_xlfn.XLOOKUP(_2__ROI_Daily_Update[[#This Row],[CSM id]],SHP!F:F,SHP!EE:EE,"-")</f>
        <v>-</v>
      </c>
    </row>
    <row r="3672" spans="1:11" x14ac:dyDescent="0.45">
      <c r="A3672" s="57">
        <v>214</v>
      </c>
      <c r="B3672" t="s">
        <v>251</v>
      </c>
      <c r="C3672" t="s">
        <v>252</v>
      </c>
      <c r="D3672" s="12">
        <v>46328</v>
      </c>
      <c r="E3672" s="11">
        <v>70</v>
      </c>
      <c r="F3672" s="11" t="s">
        <v>7828</v>
      </c>
      <c r="G3672">
        <v>20140801</v>
      </c>
      <c r="I3672" s="11" t="s">
        <v>32</v>
      </c>
      <c r="J3672" s="72">
        <v>60275685</v>
      </c>
      <c r="K3672" s="99" t="str">
        <f>_xlfn.XLOOKUP(_2__ROI_Daily_Update[[#This Row],[CSM id]],SHP!F:F,SHP!EE:EE,"-")</f>
        <v>-</v>
      </c>
    </row>
    <row r="3673" spans="1:11" x14ac:dyDescent="0.45">
      <c r="A3673" s="57">
        <v>431</v>
      </c>
      <c r="B3673" t="s">
        <v>330</v>
      </c>
      <c r="C3673" t="s">
        <v>331</v>
      </c>
      <c r="D3673" s="12">
        <v>46328</v>
      </c>
      <c r="E3673" s="11">
        <v>24</v>
      </c>
      <c r="F3673" s="11" t="s">
        <v>7828</v>
      </c>
      <c r="G3673">
        <v>20230401</v>
      </c>
      <c r="I3673" s="11" t="s">
        <v>32</v>
      </c>
      <c r="J3673" s="72">
        <v>80483240</v>
      </c>
      <c r="K3673" s="99" t="str">
        <f>_xlfn.XLOOKUP(_2__ROI_Daily_Update[[#This Row],[CSM id]],SHP!F:F,SHP!EE:EE,"-")</f>
        <v>-</v>
      </c>
    </row>
    <row r="3674" spans="1:11" x14ac:dyDescent="0.45">
      <c r="A3674" s="57">
        <v>214</v>
      </c>
      <c r="B3674" t="s">
        <v>257</v>
      </c>
      <c r="C3674" t="s">
        <v>258</v>
      </c>
      <c r="D3674" s="12">
        <v>46328</v>
      </c>
      <c r="E3674" s="11">
        <v>28</v>
      </c>
      <c r="F3674" s="11" t="s">
        <v>7289</v>
      </c>
      <c r="G3674">
        <v>20230701</v>
      </c>
      <c r="I3674" s="11" t="s">
        <v>32</v>
      </c>
      <c r="J3674" s="72">
        <v>90522038</v>
      </c>
      <c r="K3674" s="99" t="str">
        <f>_xlfn.XLOOKUP(_2__ROI_Daily_Update[[#This Row],[CSM id]],SHP!F:F,SHP!EE:EE,"-")</f>
        <v>-</v>
      </c>
    </row>
    <row r="3675" spans="1:11" x14ac:dyDescent="0.45">
      <c r="A3675" s="57">
        <v>1821</v>
      </c>
      <c r="B3675" t="s">
        <v>3556</v>
      </c>
      <c r="C3675" t="s">
        <v>3557</v>
      </c>
      <c r="D3675" s="12">
        <v>46328</v>
      </c>
      <c r="E3675" s="11">
        <v>60</v>
      </c>
      <c r="F3675" s="11" t="s">
        <v>7828</v>
      </c>
      <c r="G3675">
        <v>20180201</v>
      </c>
      <c r="I3675" s="11" t="s">
        <v>32</v>
      </c>
      <c r="J3675" s="72">
        <v>90321619</v>
      </c>
      <c r="K3675" s="99" t="str">
        <f>_xlfn.XLOOKUP(_2__ROI_Daily_Update[[#This Row],[CSM id]],SHP!F:F,SHP!EE:EE,"-")</f>
        <v>-</v>
      </c>
    </row>
    <row r="3676" spans="1:11" x14ac:dyDescent="0.45">
      <c r="A3676" s="57">
        <v>1012</v>
      </c>
      <c r="B3676" t="s">
        <v>1054</v>
      </c>
      <c r="C3676" t="s">
        <v>1055</v>
      </c>
      <c r="D3676" s="12">
        <v>46329</v>
      </c>
      <c r="E3676" s="11">
        <v>10</v>
      </c>
      <c r="F3676" s="11" t="s">
        <v>0</v>
      </c>
      <c r="G3676">
        <v>20220101</v>
      </c>
      <c r="I3676" s="11" t="s">
        <v>63</v>
      </c>
      <c r="J3676" s="72">
        <v>10504991</v>
      </c>
      <c r="K3676" s="99" t="str">
        <f>_xlfn.XLOOKUP(_2__ROI_Daily_Update[[#This Row],[CSM id]],SHP!F:F,SHP!EE:EE,"-")</f>
        <v>-</v>
      </c>
    </row>
    <row r="3677" spans="1:11" x14ac:dyDescent="0.45">
      <c r="A3677" s="57">
        <v>967</v>
      </c>
      <c r="B3677" t="s">
        <v>800</v>
      </c>
      <c r="C3677" t="s">
        <v>801</v>
      </c>
      <c r="D3677" s="12">
        <v>46329</v>
      </c>
      <c r="E3677" s="11">
        <v>40</v>
      </c>
      <c r="F3677" s="11" t="s">
        <v>0</v>
      </c>
      <c r="G3677">
        <v>20240701</v>
      </c>
      <c r="H3677" s="12">
        <v>46569</v>
      </c>
      <c r="I3677" s="11" t="s">
        <v>63</v>
      </c>
      <c r="J3677" s="72">
        <v>50572370</v>
      </c>
      <c r="K3677" s="99" t="str">
        <f>_xlfn.XLOOKUP(_2__ROI_Daily_Update[[#This Row],[CSM id]],SHP!F:F,SHP!EE:EE,"-")</f>
        <v>-</v>
      </c>
    </row>
    <row r="3678" spans="1:11" x14ac:dyDescent="0.45">
      <c r="A3678" s="57">
        <v>967</v>
      </c>
      <c r="B3678" t="s">
        <v>5973</v>
      </c>
      <c r="C3678" t="s">
        <v>5974</v>
      </c>
      <c r="D3678" s="12">
        <v>46329</v>
      </c>
      <c r="E3678" s="11">
        <v>28</v>
      </c>
      <c r="F3678" s="11" t="s">
        <v>0</v>
      </c>
      <c r="G3678">
        <v>20260701</v>
      </c>
      <c r="I3678" s="11" t="s">
        <v>63</v>
      </c>
      <c r="J3678" s="72">
        <v>80625112</v>
      </c>
      <c r="K3678" s="99" t="str">
        <f>_xlfn.XLOOKUP(_2__ROI_Daily_Update[[#This Row],[CSM id]],SHP!F:F,SHP!EE:EE,"-")</f>
        <v>-</v>
      </c>
    </row>
    <row r="3679" spans="1:11" x14ac:dyDescent="0.45">
      <c r="A3679" s="57">
        <v>1641</v>
      </c>
      <c r="B3679" t="s">
        <v>3125</v>
      </c>
      <c r="C3679" t="s">
        <v>3126</v>
      </c>
      <c r="D3679" s="12">
        <v>46329</v>
      </c>
      <c r="E3679" s="11">
        <v>16</v>
      </c>
      <c r="F3679" s="11" t="s">
        <v>0</v>
      </c>
      <c r="G3679">
        <v>20251001</v>
      </c>
      <c r="I3679" s="11" t="s">
        <v>63</v>
      </c>
      <c r="J3679" s="72">
        <v>610082</v>
      </c>
      <c r="K3679" s="99" t="str">
        <f>_xlfn.XLOOKUP(_2__ROI_Daily_Update[[#This Row],[CSM id]],SHP!F:F,SHP!EE:EE,"-")</f>
        <v>-</v>
      </c>
    </row>
    <row r="3680" spans="1:11" x14ac:dyDescent="0.45">
      <c r="A3680" s="57">
        <v>1214</v>
      </c>
      <c r="B3680" t="s">
        <v>1815</v>
      </c>
      <c r="C3680" t="s">
        <v>1816</v>
      </c>
      <c r="D3680" s="12">
        <v>46329</v>
      </c>
      <c r="E3680" s="11">
        <v>48</v>
      </c>
      <c r="F3680" s="11" t="s">
        <v>0</v>
      </c>
      <c r="G3680">
        <v>20210401</v>
      </c>
      <c r="H3680" s="12">
        <v>46478</v>
      </c>
      <c r="I3680" s="11" t="s">
        <v>63</v>
      </c>
      <c r="J3680" s="72">
        <v>50489535</v>
      </c>
      <c r="K3680" s="99" t="str">
        <f>_xlfn.XLOOKUP(_2__ROI_Daily_Update[[#This Row],[CSM id]],SHP!F:F,SHP!EE:EE,"-")</f>
        <v>-</v>
      </c>
    </row>
    <row r="3681" spans="1:11" x14ac:dyDescent="0.45">
      <c r="A3681" s="57">
        <v>1011</v>
      </c>
      <c r="B3681" t="s">
        <v>1014</v>
      </c>
      <c r="C3681" t="s">
        <v>1015</v>
      </c>
      <c r="D3681" s="12">
        <v>46329</v>
      </c>
      <c r="E3681" s="11">
        <v>8</v>
      </c>
      <c r="F3681" s="11" t="s">
        <v>0</v>
      </c>
      <c r="G3681">
        <v>20200801</v>
      </c>
      <c r="I3681" s="11" t="s">
        <v>63</v>
      </c>
      <c r="J3681" s="72">
        <v>10437751</v>
      </c>
      <c r="K3681" s="99" t="str">
        <f>_xlfn.XLOOKUP(_2__ROI_Daily_Update[[#This Row],[CSM id]],SHP!F:F,SHP!EE:EE,"-")</f>
        <v>-</v>
      </c>
    </row>
    <row r="3682" spans="1:11" x14ac:dyDescent="0.45">
      <c r="A3682" s="57">
        <v>1641</v>
      </c>
      <c r="B3682" t="s">
        <v>3169</v>
      </c>
      <c r="C3682" t="s">
        <v>3170</v>
      </c>
      <c r="D3682" s="12">
        <v>46329</v>
      </c>
      <c r="E3682" s="11">
        <v>22</v>
      </c>
      <c r="F3682" s="11" t="s">
        <v>0</v>
      </c>
      <c r="G3682">
        <v>20240401</v>
      </c>
      <c r="I3682" s="11" t="s">
        <v>63</v>
      </c>
      <c r="J3682" s="72">
        <v>60550042</v>
      </c>
      <c r="K3682" s="99" t="str">
        <f>_xlfn.XLOOKUP(_2__ROI_Daily_Update[[#This Row],[CSM id]],SHP!F:F,SHP!EE:EE,"-")</f>
        <v>-</v>
      </c>
    </row>
    <row r="3683" spans="1:11" x14ac:dyDescent="0.45">
      <c r="A3683" s="57">
        <v>1231</v>
      </c>
      <c r="B3683" t="s">
        <v>1901</v>
      </c>
      <c r="C3683" t="s">
        <v>1902</v>
      </c>
      <c r="D3683" s="12">
        <v>46329</v>
      </c>
      <c r="E3683" s="11">
        <v>44</v>
      </c>
      <c r="F3683" s="11" t="s">
        <v>0</v>
      </c>
      <c r="G3683">
        <v>20260701</v>
      </c>
      <c r="I3683" s="11" t="s">
        <v>63</v>
      </c>
      <c r="J3683" s="72">
        <v>60632383</v>
      </c>
      <c r="K3683" s="99" t="str">
        <f>_xlfn.XLOOKUP(_2__ROI_Daily_Update[[#This Row],[CSM id]],SHP!F:F,SHP!EE:EE,"-")</f>
        <v>-</v>
      </c>
    </row>
    <row r="3684" spans="1:11" x14ac:dyDescent="0.45">
      <c r="A3684" s="57">
        <v>967</v>
      </c>
      <c r="B3684" t="s">
        <v>806</v>
      </c>
      <c r="C3684" t="s">
        <v>807</v>
      </c>
      <c r="D3684" s="12">
        <v>46329</v>
      </c>
      <c r="E3684" s="11">
        <v>24</v>
      </c>
      <c r="F3684" s="11" t="s">
        <v>0</v>
      </c>
      <c r="G3684">
        <v>20260701</v>
      </c>
      <c r="I3684" s="11" t="s">
        <v>63</v>
      </c>
      <c r="J3684" s="72">
        <v>80625107</v>
      </c>
      <c r="K3684" s="99" t="str">
        <f>_xlfn.XLOOKUP(_2__ROI_Daily_Update[[#This Row],[CSM id]],SHP!F:F,SHP!EE:EE,"-")</f>
        <v>-</v>
      </c>
    </row>
    <row r="3685" spans="1:11" x14ac:dyDescent="0.45">
      <c r="A3685" s="57">
        <v>1022</v>
      </c>
      <c r="B3685" t="s">
        <v>1246</v>
      </c>
      <c r="C3685" t="s">
        <v>1247</v>
      </c>
      <c r="D3685" s="12">
        <v>46329</v>
      </c>
      <c r="E3685" s="11">
        <v>6</v>
      </c>
      <c r="F3685" s="11" t="s">
        <v>0</v>
      </c>
      <c r="G3685">
        <v>20260401</v>
      </c>
      <c r="I3685" s="11" t="s">
        <v>63</v>
      </c>
      <c r="J3685" s="72">
        <v>60604945</v>
      </c>
      <c r="K3685" s="99" t="str">
        <f>_xlfn.XLOOKUP(_2__ROI_Daily_Update[[#This Row],[CSM id]],SHP!F:F,SHP!EE:EE,"-")</f>
        <v>-</v>
      </c>
    </row>
    <row r="3686" spans="1:11" x14ac:dyDescent="0.45">
      <c r="A3686" s="57">
        <v>1311</v>
      </c>
      <c r="B3686" t="s">
        <v>7193</v>
      </c>
      <c r="C3686" t="s">
        <v>7194</v>
      </c>
      <c r="D3686" s="12">
        <v>46329</v>
      </c>
      <c r="E3686" s="11">
        <v>20</v>
      </c>
      <c r="F3686" s="11" t="s">
        <v>0</v>
      </c>
      <c r="G3686">
        <v>20261001</v>
      </c>
      <c r="I3686" s="11" t="s">
        <v>63</v>
      </c>
      <c r="J3686" s="72">
        <v>30635953</v>
      </c>
      <c r="K3686" s="99" t="str">
        <f>_xlfn.XLOOKUP(_2__ROI_Daily_Update[[#This Row],[CSM id]],SHP!F:F,SHP!EE:EE,"-")</f>
        <v>-</v>
      </c>
    </row>
    <row r="3687" spans="1:11" x14ac:dyDescent="0.45">
      <c r="A3687" s="57">
        <v>1214</v>
      </c>
      <c r="B3687" t="s">
        <v>5558</v>
      </c>
      <c r="C3687" t="s">
        <v>5559</v>
      </c>
      <c r="D3687" s="12">
        <v>46329</v>
      </c>
      <c r="E3687" s="11">
        <v>12</v>
      </c>
      <c r="F3687" s="11" t="s">
        <v>0</v>
      </c>
      <c r="G3687">
        <v>20210401</v>
      </c>
      <c r="H3687" s="12">
        <v>46478</v>
      </c>
      <c r="I3687" s="11" t="s">
        <v>63</v>
      </c>
      <c r="J3687" s="72">
        <v>90489538</v>
      </c>
      <c r="K3687" s="99" t="str">
        <f>_xlfn.XLOOKUP(_2__ROI_Daily_Update[[#This Row],[CSM id]],SHP!F:F,SHP!EE:EE,"-")</f>
        <v>-</v>
      </c>
    </row>
    <row r="3688" spans="1:11" x14ac:dyDescent="0.45">
      <c r="A3688" s="57">
        <v>1012</v>
      </c>
      <c r="B3688" t="s">
        <v>1058</v>
      </c>
      <c r="C3688" t="s">
        <v>1059</v>
      </c>
      <c r="D3688" s="12">
        <v>46329</v>
      </c>
      <c r="E3688" s="11">
        <v>9</v>
      </c>
      <c r="F3688" s="11" t="s">
        <v>0</v>
      </c>
      <c r="G3688">
        <v>20251001</v>
      </c>
      <c r="I3688" s="11" t="s">
        <v>63</v>
      </c>
      <c r="J3688" s="72">
        <v>10591653</v>
      </c>
      <c r="K3688" s="99" t="str">
        <f>_xlfn.XLOOKUP(_2__ROI_Daily_Update[[#This Row],[CSM id]],SHP!F:F,SHP!EE:EE,"-")</f>
        <v>-</v>
      </c>
    </row>
    <row r="3689" spans="1:11" x14ac:dyDescent="0.45">
      <c r="A3689" s="57">
        <v>1232</v>
      </c>
      <c r="B3689" t="s">
        <v>1969</v>
      </c>
      <c r="C3689" t="s">
        <v>1970</v>
      </c>
      <c r="D3689" s="12">
        <v>46329</v>
      </c>
      <c r="E3689" s="11">
        <v>60</v>
      </c>
      <c r="F3689" s="11" t="s">
        <v>0</v>
      </c>
      <c r="G3689">
        <v>20261001</v>
      </c>
      <c r="I3689" s="11" t="s">
        <v>63</v>
      </c>
      <c r="J3689" s="72">
        <v>50630426</v>
      </c>
      <c r="K3689" s="99" t="str">
        <f>_xlfn.XLOOKUP(_2__ROI_Daily_Update[[#This Row],[CSM id]],SHP!F:F,SHP!EE:EE,"-")</f>
        <v>-</v>
      </c>
    </row>
    <row r="3690" spans="1:11" x14ac:dyDescent="0.45">
      <c r="A3690" s="57">
        <v>1882</v>
      </c>
      <c r="B3690" t="s">
        <v>7165</v>
      </c>
      <c r="C3690" t="s">
        <v>7166</v>
      </c>
      <c r="D3690" s="12">
        <v>46329</v>
      </c>
      <c r="E3690" s="11">
        <v>84</v>
      </c>
      <c r="F3690" s="11" t="s">
        <v>0</v>
      </c>
      <c r="G3690">
        <v>20240101</v>
      </c>
      <c r="I3690" s="11" t="s">
        <v>63</v>
      </c>
      <c r="J3690" s="72">
        <v>90567649</v>
      </c>
      <c r="K3690" s="99" t="str">
        <f>_xlfn.XLOOKUP(_2__ROI_Daily_Update[[#This Row],[CSM id]],SHP!F:F,SHP!EE:EE,"-")</f>
        <v>-</v>
      </c>
    </row>
    <row r="3691" spans="1:11" x14ac:dyDescent="0.45">
      <c r="A3691" s="57">
        <v>1821</v>
      </c>
      <c r="B3691" t="s">
        <v>3546</v>
      </c>
      <c r="C3691" t="s">
        <v>3547</v>
      </c>
      <c r="D3691" s="12">
        <v>46329</v>
      </c>
      <c r="E3691" s="11">
        <v>72</v>
      </c>
      <c r="F3691" s="11" t="s">
        <v>0</v>
      </c>
      <c r="G3691">
        <v>20250701</v>
      </c>
      <c r="I3691" s="11" t="s">
        <v>63</v>
      </c>
      <c r="J3691" s="72">
        <v>60606119</v>
      </c>
      <c r="K3691" s="99" t="str">
        <f>_xlfn.XLOOKUP(_2__ROI_Daily_Update[[#This Row],[CSM id]],SHP!F:F,SHP!EE:EE,"-")</f>
        <v>-</v>
      </c>
    </row>
    <row r="3692" spans="1:11" x14ac:dyDescent="0.45">
      <c r="A3692" s="57">
        <v>1633</v>
      </c>
      <c r="B3692" t="s">
        <v>7516</v>
      </c>
      <c r="C3692" t="s">
        <v>7517</v>
      </c>
      <c r="D3692" s="12">
        <v>46329</v>
      </c>
      <c r="E3692" s="11">
        <v>6</v>
      </c>
      <c r="F3692" s="11" t="s">
        <v>0</v>
      </c>
      <c r="G3692">
        <v>20260401</v>
      </c>
      <c r="H3692" s="12">
        <v>46478</v>
      </c>
      <c r="I3692" s="11" t="s">
        <v>63</v>
      </c>
      <c r="J3692" s="72">
        <v>637604</v>
      </c>
      <c r="K3692" s="99" t="str">
        <f>_xlfn.XLOOKUP(_2__ROI_Daily_Update[[#This Row],[CSM id]],SHP!F:F,SHP!EE:EE,"-")</f>
        <v>-</v>
      </c>
    </row>
    <row r="3693" spans="1:11" x14ac:dyDescent="0.45">
      <c r="A3693" s="57">
        <v>1623</v>
      </c>
      <c r="B3693" t="s">
        <v>6833</v>
      </c>
      <c r="C3693" t="s">
        <v>6834</v>
      </c>
      <c r="D3693" s="12">
        <v>46329</v>
      </c>
      <c r="E3693" s="11">
        <v>35</v>
      </c>
      <c r="F3693" s="11" t="s">
        <v>0</v>
      </c>
      <c r="G3693">
        <v>20260701</v>
      </c>
      <c r="I3693" s="11" t="s">
        <v>63</v>
      </c>
      <c r="J3693" s="72">
        <v>70630048</v>
      </c>
      <c r="K3693" s="99" t="str">
        <f>_xlfn.XLOOKUP(_2__ROI_Daily_Update[[#This Row],[CSM id]],SHP!F:F,SHP!EE:EE,"-")</f>
        <v>-</v>
      </c>
    </row>
    <row r="3694" spans="1:11" x14ac:dyDescent="0.45">
      <c r="A3694" s="57">
        <v>1231</v>
      </c>
      <c r="B3694" t="s">
        <v>7300</v>
      </c>
      <c r="C3694" t="s">
        <v>7301</v>
      </c>
      <c r="D3694" s="12">
        <v>46329</v>
      </c>
      <c r="E3694" s="11">
        <v>140</v>
      </c>
      <c r="F3694" s="11" t="s">
        <v>0</v>
      </c>
      <c r="G3694">
        <v>20250701</v>
      </c>
      <c r="H3694" s="12">
        <v>46569</v>
      </c>
      <c r="I3694" s="11" t="s">
        <v>63</v>
      </c>
      <c r="J3694" s="72">
        <v>60542995</v>
      </c>
      <c r="K3694" s="99" t="str">
        <f>_xlfn.XLOOKUP(_2__ROI_Daily_Update[[#This Row],[CSM id]],SHP!F:F,SHP!EE:EE,"-")</f>
        <v>-</v>
      </c>
    </row>
    <row r="3695" spans="1:11" x14ac:dyDescent="0.45">
      <c r="A3695" s="57">
        <v>1831</v>
      </c>
      <c r="B3695" t="s">
        <v>3600</v>
      </c>
      <c r="C3695" t="s">
        <v>3601</v>
      </c>
      <c r="D3695" s="12">
        <v>46329</v>
      </c>
      <c r="E3695" s="11">
        <v>82</v>
      </c>
      <c r="F3695" s="11" t="s">
        <v>0</v>
      </c>
      <c r="G3695">
        <v>20260101</v>
      </c>
      <c r="I3695" s="11" t="s">
        <v>63</v>
      </c>
      <c r="J3695" s="72">
        <v>40591053</v>
      </c>
      <c r="K3695" s="99" t="str">
        <f>_xlfn.XLOOKUP(_2__ROI_Daily_Update[[#This Row],[CSM id]],SHP!F:F,SHP!EE:EE,"-")</f>
        <v>-</v>
      </c>
    </row>
    <row r="3696" spans="1:11" x14ac:dyDescent="0.45">
      <c r="A3696" s="57">
        <v>1019</v>
      </c>
      <c r="B3696" t="s">
        <v>1192</v>
      </c>
      <c r="C3696" t="s">
        <v>1193</v>
      </c>
      <c r="D3696" s="12">
        <v>46329</v>
      </c>
      <c r="E3696" s="11">
        <v>160</v>
      </c>
      <c r="F3696" s="11" t="s">
        <v>0</v>
      </c>
      <c r="G3696">
        <v>20251001</v>
      </c>
      <c r="I3696" s="11" t="s">
        <v>63</v>
      </c>
      <c r="J3696" s="72">
        <v>70612841</v>
      </c>
      <c r="K3696" s="99" t="str">
        <f>_xlfn.XLOOKUP(_2__ROI_Daily_Update[[#This Row],[CSM id]],SHP!F:F,SHP!EE:EE,"-")</f>
        <v>-</v>
      </c>
    </row>
    <row r="3697" spans="1:11" x14ac:dyDescent="0.45">
      <c r="A3697" s="57">
        <v>1214</v>
      </c>
      <c r="B3697" t="s">
        <v>7562</v>
      </c>
      <c r="C3697" t="s">
        <v>7563</v>
      </c>
      <c r="D3697" s="12">
        <v>46329</v>
      </c>
      <c r="E3697" s="11">
        <v>80</v>
      </c>
      <c r="F3697" s="11" t="s">
        <v>0</v>
      </c>
      <c r="G3697">
        <v>20160801</v>
      </c>
      <c r="I3697" s="11" t="s">
        <v>63</v>
      </c>
      <c r="J3697" s="72">
        <v>50299149</v>
      </c>
      <c r="K3697" s="99" t="str">
        <f>_xlfn.XLOOKUP(_2__ROI_Daily_Update[[#This Row],[CSM id]],SHP!F:F,SHP!EE:EE,"-")</f>
        <v>-</v>
      </c>
    </row>
    <row r="3698" spans="1:11" x14ac:dyDescent="0.45">
      <c r="A3698" s="57">
        <v>1633</v>
      </c>
      <c r="B3698" t="s">
        <v>7304</v>
      </c>
      <c r="C3698" t="s">
        <v>7305</v>
      </c>
      <c r="D3698" s="12">
        <v>46329</v>
      </c>
      <c r="E3698" s="11">
        <v>600</v>
      </c>
      <c r="F3698" s="11" t="s">
        <v>0</v>
      </c>
      <c r="G3698">
        <v>20260701</v>
      </c>
      <c r="I3698" s="11" t="s">
        <v>63</v>
      </c>
      <c r="J3698" s="72">
        <v>80637737</v>
      </c>
      <c r="K3698" s="99" t="str">
        <f>_xlfn.XLOOKUP(_2__ROI_Daily_Update[[#This Row],[CSM id]],SHP!F:F,SHP!EE:EE,"-")</f>
        <v>-</v>
      </c>
    </row>
    <row r="3699" spans="1:11" x14ac:dyDescent="0.45">
      <c r="A3699" s="57">
        <v>1214</v>
      </c>
      <c r="B3699" t="s">
        <v>7566</v>
      </c>
      <c r="C3699" t="s">
        <v>7567</v>
      </c>
      <c r="D3699" s="12">
        <v>46329</v>
      </c>
      <c r="E3699" s="11">
        <v>160</v>
      </c>
      <c r="F3699" s="11" t="s">
        <v>0</v>
      </c>
      <c r="G3699">
        <v>20160801</v>
      </c>
      <c r="I3699" s="11" t="s">
        <v>63</v>
      </c>
      <c r="J3699" s="72">
        <v>90299152</v>
      </c>
      <c r="K3699" s="99" t="str">
        <f>_xlfn.XLOOKUP(_2__ROI_Daily_Update[[#This Row],[CSM id]],SHP!F:F,SHP!EE:EE,"-")</f>
        <v>-</v>
      </c>
    </row>
    <row r="3700" spans="1:11" x14ac:dyDescent="0.45">
      <c r="A3700" s="57">
        <v>1632</v>
      </c>
      <c r="B3700" t="s">
        <v>2962</v>
      </c>
      <c r="C3700" t="s">
        <v>2963</v>
      </c>
      <c r="D3700" s="12">
        <v>46329</v>
      </c>
      <c r="E3700" s="11">
        <v>30</v>
      </c>
      <c r="F3700" s="11" t="s">
        <v>0</v>
      </c>
      <c r="G3700">
        <v>20260101</v>
      </c>
      <c r="I3700" s="11" t="s">
        <v>63</v>
      </c>
      <c r="J3700" s="72">
        <v>90612802</v>
      </c>
      <c r="K3700" s="99" t="str">
        <f>_xlfn.XLOOKUP(_2__ROI_Daily_Update[[#This Row],[CSM id]],SHP!F:F,SHP!EE:EE,"-")</f>
        <v>-</v>
      </c>
    </row>
    <row r="3701" spans="1:11" x14ac:dyDescent="0.45">
      <c r="A3701" s="57">
        <v>1232</v>
      </c>
      <c r="B3701" t="s">
        <v>1980</v>
      </c>
      <c r="C3701" t="s">
        <v>1981</v>
      </c>
      <c r="D3701" s="12">
        <v>46329</v>
      </c>
      <c r="E3701" s="11">
        <v>6</v>
      </c>
      <c r="F3701" s="11" t="s">
        <v>0</v>
      </c>
      <c r="G3701">
        <v>20240401</v>
      </c>
      <c r="I3701" s="11" t="s">
        <v>63</v>
      </c>
      <c r="J3701" s="72">
        <v>90572207</v>
      </c>
      <c r="K3701" s="99" t="str">
        <f>_xlfn.XLOOKUP(_2__ROI_Daily_Update[[#This Row],[CSM id]],SHP!F:F,SHP!EE:EE,"-")</f>
        <v>-</v>
      </c>
    </row>
    <row r="3702" spans="1:11" x14ac:dyDescent="0.45">
      <c r="A3702" s="57">
        <v>1019</v>
      </c>
      <c r="B3702" t="s">
        <v>7530</v>
      </c>
      <c r="C3702" t="s">
        <v>7531</v>
      </c>
      <c r="D3702" s="12">
        <v>46329</v>
      </c>
      <c r="E3702" s="11">
        <v>24</v>
      </c>
      <c r="F3702" s="11" t="s">
        <v>0</v>
      </c>
      <c r="G3702">
        <v>20200401</v>
      </c>
      <c r="I3702" s="11" t="s">
        <v>63</v>
      </c>
      <c r="J3702" s="72">
        <v>90404916</v>
      </c>
      <c r="K3702" s="99" t="str">
        <f>_xlfn.XLOOKUP(_2__ROI_Daily_Update[[#This Row],[CSM id]],SHP!F:F,SHP!EE:EE,"-")</f>
        <v>-</v>
      </c>
    </row>
    <row r="3703" spans="1:11" x14ac:dyDescent="0.45">
      <c r="A3703" s="57">
        <v>1623</v>
      </c>
      <c r="B3703" t="s">
        <v>7183</v>
      </c>
      <c r="C3703" t="s">
        <v>7184</v>
      </c>
      <c r="D3703" s="12">
        <v>46329</v>
      </c>
      <c r="E3703" s="11">
        <v>40</v>
      </c>
      <c r="F3703" s="11" t="s">
        <v>0</v>
      </c>
      <c r="G3703">
        <v>20260701</v>
      </c>
      <c r="I3703" s="11" t="s">
        <v>63</v>
      </c>
      <c r="J3703" s="72">
        <v>60630157</v>
      </c>
      <c r="K3703" s="99" t="str">
        <f>_xlfn.XLOOKUP(_2__ROI_Daily_Update[[#This Row],[CSM id]],SHP!F:F,SHP!EE:EE,"-")</f>
        <v>-</v>
      </c>
    </row>
    <row r="3704" spans="1:11" x14ac:dyDescent="0.45">
      <c r="A3704" s="57">
        <v>922</v>
      </c>
      <c r="B3704" t="s">
        <v>7139</v>
      </c>
      <c r="C3704" t="s">
        <v>7140</v>
      </c>
      <c r="D3704" s="12">
        <v>46329</v>
      </c>
      <c r="E3704" s="11">
        <v>96</v>
      </c>
      <c r="F3704" s="11" t="s">
        <v>0</v>
      </c>
      <c r="G3704">
        <v>20210201</v>
      </c>
      <c r="I3704" s="11" t="s">
        <v>63</v>
      </c>
      <c r="J3704" s="72">
        <v>90436979</v>
      </c>
      <c r="K3704" s="99" t="str">
        <f>_xlfn.XLOOKUP(_2__ROI_Daily_Update[[#This Row],[CSM id]],SHP!F:F,SHP!EE:EE,"-")</f>
        <v>-</v>
      </c>
    </row>
    <row r="3705" spans="1:11" x14ac:dyDescent="0.45">
      <c r="A3705" s="57">
        <v>1012</v>
      </c>
      <c r="B3705" t="s">
        <v>7123</v>
      </c>
      <c r="C3705" t="s">
        <v>7124</v>
      </c>
      <c r="D3705" s="12">
        <v>46329</v>
      </c>
      <c r="E3705" s="11">
        <v>16</v>
      </c>
      <c r="F3705" s="11" t="s">
        <v>0</v>
      </c>
      <c r="G3705">
        <v>20230401</v>
      </c>
      <c r="I3705" s="11" t="s">
        <v>63</v>
      </c>
      <c r="J3705" s="72">
        <v>30539206</v>
      </c>
      <c r="K3705" s="99" t="str">
        <f>_xlfn.XLOOKUP(_2__ROI_Daily_Update[[#This Row],[CSM id]],SHP!F:F,SHP!EE:EE,"-")</f>
        <v>-</v>
      </c>
    </row>
    <row r="3706" spans="1:11" x14ac:dyDescent="0.45">
      <c r="A3706" s="57">
        <v>1012</v>
      </c>
      <c r="B3706" t="s">
        <v>7187</v>
      </c>
      <c r="C3706" t="s">
        <v>7188</v>
      </c>
      <c r="D3706" s="12">
        <v>46329</v>
      </c>
      <c r="E3706" s="11">
        <v>12</v>
      </c>
      <c r="F3706" s="11" t="s">
        <v>0</v>
      </c>
      <c r="G3706">
        <v>20261001</v>
      </c>
      <c r="I3706" s="11" t="s">
        <v>63</v>
      </c>
      <c r="J3706" s="72">
        <v>90601262</v>
      </c>
      <c r="K3706" s="99" t="str">
        <f>_xlfn.XLOOKUP(_2__ROI_Daily_Update[[#This Row],[CSM id]],SHP!F:F,SHP!EE:EE,"-")</f>
        <v>-</v>
      </c>
    </row>
    <row r="3707" spans="1:11" x14ac:dyDescent="0.45">
      <c r="A3707" s="57">
        <v>1012</v>
      </c>
      <c r="B3707" t="s">
        <v>7544</v>
      </c>
      <c r="C3707" t="s">
        <v>7545</v>
      </c>
      <c r="D3707" s="12">
        <v>46329</v>
      </c>
      <c r="E3707" s="11">
        <v>48</v>
      </c>
      <c r="F3707" s="11" t="s">
        <v>0</v>
      </c>
      <c r="G3707">
        <v>20260701</v>
      </c>
      <c r="I3707" s="11" t="s">
        <v>63</v>
      </c>
      <c r="J3707" s="72">
        <v>90608584</v>
      </c>
      <c r="K3707" s="99" t="str">
        <f>_xlfn.XLOOKUP(_2__ROI_Daily_Update[[#This Row],[CSM id]],SHP!F:F,SHP!EE:EE,"-")</f>
        <v>-</v>
      </c>
    </row>
    <row r="3708" spans="1:11" x14ac:dyDescent="0.45">
      <c r="A3708" s="57">
        <v>1233</v>
      </c>
      <c r="B3708" t="s">
        <v>1998</v>
      </c>
      <c r="C3708" t="s">
        <v>1999</v>
      </c>
      <c r="D3708" s="12">
        <v>46329</v>
      </c>
      <c r="E3708" s="11">
        <v>448</v>
      </c>
      <c r="F3708" s="11" t="s">
        <v>0</v>
      </c>
      <c r="G3708">
        <v>20261001</v>
      </c>
      <c r="I3708" s="11" t="s">
        <v>63</v>
      </c>
      <c r="J3708" s="72">
        <v>50636254</v>
      </c>
      <c r="K3708" s="99" t="str">
        <f>_xlfn.XLOOKUP(_2__ROI_Daily_Update[[#This Row],[CSM id]],SHP!F:F,SHP!EE:EE,"-")</f>
        <v>-</v>
      </c>
    </row>
    <row r="3709" spans="1:11" x14ac:dyDescent="0.45">
      <c r="A3709" s="57">
        <v>1231</v>
      </c>
      <c r="B3709" t="s">
        <v>1849</v>
      </c>
      <c r="C3709" t="s">
        <v>1850</v>
      </c>
      <c r="D3709" s="12">
        <v>46329</v>
      </c>
      <c r="E3709" s="11">
        <v>52</v>
      </c>
      <c r="F3709" s="11" t="s">
        <v>0</v>
      </c>
      <c r="G3709">
        <v>20221001</v>
      </c>
      <c r="I3709" s="11" t="s">
        <v>63</v>
      </c>
      <c r="J3709" s="72">
        <v>10539226</v>
      </c>
      <c r="K3709" s="99" t="str">
        <f>_xlfn.XLOOKUP(_2__ROI_Daily_Update[[#This Row],[CSM id]],SHP!F:F,SHP!EE:EE,"-")</f>
        <v>-</v>
      </c>
    </row>
    <row r="3710" spans="1:11" x14ac:dyDescent="0.45">
      <c r="A3710" s="57">
        <v>1021</v>
      </c>
      <c r="B3710" t="s">
        <v>1206</v>
      </c>
      <c r="C3710" t="s">
        <v>1207</v>
      </c>
      <c r="D3710" s="12">
        <v>46329</v>
      </c>
      <c r="E3710" s="11">
        <v>56</v>
      </c>
      <c r="F3710" s="11" t="s">
        <v>0</v>
      </c>
      <c r="G3710">
        <v>20251001</v>
      </c>
      <c r="I3710" s="11" t="s">
        <v>63</v>
      </c>
      <c r="J3710" s="72">
        <v>20625214</v>
      </c>
      <c r="K3710" s="99" t="str">
        <f>_xlfn.XLOOKUP(_2__ROI_Daily_Update[[#This Row],[CSM id]],SHP!F:F,SHP!EE:EE,"-")</f>
        <v>-</v>
      </c>
    </row>
    <row r="3711" spans="1:11" x14ac:dyDescent="0.45">
      <c r="A3711" s="57">
        <v>1635</v>
      </c>
      <c r="B3711" t="s">
        <v>3075</v>
      </c>
      <c r="C3711" t="s">
        <v>3076</v>
      </c>
      <c r="D3711" s="12">
        <v>46329</v>
      </c>
      <c r="E3711" s="11">
        <v>48</v>
      </c>
      <c r="F3711" s="11" t="s">
        <v>0</v>
      </c>
      <c r="G3711">
        <v>20260401</v>
      </c>
      <c r="I3711" s="11" t="s">
        <v>63</v>
      </c>
      <c r="J3711" s="72">
        <v>30608450</v>
      </c>
      <c r="K3711" s="99" t="str">
        <f>_xlfn.XLOOKUP(_2__ROI_Daily_Update[[#This Row],[CSM id]],SHP!F:F,SHP!EE:EE,"-")</f>
        <v>-</v>
      </c>
    </row>
    <row r="3712" spans="1:11" x14ac:dyDescent="0.45">
      <c r="A3712" s="57">
        <v>1011</v>
      </c>
      <c r="B3712" t="s">
        <v>1024</v>
      </c>
      <c r="C3712" t="s">
        <v>1025</v>
      </c>
      <c r="D3712" s="12">
        <v>46329</v>
      </c>
      <c r="E3712" s="11">
        <v>16</v>
      </c>
      <c r="F3712" s="11" t="s">
        <v>0</v>
      </c>
      <c r="G3712">
        <v>20210201</v>
      </c>
      <c r="I3712" s="11" t="s">
        <v>63</v>
      </c>
      <c r="J3712" s="72">
        <v>50455489</v>
      </c>
      <c r="K3712" s="99" t="str">
        <f>_xlfn.XLOOKUP(_2__ROI_Daily_Update[[#This Row],[CSM id]],SHP!F:F,SHP!EE:EE,"-")</f>
        <v>-</v>
      </c>
    </row>
    <row r="3713" spans="1:11" x14ac:dyDescent="0.45">
      <c r="A3713" s="57">
        <v>1231</v>
      </c>
      <c r="B3713" t="s">
        <v>7312</v>
      </c>
      <c r="C3713" t="s">
        <v>7313</v>
      </c>
      <c r="D3713" s="12">
        <v>46329</v>
      </c>
      <c r="E3713" s="11">
        <v>40</v>
      </c>
      <c r="F3713" s="11" t="s">
        <v>0</v>
      </c>
      <c r="G3713">
        <v>20260701</v>
      </c>
      <c r="I3713" s="11" t="s">
        <v>63</v>
      </c>
      <c r="J3713" s="72">
        <v>625272</v>
      </c>
      <c r="K3713" s="99" t="str">
        <f>_xlfn.XLOOKUP(_2__ROI_Daily_Update[[#This Row],[CSM id]],SHP!F:F,SHP!EE:EE,"-")</f>
        <v>-</v>
      </c>
    </row>
    <row r="3714" spans="1:11" x14ac:dyDescent="0.45">
      <c r="A3714" s="57">
        <v>1016</v>
      </c>
      <c r="B3714" t="s">
        <v>1144</v>
      </c>
      <c r="C3714" t="s">
        <v>1145</v>
      </c>
      <c r="D3714" s="12">
        <v>46329</v>
      </c>
      <c r="E3714" s="11">
        <v>40</v>
      </c>
      <c r="F3714" s="11" t="s">
        <v>0</v>
      </c>
      <c r="G3714">
        <v>20190801</v>
      </c>
      <c r="I3714" s="11" t="s">
        <v>63</v>
      </c>
      <c r="J3714" s="72">
        <v>90350126</v>
      </c>
      <c r="K3714" s="99" t="str">
        <f>_xlfn.XLOOKUP(_2__ROI_Daily_Update[[#This Row],[CSM id]],SHP!F:F,SHP!EE:EE,"-")</f>
        <v>-</v>
      </c>
    </row>
    <row r="3715" spans="1:11" x14ac:dyDescent="0.45">
      <c r="A3715" s="57">
        <v>966</v>
      </c>
      <c r="B3715" t="s">
        <v>5346</v>
      </c>
      <c r="C3715" t="s">
        <v>5347</v>
      </c>
      <c r="D3715" s="12">
        <v>46329</v>
      </c>
      <c r="E3715" s="11">
        <v>4</v>
      </c>
      <c r="F3715" s="11" t="s">
        <v>0</v>
      </c>
      <c r="G3715">
        <v>20240101</v>
      </c>
      <c r="H3715" s="12">
        <v>46661</v>
      </c>
      <c r="I3715" s="11" t="s">
        <v>63</v>
      </c>
      <c r="J3715" s="72">
        <v>80569521</v>
      </c>
      <c r="K3715" s="99" t="str">
        <f>_xlfn.XLOOKUP(_2__ROI_Daily_Update[[#This Row],[CSM id]],SHP!F:F,SHP!EE:EE,"-")</f>
        <v>-</v>
      </c>
    </row>
    <row r="3716" spans="1:11" x14ac:dyDescent="0.45">
      <c r="A3716" s="57">
        <v>1635</v>
      </c>
      <c r="B3716" t="s">
        <v>6749</v>
      </c>
      <c r="C3716" t="s">
        <v>6750</v>
      </c>
      <c r="D3716" s="12">
        <v>46329</v>
      </c>
      <c r="E3716" s="11">
        <v>48</v>
      </c>
      <c r="F3716" s="11" t="s">
        <v>0</v>
      </c>
      <c r="G3716">
        <v>20260401</v>
      </c>
      <c r="I3716" s="11" t="s">
        <v>63</v>
      </c>
      <c r="J3716" s="72">
        <v>80608462</v>
      </c>
      <c r="K3716" s="99" t="str">
        <f>_xlfn.XLOOKUP(_2__ROI_Daily_Update[[#This Row],[CSM id]],SHP!F:F,SHP!EE:EE,"-")</f>
        <v>-</v>
      </c>
    </row>
    <row r="3717" spans="1:11" x14ac:dyDescent="0.45">
      <c r="A3717" s="57">
        <v>1634</v>
      </c>
      <c r="B3717" t="s">
        <v>5943</v>
      </c>
      <c r="C3717" t="s">
        <v>5944</v>
      </c>
      <c r="D3717" s="12">
        <v>46329</v>
      </c>
      <c r="E3717" s="11">
        <v>36</v>
      </c>
      <c r="F3717" s="11" t="s">
        <v>0</v>
      </c>
      <c r="G3717">
        <v>20251001</v>
      </c>
      <c r="I3717" s="11" t="s">
        <v>63</v>
      </c>
      <c r="J3717" s="72">
        <v>40606083</v>
      </c>
      <c r="K3717" s="99" t="str">
        <f>_xlfn.XLOOKUP(_2__ROI_Daily_Update[[#This Row],[CSM id]],SHP!F:F,SHP!EE:EE,"-")</f>
        <v>-</v>
      </c>
    </row>
    <row r="3718" spans="1:11" x14ac:dyDescent="0.45">
      <c r="A3718" s="57">
        <v>1233</v>
      </c>
      <c r="B3718" t="s">
        <v>6586</v>
      </c>
      <c r="C3718" t="s">
        <v>6587</v>
      </c>
      <c r="D3718" s="12">
        <v>46329</v>
      </c>
      <c r="E3718" s="11">
        <v>228</v>
      </c>
      <c r="F3718" s="11" t="s">
        <v>0</v>
      </c>
      <c r="G3718">
        <v>20260401</v>
      </c>
      <c r="I3718" s="11" t="s">
        <v>63</v>
      </c>
      <c r="J3718" s="72">
        <v>40624751</v>
      </c>
      <c r="K3718" s="99" t="str">
        <f>_xlfn.XLOOKUP(_2__ROI_Daily_Update[[#This Row],[CSM id]],SHP!F:F,SHP!EE:EE,"-")</f>
        <v>-</v>
      </c>
    </row>
    <row r="3719" spans="1:11" x14ac:dyDescent="0.45">
      <c r="A3719" s="57">
        <v>1311</v>
      </c>
      <c r="B3719" t="s">
        <v>7550</v>
      </c>
      <c r="C3719" t="s">
        <v>7551</v>
      </c>
      <c r="D3719" s="12">
        <v>46329</v>
      </c>
      <c r="E3719" s="11">
        <v>5</v>
      </c>
      <c r="F3719" s="11" t="s">
        <v>0</v>
      </c>
      <c r="G3719">
        <v>20260701</v>
      </c>
      <c r="I3719" s="11" t="s">
        <v>63</v>
      </c>
      <c r="J3719" s="72">
        <v>60627715</v>
      </c>
      <c r="K3719" s="99" t="str">
        <f>_xlfn.XLOOKUP(_2__ROI_Daily_Update[[#This Row],[CSM id]],SHP!F:F,SHP!EE:EE,"-")</f>
        <v>-</v>
      </c>
    </row>
    <row r="3720" spans="1:11" x14ac:dyDescent="0.45">
      <c r="A3720" s="57">
        <v>1631</v>
      </c>
      <c r="B3720" t="s">
        <v>7510</v>
      </c>
      <c r="C3720" t="s">
        <v>7511</v>
      </c>
      <c r="D3720" s="12">
        <v>46329</v>
      </c>
      <c r="E3720" s="11">
        <v>45</v>
      </c>
      <c r="F3720" s="11" t="s">
        <v>0</v>
      </c>
      <c r="G3720">
        <v>20250701</v>
      </c>
      <c r="I3720" s="11" t="s">
        <v>63</v>
      </c>
      <c r="J3720" s="72">
        <v>10608502</v>
      </c>
      <c r="K3720" s="99" t="str">
        <f>_xlfn.XLOOKUP(_2__ROI_Daily_Update[[#This Row],[CSM id]],SHP!F:F,SHP!EE:EE,"-")</f>
        <v>-</v>
      </c>
    </row>
    <row r="3721" spans="1:11" x14ac:dyDescent="0.45">
      <c r="A3721" s="57">
        <v>1011</v>
      </c>
      <c r="B3721" t="s">
        <v>1008</v>
      </c>
      <c r="C3721" t="s">
        <v>1009</v>
      </c>
      <c r="D3721" s="12">
        <v>46329</v>
      </c>
      <c r="E3721" s="11">
        <v>20</v>
      </c>
      <c r="F3721" s="11" t="s">
        <v>0</v>
      </c>
      <c r="G3721">
        <v>20230401</v>
      </c>
      <c r="I3721" s="11" t="s">
        <v>63</v>
      </c>
      <c r="J3721" s="72">
        <v>539095</v>
      </c>
      <c r="K3721" s="99" t="str">
        <f>_xlfn.XLOOKUP(_2__ROI_Daily_Update[[#This Row],[CSM id]],SHP!F:F,SHP!EE:EE,"-")</f>
        <v>-</v>
      </c>
    </row>
    <row r="3722" spans="1:11" x14ac:dyDescent="0.45">
      <c r="A3722" s="57">
        <v>966</v>
      </c>
      <c r="B3722" t="s">
        <v>7217</v>
      </c>
      <c r="C3722" t="s">
        <v>7218</v>
      </c>
      <c r="D3722" s="12">
        <v>46329</v>
      </c>
      <c r="E3722" s="11">
        <v>4</v>
      </c>
      <c r="F3722" s="11" t="s">
        <v>0</v>
      </c>
      <c r="G3722">
        <v>20260201</v>
      </c>
      <c r="I3722" s="11" t="s">
        <v>63</v>
      </c>
      <c r="J3722" s="72">
        <v>80602002</v>
      </c>
      <c r="K3722" s="99" t="str">
        <f>_xlfn.XLOOKUP(_2__ROI_Daily_Update[[#This Row],[CSM id]],SHP!F:F,SHP!EE:EE,"-")</f>
        <v>-</v>
      </c>
    </row>
    <row r="3723" spans="1:11" x14ac:dyDescent="0.45">
      <c r="A3723" s="57">
        <v>922</v>
      </c>
      <c r="B3723" t="s">
        <v>6441</v>
      </c>
      <c r="C3723" t="s">
        <v>6442</v>
      </c>
      <c r="D3723" s="12">
        <v>46329</v>
      </c>
      <c r="E3723" s="11">
        <v>4</v>
      </c>
      <c r="F3723" s="11" t="s">
        <v>0</v>
      </c>
      <c r="G3723">
        <v>20260101</v>
      </c>
      <c r="I3723" s="11" t="s">
        <v>63</v>
      </c>
      <c r="J3723" s="72">
        <v>70614576</v>
      </c>
      <c r="K3723" s="99" t="str">
        <f>_xlfn.XLOOKUP(_2__ROI_Daily_Update[[#This Row],[CSM id]],SHP!F:F,SHP!EE:EE,"-")</f>
        <v>-</v>
      </c>
    </row>
    <row r="3724" spans="1:11" x14ac:dyDescent="0.45">
      <c r="A3724" s="57">
        <v>1231</v>
      </c>
      <c r="B3724" t="s">
        <v>7308</v>
      </c>
      <c r="C3724" t="s">
        <v>7309</v>
      </c>
      <c r="D3724" s="12">
        <v>46329</v>
      </c>
      <c r="E3724" s="11">
        <v>48</v>
      </c>
      <c r="F3724" s="11" t="s">
        <v>0</v>
      </c>
      <c r="G3724">
        <v>20261001</v>
      </c>
      <c r="H3724" s="12">
        <v>46388</v>
      </c>
      <c r="I3724" s="11" t="s">
        <v>63</v>
      </c>
      <c r="J3724" s="72">
        <v>90636308</v>
      </c>
      <c r="K3724" s="99" t="str">
        <f>_xlfn.XLOOKUP(_2__ROI_Daily_Update[[#This Row],[CSM id]],SHP!F:F,SHP!EE:EE,"-")</f>
        <v>-</v>
      </c>
    </row>
    <row r="3725" spans="1:11" x14ac:dyDescent="0.45">
      <c r="A3725" s="57">
        <v>967</v>
      </c>
      <c r="B3725" t="s">
        <v>6261</v>
      </c>
      <c r="C3725" t="s">
        <v>6262</v>
      </c>
      <c r="D3725" s="12">
        <v>46329</v>
      </c>
      <c r="E3725" s="11">
        <v>108</v>
      </c>
      <c r="F3725" s="11" t="s">
        <v>0</v>
      </c>
      <c r="G3725">
        <v>20260701</v>
      </c>
      <c r="I3725" s="11" t="s">
        <v>63</v>
      </c>
      <c r="J3725" s="72">
        <v>20629877</v>
      </c>
      <c r="K3725" s="99" t="str">
        <f>_xlfn.XLOOKUP(_2__ROI_Daily_Update[[#This Row],[CSM id]],SHP!F:F,SHP!EE:EE,"-")</f>
        <v>-</v>
      </c>
    </row>
    <row r="3726" spans="1:11" x14ac:dyDescent="0.45">
      <c r="A3726" s="57">
        <v>1231</v>
      </c>
      <c r="B3726" t="s">
        <v>1851</v>
      </c>
      <c r="C3726" t="s">
        <v>1852</v>
      </c>
      <c r="D3726" s="12">
        <v>46329</v>
      </c>
      <c r="E3726" s="11">
        <v>56</v>
      </c>
      <c r="F3726" s="11" t="s">
        <v>0</v>
      </c>
      <c r="G3726">
        <v>20241001</v>
      </c>
      <c r="I3726" s="11" t="s">
        <v>63</v>
      </c>
      <c r="J3726" s="72">
        <v>10591894</v>
      </c>
      <c r="K3726" s="99" t="str">
        <f>_xlfn.XLOOKUP(_2__ROI_Daily_Update[[#This Row],[CSM id]],SHP!F:F,SHP!EE:EE,"-")</f>
        <v>-</v>
      </c>
    </row>
    <row r="3727" spans="1:11" x14ac:dyDescent="0.45">
      <c r="A3727" s="57">
        <v>1213</v>
      </c>
      <c r="B3727" t="s">
        <v>5542</v>
      </c>
      <c r="C3727" t="s">
        <v>5543</v>
      </c>
      <c r="D3727" s="12">
        <v>46329</v>
      </c>
      <c r="E3727" s="11">
        <v>4</v>
      </c>
      <c r="F3727" s="11" t="s">
        <v>0</v>
      </c>
      <c r="G3727">
        <v>20241001</v>
      </c>
      <c r="I3727" s="11" t="s">
        <v>63</v>
      </c>
      <c r="J3727" s="72">
        <v>30585967</v>
      </c>
      <c r="K3727" s="99" t="str">
        <f>_xlfn.XLOOKUP(_2__ROI_Daily_Update[[#This Row],[CSM id]],SHP!F:F,SHP!EE:EE,"-")</f>
        <v>-</v>
      </c>
    </row>
    <row r="3728" spans="1:11" x14ac:dyDescent="0.45">
      <c r="A3728" s="57">
        <v>1231</v>
      </c>
      <c r="B3728" t="s">
        <v>7147</v>
      </c>
      <c r="C3728" t="s">
        <v>7148</v>
      </c>
      <c r="D3728" s="12">
        <v>46329</v>
      </c>
      <c r="E3728" s="11">
        <v>16</v>
      </c>
      <c r="F3728" s="11" t="s">
        <v>0</v>
      </c>
      <c r="G3728">
        <v>20260701</v>
      </c>
      <c r="H3728" s="12">
        <v>46569</v>
      </c>
      <c r="I3728" s="11" t="s">
        <v>63</v>
      </c>
      <c r="J3728" s="72">
        <v>70636012</v>
      </c>
      <c r="K3728" s="99" t="str">
        <f>_xlfn.XLOOKUP(_2__ROI_Daily_Update[[#This Row],[CSM id]],SHP!F:F,SHP!EE:EE,"-")</f>
        <v>-</v>
      </c>
    </row>
    <row r="3729" spans="1:11" x14ac:dyDescent="0.45">
      <c r="A3729" s="57">
        <v>964</v>
      </c>
      <c r="B3729" t="s">
        <v>7532</v>
      </c>
      <c r="C3729" t="s">
        <v>7533</v>
      </c>
      <c r="D3729" s="12">
        <v>46329</v>
      </c>
      <c r="E3729" s="11">
        <v>25</v>
      </c>
      <c r="F3729" s="11" t="s">
        <v>0</v>
      </c>
      <c r="G3729">
        <v>20191001</v>
      </c>
      <c r="H3729" s="12">
        <v>46478</v>
      </c>
      <c r="I3729" s="11" t="s">
        <v>63</v>
      </c>
      <c r="J3729" s="72">
        <v>30440333</v>
      </c>
      <c r="K3729" s="99" t="str">
        <f>_xlfn.XLOOKUP(_2__ROI_Daily_Update[[#This Row],[CSM id]],SHP!F:F,SHP!EE:EE,"-")</f>
        <v>-</v>
      </c>
    </row>
    <row r="3730" spans="1:11" x14ac:dyDescent="0.45">
      <c r="A3730" s="57">
        <v>1313</v>
      </c>
      <c r="B3730" t="s">
        <v>7314</v>
      </c>
      <c r="C3730" t="s">
        <v>7315</v>
      </c>
      <c r="D3730" s="12">
        <v>46329</v>
      </c>
      <c r="E3730" s="11">
        <v>72</v>
      </c>
      <c r="F3730" s="11" t="s">
        <v>0</v>
      </c>
      <c r="G3730">
        <v>20231001</v>
      </c>
      <c r="I3730" s="11" t="s">
        <v>63</v>
      </c>
      <c r="J3730" s="72">
        <v>50556073</v>
      </c>
      <c r="K3730" s="99" t="str">
        <f>_xlfn.XLOOKUP(_2__ROI_Daily_Update[[#This Row],[CSM id]],SHP!F:F,SHP!EE:EE,"-")</f>
        <v>-</v>
      </c>
    </row>
    <row r="3731" spans="1:11" x14ac:dyDescent="0.45">
      <c r="A3731" s="57">
        <v>1831</v>
      </c>
      <c r="B3731" t="s">
        <v>3598</v>
      </c>
      <c r="C3731" t="s">
        <v>3599</v>
      </c>
      <c r="D3731" s="12">
        <v>46329</v>
      </c>
      <c r="E3731" s="11">
        <v>246</v>
      </c>
      <c r="F3731" s="11" t="s">
        <v>0</v>
      </c>
      <c r="G3731">
        <v>20260101</v>
      </c>
      <c r="I3731" s="11" t="s">
        <v>63</v>
      </c>
      <c r="J3731" s="72">
        <v>40591048</v>
      </c>
      <c r="K3731" s="99" t="str">
        <f>_xlfn.XLOOKUP(_2__ROI_Daily_Update[[#This Row],[CSM id]],SHP!F:F,SHP!EE:EE,"-")</f>
        <v>-</v>
      </c>
    </row>
    <row r="3732" spans="1:11" x14ac:dyDescent="0.45">
      <c r="A3732" s="57">
        <v>1231</v>
      </c>
      <c r="B3732" t="s">
        <v>1909</v>
      </c>
      <c r="C3732" t="s">
        <v>1910</v>
      </c>
      <c r="D3732" s="12">
        <v>46329</v>
      </c>
      <c r="E3732" s="11">
        <v>204</v>
      </c>
      <c r="F3732" s="11" t="s">
        <v>0</v>
      </c>
      <c r="G3732">
        <v>20180801</v>
      </c>
      <c r="I3732" s="11" t="s">
        <v>63</v>
      </c>
      <c r="J3732" s="72">
        <v>70372775</v>
      </c>
      <c r="K3732" s="99" t="str">
        <f>_xlfn.XLOOKUP(_2__ROI_Daily_Update[[#This Row],[CSM id]],SHP!F:F,SHP!EE:EE,"-")</f>
        <v>-</v>
      </c>
    </row>
    <row r="3733" spans="1:11" x14ac:dyDescent="0.45">
      <c r="A3733" s="57">
        <v>1641</v>
      </c>
      <c r="B3733" t="s">
        <v>7548</v>
      </c>
      <c r="C3733" t="s">
        <v>7549</v>
      </c>
      <c r="D3733" s="12">
        <v>46329</v>
      </c>
      <c r="E3733" s="11">
        <v>11</v>
      </c>
      <c r="F3733" s="11" t="s">
        <v>0</v>
      </c>
      <c r="G3733">
        <v>20240401</v>
      </c>
      <c r="I3733" s="11" t="s">
        <v>63</v>
      </c>
      <c r="J3733" s="72">
        <v>80550041</v>
      </c>
      <c r="K3733" s="99" t="str">
        <f>_xlfn.XLOOKUP(_2__ROI_Daily_Update[[#This Row],[CSM id]],SHP!F:F,SHP!EE:EE,"-")</f>
        <v>-</v>
      </c>
    </row>
    <row r="3734" spans="1:11" x14ac:dyDescent="0.45">
      <c r="A3734" s="57">
        <v>1013</v>
      </c>
      <c r="B3734" t="s">
        <v>7294</v>
      </c>
      <c r="C3734" t="s">
        <v>7295</v>
      </c>
      <c r="D3734" s="12">
        <v>46329</v>
      </c>
      <c r="E3734" s="11">
        <v>10</v>
      </c>
      <c r="F3734" s="11" t="s">
        <v>0</v>
      </c>
      <c r="G3734">
        <v>20190201</v>
      </c>
      <c r="I3734" s="11" t="s">
        <v>63</v>
      </c>
      <c r="J3734" s="72">
        <v>60407153</v>
      </c>
      <c r="K3734" s="99" t="str">
        <f>_xlfn.XLOOKUP(_2__ROI_Daily_Update[[#This Row],[CSM id]],SHP!F:F,SHP!EE:EE,"-")</f>
        <v>-</v>
      </c>
    </row>
    <row r="3735" spans="1:11" x14ac:dyDescent="0.45">
      <c r="A3735" s="57">
        <v>1624</v>
      </c>
      <c r="B3735" t="s">
        <v>6005</v>
      </c>
      <c r="C3735" t="s">
        <v>6006</v>
      </c>
      <c r="D3735" s="12">
        <v>46329</v>
      </c>
      <c r="E3735" s="11">
        <v>12</v>
      </c>
      <c r="F3735" s="11" t="s">
        <v>0</v>
      </c>
      <c r="G3735">
        <v>20260701</v>
      </c>
      <c r="I3735" s="11" t="s">
        <v>63</v>
      </c>
      <c r="J3735" s="72">
        <v>624036</v>
      </c>
      <c r="K3735" s="99" t="str">
        <f>_xlfn.XLOOKUP(_2__ROI_Daily_Update[[#This Row],[CSM id]],SHP!F:F,SHP!EE:EE,"-")</f>
        <v>-</v>
      </c>
    </row>
    <row r="3736" spans="1:11" x14ac:dyDescent="0.45">
      <c r="A3736" s="57">
        <v>1231</v>
      </c>
      <c r="B3736" t="s">
        <v>1863</v>
      </c>
      <c r="C3736" t="s">
        <v>1864</v>
      </c>
      <c r="D3736" s="12">
        <v>46329</v>
      </c>
      <c r="E3736" s="11">
        <v>56</v>
      </c>
      <c r="F3736" s="11" t="s">
        <v>0</v>
      </c>
      <c r="G3736">
        <v>20260401</v>
      </c>
      <c r="H3736" s="12">
        <v>46569</v>
      </c>
      <c r="I3736" s="11" t="s">
        <v>63</v>
      </c>
      <c r="J3736" s="72">
        <v>20626416</v>
      </c>
      <c r="K3736" s="99" t="str">
        <f>_xlfn.XLOOKUP(_2__ROI_Daily_Update[[#This Row],[CSM id]],SHP!F:F,SHP!EE:EE,"-")</f>
        <v>-</v>
      </c>
    </row>
    <row r="3737" spans="1:11" x14ac:dyDescent="0.45">
      <c r="A3737" s="57">
        <v>1637</v>
      </c>
      <c r="B3737" t="s">
        <v>7556</v>
      </c>
      <c r="C3737" t="s">
        <v>7557</v>
      </c>
      <c r="D3737" s="12">
        <v>46329</v>
      </c>
      <c r="E3737" s="11">
        <v>80</v>
      </c>
      <c r="F3737" s="11" t="s">
        <v>0</v>
      </c>
      <c r="G3737">
        <v>20261001</v>
      </c>
      <c r="H3737" s="12">
        <v>46388</v>
      </c>
      <c r="I3737" s="11" t="s">
        <v>63</v>
      </c>
      <c r="J3737" s="72">
        <v>30633384</v>
      </c>
      <c r="K3737" s="99" t="str">
        <f>_xlfn.XLOOKUP(_2__ROI_Daily_Update[[#This Row],[CSM id]],SHP!F:F,SHP!EE:EE,"-")</f>
        <v>-</v>
      </c>
    </row>
    <row r="3738" spans="1:11" x14ac:dyDescent="0.45">
      <c r="A3738" s="57">
        <v>1637</v>
      </c>
      <c r="B3738" t="s">
        <v>7298</v>
      </c>
      <c r="C3738" t="s">
        <v>7299</v>
      </c>
      <c r="D3738" s="12">
        <v>46329</v>
      </c>
      <c r="E3738" s="11">
        <v>96</v>
      </c>
      <c r="F3738" s="11" t="s">
        <v>0</v>
      </c>
      <c r="G3738">
        <v>20261001</v>
      </c>
      <c r="H3738" s="12">
        <v>46388</v>
      </c>
      <c r="I3738" s="11" t="s">
        <v>63</v>
      </c>
      <c r="J3738" s="72">
        <v>20636892</v>
      </c>
      <c r="K3738" s="99" t="str">
        <f>_xlfn.XLOOKUP(_2__ROI_Daily_Update[[#This Row],[CSM id]],SHP!F:F,SHP!EE:EE,"-")</f>
        <v>-</v>
      </c>
    </row>
    <row r="3739" spans="1:11" x14ac:dyDescent="0.45">
      <c r="A3739" s="57">
        <v>1011</v>
      </c>
      <c r="B3739" t="s">
        <v>1034</v>
      </c>
      <c r="C3739" t="s">
        <v>1035</v>
      </c>
      <c r="D3739" s="12">
        <v>46329</v>
      </c>
      <c r="E3739" s="11">
        <v>16</v>
      </c>
      <c r="F3739" s="11" t="s">
        <v>0</v>
      </c>
      <c r="G3739">
        <v>20210201</v>
      </c>
      <c r="I3739" s="11" t="s">
        <v>63</v>
      </c>
      <c r="J3739" s="72">
        <v>70477739</v>
      </c>
      <c r="K3739" s="99" t="str">
        <f>_xlfn.XLOOKUP(_2__ROI_Daily_Update[[#This Row],[CSM id]],SHP!F:F,SHP!EE:EE,"-")</f>
        <v>-</v>
      </c>
    </row>
    <row r="3740" spans="1:11" x14ac:dyDescent="0.45">
      <c r="A3740" s="57">
        <v>1641</v>
      </c>
      <c r="B3740" t="s">
        <v>7524</v>
      </c>
      <c r="C3740" t="s">
        <v>7525</v>
      </c>
      <c r="D3740" s="12">
        <v>46329</v>
      </c>
      <c r="E3740" s="11">
        <v>18</v>
      </c>
      <c r="F3740" s="11" t="s">
        <v>0</v>
      </c>
      <c r="G3740">
        <v>20210701</v>
      </c>
      <c r="I3740" s="11" t="s">
        <v>63</v>
      </c>
      <c r="J3740" s="72">
        <v>90286772</v>
      </c>
      <c r="K3740" s="99" t="str">
        <f>_xlfn.XLOOKUP(_2__ROI_Daily_Update[[#This Row],[CSM id]],SHP!F:F,SHP!EE:EE,"-")</f>
        <v>-</v>
      </c>
    </row>
    <row r="3741" spans="1:11" x14ac:dyDescent="0.45">
      <c r="A3741" s="57">
        <v>1631</v>
      </c>
      <c r="B3741" t="s">
        <v>2950</v>
      </c>
      <c r="C3741" t="s">
        <v>2951</v>
      </c>
      <c r="D3741" s="12">
        <v>46329</v>
      </c>
      <c r="E3741" s="11">
        <v>6</v>
      </c>
      <c r="F3741" s="11" t="s">
        <v>0</v>
      </c>
      <c r="G3741">
        <v>20260701</v>
      </c>
      <c r="I3741" s="11" t="s">
        <v>63</v>
      </c>
      <c r="J3741" s="72">
        <v>40633519</v>
      </c>
      <c r="K3741" s="99" t="str">
        <f>_xlfn.XLOOKUP(_2__ROI_Daily_Update[[#This Row],[CSM id]],SHP!F:F,SHP!EE:EE,"-")</f>
        <v>-</v>
      </c>
    </row>
    <row r="3742" spans="1:11" x14ac:dyDescent="0.45">
      <c r="A3742" s="57">
        <v>1211</v>
      </c>
      <c r="B3742" t="s">
        <v>1771</v>
      </c>
      <c r="C3742" t="s">
        <v>1772</v>
      </c>
      <c r="D3742" s="12">
        <v>46329</v>
      </c>
      <c r="E3742" s="11">
        <v>4</v>
      </c>
      <c r="F3742" s="11" t="s">
        <v>0</v>
      </c>
      <c r="G3742">
        <v>20250401</v>
      </c>
      <c r="H3742" s="12">
        <v>46569</v>
      </c>
      <c r="I3742" s="11" t="s">
        <v>63</v>
      </c>
      <c r="J3742" s="72">
        <v>80601093</v>
      </c>
      <c r="K3742" s="99" t="str">
        <f>_xlfn.XLOOKUP(_2__ROI_Daily_Update[[#This Row],[CSM id]],SHP!F:F,SHP!EE:EE,"-")</f>
        <v>-</v>
      </c>
    </row>
    <row r="3743" spans="1:11" x14ac:dyDescent="0.45">
      <c r="A3743" s="57">
        <v>131</v>
      </c>
      <c r="B3743" t="s">
        <v>72</v>
      </c>
      <c r="C3743" t="s">
        <v>73</v>
      </c>
      <c r="D3743" s="12">
        <v>46329</v>
      </c>
      <c r="E3743" s="11">
        <v>160</v>
      </c>
      <c r="F3743" s="11" t="s">
        <v>0</v>
      </c>
      <c r="G3743">
        <v>20260701</v>
      </c>
      <c r="I3743" s="11" t="s">
        <v>63</v>
      </c>
      <c r="J3743" s="72">
        <v>50630332</v>
      </c>
      <c r="K3743" s="99" t="str">
        <f>_xlfn.XLOOKUP(_2__ROI_Daily_Update[[#This Row],[CSM id]],SHP!F:F,SHP!EE:EE,"-")</f>
        <v>-</v>
      </c>
    </row>
    <row r="3744" spans="1:11" x14ac:dyDescent="0.45">
      <c r="A3744" s="57">
        <v>1031</v>
      </c>
      <c r="B3744" t="s">
        <v>1270</v>
      </c>
      <c r="C3744" t="s">
        <v>1271</v>
      </c>
      <c r="D3744" s="12">
        <v>46329</v>
      </c>
      <c r="E3744" s="11">
        <v>36</v>
      </c>
      <c r="F3744" s="11" t="s">
        <v>0</v>
      </c>
      <c r="G3744">
        <v>20240101</v>
      </c>
      <c r="I3744" s="11" t="s">
        <v>63</v>
      </c>
      <c r="J3744" s="72">
        <v>548434</v>
      </c>
      <c r="K3744" s="99" t="str">
        <f>_xlfn.XLOOKUP(_2__ROI_Daily_Update[[#This Row],[CSM id]],SHP!F:F,SHP!EE:EE,"-")</f>
        <v>-</v>
      </c>
    </row>
    <row r="3745" spans="1:11" x14ac:dyDescent="0.45">
      <c r="A3745" s="57">
        <v>125</v>
      </c>
      <c r="B3745" t="s">
        <v>130</v>
      </c>
      <c r="C3745" t="s">
        <v>131</v>
      </c>
      <c r="D3745" s="12">
        <v>46329</v>
      </c>
      <c r="E3745" s="11">
        <v>20</v>
      </c>
      <c r="F3745" s="11" t="s">
        <v>0</v>
      </c>
      <c r="G3745">
        <v>20180401</v>
      </c>
      <c r="H3745" s="12">
        <v>46569</v>
      </c>
      <c r="I3745" s="11" t="s">
        <v>63</v>
      </c>
      <c r="J3745" s="72">
        <v>90395144</v>
      </c>
      <c r="K3745" s="99" t="str">
        <f>_xlfn.XLOOKUP(_2__ROI_Daily_Update[[#This Row],[CSM id]],SHP!F:F,SHP!EE:EE,"-")</f>
        <v>-</v>
      </c>
    </row>
    <row r="3746" spans="1:11" x14ac:dyDescent="0.45">
      <c r="A3746" s="57">
        <v>1019</v>
      </c>
      <c r="B3746" t="s">
        <v>1170</v>
      </c>
      <c r="C3746" t="s">
        <v>1171</v>
      </c>
      <c r="D3746" s="12">
        <v>46329</v>
      </c>
      <c r="E3746" s="11">
        <v>48</v>
      </c>
      <c r="F3746" s="11" t="s">
        <v>0</v>
      </c>
      <c r="G3746">
        <v>20231001</v>
      </c>
      <c r="I3746" s="11" t="s">
        <v>63</v>
      </c>
      <c r="J3746" s="72">
        <v>20552316</v>
      </c>
      <c r="K3746" s="99" t="str">
        <f>_xlfn.XLOOKUP(_2__ROI_Daily_Update[[#This Row],[CSM id]],SHP!F:F,SHP!EE:EE,"-")</f>
        <v>-</v>
      </c>
    </row>
    <row r="3747" spans="1:11" x14ac:dyDescent="0.45">
      <c r="A3747" s="57">
        <v>1023</v>
      </c>
      <c r="B3747" t="s">
        <v>6475</v>
      </c>
      <c r="C3747" t="s">
        <v>6476</v>
      </c>
      <c r="D3747" s="12">
        <v>46329</v>
      </c>
      <c r="E3747" s="11">
        <v>68</v>
      </c>
      <c r="F3747" s="11" t="s">
        <v>0</v>
      </c>
      <c r="G3747">
        <v>20211001</v>
      </c>
      <c r="I3747" s="11" t="s">
        <v>63</v>
      </c>
      <c r="J3747" s="72">
        <v>30492299</v>
      </c>
      <c r="K3747" s="99" t="str">
        <f>_xlfn.XLOOKUP(_2__ROI_Daily_Update[[#This Row],[CSM id]],SHP!F:F,SHP!EE:EE,"-")</f>
        <v>-</v>
      </c>
    </row>
    <row r="3748" spans="1:11" x14ac:dyDescent="0.45">
      <c r="A3748" s="57">
        <v>371</v>
      </c>
      <c r="B3748" t="s">
        <v>7163</v>
      </c>
      <c r="C3748" t="s">
        <v>7164</v>
      </c>
      <c r="D3748" s="12">
        <v>46329</v>
      </c>
      <c r="E3748" s="11">
        <v>10</v>
      </c>
      <c r="F3748" s="11" t="s">
        <v>0</v>
      </c>
      <c r="G3748">
        <v>20261001</v>
      </c>
      <c r="I3748" s="11" t="s">
        <v>63</v>
      </c>
      <c r="J3748" s="72">
        <v>30619689</v>
      </c>
      <c r="K3748" s="99" t="str">
        <f>_xlfn.XLOOKUP(_2__ROI_Daily_Update[[#This Row],[CSM id]],SHP!F:F,SHP!EE:EE,"-")</f>
        <v>-</v>
      </c>
    </row>
    <row r="3749" spans="1:11" x14ac:dyDescent="0.45">
      <c r="A3749" s="57">
        <v>974</v>
      </c>
      <c r="B3749" t="s">
        <v>5687</v>
      </c>
      <c r="C3749" t="s">
        <v>5688</v>
      </c>
      <c r="D3749" s="12">
        <v>46329</v>
      </c>
      <c r="E3749" s="11">
        <v>10</v>
      </c>
      <c r="F3749" s="11" t="s">
        <v>0</v>
      </c>
      <c r="G3749">
        <v>20220701</v>
      </c>
      <c r="I3749" s="11" t="s">
        <v>63</v>
      </c>
      <c r="J3749" s="72">
        <v>90513897</v>
      </c>
      <c r="K3749" s="99" t="str">
        <f>_xlfn.XLOOKUP(_2__ROI_Daily_Update[[#This Row],[CSM id]],SHP!F:F,SHP!EE:EE,"-")</f>
        <v>-</v>
      </c>
    </row>
    <row r="3750" spans="1:11" x14ac:dyDescent="0.45">
      <c r="A3750" s="57">
        <v>921</v>
      </c>
      <c r="B3750" t="s">
        <v>682</v>
      </c>
      <c r="C3750" t="s">
        <v>683</v>
      </c>
      <c r="D3750" s="12">
        <v>46329</v>
      </c>
      <c r="E3750" s="11">
        <v>32</v>
      </c>
      <c r="F3750" s="11" t="s">
        <v>0</v>
      </c>
      <c r="G3750">
        <v>20220701</v>
      </c>
      <c r="I3750" s="11" t="s">
        <v>63</v>
      </c>
      <c r="J3750" s="72">
        <v>30518572</v>
      </c>
      <c r="K3750" s="99" t="str">
        <f>_xlfn.XLOOKUP(_2__ROI_Daily_Update[[#This Row],[CSM id]],SHP!F:F,SHP!EE:EE,"-")</f>
        <v>-</v>
      </c>
    </row>
    <row r="3751" spans="1:11" x14ac:dyDescent="0.45">
      <c r="A3751" s="57">
        <v>1643</v>
      </c>
      <c r="B3751" t="s">
        <v>3245</v>
      </c>
      <c r="C3751" t="s">
        <v>3246</v>
      </c>
      <c r="D3751" s="12">
        <v>46329</v>
      </c>
      <c r="E3751" s="11">
        <v>44</v>
      </c>
      <c r="F3751" s="11" t="s">
        <v>0</v>
      </c>
      <c r="G3751">
        <v>20221001</v>
      </c>
      <c r="I3751" s="11" t="s">
        <v>63</v>
      </c>
      <c r="J3751" s="72">
        <v>70540854</v>
      </c>
      <c r="K3751" s="99" t="str">
        <f>_xlfn.XLOOKUP(_2__ROI_Daily_Update[[#This Row],[CSM id]],SHP!F:F,SHP!EE:EE,"-")</f>
        <v>-</v>
      </c>
    </row>
    <row r="3752" spans="1:11" x14ac:dyDescent="0.45">
      <c r="A3752" s="57">
        <v>1111</v>
      </c>
      <c r="B3752" t="s">
        <v>5735</v>
      </c>
      <c r="C3752" t="s">
        <v>5736</v>
      </c>
      <c r="D3752" s="12">
        <v>46329</v>
      </c>
      <c r="E3752" s="11">
        <v>24</v>
      </c>
      <c r="F3752" s="11" t="s">
        <v>0</v>
      </c>
      <c r="G3752">
        <v>20220401</v>
      </c>
      <c r="I3752" s="11" t="s">
        <v>63</v>
      </c>
      <c r="J3752" s="72">
        <v>40535769</v>
      </c>
      <c r="K3752" s="99" t="str">
        <f>_xlfn.XLOOKUP(_2__ROI_Daily_Update[[#This Row],[CSM id]],SHP!F:F,SHP!EE:EE,"-")</f>
        <v>-</v>
      </c>
    </row>
    <row r="3753" spans="1:11" x14ac:dyDescent="0.45">
      <c r="A3753" s="57">
        <v>921</v>
      </c>
      <c r="B3753" t="s">
        <v>674</v>
      </c>
      <c r="C3753" t="s">
        <v>675</v>
      </c>
      <c r="D3753" s="12">
        <v>46329</v>
      </c>
      <c r="E3753" s="11">
        <v>48</v>
      </c>
      <c r="F3753" s="11" t="s">
        <v>0</v>
      </c>
      <c r="G3753">
        <v>20220701</v>
      </c>
      <c r="I3753" s="11" t="s">
        <v>63</v>
      </c>
      <c r="J3753" s="72">
        <v>10518455</v>
      </c>
      <c r="K3753" s="99" t="str">
        <f>_xlfn.XLOOKUP(_2__ROI_Daily_Update[[#This Row],[CSM id]],SHP!F:F,SHP!EE:EE,"-")</f>
        <v>-</v>
      </c>
    </row>
    <row r="3754" spans="1:11" x14ac:dyDescent="0.45">
      <c r="A3754" s="57">
        <v>761</v>
      </c>
      <c r="B3754" t="s">
        <v>7191</v>
      </c>
      <c r="C3754" t="s">
        <v>7192</v>
      </c>
      <c r="D3754" s="12">
        <v>46329</v>
      </c>
      <c r="E3754" s="11">
        <v>728</v>
      </c>
      <c r="F3754" s="11" t="s">
        <v>0</v>
      </c>
      <c r="G3754">
        <v>20141001</v>
      </c>
      <c r="I3754" s="11" t="s">
        <v>63</v>
      </c>
      <c r="J3754" s="72">
        <v>10271227</v>
      </c>
      <c r="K3754" s="99" t="str">
        <f>_xlfn.XLOOKUP(_2__ROI_Daily_Update[[#This Row],[CSM id]],SHP!F:F,SHP!EE:EE,"-")</f>
        <v>-</v>
      </c>
    </row>
    <row r="3755" spans="1:11" x14ac:dyDescent="0.45">
      <c r="A3755" s="57">
        <v>981</v>
      </c>
      <c r="B3755" t="s">
        <v>5917</v>
      </c>
      <c r="C3755" t="s">
        <v>5918</v>
      </c>
      <c r="D3755" s="12">
        <v>46329</v>
      </c>
      <c r="E3755" s="11">
        <v>24</v>
      </c>
      <c r="F3755" s="11" t="s">
        <v>0</v>
      </c>
      <c r="G3755">
        <v>20241001</v>
      </c>
      <c r="I3755" s="11" t="s">
        <v>63</v>
      </c>
      <c r="J3755" s="72">
        <v>40581983</v>
      </c>
      <c r="K3755" s="99" t="str">
        <f>_xlfn.XLOOKUP(_2__ROI_Daily_Update[[#This Row],[CSM id]],SHP!F:F,SHP!EE:EE,"-")</f>
        <v>-</v>
      </c>
    </row>
    <row r="3756" spans="1:11" x14ac:dyDescent="0.45">
      <c r="A3756" s="57">
        <v>1111</v>
      </c>
      <c r="B3756" t="s">
        <v>7522</v>
      </c>
      <c r="C3756" t="s">
        <v>7523</v>
      </c>
      <c r="D3756" s="12">
        <v>46329</v>
      </c>
      <c r="E3756" s="11">
        <v>16</v>
      </c>
      <c r="F3756" s="11" t="s">
        <v>0</v>
      </c>
      <c r="G3756">
        <v>20251001</v>
      </c>
      <c r="I3756" s="11" t="s">
        <v>63</v>
      </c>
      <c r="J3756" s="72">
        <v>30615691</v>
      </c>
      <c r="K3756" s="99" t="str">
        <f>_xlfn.XLOOKUP(_2__ROI_Daily_Update[[#This Row],[CSM id]],SHP!F:F,SHP!EE:EE,"-")</f>
        <v>-</v>
      </c>
    </row>
    <row r="3757" spans="1:11" x14ac:dyDescent="0.45">
      <c r="A3757" s="57">
        <v>973</v>
      </c>
      <c r="B3757" t="s">
        <v>7175</v>
      </c>
      <c r="C3757" t="s">
        <v>7176</v>
      </c>
      <c r="D3757" s="12">
        <v>46329</v>
      </c>
      <c r="E3757" s="11">
        <v>324</v>
      </c>
      <c r="F3757" s="11" t="s">
        <v>0</v>
      </c>
      <c r="G3757">
        <v>20200801</v>
      </c>
      <c r="I3757" s="11" t="s">
        <v>63</v>
      </c>
      <c r="J3757" s="72">
        <v>60459892</v>
      </c>
      <c r="K3757" s="99" t="str">
        <f>_xlfn.XLOOKUP(_2__ROI_Daily_Update[[#This Row],[CSM id]],SHP!F:F,SHP!EE:EE,"-")</f>
        <v>-</v>
      </c>
    </row>
    <row r="3758" spans="1:11" x14ac:dyDescent="0.45">
      <c r="A3758" s="57">
        <v>1644</v>
      </c>
      <c r="B3758" t="s">
        <v>6167</v>
      </c>
      <c r="C3758" t="s">
        <v>6168</v>
      </c>
      <c r="D3758" s="12">
        <v>46329</v>
      </c>
      <c r="E3758" s="11">
        <v>52</v>
      </c>
      <c r="F3758" s="11" t="s">
        <v>0</v>
      </c>
      <c r="G3758">
        <v>20261001</v>
      </c>
      <c r="I3758" s="11" t="s">
        <v>63</v>
      </c>
      <c r="J3758" s="72">
        <v>651039</v>
      </c>
      <c r="K3758" s="99" t="str">
        <f>_xlfn.XLOOKUP(_2__ROI_Daily_Update[[#This Row],[CSM id]],SHP!F:F,SHP!EE:EE,"-")</f>
        <v>-</v>
      </c>
    </row>
    <row r="3759" spans="1:11" x14ac:dyDescent="0.45">
      <c r="A3759" s="57">
        <v>1433</v>
      </c>
      <c r="B3759" t="s">
        <v>2464</v>
      </c>
      <c r="C3759" t="s">
        <v>2465</v>
      </c>
      <c r="D3759" s="12">
        <v>46329</v>
      </c>
      <c r="E3759" s="11">
        <v>40</v>
      </c>
      <c r="F3759" s="11" t="s">
        <v>0</v>
      </c>
      <c r="G3759">
        <v>20221001</v>
      </c>
      <c r="I3759" s="11" t="s">
        <v>63</v>
      </c>
      <c r="J3759" s="72">
        <v>60503475</v>
      </c>
      <c r="K3759" s="99" t="str">
        <f>_xlfn.XLOOKUP(_2__ROI_Daily_Update[[#This Row],[CSM id]],SHP!F:F,SHP!EE:EE,"-")</f>
        <v>-</v>
      </c>
    </row>
    <row r="3760" spans="1:11" x14ac:dyDescent="0.45">
      <c r="A3760" s="57">
        <v>621</v>
      </c>
      <c r="B3760" t="s">
        <v>207</v>
      </c>
      <c r="C3760" t="s">
        <v>208</v>
      </c>
      <c r="D3760" s="12">
        <v>46329</v>
      </c>
      <c r="E3760" s="11">
        <v>32</v>
      </c>
      <c r="F3760" s="11" t="s">
        <v>0</v>
      </c>
      <c r="G3760">
        <v>20261001</v>
      </c>
      <c r="I3760" s="11" t="s">
        <v>63</v>
      </c>
      <c r="J3760" s="72">
        <v>90632089</v>
      </c>
      <c r="K3760" s="99" t="str">
        <f>_xlfn.XLOOKUP(_2__ROI_Daily_Update[[#This Row],[CSM id]],SHP!F:F,SHP!EE:EE,"-")</f>
        <v>-</v>
      </c>
    </row>
    <row r="3761" spans="1:11" x14ac:dyDescent="0.45">
      <c r="A3761" s="57">
        <v>352</v>
      </c>
      <c r="B3761" t="s">
        <v>5294</v>
      </c>
      <c r="C3761" t="s">
        <v>5295</v>
      </c>
      <c r="D3761" s="12">
        <v>46329</v>
      </c>
      <c r="E3761" s="11">
        <v>4</v>
      </c>
      <c r="F3761" s="11" t="s">
        <v>0</v>
      </c>
      <c r="G3761">
        <v>20181001</v>
      </c>
      <c r="I3761" s="11" t="s">
        <v>63</v>
      </c>
      <c r="J3761" s="72">
        <v>20419983</v>
      </c>
      <c r="K3761" s="99" t="str">
        <f>_xlfn.XLOOKUP(_2__ROI_Daily_Update[[#This Row],[CSM id]],SHP!F:F,SHP!EE:EE,"-")</f>
        <v>-</v>
      </c>
    </row>
    <row r="3762" spans="1:11" x14ac:dyDescent="0.45">
      <c r="A3762" s="57">
        <v>1644</v>
      </c>
      <c r="B3762" t="s">
        <v>3269</v>
      </c>
      <c r="C3762" t="s">
        <v>3270</v>
      </c>
      <c r="D3762" s="12">
        <v>46329</v>
      </c>
      <c r="E3762" s="11">
        <v>12</v>
      </c>
      <c r="F3762" s="11" t="s">
        <v>0</v>
      </c>
      <c r="G3762">
        <v>20241001</v>
      </c>
      <c r="I3762" s="11" t="s">
        <v>63</v>
      </c>
      <c r="J3762" s="72">
        <v>90586940</v>
      </c>
      <c r="K3762" s="99" t="str">
        <f>_xlfn.XLOOKUP(_2__ROI_Daily_Update[[#This Row],[CSM id]],SHP!F:F,SHP!EE:EE,"-")</f>
        <v>-</v>
      </c>
    </row>
    <row r="3763" spans="1:11" x14ac:dyDescent="0.45">
      <c r="A3763" s="57">
        <v>1111</v>
      </c>
      <c r="B3763" t="s">
        <v>1423</v>
      </c>
      <c r="C3763" t="s">
        <v>1424</v>
      </c>
      <c r="D3763" s="12">
        <v>46329</v>
      </c>
      <c r="E3763" s="11">
        <v>50</v>
      </c>
      <c r="F3763" s="11" t="s">
        <v>0</v>
      </c>
      <c r="G3763">
        <v>20251001</v>
      </c>
      <c r="I3763" s="11" t="s">
        <v>63</v>
      </c>
      <c r="J3763" s="72">
        <v>60615680</v>
      </c>
      <c r="K3763" s="99" t="str">
        <f>_xlfn.XLOOKUP(_2__ROI_Daily_Update[[#This Row],[CSM id]],SHP!F:F,SHP!EE:EE,"-")</f>
        <v>-</v>
      </c>
    </row>
    <row r="3764" spans="1:11" x14ac:dyDescent="0.45">
      <c r="A3764" s="57">
        <v>1433</v>
      </c>
      <c r="B3764" t="s">
        <v>2460</v>
      </c>
      <c r="C3764" t="s">
        <v>2461</v>
      </c>
      <c r="D3764" s="12">
        <v>46329</v>
      </c>
      <c r="E3764" s="11">
        <v>80</v>
      </c>
      <c r="F3764" s="11" t="s">
        <v>0</v>
      </c>
      <c r="G3764">
        <v>20210201</v>
      </c>
      <c r="I3764" s="11" t="s">
        <v>63</v>
      </c>
      <c r="J3764" s="72">
        <v>40473714</v>
      </c>
      <c r="K3764" s="99" t="str">
        <f>_xlfn.XLOOKUP(_2__ROI_Daily_Update[[#This Row],[CSM id]],SHP!F:F,SHP!EE:EE,"-")</f>
        <v>-</v>
      </c>
    </row>
    <row r="3765" spans="1:11" x14ac:dyDescent="0.45">
      <c r="A3765" s="57">
        <v>1111</v>
      </c>
      <c r="B3765" t="s">
        <v>1425</v>
      </c>
      <c r="C3765" t="s">
        <v>1426</v>
      </c>
      <c r="D3765" s="12">
        <v>46329</v>
      </c>
      <c r="E3765" s="11">
        <v>10</v>
      </c>
      <c r="F3765" s="11" t="s">
        <v>0</v>
      </c>
      <c r="G3765">
        <v>20251001</v>
      </c>
      <c r="I3765" s="11" t="s">
        <v>63</v>
      </c>
      <c r="J3765" s="72">
        <v>60615859</v>
      </c>
      <c r="K3765" s="99" t="str">
        <f>_xlfn.XLOOKUP(_2__ROI_Daily_Update[[#This Row],[CSM id]],SHP!F:F,SHP!EE:EE,"-")</f>
        <v>-</v>
      </c>
    </row>
    <row r="3766" spans="1:11" x14ac:dyDescent="0.45">
      <c r="A3766" s="57">
        <v>1831</v>
      </c>
      <c r="B3766" t="s">
        <v>3574</v>
      </c>
      <c r="C3766" t="s">
        <v>3575</v>
      </c>
      <c r="D3766" s="12">
        <v>46329</v>
      </c>
      <c r="E3766" s="11">
        <v>1440</v>
      </c>
      <c r="F3766" s="11" t="s">
        <v>0</v>
      </c>
      <c r="G3766">
        <v>20190201</v>
      </c>
      <c r="I3766" s="11" t="s">
        <v>63</v>
      </c>
      <c r="J3766" s="72">
        <v>10395384</v>
      </c>
      <c r="K3766" s="99" t="str">
        <f>_xlfn.XLOOKUP(_2__ROI_Daily_Update[[#This Row],[CSM id]],SHP!F:F,SHP!EE:EE,"-")</f>
        <v>-</v>
      </c>
    </row>
    <row r="3767" spans="1:11" x14ac:dyDescent="0.45">
      <c r="A3767" s="57">
        <v>1111</v>
      </c>
      <c r="B3767" t="s">
        <v>7518</v>
      </c>
      <c r="C3767" t="s">
        <v>7519</v>
      </c>
      <c r="D3767" s="12">
        <v>46329</v>
      </c>
      <c r="E3767" s="11">
        <v>24</v>
      </c>
      <c r="F3767" s="11" t="s">
        <v>0</v>
      </c>
      <c r="G3767">
        <v>20170201</v>
      </c>
      <c r="I3767" s="11" t="s">
        <v>63</v>
      </c>
      <c r="J3767" s="72">
        <v>30335544</v>
      </c>
      <c r="K3767" s="99" t="str">
        <f>_xlfn.XLOOKUP(_2__ROI_Daily_Update[[#This Row],[CSM id]],SHP!F:F,SHP!EE:EE,"-")</f>
        <v>-</v>
      </c>
    </row>
    <row r="3768" spans="1:11" x14ac:dyDescent="0.45">
      <c r="A3768" s="57">
        <v>1813</v>
      </c>
      <c r="B3768" t="s">
        <v>7316</v>
      </c>
      <c r="C3768" t="s">
        <v>7317</v>
      </c>
      <c r="D3768" s="12">
        <v>46329</v>
      </c>
      <c r="E3768" s="11">
        <v>21</v>
      </c>
      <c r="F3768" s="11" t="s">
        <v>0</v>
      </c>
      <c r="G3768">
        <v>20140801</v>
      </c>
      <c r="I3768" s="11" t="s">
        <v>63</v>
      </c>
      <c r="J3768" s="72">
        <v>20246157</v>
      </c>
      <c r="K3768" s="99" t="str">
        <f>_xlfn.XLOOKUP(_2__ROI_Daily_Update[[#This Row],[CSM id]],SHP!F:F,SHP!EE:EE,"-")</f>
        <v>-</v>
      </c>
    </row>
    <row r="3769" spans="1:11" x14ac:dyDescent="0.45">
      <c r="A3769" s="57">
        <v>1111</v>
      </c>
      <c r="B3769" t="s">
        <v>6315</v>
      </c>
      <c r="C3769" t="s">
        <v>6316</v>
      </c>
      <c r="D3769" s="12">
        <v>46329</v>
      </c>
      <c r="E3769" s="11">
        <v>72</v>
      </c>
      <c r="F3769" s="11" t="s">
        <v>0</v>
      </c>
      <c r="G3769">
        <v>20251001</v>
      </c>
      <c r="I3769" s="11" t="s">
        <v>63</v>
      </c>
      <c r="J3769" s="72">
        <v>615824</v>
      </c>
      <c r="K3769" s="99" t="str">
        <f>_xlfn.XLOOKUP(_2__ROI_Daily_Update[[#This Row],[CSM id]],SHP!F:F,SHP!EE:EE,"-")</f>
        <v>-</v>
      </c>
    </row>
    <row r="3770" spans="1:11" x14ac:dyDescent="0.45">
      <c r="A3770" s="57">
        <v>1832</v>
      </c>
      <c r="B3770" t="s">
        <v>7185</v>
      </c>
      <c r="C3770" t="s">
        <v>7186</v>
      </c>
      <c r="D3770" s="12">
        <v>46329</v>
      </c>
      <c r="E3770" s="11">
        <v>288</v>
      </c>
      <c r="F3770" s="11" t="s">
        <v>0</v>
      </c>
      <c r="G3770">
        <v>20150401</v>
      </c>
      <c r="I3770" s="11" t="s">
        <v>63</v>
      </c>
      <c r="J3770" s="72">
        <v>20291418</v>
      </c>
      <c r="K3770" s="99" t="str">
        <f>_xlfn.XLOOKUP(_2__ROI_Daily_Update[[#This Row],[CSM id]],SHP!F:F,SHP!EE:EE,"-")</f>
        <v>-</v>
      </c>
    </row>
    <row r="3771" spans="1:11" x14ac:dyDescent="0.45">
      <c r="A3771" s="57">
        <v>1643</v>
      </c>
      <c r="B3771" t="s">
        <v>7195</v>
      </c>
      <c r="C3771" t="s">
        <v>7196</v>
      </c>
      <c r="D3771" s="12">
        <v>46329</v>
      </c>
      <c r="E3771" s="11">
        <v>66</v>
      </c>
      <c r="F3771" s="11" t="s">
        <v>0</v>
      </c>
      <c r="G3771">
        <v>20260701</v>
      </c>
      <c r="I3771" s="11" t="s">
        <v>63</v>
      </c>
      <c r="J3771" s="72">
        <v>20620462</v>
      </c>
      <c r="K3771" s="99" t="str">
        <f>_xlfn.XLOOKUP(_2__ROI_Daily_Update[[#This Row],[CSM id]],SHP!F:F,SHP!EE:EE,"-")</f>
        <v>-</v>
      </c>
    </row>
    <row r="3772" spans="1:11" x14ac:dyDescent="0.45">
      <c r="A3772" s="57">
        <v>973</v>
      </c>
      <c r="B3772" t="s">
        <v>5823</v>
      </c>
      <c r="C3772" t="s">
        <v>5824</v>
      </c>
      <c r="D3772" s="12">
        <v>46329</v>
      </c>
      <c r="E3772" s="11">
        <v>26</v>
      </c>
      <c r="F3772" s="11" t="s">
        <v>0</v>
      </c>
      <c r="G3772">
        <v>20200801</v>
      </c>
      <c r="H3772" s="12">
        <v>46478</v>
      </c>
      <c r="I3772" s="11" t="s">
        <v>63</v>
      </c>
      <c r="J3772" s="72">
        <v>20477628</v>
      </c>
      <c r="K3772" s="99" t="str">
        <f>_xlfn.XLOOKUP(_2__ROI_Daily_Update[[#This Row],[CSM id]],SHP!F:F,SHP!EE:EE,"-")</f>
        <v>-</v>
      </c>
    </row>
    <row r="3773" spans="1:11" x14ac:dyDescent="0.45">
      <c r="A3773" s="57">
        <v>622</v>
      </c>
      <c r="B3773" t="s">
        <v>7199</v>
      </c>
      <c r="C3773" t="s">
        <v>7200</v>
      </c>
      <c r="D3773" s="12">
        <v>46329</v>
      </c>
      <c r="E3773" s="11">
        <v>66</v>
      </c>
      <c r="F3773" s="11" t="s">
        <v>0</v>
      </c>
      <c r="G3773">
        <v>20240701</v>
      </c>
      <c r="I3773" s="11" t="s">
        <v>63</v>
      </c>
      <c r="J3773" s="72">
        <v>40579230</v>
      </c>
      <c r="K3773" s="99" t="str">
        <f>_xlfn.XLOOKUP(_2__ROI_Daily_Update[[#This Row],[CSM id]],SHP!F:F,SHP!EE:EE,"-")</f>
        <v>-</v>
      </c>
    </row>
    <row r="3774" spans="1:11" x14ac:dyDescent="0.45">
      <c r="A3774" s="57">
        <v>1433</v>
      </c>
      <c r="B3774" t="s">
        <v>7540</v>
      </c>
      <c r="C3774" t="s">
        <v>7541</v>
      </c>
      <c r="D3774" s="12">
        <v>46329</v>
      </c>
      <c r="E3774" s="11">
        <v>1632</v>
      </c>
      <c r="F3774" s="11" t="s">
        <v>0</v>
      </c>
      <c r="G3774">
        <v>20190401</v>
      </c>
      <c r="I3774" s="11" t="s">
        <v>63</v>
      </c>
      <c r="J3774" s="72">
        <v>407815</v>
      </c>
      <c r="K3774" s="99" t="str">
        <f>_xlfn.XLOOKUP(_2__ROI_Daily_Update[[#This Row],[CSM id]],SHP!F:F,SHP!EE:EE,"-")</f>
        <v>-</v>
      </c>
    </row>
    <row r="3775" spans="1:11" x14ac:dyDescent="0.45">
      <c r="A3775" s="57">
        <v>371</v>
      </c>
      <c r="B3775" t="s">
        <v>7161</v>
      </c>
      <c r="C3775" t="s">
        <v>7162</v>
      </c>
      <c r="D3775" s="12">
        <v>46329</v>
      </c>
      <c r="E3775" s="11">
        <v>8</v>
      </c>
      <c r="F3775" s="11" t="s">
        <v>0</v>
      </c>
      <c r="G3775">
        <v>20261001</v>
      </c>
      <c r="I3775" s="11" t="s">
        <v>63</v>
      </c>
      <c r="J3775" s="72">
        <v>50619688</v>
      </c>
      <c r="K3775" s="99" t="str">
        <f>_xlfn.XLOOKUP(_2__ROI_Daily_Update[[#This Row],[CSM id]],SHP!F:F,SHP!EE:EE,"-")</f>
        <v>-</v>
      </c>
    </row>
    <row r="3776" spans="1:11" x14ac:dyDescent="0.45">
      <c r="A3776" s="57">
        <v>1643</v>
      </c>
      <c r="B3776" t="s">
        <v>3227</v>
      </c>
      <c r="C3776" t="s">
        <v>3228</v>
      </c>
      <c r="D3776" s="12">
        <v>46329</v>
      </c>
      <c r="E3776" s="11">
        <v>40</v>
      </c>
      <c r="F3776" s="11" t="s">
        <v>0</v>
      </c>
      <c r="G3776">
        <v>20250401</v>
      </c>
      <c r="H3776" s="12">
        <v>46569</v>
      </c>
      <c r="I3776" s="11" t="s">
        <v>63</v>
      </c>
      <c r="J3776" s="72">
        <v>30534039</v>
      </c>
      <c r="K3776" s="99" t="str">
        <f>_xlfn.XLOOKUP(_2__ROI_Daily_Update[[#This Row],[CSM id]],SHP!F:F,SHP!EE:EE,"-")</f>
        <v>-</v>
      </c>
    </row>
    <row r="3777" spans="1:11" x14ac:dyDescent="0.45">
      <c r="A3777" s="57">
        <v>623</v>
      </c>
      <c r="B3777" t="s">
        <v>7318</v>
      </c>
      <c r="C3777" t="s">
        <v>7319</v>
      </c>
      <c r="D3777" s="12">
        <v>46329</v>
      </c>
      <c r="E3777" s="11">
        <v>20</v>
      </c>
      <c r="F3777" s="11" t="s">
        <v>0</v>
      </c>
      <c r="G3777">
        <v>20210701</v>
      </c>
      <c r="I3777" s="11" t="s">
        <v>63</v>
      </c>
      <c r="J3777" s="72">
        <v>454005</v>
      </c>
      <c r="K3777" s="99" t="str">
        <f>_xlfn.XLOOKUP(_2__ROI_Daily_Update[[#This Row],[CSM id]],SHP!F:F,SHP!EE:EE,"-")</f>
        <v>-</v>
      </c>
    </row>
    <row r="3778" spans="1:11" x14ac:dyDescent="0.45">
      <c r="A3778" s="57">
        <v>1135</v>
      </c>
      <c r="B3778" t="s">
        <v>7179</v>
      </c>
      <c r="C3778" t="s">
        <v>7180</v>
      </c>
      <c r="D3778" s="12">
        <v>46329</v>
      </c>
      <c r="E3778" s="11">
        <v>156</v>
      </c>
      <c r="F3778" s="11" t="s">
        <v>0</v>
      </c>
      <c r="G3778">
        <v>20261001</v>
      </c>
      <c r="H3778" s="12">
        <v>46478</v>
      </c>
      <c r="I3778" s="11" t="s">
        <v>63</v>
      </c>
      <c r="J3778" s="72">
        <v>10657979</v>
      </c>
      <c r="K3778" s="99" t="str">
        <f>_xlfn.XLOOKUP(_2__ROI_Daily_Update[[#This Row],[CSM id]],SHP!F:F,SHP!EE:EE,"-")</f>
        <v>-</v>
      </c>
    </row>
    <row r="3779" spans="1:11" x14ac:dyDescent="0.45">
      <c r="A3779" s="57">
        <v>1541</v>
      </c>
      <c r="B3779" t="s">
        <v>7207</v>
      </c>
      <c r="C3779" t="s">
        <v>7208</v>
      </c>
      <c r="D3779" s="12">
        <v>46329</v>
      </c>
      <c r="E3779" s="11">
        <v>12</v>
      </c>
      <c r="F3779" s="11" t="s">
        <v>0</v>
      </c>
      <c r="G3779">
        <v>20260801</v>
      </c>
      <c r="H3779" s="12">
        <v>46388</v>
      </c>
      <c r="I3779" s="11" t="s">
        <v>63</v>
      </c>
      <c r="J3779" s="72">
        <v>60635777</v>
      </c>
      <c r="K3779" s="99" t="str">
        <f>_xlfn.XLOOKUP(_2__ROI_Daily_Update[[#This Row],[CSM id]],SHP!F:F,SHP!EE:EE,"-")</f>
        <v>-</v>
      </c>
    </row>
    <row r="3780" spans="1:11" x14ac:dyDescent="0.45">
      <c r="A3780" s="57">
        <v>1112</v>
      </c>
      <c r="B3780" t="s">
        <v>6971</v>
      </c>
      <c r="C3780" t="s">
        <v>6972</v>
      </c>
      <c r="D3780" s="12">
        <v>46329</v>
      </c>
      <c r="E3780" s="11">
        <v>10</v>
      </c>
      <c r="F3780" s="11" t="s">
        <v>0</v>
      </c>
      <c r="G3780">
        <v>20260701</v>
      </c>
      <c r="I3780" s="11" t="s">
        <v>63</v>
      </c>
      <c r="J3780" s="72">
        <v>90632616</v>
      </c>
      <c r="K3780" s="99" t="str">
        <f>_xlfn.XLOOKUP(_2__ROI_Daily_Update[[#This Row],[CSM id]],SHP!F:F,SHP!EE:EE,"-")</f>
        <v>-</v>
      </c>
    </row>
    <row r="3781" spans="1:11" x14ac:dyDescent="0.45">
      <c r="A3781" s="57">
        <v>973</v>
      </c>
      <c r="B3781" t="s">
        <v>6233</v>
      </c>
      <c r="C3781" t="s">
        <v>6234</v>
      </c>
      <c r="D3781" s="12">
        <v>46329</v>
      </c>
      <c r="E3781" s="11">
        <v>84</v>
      </c>
      <c r="F3781" s="11" t="s">
        <v>0</v>
      </c>
      <c r="G3781">
        <v>20200801</v>
      </c>
      <c r="I3781" s="11" t="s">
        <v>63</v>
      </c>
      <c r="J3781" s="72">
        <v>50477622</v>
      </c>
      <c r="K3781" s="99" t="str">
        <f>_xlfn.XLOOKUP(_2__ROI_Daily_Update[[#This Row],[CSM id]],SHP!F:F,SHP!EE:EE,"-")</f>
        <v>-</v>
      </c>
    </row>
    <row r="3782" spans="1:11" x14ac:dyDescent="0.45">
      <c r="A3782" s="57">
        <v>1542</v>
      </c>
      <c r="B3782" t="s">
        <v>7290</v>
      </c>
      <c r="C3782" t="s">
        <v>7291</v>
      </c>
      <c r="D3782" s="12">
        <v>46329</v>
      </c>
      <c r="E3782" s="11">
        <v>1408</v>
      </c>
      <c r="F3782" s="11" t="s">
        <v>0</v>
      </c>
      <c r="G3782">
        <v>20231001</v>
      </c>
      <c r="I3782" s="11" t="s">
        <v>63</v>
      </c>
      <c r="J3782" s="72">
        <v>562298</v>
      </c>
      <c r="K3782" s="99" t="str">
        <f>_xlfn.XLOOKUP(_2__ROI_Daily_Update[[#This Row],[CSM id]],SHP!F:F,SHP!EE:EE,"-")</f>
        <v>-</v>
      </c>
    </row>
    <row r="3783" spans="1:11" x14ac:dyDescent="0.45">
      <c r="A3783" s="57">
        <v>973</v>
      </c>
      <c r="B3783" t="s">
        <v>5821</v>
      </c>
      <c r="C3783" t="s">
        <v>5822</v>
      </c>
      <c r="D3783" s="12">
        <v>46329</v>
      </c>
      <c r="E3783" s="11">
        <v>48</v>
      </c>
      <c r="F3783" s="11" t="s">
        <v>0</v>
      </c>
      <c r="G3783">
        <v>20200801</v>
      </c>
      <c r="I3783" s="11" t="s">
        <v>63</v>
      </c>
      <c r="J3783" s="72">
        <v>70477598</v>
      </c>
      <c r="K3783" s="99" t="str">
        <f>_xlfn.XLOOKUP(_2__ROI_Daily_Update[[#This Row],[CSM id]],SHP!F:F,SHP!EE:EE,"-")</f>
        <v>-</v>
      </c>
    </row>
    <row r="3784" spans="1:11" x14ac:dyDescent="0.45">
      <c r="A3784" s="57">
        <v>1112</v>
      </c>
      <c r="B3784" t="s">
        <v>1543</v>
      </c>
      <c r="C3784" t="s">
        <v>1544</v>
      </c>
      <c r="D3784" s="12">
        <v>46329</v>
      </c>
      <c r="E3784" s="11">
        <v>10</v>
      </c>
      <c r="F3784" s="11" t="s">
        <v>0</v>
      </c>
      <c r="G3784">
        <v>20260101</v>
      </c>
      <c r="H3784" s="12">
        <v>46753</v>
      </c>
      <c r="I3784" s="11" t="s">
        <v>63</v>
      </c>
      <c r="J3784" s="72">
        <v>70622005</v>
      </c>
      <c r="K3784" s="99" t="str">
        <f>_xlfn.XLOOKUP(_2__ROI_Daily_Update[[#This Row],[CSM id]],SHP!F:F,SHP!EE:EE,"-")</f>
        <v>-</v>
      </c>
    </row>
    <row r="3785" spans="1:11" x14ac:dyDescent="0.45">
      <c r="A3785" s="57">
        <v>621</v>
      </c>
      <c r="B3785" t="s">
        <v>388</v>
      </c>
      <c r="C3785" t="s">
        <v>389</v>
      </c>
      <c r="D3785" s="12">
        <v>46329</v>
      </c>
      <c r="E3785" s="11">
        <v>32</v>
      </c>
      <c r="F3785" s="11" t="s">
        <v>0</v>
      </c>
      <c r="G3785">
        <v>20210701</v>
      </c>
      <c r="I3785" s="11" t="s">
        <v>63</v>
      </c>
      <c r="J3785" s="72">
        <v>90463963</v>
      </c>
      <c r="K3785" s="99" t="str">
        <f>_xlfn.XLOOKUP(_2__ROI_Daily_Update[[#This Row],[CSM id]],SHP!F:F,SHP!EE:EE,"-")</f>
        <v>-</v>
      </c>
    </row>
    <row r="3786" spans="1:11" x14ac:dyDescent="0.45">
      <c r="A3786" s="57">
        <v>1811</v>
      </c>
      <c r="B3786" t="s">
        <v>7552</v>
      </c>
      <c r="C3786" t="s">
        <v>7553</v>
      </c>
      <c r="D3786" s="12">
        <v>46329</v>
      </c>
      <c r="E3786" s="11">
        <v>36</v>
      </c>
      <c r="F3786" s="11" t="s">
        <v>0</v>
      </c>
      <c r="G3786">
        <v>20220401</v>
      </c>
      <c r="I3786" s="11" t="s">
        <v>63</v>
      </c>
      <c r="J3786" s="72">
        <v>90513393</v>
      </c>
      <c r="K3786" s="99" t="str">
        <f>_xlfn.XLOOKUP(_2__ROI_Daily_Update[[#This Row],[CSM id]],SHP!F:F,SHP!EE:EE,"-")</f>
        <v>-</v>
      </c>
    </row>
    <row r="3787" spans="1:11" x14ac:dyDescent="0.45">
      <c r="A3787" s="57">
        <v>1811</v>
      </c>
      <c r="B3787" t="s">
        <v>7215</v>
      </c>
      <c r="C3787" t="s">
        <v>7216</v>
      </c>
      <c r="D3787" s="12">
        <v>46329</v>
      </c>
      <c r="E3787" s="11">
        <v>372</v>
      </c>
      <c r="F3787" s="11" t="s">
        <v>0</v>
      </c>
      <c r="G3787">
        <v>20261001</v>
      </c>
      <c r="I3787" s="11" t="s">
        <v>63</v>
      </c>
      <c r="J3787" s="72">
        <v>90467070</v>
      </c>
      <c r="K3787" s="99" t="str">
        <f>_xlfn.XLOOKUP(_2__ROI_Daily_Update[[#This Row],[CSM id]],SHP!F:F,SHP!EE:EE,"-")</f>
        <v>-</v>
      </c>
    </row>
    <row r="3788" spans="1:11" x14ac:dyDescent="0.45">
      <c r="A3788" s="57">
        <v>1112</v>
      </c>
      <c r="B3788" t="s">
        <v>1511</v>
      </c>
      <c r="C3788" t="s">
        <v>1512</v>
      </c>
      <c r="D3788" s="12">
        <v>46329</v>
      </c>
      <c r="E3788" s="11">
        <v>24</v>
      </c>
      <c r="F3788" s="11" t="s">
        <v>0</v>
      </c>
      <c r="G3788">
        <v>20160801</v>
      </c>
      <c r="I3788" s="11" t="s">
        <v>63</v>
      </c>
      <c r="J3788" s="72">
        <v>50318671</v>
      </c>
      <c r="K3788" s="99" t="str">
        <f>_xlfn.XLOOKUP(_2__ROI_Daily_Update[[#This Row],[CSM id]],SHP!F:F,SHP!EE:EE,"-")</f>
        <v>-</v>
      </c>
    </row>
    <row r="3789" spans="1:11" x14ac:dyDescent="0.45">
      <c r="A3789" s="57">
        <v>974</v>
      </c>
      <c r="B3789" t="s">
        <v>929</v>
      </c>
      <c r="C3789" t="s">
        <v>930</v>
      </c>
      <c r="D3789" s="12">
        <v>46329</v>
      </c>
      <c r="E3789" s="11">
        <v>72</v>
      </c>
      <c r="F3789" s="11" t="s">
        <v>0</v>
      </c>
      <c r="G3789">
        <v>20250401</v>
      </c>
      <c r="I3789" s="11" t="s">
        <v>63</v>
      </c>
      <c r="J3789" s="72">
        <v>40564479</v>
      </c>
      <c r="K3789" s="99" t="str">
        <f>_xlfn.XLOOKUP(_2__ROI_Daily_Update[[#This Row],[CSM id]],SHP!F:F,SHP!EE:EE,"-")</f>
        <v>-</v>
      </c>
    </row>
    <row r="3790" spans="1:11" x14ac:dyDescent="0.45">
      <c r="A3790" s="57">
        <v>1811</v>
      </c>
      <c r="B3790" t="s">
        <v>3331</v>
      </c>
      <c r="C3790" t="s">
        <v>3332</v>
      </c>
      <c r="D3790" s="12">
        <v>46329</v>
      </c>
      <c r="E3790" s="11">
        <v>108</v>
      </c>
      <c r="F3790" s="11" t="s">
        <v>0</v>
      </c>
      <c r="G3790">
        <v>20240401</v>
      </c>
      <c r="I3790" s="11" t="s">
        <v>63</v>
      </c>
      <c r="J3790" s="72">
        <v>20568548</v>
      </c>
      <c r="K3790" s="99" t="str">
        <f>_xlfn.XLOOKUP(_2__ROI_Daily_Update[[#This Row],[CSM id]],SHP!F:F,SHP!EE:EE,"-")</f>
        <v>-</v>
      </c>
    </row>
    <row r="3791" spans="1:11" x14ac:dyDescent="0.45">
      <c r="A3791" s="57">
        <v>1131</v>
      </c>
      <c r="B3791" t="s">
        <v>7159</v>
      </c>
      <c r="C3791" t="s">
        <v>7160</v>
      </c>
      <c r="D3791" s="12">
        <v>46329</v>
      </c>
      <c r="E3791" s="11">
        <v>100</v>
      </c>
      <c r="F3791" s="11" t="s">
        <v>0</v>
      </c>
      <c r="G3791">
        <v>20240701</v>
      </c>
      <c r="I3791" s="11" t="s">
        <v>63</v>
      </c>
      <c r="J3791" s="72">
        <v>30579688</v>
      </c>
      <c r="K3791" s="99" t="str">
        <f>_xlfn.XLOOKUP(_2__ROI_Daily_Update[[#This Row],[CSM id]],SHP!F:F,SHP!EE:EE,"-")</f>
        <v>-</v>
      </c>
    </row>
    <row r="3792" spans="1:11" x14ac:dyDescent="0.45">
      <c r="A3792" s="57">
        <v>1112</v>
      </c>
      <c r="B3792" t="s">
        <v>1483</v>
      </c>
      <c r="C3792" t="s">
        <v>1484</v>
      </c>
      <c r="D3792" s="12">
        <v>46329</v>
      </c>
      <c r="E3792" s="11">
        <v>3</v>
      </c>
      <c r="F3792" s="11" t="s">
        <v>0</v>
      </c>
      <c r="G3792">
        <v>20260101</v>
      </c>
      <c r="H3792" s="12">
        <v>46753</v>
      </c>
      <c r="I3792" s="11" t="s">
        <v>63</v>
      </c>
      <c r="J3792" s="72">
        <v>30621994</v>
      </c>
      <c r="K3792" s="99" t="str">
        <f>_xlfn.XLOOKUP(_2__ROI_Daily_Update[[#This Row],[CSM id]],SHP!F:F,SHP!EE:EE,"-")</f>
        <v>-</v>
      </c>
    </row>
    <row r="3793" spans="1:11" x14ac:dyDescent="0.45">
      <c r="A3793" s="57">
        <v>1112</v>
      </c>
      <c r="B3793" t="s">
        <v>7129</v>
      </c>
      <c r="C3793" t="s">
        <v>7130</v>
      </c>
      <c r="D3793" s="12">
        <v>46329</v>
      </c>
      <c r="E3793" s="11">
        <v>8</v>
      </c>
      <c r="F3793" s="11" t="s">
        <v>0</v>
      </c>
      <c r="G3793">
        <v>20190401</v>
      </c>
      <c r="I3793" s="11" t="s">
        <v>63</v>
      </c>
      <c r="J3793" s="72">
        <v>40442609</v>
      </c>
      <c r="K3793" s="99" t="str">
        <f>_xlfn.XLOOKUP(_2__ROI_Daily_Update[[#This Row],[CSM id]],SHP!F:F,SHP!EE:EE,"-")</f>
        <v>-</v>
      </c>
    </row>
    <row r="3794" spans="1:11" x14ac:dyDescent="0.45">
      <c r="A3794" s="57">
        <v>1112</v>
      </c>
      <c r="B3794" t="s">
        <v>1495</v>
      </c>
      <c r="C3794" t="s">
        <v>1496</v>
      </c>
      <c r="D3794" s="12">
        <v>46329</v>
      </c>
      <c r="E3794" s="11">
        <v>24</v>
      </c>
      <c r="F3794" s="11" t="s">
        <v>0</v>
      </c>
      <c r="G3794">
        <v>20250401</v>
      </c>
      <c r="I3794" s="11" t="s">
        <v>63</v>
      </c>
      <c r="J3794" s="72">
        <v>40591185</v>
      </c>
      <c r="K3794" s="99" t="str">
        <f>_xlfn.XLOOKUP(_2__ROI_Daily_Update[[#This Row],[CSM id]],SHP!F:F,SHP!EE:EE,"-")</f>
        <v>-</v>
      </c>
    </row>
    <row r="3795" spans="1:11" x14ac:dyDescent="0.45">
      <c r="A3795" s="57">
        <v>1811</v>
      </c>
      <c r="B3795" t="s">
        <v>7189</v>
      </c>
      <c r="C3795" t="s">
        <v>7190</v>
      </c>
      <c r="D3795" s="12">
        <v>46329</v>
      </c>
      <c r="E3795" s="11">
        <v>372</v>
      </c>
      <c r="F3795" s="11" t="s">
        <v>0</v>
      </c>
      <c r="G3795">
        <v>20261001</v>
      </c>
      <c r="I3795" s="11" t="s">
        <v>63</v>
      </c>
      <c r="J3795" s="72">
        <v>50632128</v>
      </c>
      <c r="K3795" s="99" t="str">
        <f>_xlfn.XLOOKUP(_2__ROI_Daily_Update[[#This Row],[CSM id]],SHP!F:F,SHP!EE:EE,"-")</f>
        <v>-</v>
      </c>
    </row>
    <row r="3796" spans="1:11" x14ac:dyDescent="0.45">
      <c r="A3796" s="57">
        <v>1811</v>
      </c>
      <c r="B3796" t="s">
        <v>7177</v>
      </c>
      <c r="C3796" t="s">
        <v>7178</v>
      </c>
      <c r="D3796" s="12">
        <v>46329</v>
      </c>
      <c r="E3796" s="11">
        <v>117</v>
      </c>
      <c r="F3796" s="11" t="s">
        <v>0</v>
      </c>
      <c r="G3796">
        <v>20261001</v>
      </c>
      <c r="I3796" s="11" t="s">
        <v>63</v>
      </c>
      <c r="J3796" s="72">
        <v>50632133</v>
      </c>
      <c r="K3796" s="99" t="str">
        <f>_xlfn.XLOOKUP(_2__ROI_Daily_Update[[#This Row],[CSM id]],SHP!F:F,SHP!EE:EE,"-")</f>
        <v>-</v>
      </c>
    </row>
    <row r="3797" spans="1:11" x14ac:dyDescent="0.45">
      <c r="A3797" s="57">
        <v>1112</v>
      </c>
      <c r="B3797" t="s">
        <v>7306</v>
      </c>
      <c r="C3797" t="s">
        <v>7307</v>
      </c>
      <c r="D3797" s="12">
        <v>46329</v>
      </c>
      <c r="E3797" s="11">
        <v>3</v>
      </c>
      <c r="F3797" s="11" t="s">
        <v>0</v>
      </c>
      <c r="G3797">
        <v>20251001</v>
      </c>
      <c r="H3797" s="12">
        <v>46478</v>
      </c>
      <c r="I3797" s="11" t="s">
        <v>63</v>
      </c>
      <c r="J3797" s="72">
        <v>40612135</v>
      </c>
      <c r="K3797" s="99" t="str">
        <f>_xlfn.XLOOKUP(_2__ROI_Daily_Update[[#This Row],[CSM id]],SHP!F:F,SHP!EE:EE,"-")</f>
        <v>-</v>
      </c>
    </row>
    <row r="3798" spans="1:11" x14ac:dyDescent="0.45">
      <c r="A3798" s="57">
        <v>1131</v>
      </c>
      <c r="B3798" t="s">
        <v>1641</v>
      </c>
      <c r="C3798" t="s">
        <v>1642</v>
      </c>
      <c r="D3798" s="12">
        <v>46329</v>
      </c>
      <c r="E3798" s="11">
        <v>72</v>
      </c>
      <c r="F3798" s="11" t="s">
        <v>0</v>
      </c>
      <c r="G3798">
        <v>20240701</v>
      </c>
      <c r="I3798" s="11" t="s">
        <v>63</v>
      </c>
      <c r="J3798" s="72">
        <v>579717</v>
      </c>
      <c r="K3798" s="99" t="str">
        <f>_xlfn.XLOOKUP(_2__ROI_Daily_Update[[#This Row],[CSM id]],SHP!F:F,SHP!EE:EE,"-")</f>
        <v>-</v>
      </c>
    </row>
    <row r="3799" spans="1:11" x14ac:dyDescent="0.45">
      <c r="A3799" s="57">
        <v>1112</v>
      </c>
      <c r="B3799" t="s">
        <v>7213</v>
      </c>
      <c r="C3799" t="s">
        <v>7214</v>
      </c>
      <c r="D3799" s="12">
        <v>46329</v>
      </c>
      <c r="E3799" s="11">
        <v>30</v>
      </c>
      <c r="F3799" s="11" t="s">
        <v>0</v>
      </c>
      <c r="G3799">
        <v>20260701</v>
      </c>
      <c r="I3799" s="11" t="s">
        <v>63</v>
      </c>
      <c r="J3799" s="72">
        <v>40632157</v>
      </c>
      <c r="K3799" s="99" t="str">
        <f>_xlfn.XLOOKUP(_2__ROI_Daily_Update[[#This Row],[CSM id]],SHP!F:F,SHP!EE:EE,"-")</f>
        <v>-</v>
      </c>
    </row>
    <row r="3800" spans="1:11" x14ac:dyDescent="0.45">
      <c r="A3800" s="57">
        <v>1112</v>
      </c>
      <c r="B3800" t="s">
        <v>7514</v>
      </c>
      <c r="C3800" t="s">
        <v>7515</v>
      </c>
      <c r="D3800" s="12">
        <v>46329</v>
      </c>
      <c r="E3800" s="11">
        <v>3</v>
      </c>
      <c r="F3800" s="11" t="s">
        <v>0</v>
      </c>
      <c r="G3800">
        <v>20241001</v>
      </c>
      <c r="I3800" s="11" t="s">
        <v>63</v>
      </c>
      <c r="J3800" s="72">
        <v>40585387</v>
      </c>
      <c r="K3800" s="99" t="str">
        <f>_xlfn.XLOOKUP(_2__ROI_Daily_Update[[#This Row],[CSM id]],SHP!F:F,SHP!EE:EE,"-")</f>
        <v>-</v>
      </c>
    </row>
    <row r="3801" spans="1:11" x14ac:dyDescent="0.45">
      <c r="A3801" s="57">
        <v>1112</v>
      </c>
      <c r="B3801" t="s">
        <v>7145</v>
      </c>
      <c r="C3801" t="s">
        <v>7146</v>
      </c>
      <c r="D3801" s="12">
        <v>46329</v>
      </c>
      <c r="E3801" s="11">
        <v>12</v>
      </c>
      <c r="F3801" s="11" t="s">
        <v>0</v>
      </c>
      <c r="G3801">
        <v>20241001</v>
      </c>
      <c r="I3801" s="11" t="s">
        <v>63</v>
      </c>
      <c r="J3801" s="72">
        <v>50592783</v>
      </c>
      <c r="K3801" s="99" t="str">
        <f>_xlfn.XLOOKUP(_2__ROI_Daily_Update[[#This Row],[CSM id]],SHP!F:F,SHP!EE:EE,"-")</f>
        <v>-</v>
      </c>
    </row>
    <row r="3802" spans="1:11" x14ac:dyDescent="0.45">
      <c r="A3802" s="57">
        <v>1832</v>
      </c>
      <c r="B3802" t="s">
        <v>3622</v>
      </c>
      <c r="C3802" t="s">
        <v>3623</v>
      </c>
      <c r="D3802" s="12">
        <v>46329</v>
      </c>
      <c r="E3802" s="11">
        <v>768</v>
      </c>
      <c r="F3802" s="11" t="s">
        <v>0</v>
      </c>
      <c r="G3802">
        <v>20230401</v>
      </c>
      <c r="I3802" s="11" t="s">
        <v>63</v>
      </c>
      <c r="J3802" s="72">
        <v>90515071</v>
      </c>
      <c r="K3802" s="99" t="str">
        <f>_xlfn.XLOOKUP(_2__ROI_Daily_Update[[#This Row],[CSM id]],SHP!F:F,SHP!EE:EE,"-")</f>
        <v>-</v>
      </c>
    </row>
    <row r="3803" spans="1:11" x14ac:dyDescent="0.45">
      <c r="A3803" s="57">
        <v>974</v>
      </c>
      <c r="B3803" t="s">
        <v>5933</v>
      </c>
      <c r="C3803" t="s">
        <v>5934</v>
      </c>
      <c r="D3803" s="12">
        <v>46329</v>
      </c>
      <c r="E3803" s="11">
        <v>75</v>
      </c>
      <c r="F3803" s="11" t="s">
        <v>0</v>
      </c>
      <c r="G3803">
        <v>20210401</v>
      </c>
      <c r="I3803" s="11" t="s">
        <v>63</v>
      </c>
      <c r="J3803" s="72">
        <v>90484282</v>
      </c>
      <c r="K3803" s="99" t="str">
        <f>_xlfn.XLOOKUP(_2__ROI_Daily_Update[[#This Row],[CSM id]],SHP!F:F,SHP!EE:EE,"-")</f>
        <v>-</v>
      </c>
    </row>
    <row r="3804" spans="1:11" x14ac:dyDescent="0.45">
      <c r="A3804" s="57">
        <v>1112</v>
      </c>
      <c r="B3804" t="s">
        <v>5140</v>
      </c>
      <c r="C3804" t="s">
        <v>5141</v>
      </c>
      <c r="D3804" s="12">
        <v>46329</v>
      </c>
      <c r="E3804" s="11">
        <v>3</v>
      </c>
      <c r="F3804" s="11" t="s">
        <v>0</v>
      </c>
      <c r="G3804">
        <v>20260101</v>
      </c>
      <c r="I3804" s="11" t="s">
        <v>63</v>
      </c>
      <c r="J3804" s="72">
        <v>70621614</v>
      </c>
      <c r="K3804" s="99" t="str">
        <f>_xlfn.XLOOKUP(_2__ROI_Daily_Update[[#This Row],[CSM id]],SHP!F:F,SHP!EE:EE,"-")</f>
        <v>-</v>
      </c>
    </row>
    <row r="3805" spans="1:11" x14ac:dyDescent="0.45">
      <c r="A3805" s="57">
        <v>1111</v>
      </c>
      <c r="B3805" t="s">
        <v>1435</v>
      </c>
      <c r="C3805" t="s">
        <v>1436</v>
      </c>
      <c r="D3805" s="12">
        <v>46329</v>
      </c>
      <c r="E3805" s="11">
        <v>20</v>
      </c>
      <c r="F3805" s="11" t="s">
        <v>0</v>
      </c>
      <c r="G3805">
        <v>20230401</v>
      </c>
      <c r="I3805" s="11" t="s">
        <v>63</v>
      </c>
      <c r="J3805" s="72">
        <v>80549632</v>
      </c>
      <c r="K3805" s="99" t="str">
        <f>_xlfn.XLOOKUP(_2__ROI_Daily_Update[[#This Row],[CSM id]],SHP!F:F,SHP!EE:EE,"-")</f>
        <v>-</v>
      </c>
    </row>
    <row r="3806" spans="1:11" x14ac:dyDescent="0.45">
      <c r="A3806" s="57">
        <v>1111</v>
      </c>
      <c r="B3806" t="s">
        <v>7201</v>
      </c>
      <c r="C3806" t="s">
        <v>7202</v>
      </c>
      <c r="D3806" s="12">
        <v>46329</v>
      </c>
      <c r="E3806" s="11">
        <v>30</v>
      </c>
      <c r="F3806" s="11" t="s">
        <v>0</v>
      </c>
      <c r="G3806">
        <v>20261001</v>
      </c>
      <c r="I3806" s="11" t="s">
        <v>63</v>
      </c>
      <c r="J3806" s="72">
        <v>80638299</v>
      </c>
      <c r="K3806" s="99" t="str">
        <f>_xlfn.XLOOKUP(_2__ROI_Daily_Update[[#This Row],[CSM id]],SHP!F:F,SHP!EE:EE,"-")</f>
        <v>-</v>
      </c>
    </row>
    <row r="3807" spans="1:11" x14ac:dyDescent="0.45">
      <c r="A3807" s="57">
        <v>1111</v>
      </c>
      <c r="B3807" t="s">
        <v>7203</v>
      </c>
      <c r="C3807" t="s">
        <v>7204</v>
      </c>
      <c r="D3807" s="12">
        <v>46329</v>
      </c>
      <c r="E3807" s="11">
        <v>12</v>
      </c>
      <c r="F3807" s="11" t="s">
        <v>0</v>
      </c>
      <c r="G3807">
        <v>20191001</v>
      </c>
      <c r="I3807" s="11" t="s">
        <v>63</v>
      </c>
      <c r="J3807" s="72">
        <v>90447529</v>
      </c>
      <c r="K3807" s="99" t="str">
        <f>_xlfn.XLOOKUP(_2__ROI_Daily_Update[[#This Row],[CSM id]],SHP!F:F,SHP!EE:EE,"-")</f>
        <v>-</v>
      </c>
    </row>
    <row r="3808" spans="1:11" x14ac:dyDescent="0.45">
      <c r="A3808" s="57">
        <v>1415</v>
      </c>
      <c r="B3808" t="s">
        <v>7133</v>
      </c>
      <c r="C3808" t="s">
        <v>7134</v>
      </c>
      <c r="D3808" s="12">
        <v>46329</v>
      </c>
      <c r="E3808" s="11">
        <v>616</v>
      </c>
      <c r="F3808" s="11" t="s">
        <v>0</v>
      </c>
      <c r="G3808">
        <v>20260401</v>
      </c>
      <c r="I3808" s="11" t="s">
        <v>63</v>
      </c>
      <c r="J3808" s="72">
        <v>20620928</v>
      </c>
      <c r="K3808" s="99" t="str">
        <f>_xlfn.XLOOKUP(_2__ROI_Daily_Update[[#This Row],[CSM id]],SHP!F:F,SHP!EE:EE,"-")</f>
        <v>-</v>
      </c>
    </row>
    <row r="3809" spans="1:11" x14ac:dyDescent="0.45">
      <c r="A3809" s="57">
        <v>1415</v>
      </c>
      <c r="B3809" t="s">
        <v>7546</v>
      </c>
      <c r="C3809" t="s">
        <v>7547</v>
      </c>
      <c r="D3809" s="12">
        <v>46329</v>
      </c>
      <c r="E3809" s="11">
        <v>216</v>
      </c>
      <c r="F3809" s="11" t="s">
        <v>0</v>
      </c>
      <c r="G3809">
        <v>20210201</v>
      </c>
      <c r="I3809" s="11" t="s">
        <v>63</v>
      </c>
      <c r="J3809" s="72">
        <v>60484047</v>
      </c>
      <c r="K3809" s="99" t="str">
        <f>_xlfn.XLOOKUP(_2__ROI_Daily_Update[[#This Row],[CSM id]],SHP!F:F,SHP!EE:EE,"-")</f>
        <v>-</v>
      </c>
    </row>
    <row r="3810" spans="1:11" x14ac:dyDescent="0.45">
      <c r="A3810" s="57">
        <v>1112</v>
      </c>
      <c r="B3810" t="s">
        <v>7197</v>
      </c>
      <c r="C3810" t="s">
        <v>7198</v>
      </c>
      <c r="D3810" s="12">
        <v>46329</v>
      </c>
      <c r="E3810" s="11">
        <v>35</v>
      </c>
      <c r="F3810" s="11" t="s">
        <v>0</v>
      </c>
      <c r="G3810">
        <v>20251001</v>
      </c>
      <c r="I3810" s="11" t="s">
        <v>63</v>
      </c>
      <c r="J3810" s="72">
        <v>611289</v>
      </c>
      <c r="K3810" s="99" t="str">
        <f>_xlfn.XLOOKUP(_2__ROI_Daily_Update[[#This Row],[CSM id]],SHP!F:F,SHP!EE:EE,"-")</f>
        <v>-</v>
      </c>
    </row>
    <row r="3811" spans="1:11" x14ac:dyDescent="0.45">
      <c r="A3811" s="57">
        <v>1112</v>
      </c>
      <c r="B3811" t="s">
        <v>7320</v>
      </c>
      <c r="C3811" t="s">
        <v>7321</v>
      </c>
      <c r="D3811" s="12">
        <v>46329</v>
      </c>
      <c r="E3811" s="11">
        <v>3</v>
      </c>
      <c r="F3811" s="11" t="s">
        <v>0</v>
      </c>
      <c r="G3811">
        <v>20251001</v>
      </c>
      <c r="I3811" s="11" t="s">
        <v>63</v>
      </c>
      <c r="J3811" s="72">
        <v>614810</v>
      </c>
      <c r="K3811" s="99" t="str">
        <f>_xlfn.XLOOKUP(_2__ROI_Daily_Update[[#This Row],[CSM id]],SHP!F:F,SHP!EE:EE,"-")</f>
        <v>-</v>
      </c>
    </row>
    <row r="3812" spans="1:11" x14ac:dyDescent="0.45">
      <c r="A3812" s="57">
        <v>1112</v>
      </c>
      <c r="B3812" t="s">
        <v>7526</v>
      </c>
      <c r="C3812" t="s">
        <v>7527</v>
      </c>
      <c r="D3812" s="12">
        <v>46329</v>
      </c>
      <c r="E3812" s="11">
        <v>7</v>
      </c>
      <c r="F3812" s="11" t="s">
        <v>0</v>
      </c>
      <c r="G3812">
        <v>20260701</v>
      </c>
      <c r="I3812" s="11" t="s">
        <v>63</v>
      </c>
      <c r="J3812" s="72">
        <v>632630</v>
      </c>
      <c r="K3812" s="99" t="str">
        <f>_xlfn.XLOOKUP(_2__ROI_Daily_Update[[#This Row],[CSM id]],SHP!F:F,SHP!EE:EE,"-")</f>
        <v>-</v>
      </c>
    </row>
    <row r="3813" spans="1:11" x14ac:dyDescent="0.45">
      <c r="A3813" s="57">
        <v>371</v>
      </c>
      <c r="B3813" t="s">
        <v>5462</v>
      </c>
      <c r="C3813" t="s">
        <v>5463</v>
      </c>
      <c r="D3813" s="12">
        <v>46329</v>
      </c>
      <c r="E3813" s="11">
        <v>10</v>
      </c>
      <c r="F3813" s="11" t="s">
        <v>0</v>
      </c>
      <c r="G3813">
        <v>20261001</v>
      </c>
      <c r="I3813" s="11" t="s">
        <v>63</v>
      </c>
      <c r="J3813" s="72">
        <v>60498389</v>
      </c>
      <c r="K3813" s="99" t="str">
        <f>_xlfn.XLOOKUP(_2__ROI_Daily_Update[[#This Row],[CSM id]],SHP!F:F,SHP!EE:EE,"-")</f>
        <v>-</v>
      </c>
    </row>
    <row r="3814" spans="1:11" x14ac:dyDescent="0.45">
      <c r="A3814" s="57">
        <v>371</v>
      </c>
      <c r="B3814" t="s">
        <v>370</v>
      </c>
      <c r="C3814" t="s">
        <v>371</v>
      </c>
      <c r="D3814" s="12">
        <v>46329</v>
      </c>
      <c r="E3814" s="11">
        <v>3</v>
      </c>
      <c r="F3814" s="11" t="s">
        <v>0</v>
      </c>
      <c r="G3814">
        <v>20221001</v>
      </c>
      <c r="I3814" s="11" t="s">
        <v>63</v>
      </c>
      <c r="J3814" s="72">
        <v>522033</v>
      </c>
      <c r="K3814" s="99" t="str">
        <f>_xlfn.XLOOKUP(_2__ROI_Daily_Update[[#This Row],[CSM id]],SHP!F:F,SHP!EE:EE,"-")</f>
        <v>-</v>
      </c>
    </row>
    <row r="3815" spans="1:11" x14ac:dyDescent="0.45">
      <c r="A3815" s="57">
        <v>1112</v>
      </c>
      <c r="B3815" t="s">
        <v>5372</v>
      </c>
      <c r="C3815" t="s">
        <v>5373</v>
      </c>
      <c r="D3815" s="12">
        <v>46329</v>
      </c>
      <c r="E3815" s="11">
        <v>8</v>
      </c>
      <c r="F3815" s="11" t="s">
        <v>0</v>
      </c>
      <c r="G3815">
        <v>20260101</v>
      </c>
      <c r="I3815" s="11" t="s">
        <v>63</v>
      </c>
      <c r="J3815" s="72">
        <v>10621612</v>
      </c>
      <c r="K3815" s="99" t="str">
        <f>_xlfn.XLOOKUP(_2__ROI_Daily_Update[[#This Row],[CSM id]],SHP!F:F,SHP!EE:EE,"-")</f>
        <v>-</v>
      </c>
    </row>
    <row r="3816" spans="1:11" x14ac:dyDescent="0.45">
      <c r="A3816" s="57">
        <v>1112</v>
      </c>
      <c r="B3816" t="s">
        <v>1463</v>
      </c>
      <c r="C3816" t="s">
        <v>1464</v>
      </c>
      <c r="D3816" s="12">
        <v>46329</v>
      </c>
      <c r="E3816" s="11">
        <v>12</v>
      </c>
      <c r="F3816" s="11" t="s">
        <v>0</v>
      </c>
      <c r="G3816">
        <v>20260101</v>
      </c>
      <c r="H3816" s="12">
        <v>46753</v>
      </c>
      <c r="I3816" s="11" t="s">
        <v>63</v>
      </c>
      <c r="J3816" s="72">
        <v>10621990</v>
      </c>
      <c r="K3816" s="99" t="str">
        <f>_xlfn.XLOOKUP(_2__ROI_Daily_Update[[#This Row],[CSM id]],SHP!F:F,SHP!EE:EE,"-")</f>
        <v>-</v>
      </c>
    </row>
    <row r="3817" spans="1:11" x14ac:dyDescent="0.45">
      <c r="A3817" s="57">
        <v>1815</v>
      </c>
      <c r="B3817" t="s">
        <v>7322</v>
      </c>
      <c r="C3817" t="s">
        <v>7323</v>
      </c>
      <c r="D3817" s="12">
        <v>46329</v>
      </c>
      <c r="E3817" s="11">
        <v>180</v>
      </c>
      <c r="F3817" s="11" t="s">
        <v>0</v>
      </c>
      <c r="G3817">
        <v>20260101</v>
      </c>
      <c r="I3817" s="11" t="s">
        <v>63</v>
      </c>
      <c r="J3817" s="72">
        <v>30598205</v>
      </c>
      <c r="K3817" s="99" t="str">
        <f>_xlfn.XLOOKUP(_2__ROI_Daily_Update[[#This Row],[CSM id]],SHP!F:F,SHP!EE:EE,"-")</f>
        <v>-</v>
      </c>
    </row>
    <row r="3818" spans="1:11" x14ac:dyDescent="0.45">
      <c r="A3818" s="57">
        <v>1623</v>
      </c>
      <c r="B3818" t="s">
        <v>2913</v>
      </c>
      <c r="C3818" t="s">
        <v>6798</v>
      </c>
      <c r="D3818" s="12">
        <v>46329</v>
      </c>
      <c r="E3818" s="11">
        <v>77</v>
      </c>
      <c r="F3818" s="11" t="s">
        <v>0</v>
      </c>
      <c r="G3818">
        <v>20260701</v>
      </c>
      <c r="I3818" s="11" t="s">
        <v>63</v>
      </c>
      <c r="J3818" s="72">
        <v>10630065</v>
      </c>
      <c r="K3818" s="99" t="str">
        <f>_xlfn.XLOOKUP(_2__ROI_Daily_Update[[#This Row],[CSM id]],SHP!F:F,SHP!EE:EE,"-")</f>
        <v>-</v>
      </c>
    </row>
    <row r="3819" spans="1:11" x14ac:dyDescent="0.45">
      <c r="A3819" s="57">
        <v>1121</v>
      </c>
      <c r="B3819" t="s">
        <v>1585</v>
      </c>
      <c r="C3819" t="s">
        <v>1586</v>
      </c>
      <c r="D3819" s="12">
        <v>46329</v>
      </c>
      <c r="E3819" s="11">
        <v>28</v>
      </c>
      <c r="F3819" s="11" t="s">
        <v>0</v>
      </c>
      <c r="G3819">
        <v>20200401</v>
      </c>
      <c r="I3819" s="11" t="s">
        <v>63</v>
      </c>
      <c r="J3819" s="72">
        <v>50457978</v>
      </c>
      <c r="K3819" s="99" t="str">
        <f>_xlfn.XLOOKUP(_2__ROI_Daily_Update[[#This Row],[CSM id]],SHP!F:F,SHP!EE:EE,"-")</f>
        <v>-</v>
      </c>
    </row>
    <row r="3820" spans="1:11" x14ac:dyDescent="0.45">
      <c r="A3820" s="57">
        <v>1211</v>
      </c>
      <c r="B3820" t="s">
        <v>1723</v>
      </c>
      <c r="C3820" t="s">
        <v>1724</v>
      </c>
      <c r="D3820" s="12">
        <v>46329</v>
      </c>
      <c r="E3820" s="11">
        <v>24</v>
      </c>
      <c r="F3820" s="11" t="s">
        <v>0</v>
      </c>
      <c r="G3820">
        <v>20260401</v>
      </c>
      <c r="I3820" s="11" t="s">
        <v>63</v>
      </c>
      <c r="J3820" s="72">
        <v>627681</v>
      </c>
      <c r="K3820" s="99" t="str">
        <f>_xlfn.XLOOKUP(_2__ROI_Daily_Update[[#This Row],[CSM id]],SHP!F:F,SHP!EE:EE,"-")</f>
        <v>-</v>
      </c>
    </row>
    <row r="3821" spans="1:11" x14ac:dyDescent="0.45">
      <c r="A3821" s="57">
        <v>1111</v>
      </c>
      <c r="B3821" t="s">
        <v>7302</v>
      </c>
      <c r="C3821" t="s">
        <v>7303</v>
      </c>
      <c r="D3821" s="12">
        <v>46329</v>
      </c>
      <c r="E3821" s="11">
        <v>24</v>
      </c>
      <c r="F3821" s="11" t="s">
        <v>0</v>
      </c>
      <c r="G3821">
        <v>20230401</v>
      </c>
      <c r="I3821" s="11" t="s">
        <v>63</v>
      </c>
      <c r="J3821" s="72">
        <v>30549644</v>
      </c>
      <c r="K3821" s="99" t="str">
        <f>_xlfn.XLOOKUP(_2__ROI_Daily_Update[[#This Row],[CSM id]],SHP!F:F,SHP!EE:EE,"-")</f>
        <v>-</v>
      </c>
    </row>
    <row r="3822" spans="1:11" x14ac:dyDescent="0.45">
      <c r="A3822" s="57">
        <v>1813</v>
      </c>
      <c r="B3822" t="s">
        <v>7520</v>
      </c>
      <c r="C3822" t="s">
        <v>7521</v>
      </c>
      <c r="D3822" s="12">
        <v>46329</v>
      </c>
      <c r="E3822" s="11">
        <v>8</v>
      </c>
      <c r="F3822" s="11" t="s">
        <v>0</v>
      </c>
      <c r="G3822">
        <v>20251001</v>
      </c>
      <c r="I3822" s="11" t="s">
        <v>63</v>
      </c>
      <c r="J3822" s="72">
        <v>20596952</v>
      </c>
      <c r="K3822" s="99" t="str">
        <f>_xlfn.XLOOKUP(_2__ROI_Daily_Update[[#This Row],[CSM id]],SHP!F:F,SHP!EE:EE,"-")</f>
        <v>-</v>
      </c>
    </row>
    <row r="3823" spans="1:11" x14ac:dyDescent="0.45">
      <c r="A3823" s="57">
        <v>1081</v>
      </c>
      <c r="B3823" t="s">
        <v>7512</v>
      </c>
      <c r="C3823" t="s">
        <v>7513</v>
      </c>
      <c r="D3823" s="12">
        <v>46329</v>
      </c>
      <c r="E3823" s="11">
        <v>50</v>
      </c>
      <c r="F3823" s="11" t="s">
        <v>0</v>
      </c>
      <c r="G3823">
        <v>20261001</v>
      </c>
      <c r="H3823" s="12">
        <v>46388</v>
      </c>
      <c r="I3823" s="11" t="s">
        <v>63</v>
      </c>
      <c r="J3823" s="72">
        <v>40639936</v>
      </c>
      <c r="K3823" s="99" t="str">
        <f>_xlfn.XLOOKUP(_2__ROI_Daily_Update[[#This Row],[CSM id]],SHP!F:F,SHP!EE:EE,"-")</f>
        <v>-</v>
      </c>
    </row>
    <row r="3824" spans="1:11" x14ac:dyDescent="0.45">
      <c r="A3824" s="57">
        <v>1081</v>
      </c>
      <c r="B3824" t="s">
        <v>7171</v>
      </c>
      <c r="C3824" t="s">
        <v>7172</v>
      </c>
      <c r="D3824" s="12">
        <v>46329</v>
      </c>
      <c r="E3824" s="11">
        <v>180</v>
      </c>
      <c r="F3824" s="11" t="s">
        <v>0</v>
      </c>
      <c r="G3824">
        <v>20171001</v>
      </c>
      <c r="I3824" s="11" t="s">
        <v>63</v>
      </c>
      <c r="J3824" s="72">
        <v>40366945</v>
      </c>
      <c r="K3824" s="99" t="str">
        <f>_xlfn.XLOOKUP(_2__ROI_Daily_Update[[#This Row],[CSM id]],SHP!F:F,SHP!EE:EE,"-")</f>
        <v>-</v>
      </c>
    </row>
    <row r="3825" spans="1:11" x14ac:dyDescent="0.45">
      <c r="A3825" s="57">
        <v>1621</v>
      </c>
      <c r="B3825" t="s">
        <v>7554</v>
      </c>
      <c r="C3825" t="s">
        <v>7555</v>
      </c>
      <c r="D3825" s="12">
        <v>46329</v>
      </c>
      <c r="E3825" s="11">
        <v>40</v>
      </c>
      <c r="F3825" s="11" t="s">
        <v>0</v>
      </c>
      <c r="G3825">
        <v>20260401</v>
      </c>
      <c r="I3825" s="11" t="s">
        <v>63</v>
      </c>
      <c r="J3825" s="72">
        <v>627186</v>
      </c>
      <c r="K3825" s="99" t="str">
        <f>_xlfn.XLOOKUP(_2__ROI_Daily_Update[[#This Row],[CSM id]],SHP!F:F,SHP!EE:EE,"-")</f>
        <v>-</v>
      </c>
    </row>
    <row r="3826" spans="1:11" x14ac:dyDescent="0.45">
      <c r="A3826" s="57">
        <v>1211</v>
      </c>
      <c r="B3826" t="s">
        <v>1735</v>
      </c>
      <c r="C3826" t="s">
        <v>1736</v>
      </c>
      <c r="D3826" s="12">
        <v>46329</v>
      </c>
      <c r="E3826" s="11">
        <v>66</v>
      </c>
      <c r="F3826" s="11" t="s">
        <v>0</v>
      </c>
      <c r="G3826">
        <v>20250401</v>
      </c>
      <c r="I3826" s="11" t="s">
        <v>63</v>
      </c>
      <c r="J3826" s="72">
        <v>20597169</v>
      </c>
      <c r="K3826" s="99" t="str">
        <f>_xlfn.XLOOKUP(_2__ROI_Daily_Update[[#This Row],[CSM id]],SHP!F:F,SHP!EE:EE,"-")</f>
        <v>-</v>
      </c>
    </row>
    <row r="3827" spans="1:11" x14ac:dyDescent="0.45">
      <c r="A3827" s="57">
        <v>1621</v>
      </c>
      <c r="B3827" t="s">
        <v>2851</v>
      </c>
      <c r="C3827" t="s">
        <v>2852</v>
      </c>
      <c r="D3827" s="12">
        <v>46329</v>
      </c>
      <c r="E3827" s="11">
        <v>20</v>
      </c>
      <c r="F3827" s="11" t="s">
        <v>0</v>
      </c>
      <c r="G3827">
        <v>20261001</v>
      </c>
      <c r="I3827" s="11" t="s">
        <v>63</v>
      </c>
      <c r="J3827" s="72">
        <v>10642582</v>
      </c>
      <c r="K3827" s="99" t="str">
        <f>_xlfn.XLOOKUP(_2__ROI_Daily_Update[[#This Row],[CSM id]],SHP!F:F,SHP!EE:EE,"-")</f>
        <v>-</v>
      </c>
    </row>
    <row r="3828" spans="1:11" x14ac:dyDescent="0.45">
      <c r="A3828" s="57">
        <v>432</v>
      </c>
      <c r="B3828" t="s">
        <v>7211</v>
      </c>
      <c r="C3828" t="s">
        <v>7212</v>
      </c>
      <c r="D3828" s="12">
        <v>46329</v>
      </c>
      <c r="E3828" s="11">
        <v>4</v>
      </c>
      <c r="F3828" s="11" t="s">
        <v>0</v>
      </c>
      <c r="G3828">
        <v>20260601</v>
      </c>
      <c r="I3828" s="11" t="s">
        <v>63</v>
      </c>
      <c r="J3828" s="72">
        <v>70621765</v>
      </c>
      <c r="K3828" s="99" t="str">
        <f>_xlfn.XLOOKUP(_2__ROI_Daily_Update[[#This Row],[CSM id]],SHP!F:F,SHP!EE:EE,"-")</f>
        <v>-</v>
      </c>
    </row>
    <row r="3829" spans="1:11" x14ac:dyDescent="0.45">
      <c r="A3829" s="57">
        <v>1043</v>
      </c>
      <c r="B3829" t="s">
        <v>1324</v>
      </c>
      <c r="C3829" t="s">
        <v>1325</v>
      </c>
      <c r="D3829" s="12">
        <v>46329</v>
      </c>
      <c r="E3829" s="11">
        <v>21</v>
      </c>
      <c r="F3829" s="11" t="s">
        <v>0</v>
      </c>
      <c r="G3829">
        <v>20250101</v>
      </c>
      <c r="I3829" s="11" t="s">
        <v>63</v>
      </c>
      <c r="J3829" s="72">
        <v>90599136</v>
      </c>
      <c r="K3829" s="99" t="str">
        <f>_xlfn.XLOOKUP(_2__ROI_Daily_Update[[#This Row],[CSM id]],SHP!F:F,SHP!EE:EE,"-")</f>
        <v>-</v>
      </c>
    </row>
    <row r="3830" spans="1:11" x14ac:dyDescent="0.45">
      <c r="A3830" s="57">
        <v>1621</v>
      </c>
      <c r="B3830" t="s">
        <v>2859</v>
      </c>
      <c r="C3830" t="s">
        <v>2860</v>
      </c>
      <c r="D3830" s="12">
        <v>46329</v>
      </c>
      <c r="E3830" s="11">
        <v>18</v>
      </c>
      <c r="F3830" s="11" t="s">
        <v>0</v>
      </c>
      <c r="G3830">
        <v>20260101</v>
      </c>
      <c r="I3830" s="11" t="s">
        <v>63</v>
      </c>
      <c r="J3830" s="72">
        <v>20628284</v>
      </c>
      <c r="K3830" s="99" t="str">
        <f>_xlfn.XLOOKUP(_2__ROI_Daily_Update[[#This Row],[CSM id]],SHP!F:F,SHP!EE:EE,"-")</f>
        <v>-</v>
      </c>
    </row>
    <row r="3831" spans="1:11" x14ac:dyDescent="0.45">
      <c r="A3831" s="57">
        <v>432</v>
      </c>
      <c r="B3831" t="s">
        <v>7534</v>
      </c>
      <c r="C3831" t="s">
        <v>7535</v>
      </c>
      <c r="D3831" s="12">
        <v>46329</v>
      </c>
      <c r="E3831" s="11">
        <v>28</v>
      </c>
      <c r="F3831" s="11" t="s">
        <v>0</v>
      </c>
      <c r="G3831">
        <v>20240401</v>
      </c>
      <c r="I3831" s="11" t="s">
        <v>63</v>
      </c>
      <c r="J3831" s="72">
        <v>60510008</v>
      </c>
      <c r="K3831" s="99" t="str">
        <f>_xlfn.XLOOKUP(_2__ROI_Daily_Update[[#This Row],[CSM id]],SHP!F:F,SHP!EE:EE,"-")</f>
        <v>-</v>
      </c>
    </row>
    <row r="3832" spans="1:11" x14ac:dyDescent="0.45">
      <c r="A3832" s="57">
        <v>1211</v>
      </c>
      <c r="B3832" t="s">
        <v>1743</v>
      </c>
      <c r="C3832" t="s">
        <v>1744</v>
      </c>
      <c r="D3832" s="12">
        <v>46329</v>
      </c>
      <c r="E3832" s="11">
        <v>24</v>
      </c>
      <c r="F3832" s="11" t="s">
        <v>0</v>
      </c>
      <c r="G3832">
        <v>20261001</v>
      </c>
      <c r="I3832" s="11" t="s">
        <v>63</v>
      </c>
      <c r="J3832" s="72">
        <v>30637160</v>
      </c>
      <c r="K3832" s="99" t="str">
        <f>_xlfn.XLOOKUP(_2__ROI_Daily_Update[[#This Row],[CSM id]],SHP!F:F,SHP!EE:EE,"-")</f>
        <v>-</v>
      </c>
    </row>
    <row r="3833" spans="1:11" x14ac:dyDescent="0.45">
      <c r="A3833" s="57">
        <v>1211</v>
      </c>
      <c r="B3833" t="s">
        <v>7141</v>
      </c>
      <c r="C3833" t="s">
        <v>7142</v>
      </c>
      <c r="D3833" s="12">
        <v>46329</v>
      </c>
      <c r="E3833" s="11">
        <v>54</v>
      </c>
      <c r="F3833" s="11" t="s">
        <v>0</v>
      </c>
      <c r="G3833">
        <v>20150201</v>
      </c>
      <c r="I3833" s="11" t="s">
        <v>63</v>
      </c>
      <c r="J3833" s="72">
        <v>10296954</v>
      </c>
      <c r="K3833" s="99" t="str">
        <f>_xlfn.XLOOKUP(_2__ROI_Daily_Update[[#This Row],[CSM id]],SHP!F:F,SHP!EE:EE,"-")</f>
        <v>-</v>
      </c>
    </row>
    <row r="3834" spans="1:11" x14ac:dyDescent="0.45">
      <c r="A3834" s="57">
        <v>1043</v>
      </c>
      <c r="B3834" t="s">
        <v>1318</v>
      </c>
      <c r="C3834" t="s">
        <v>1319</v>
      </c>
      <c r="D3834" s="12">
        <v>46329</v>
      </c>
      <c r="E3834" s="11">
        <v>24</v>
      </c>
      <c r="F3834" s="11" t="s">
        <v>0</v>
      </c>
      <c r="G3834">
        <v>20221001</v>
      </c>
      <c r="I3834" s="11" t="s">
        <v>63</v>
      </c>
      <c r="J3834" s="72">
        <v>70516830</v>
      </c>
      <c r="K3834" s="99" t="str">
        <f>_xlfn.XLOOKUP(_2__ROI_Daily_Update[[#This Row],[CSM id]],SHP!F:F,SHP!EE:EE,"-")</f>
        <v>-</v>
      </c>
    </row>
    <row r="3835" spans="1:11" x14ac:dyDescent="0.45">
      <c r="A3835" s="57">
        <v>1314</v>
      </c>
      <c r="B3835" t="s">
        <v>5562</v>
      </c>
      <c r="C3835" t="s">
        <v>5563</v>
      </c>
      <c r="D3835" s="12">
        <v>46329</v>
      </c>
      <c r="E3835" s="11">
        <v>90</v>
      </c>
      <c r="F3835" s="11" t="s">
        <v>0</v>
      </c>
      <c r="G3835">
        <v>20210701</v>
      </c>
      <c r="I3835" s="11" t="s">
        <v>63</v>
      </c>
      <c r="J3835" s="72">
        <v>50501052</v>
      </c>
      <c r="K3835" s="99" t="str">
        <f>_xlfn.XLOOKUP(_2__ROI_Daily_Update[[#This Row],[CSM id]],SHP!F:F,SHP!EE:EE,"-")</f>
        <v>-</v>
      </c>
    </row>
    <row r="3836" spans="1:11" x14ac:dyDescent="0.45">
      <c r="A3836" s="57">
        <v>1081</v>
      </c>
      <c r="B3836" t="s">
        <v>7181</v>
      </c>
      <c r="C3836" t="s">
        <v>7182</v>
      </c>
      <c r="D3836" s="12">
        <v>46329</v>
      </c>
      <c r="E3836" s="11">
        <v>42</v>
      </c>
      <c r="F3836" s="11" t="s">
        <v>0</v>
      </c>
      <c r="G3836">
        <v>20261001</v>
      </c>
      <c r="H3836" s="12">
        <v>46388</v>
      </c>
      <c r="I3836" s="11" t="s">
        <v>63</v>
      </c>
      <c r="J3836" s="72">
        <v>50639912</v>
      </c>
      <c r="K3836" s="99" t="str">
        <f>_xlfn.XLOOKUP(_2__ROI_Daily_Update[[#This Row],[CSM id]],SHP!F:F,SHP!EE:EE,"-")</f>
        <v>-</v>
      </c>
    </row>
    <row r="3837" spans="1:11" x14ac:dyDescent="0.45">
      <c r="A3837" s="57">
        <v>972</v>
      </c>
      <c r="B3837" t="s">
        <v>885</v>
      </c>
      <c r="C3837" t="s">
        <v>886</v>
      </c>
      <c r="D3837" s="12">
        <v>46329</v>
      </c>
      <c r="E3837" s="11">
        <v>18</v>
      </c>
      <c r="F3837" s="11" t="s">
        <v>0</v>
      </c>
      <c r="G3837">
        <v>20261001</v>
      </c>
      <c r="I3837" s="11" t="s">
        <v>63</v>
      </c>
      <c r="J3837" s="72">
        <v>50620880</v>
      </c>
      <c r="K3837" s="99" t="str">
        <f>_xlfn.XLOOKUP(_2__ROI_Daily_Update[[#This Row],[CSM id]],SHP!F:F,SHP!EE:EE,"-")</f>
        <v>-</v>
      </c>
    </row>
    <row r="3838" spans="1:11" x14ac:dyDescent="0.45">
      <c r="A3838" s="57">
        <v>1831</v>
      </c>
      <c r="B3838" t="s">
        <v>3606</v>
      </c>
      <c r="C3838" t="s">
        <v>3607</v>
      </c>
      <c r="D3838" s="12">
        <v>46329</v>
      </c>
      <c r="E3838" s="11">
        <v>72</v>
      </c>
      <c r="F3838" s="11" t="s">
        <v>0</v>
      </c>
      <c r="G3838">
        <v>20260401</v>
      </c>
      <c r="I3838" s="11" t="s">
        <v>63</v>
      </c>
      <c r="J3838" s="72">
        <v>90621528</v>
      </c>
      <c r="K3838" s="99" t="str">
        <f>_xlfn.XLOOKUP(_2__ROI_Daily_Update[[#This Row],[CSM id]],SHP!F:F,SHP!EE:EE,"-")</f>
        <v>-</v>
      </c>
    </row>
    <row r="3839" spans="1:11" x14ac:dyDescent="0.45">
      <c r="A3839" s="57">
        <v>1431</v>
      </c>
      <c r="B3839" t="s">
        <v>2362</v>
      </c>
      <c r="C3839" t="s">
        <v>2363</v>
      </c>
      <c r="D3839" s="12">
        <v>46329</v>
      </c>
      <c r="E3839" s="11">
        <v>56</v>
      </c>
      <c r="F3839" s="11" t="s">
        <v>0</v>
      </c>
      <c r="G3839">
        <v>20250401</v>
      </c>
      <c r="I3839" s="11" t="s">
        <v>63</v>
      </c>
      <c r="J3839" s="72">
        <v>20607328</v>
      </c>
      <c r="K3839" s="99" t="str">
        <f>_xlfn.XLOOKUP(_2__ROI_Daily_Update[[#This Row],[CSM id]],SHP!F:F,SHP!EE:EE,"-")</f>
        <v>-</v>
      </c>
    </row>
    <row r="3840" spans="1:11" x14ac:dyDescent="0.45">
      <c r="A3840" s="57">
        <v>1621</v>
      </c>
      <c r="B3840" t="s">
        <v>2887</v>
      </c>
      <c r="C3840" t="s">
        <v>2888</v>
      </c>
      <c r="D3840" s="12">
        <v>46329</v>
      </c>
      <c r="E3840" s="11">
        <v>16</v>
      </c>
      <c r="F3840" s="11" t="s">
        <v>0</v>
      </c>
      <c r="G3840">
        <v>20260101</v>
      </c>
      <c r="I3840" s="11" t="s">
        <v>63</v>
      </c>
      <c r="J3840" s="72">
        <v>80612317</v>
      </c>
      <c r="K3840" s="99" t="str">
        <f>_xlfn.XLOOKUP(_2__ROI_Daily_Update[[#This Row],[CSM id]],SHP!F:F,SHP!EE:EE,"-")</f>
        <v>-</v>
      </c>
    </row>
    <row r="3841" spans="1:11" x14ac:dyDescent="0.45">
      <c r="A3841" s="57">
        <v>1813</v>
      </c>
      <c r="B3841" t="s">
        <v>3414</v>
      </c>
      <c r="C3841" t="s">
        <v>3415</v>
      </c>
      <c r="D3841" s="12">
        <v>46329</v>
      </c>
      <c r="E3841" s="11">
        <v>93</v>
      </c>
      <c r="F3841" s="11" t="s">
        <v>0</v>
      </c>
      <c r="G3841">
        <v>20210701</v>
      </c>
      <c r="I3841" s="11" t="s">
        <v>63</v>
      </c>
      <c r="J3841" s="72">
        <v>60297102</v>
      </c>
      <c r="K3841" s="99" t="str">
        <f>_xlfn.XLOOKUP(_2__ROI_Daily_Update[[#This Row],[CSM id]],SHP!F:F,SHP!EE:EE,"-")</f>
        <v>-</v>
      </c>
    </row>
    <row r="3842" spans="1:11" x14ac:dyDescent="0.45">
      <c r="A3842" s="57">
        <v>1211</v>
      </c>
      <c r="B3842" t="s">
        <v>6169</v>
      </c>
      <c r="C3842" t="s">
        <v>6170</v>
      </c>
      <c r="D3842" s="12">
        <v>46329</v>
      </c>
      <c r="E3842" s="11">
        <v>24</v>
      </c>
      <c r="F3842" s="11" t="s">
        <v>0</v>
      </c>
      <c r="G3842">
        <v>20250401</v>
      </c>
      <c r="I3842" s="11" t="s">
        <v>63</v>
      </c>
      <c r="J3842" s="72">
        <v>50597144</v>
      </c>
      <c r="K3842" s="99" t="str">
        <f>_xlfn.XLOOKUP(_2__ROI_Daily_Update[[#This Row],[CSM id]],SHP!F:F,SHP!EE:EE,"-")</f>
        <v>-</v>
      </c>
    </row>
    <row r="3843" spans="1:11" x14ac:dyDescent="0.45">
      <c r="A3843" s="57">
        <v>1431</v>
      </c>
      <c r="B3843" t="s">
        <v>2324</v>
      </c>
      <c r="C3843" t="s">
        <v>2325</v>
      </c>
      <c r="D3843" s="12">
        <v>46329</v>
      </c>
      <c r="E3843" s="11">
        <v>126</v>
      </c>
      <c r="F3843" s="11" t="s">
        <v>0</v>
      </c>
      <c r="G3843">
        <v>20250401</v>
      </c>
      <c r="I3843" s="11" t="s">
        <v>63</v>
      </c>
      <c r="J3843" s="72">
        <v>607329</v>
      </c>
      <c r="K3843" s="99" t="str">
        <f>_xlfn.XLOOKUP(_2__ROI_Daily_Update[[#This Row],[CSM id]],SHP!F:F,SHP!EE:EE,"-")</f>
        <v>-</v>
      </c>
    </row>
    <row r="3844" spans="1:11" x14ac:dyDescent="0.45">
      <c r="A3844" s="57">
        <v>1043</v>
      </c>
      <c r="B3844" t="s">
        <v>7167</v>
      </c>
      <c r="C3844" t="s">
        <v>7168</v>
      </c>
      <c r="D3844" s="12">
        <v>46329</v>
      </c>
      <c r="E3844" s="11">
        <v>224</v>
      </c>
      <c r="F3844" s="11" t="s">
        <v>0</v>
      </c>
      <c r="G3844">
        <v>20180801</v>
      </c>
      <c r="I3844" s="11" t="s">
        <v>63</v>
      </c>
      <c r="J3844" s="72">
        <v>428950</v>
      </c>
      <c r="K3844" s="99" t="str">
        <f>_xlfn.XLOOKUP(_2__ROI_Daily_Update[[#This Row],[CSM id]],SHP!F:F,SHP!EE:EE,"-")</f>
        <v>-</v>
      </c>
    </row>
    <row r="3845" spans="1:11" x14ac:dyDescent="0.45">
      <c r="A3845" s="57">
        <v>1836</v>
      </c>
      <c r="B3845" t="s">
        <v>3664</v>
      </c>
      <c r="C3845" t="s">
        <v>3665</v>
      </c>
      <c r="D3845" s="12">
        <v>46329</v>
      </c>
      <c r="E3845" s="11">
        <v>50</v>
      </c>
      <c r="F3845" s="11" t="s">
        <v>0</v>
      </c>
      <c r="G3845">
        <v>20260701</v>
      </c>
      <c r="H3845" s="12">
        <v>46569</v>
      </c>
      <c r="I3845" s="11" t="s">
        <v>63</v>
      </c>
      <c r="J3845" s="72">
        <v>80632787</v>
      </c>
      <c r="K3845" s="99" t="str">
        <f>_xlfn.XLOOKUP(_2__ROI_Daily_Update[[#This Row],[CSM id]],SHP!F:F,SHP!EE:EE,"-")</f>
        <v>-</v>
      </c>
    </row>
    <row r="3846" spans="1:11" x14ac:dyDescent="0.45">
      <c r="A3846" s="57">
        <v>972</v>
      </c>
      <c r="B3846" t="s">
        <v>5743</v>
      </c>
      <c r="C3846" t="s">
        <v>5744</v>
      </c>
      <c r="D3846" s="12">
        <v>46329</v>
      </c>
      <c r="E3846" s="11">
        <v>24</v>
      </c>
      <c r="F3846" s="11" t="s">
        <v>0</v>
      </c>
      <c r="G3846">
        <v>20260201</v>
      </c>
      <c r="I3846" s="11" t="s">
        <v>63</v>
      </c>
      <c r="J3846" s="72">
        <v>40602042</v>
      </c>
      <c r="K3846" s="99" t="str">
        <f>_xlfn.XLOOKUP(_2__ROI_Daily_Update[[#This Row],[CSM id]],SHP!F:F,SHP!EE:EE,"-")</f>
        <v>-</v>
      </c>
    </row>
    <row r="3847" spans="1:11" x14ac:dyDescent="0.45">
      <c r="A3847" s="57">
        <v>983</v>
      </c>
      <c r="B3847" t="s">
        <v>5156</v>
      </c>
      <c r="C3847" t="s">
        <v>5157</v>
      </c>
      <c r="D3847" s="12">
        <v>46329</v>
      </c>
      <c r="E3847" s="11">
        <v>78</v>
      </c>
      <c r="F3847" s="11" t="s">
        <v>0</v>
      </c>
      <c r="G3847">
        <v>20250101</v>
      </c>
      <c r="I3847" s="11" t="s">
        <v>63</v>
      </c>
      <c r="J3847" s="72">
        <v>10573753</v>
      </c>
      <c r="K3847" s="99" t="str">
        <f>_xlfn.XLOOKUP(_2__ROI_Daily_Update[[#This Row],[CSM id]],SHP!F:F,SHP!EE:EE,"-")</f>
        <v>-</v>
      </c>
    </row>
    <row r="3848" spans="1:11" x14ac:dyDescent="0.45">
      <c r="A3848" s="57">
        <v>1031</v>
      </c>
      <c r="B3848" t="s">
        <v>1298</v>
      </c>
      <c r="C3848" t="s">
        <v>1299</v>
      </c>
      <c r="D3848" s="12">
        <v>46329</v>
      </c>
      <c r="E3848" s="11">
        <v>108</v>
      </c>
      <c r="F3848" s="11" t="s">
        <v>0</v>
      </c>
      <c r="G3848">
        <v>20250701</v>
      </c>
      <c r="I3848" s="11" t="s">
        <v>63</v>
      </c>
      <c r="J3848" s="72">
        <v>80591541</v>
      </c>
      <c r="K3848" s="99" t="str">
        <f>_xlfn.XLOOKUP(_2__ROI_Daily_Update[[#This Row],[CSM id]],SHP!F:F,SHP!EE:EE,"-")</f>
        <v>-</v>
      </c>
    </row>
    <row r="3849" spans="1:11" x14ac:dyDescent="0.45">
      <c r="A3849" s="57">
        <v>1031</v>
      </c>
      <c r="B3849" t="s">
        <v>6739</v>
      </c>
      <c r="C3849" t="s">
        <v>6740</v>
      </c>
      <c r="D3849" s="12">
        <v>46329</v>
      </c>
      <c r="E3849" s="11">
        <v>80</v>
      </c>
      <c r="F3849" s="11" t="s">
        <v>0</v>
      </c>
      <c r="G3849">
        <v>20260401</v>
      </c>
      <c r="H3849" s="12">
        <v>46478</v>
      </c>
      <c r="I3849" s="11" t="s">
        <v>63</v>
      </c>
      <c r="J3849" s="72">
        <v>70584089</v>
      </c>
      <c r="K3849" s="99" t="str">
        <f>_xlfn.XLOOKUP(_2__ROI_Daily_Update[[#This Row],[CSM id]],SHP!F:F,SHP!EE:EE,"-")</f>
        <v>-</v>
      </c>
    </row>
    <row r="3850" spans="1:11" x14ac:dyDescent="0.45">
      <c r="A3850" s="57">
        <v>1431</v>
      </c>
      <c r="B3850" t="s">
        <v>7131</v>
      </c>
      <c r="C3850" t="s">
        <v>7132</v>
      </c>
      <c r="D3850" s="12">
        <v>46329</v>
      </c>
      <c r="E3850" s="11">
        <v>150</v>
      </c>
      <c r="F3850" s="11" t="s">
        <v>0</v>
      </c>
      <c r="G3850">
        <v>20210701</v>
      </c>
      <c r="I3850" s="11" t="s">
        <v>63</v>
      </c>
      <c r="J3850" s="72">
        <v>10497226</v>
      </c>
      <c r="K3850" s="99" t="str">
        <f>_xlfn.XLOOKUP(_2__ROI_Daily_Update[[#This Row],[CSM id]],SHP!F:F,SHP!EE:EE,"-")</f>
        <v>-</v>
      </c>
    </row>
    <row r="3851" spans="1:11" x14ac:dyDescent="0.45">
      <c r="A3851" s="57">
        <v>1211</v>
      </c>
      <c r="B3851" t="s">
        <v>6333</v>
      </c>
      <c r="C3851" t="s">
        <v>6334</v>
      </c>
      <c r="D3851" s="12">
        <v>46329</v>
      </c>
      <c r="E3851" s="11">
        <v>12</v>
      </c>
      <c r="F3851" s="11" t="s">
        <v>0</v>
      </c>
      <c r="G3851">
        <v>20260101</v>
      </c>
      <c r="I3851" s="11" t="s">
        <v>63</v>
      </c>
      <c r="J3851" s="72">
        <v>40621724</v>
      </c>
      <c r="K3851" s="99" t="str">
        <f>_xlfn.XLOOKUP(_2__ROI_Daily_Update[[#This Row],[CSM id]],SHP!F:F,SHP!EE:EE,"-")</f>
        <v>-</v>
      </c>
    </row>
    <row r="3852" spans="1:11" x14ac:dyDescent="0.45">
      <c r="A3852" s="57">
        <v>1411</v>
      </c>
      <c r="B3852" t="s">
        <v>7296</v>
      </c>
      <c r="C3852" t="s">
        <v>7297</v>
      </c>
      <c r="D3852" s="12">
        <v>46329</v>
      </c>
      <c r="E3852" s="11">
        <v>66</v>
      </c>
      <c r="F3852" s="11" t="s">
        <v>0</v>
      </c>
      <c r="G3852">
        <v>20250701</v>
      </c>
      <c r="H3852" s="12">
        <v>46569</v>
      </c>
      <c r="I3852" s="11" t="s">
        <v>63</v>
      </c>
      <c r="J3852" s="72">
        <v>40602730</v>
      </c>
      <c r="K3852" s="99" t="str">
        <f>_xlfn.XLOOKUP(_2__ROI_Daily_Update[[#This Row],[CSM id]],SHP!F:F,SHP!EE:EE,"-")</f>
        <v>-</v>
      </c>
    </row>
    <row r="3853" spans="1:11" x14ac:dyDescent="0.45">
      <c r="A3853" s="57">
        <v>1112</v>
      </c>
      <c r="B3853" t="s">
        <v>1503</v>
      </c>
      <c r="C3853" t="s">
        <v>1504</v>
      </c>
      <c r="D3853" s="12">
        <v>46329</v>
      </c>
      <c r="E3853" s="11">
        <v>8</v>
      </c>
      <c r="F3853" s="11" t="s">
        <v>0</v>
      </c>
      <c r="G3853">
        <v>20260401</v>
      </c>
      <c r="I3853" s="11" t="s">
        <v>63</v>
      </c>
      <c r="J3853" s="72">
        <v>40623761</v>
      </c>
      <c r="K3853" s="99" t="str">
        <f>_xlfn.XLOOKUP(_2__ROI_Daily_Update[[#This Row],[CSM id]],SHP!F:F,SHP!EE:EE,"-")</f>
        <v>-</v>
      </c>
    </row>
    <row r="3854" spans="1:11" x14ac:dyDescent="0.45">
      <c r="A3854" s="57">
        <v>632</v>
      </c>
      <c r="B3854" t="s">
        <v>475</v>
      </c>
      <c r="C3854" t="s">
        <v>476</v>
      </c>
      <c r="D3854" s="12">
        <v>46329</v>
      </c>
      <c r="E3854" s="11">
        <v>76</v>
      </c>
      <c r="F3854" s="11" t="s">
        <v>0</v>
      </c>
      <c r="G3854">
        <v>20180201</v>
      </c>
      <c r="I3854" s="11" t="s">
        <v>63</v>
      </c>
      <c r="J3854" s="72">
        <v>20342597</v>
      </c>
      <c r="K3854" s="99" t="str">
        <f>_xlfn.XLOOKUP(_2__ROI_Daily_Update[[#This Row],[CSM id]],SHP!F:F,SHP!EE:EE,"-")</f>
        <v>-</v>
      </c>
    </row>
    <row r="3855" spans="1:11" x14ac:dyDescent="0.45">
      <c r="A3855" s="57">
        <v>1813</v>
      </c>
      <c r="B3855" t="s">
        <v>3384</v>
      </c>
      <c r="C3855" t="s">
        <v>3385</v>
      </c>
      <c r="D3855" s="12">
        <v>46329</v>
      </c>
      <c r="E3855" s="11">
        <v>50</v>
      </c>
      <c r="F3855" s="11" t="s">
        <v>0</v>
      </c>
      <c r="G3855">
        <v>20260101</v>
      </c>
      <c r="I3855" s="11" t="s">
        <v>63</v>
      </c>
      <c r="J3855" s="72">
        <v>20603311</v>
      </c>
      <c r="K3855" s="99" t="str">
        <f>_xlfn.XLOOKUP(_2__ROI_Daily_Update[[#This Row],[CSM id]],SHP!F:F,SHP!EE:EE,"-")</f>
        <v>-</v>
      </c>
    </row>
    <row r="3856" spans="1:11" x14ac:dyDescent="0.45">
      <c r="A3856" s="57">
        <v>623</v>
      </c>
      <c r="B3856" t="s">
        <v>6053</v>
      </c>
      <c r="C3856" t="s">
        <v>6054</v>
      </c>
      <c r="D3856" s="12">
        <v>46329</v>
      </c>
      <c r="E3856" s="11">
        <v>12</v>
      </c>
      <c r="F3856" s="11" t="s">
        <v>0</v>
      </c>
      <c r="G3856">
        <v>20261001</v>
      </c>
      <c r="I3856" s="11" t="s">
        <v>63</v>
      </c>
      <c r="J3856" s="72">
        <v>40632096</v>
      </c>
      <c r="K3856" s="99" t="str">
        <f>_xlfn.XLOOKUP(_2__ROI_Daily_Update[[#This Row],[CSM id]],SHP!F:F,SHP!EE:EE,"-")</f>
        <v>-</v>
      </c>
    </row>
    <row r="3857" spans="1:11" x14ac:dyDescent="0.45">
      <c r="A3857" s="57">
        <v>1211</v>
      </c>
      <c r="B3857" t="s">
        <v>1727</v>
      </c>
      <c r="C3857" t="s">
        <v>1728</v>
      </c>
      <c r="D3857" s="12">
        <v>46329</v>
      </c>
      <c r="E3857" s="11">
        <v>7</v>
      </c>
      <c r="F3857" s="11" t="s">
        <v>0</v>
      </c>
      <c r="G3857">
        <v>20241001</v>
      </c>
      <c r="H3857" s="12">
        <v>46478</v>
      </c>
      <c r="I3857" s="11" t="s">
        <v>63</v>
      </c>
      <c r="J3857" s="72">
        <v>10417814</v>
      </c>
      <c r="K3857" s="99" t="str">
        <f>_xlfn.XLOOKUP(_2__ROI_Daily_Update[[#This Row],[CSM id]],SHP!F:F,SHP!EE:EE,"-")</f>
        <v>-</v>
      </c>
    </row>
    <row r="3858" spans="1:11" x14ac:dyDescent="0.45">
      <c r="A3858" s="57">
        <v>1813</v>
      </c>
      <c r="B3858" t="s">
        <v>3392</v>
      </c>
      <c r="C3858" t="s">
        <v>3393</v>
      </c>
      <c r="D3858" s="12">
        <v>46329</v>
      </c>
      <c r="E3858" s="11">
        <v>182</v>
      </c>
      <c r="F3858" s="11" t="s">
        <v>0</v>
      </c>
      <c r="G3858">
        <v>20260701</v>
      </c>
      <c r="H3858" s="12">
        <v>46569</v>
      </c>
      <c r="I3858" s="11" t="s">
        <v>63</v>
      </c>
      <c r="J3858" s="72">
        <v>30620145</v>
      </c>
      <c r="K3858" s="99" t="str">
        <f>_xlfn.XLOOKUP(_2__ROI_Daily_Update[[#This Row],[CSM id]],SHP!F:F,SHP!EE:EE,"-")</f>
        <v>-</v>
      </c>
    </row>
    <row r="3859" spans="1:11" x14ac:dyDescent="0.45">
      <c r="A3859" s="57">
        <v>1551</v>
      </c>
      <c r="B3859" t="s">
        <v>6165</v>
      </c>
      <c r="C3859" t="s">
        <v>6166</v>
      </c>
      <c r="D3859" s="12">
        <v>46329</v>
      </c>
      <c r="E3859" s="11">
        <v>180</v>
      </c>
      <c r="F3859" s="11" t="s">
        <v>0</v>
      </c>
      <c r="G3859">
        <v>20150401</v>
      </c>
      <c r="I3859" s="11" t="s">
        <v>63</v>
      </c>
      <c r="J3859" s="72">
        <v>80282944</v>
      </c>
      <c r="K3859" s="99" t="str">
        <f>_xlfn.XLOOKUP(_2__ROI_Daily_Update[[#This Row],[CSM id]],SHP!F:F,SHP!EE:EE,"-")</f>
        <v>-</v>
      </c>
    </row>
    <row r="3860" spans="1:11" x14ac:dyDescent="0.45">
      <c r="A3860" s="57">
        <v>125</v>
      </c>
      <c r="B3860" t="s">
        <v>98</v>
      </c>
      <c r="C3860" t="s">
        <v>99</v>
      </c>
      <c r="D3860" s="12">
        <v>46331</v>
      </c>
      <c r="E3860" s="11">
        <v>4</v>
      </c>
      <c r="F3860" s="11" t="s">
        <v>0</v>
      </c>
      <c r="G3860">
        <v>20261001</v>
      </c>
      <c r="I3860" s="11" t="s">
        <v>32</v>
      </c>
      <c r="J3860" s="72">
        <v>10624333</v>
      </c>
      <c r="K3860" s="99" t="str">
        <f>_xlfn.XLOOKUP(_2__ROI_Daily_Update[[#This Row],[CSM id]],SHP!F:F,SHP!EE:EE,"-")</f>
        <v>-</v>
      </c>
    </row>
    <row r="3861" spans="1:11" x14ac:dyDescent="0.45">
      <c r="A3861" s="57">
        <v>423</v>
      </c>
      <c r="B3861" t="s">
        <v>435</v>
      </c>
      <c r="C3861" t="s">
        <v>436</v>
      </c>
      <c r="D3861" s="12">
        <v>46332</v>
      </c>
      <c r="E3861" s="11">
        <v>5</v>
      </c>
      <c r="F3861" s="11" t="s">
        <v>0</v>
      </c>
      <c r="G3861">
        <v>20191001</v>
      </c>
      <c r="I3861" s="11" t="s">
        <v>32</v>
      </c>
      <c r="J3861" s="72">
        <v>80441759</v>
      </c>
      <c r="K3861" s="99" t="str">
        <f>_xlfn.XLOOKUP(_2__ROI_Daily_Update[[#This Row],[CSM id]],SHP!F:F,SHP!EE:EE,"-")</f>
        <v>-</v>
      </c>
    </row>
    <row r="3862" spans="1:11" x14ac:dyDescent="0.45">
      <c r="A3862" s="57">
        <v>966</v>
      </c>
      <c r="B3862" t="s">
        <v>783</v>
      </c>
      <c r="C3862" t="s">
        <v>784</v>
      </c>
      <c r="D3862" s="12">
        <v>46333</v>
      </c>
      <c r="E3862" s="11">
        <v>28</v>
      </c>
      <c r="F3862" s="11" t="s">
        <v>0</v>
      </c>
      <c r="G3862">
        <v>20260701</v>
      </c>
      <c r="I3862" s="11" t="s">
        <v>18</v>
      </c>
      <c r="J3862" s="72">
        <v>20625110</v>
      </c>
      <c r="K3862" s="99" t="str">
        <f>_xlfn.XLOOKUP(_2__ROI_Daily_Update[[#This Row],[CSM id]],SHP!F:F,SHP!EE:EE,"-")</f>
        <v>-</v>
      </c>
    </row>
    <row r="3863" spans="1:11" x14ac:dyDescent="0.45">
      <c r="A3863" s="57">
        <v>782</v>
      </c>
      <c r="B3863" t="s">
        <v>581</v>
      </c>
      <c r="C3863" t="s">
        <v>582</v>
      </c>
      <c r="D3863" s="12">
        <v>46333</v>
      </c>
      <c r="E3863" s="11">
        <v>84</v>
      </c>
      <c r="F3863" s="11" t="s">
        <v>0</v>
      </c>
      <c r="G3863">
        <v>20250101</v>
      </c>
      <c r="I3863" s="11" t="s">
        <v>18</v>
      </c>
      <c r="J3863" s="72">
        <v>20586788</v>
      </c>
      <c r="K3863" s="99" t="str">
        <f>_xlfn.XLOOKUP(_2__ROI_Daily_Update[[#This Row],[CSM id]],SHP!F:F,SHP!EE:EE,"-")</f>
        <v>-</v>
      </c>
    </row>
    <row r="3864" spans="1:11" x14ac:dyDescent="0.45">
      <c r="A3864" s="57">
        <v>1012</v>
      </c>
      <c r="B3864" t="s">
        <v>1088</v>
      </c>
      <c r="C3864" t="s">
        <v>1089</v>
      </c>
      <c r="D3864" s="12">
        <v>46333</v>
      </c>
      <c r="E3864" s="11">
        <v>20</v>
      </c>
      <c r="F3864" s="11" t="s">
        <v>0</v>
      </c>
      <c r="G3864">
        <v>20250701</v>
      </c>
      <c r="H3864" s="12">
        <v>46478</v>
      </c>
      <c r="I3864" s="11" t="s">
        <v>63</v>
      </c>
      <c r="J3864" s="72">
        <v>80594851</v>
      </c>
      <c r="K3864" s="99" t="str">
        <f>_xlfn.XLOOKUP(_2__ROI_Daily_Update[[#This Row],[CSM id]],SHP!F:F,SHP!EE:EE,"-")</f>
        <v>-</v>
      </c>
    </row>
    <row r="3865" spans="1:11" x14ac:dyDescent="0.45">
      <c r="A3865" s="57">
        <v>973</v>
      </c>
      <c r="B3865" t="s">
        <v>5170</v>
      </c>
      <c r="C3865" t="s">
        <v>5171</v>
      </c>
      <c r="D3865" s="12">
        <v>46333</v>
      </c>
      <c r="E3865" s="11">
        <v>300</v>
      </c>
      <c r="F3865" s="11" t="s">
        <v>0</v>
      </c>
      <c r="G3865">
        <v>20140801</v>
      </c>
      <c r="H3865" s="12">
        <v>46478</v>
      </c>
      <c r="I3865" s="11" t="s">
        <v>63</v>
      </c>
      <c r="J3865" s="72">
        <v>10167867</v>
      </c>
      <c r="K3865" s="99" t="str">
        <f>_xlfn.XLOOKUP(_2__ROI_Daily_Update[[#This Row],[CSM id]],SHP!F:F,SHP!EE:EE,"-")</f>
        <v>-</v>
      </c>
    </row>
    <row r="3866" spans="1:11" x14ac:dyDescent="0.45">
      <c r="A3866" s="57">
        <v>341</v>
      </c>
      <c r="B3866" t="s">
        <v>360</v>
      </c>
      <c r="C3866" t="s">
        <v>361</v>
      </c>
      <c r="D3866" s="12">
        <v>46333</v>
      </c>
      <c r="E3866" s="11">
        <v>10</v>
      </c>
      <c r="F3866" s="11" t="s">
        <v>0</v>
      </c>
      <c r="G3866">
        <v>20170801</v>
      </c>
      <c r="H3866" s="12">
        <v>46478</v>
      </c>
      <c r="I3866" s="11" t="s">
        <v>18</v>
      </c>
      <c r="J3866" s="72">
        <v>40354278</v>
      </c>
      <c r="K3866" s="99" t="str">
        <f>_xlfn.XLOOKUP(_2__ROI_Daily_Update[[#This Row],[CSM id]],SHP!F:F,SHP!EE:EE,"-")</f>
        <v>-</v>
      </c>
    </row>
    <row r="3867" spans="1:11" x14ac:dyDescent="0.45">
      <c r="A3867" s="57">
        <v>1815</v>
      </c>
      <c r="B3867" t="s">
        <v>3464</v>
      </c>
      <c r="C3867" t="s">
        <v>3465</v>
      </c>
      <c r="D3867" s="12">
        <v>46333</v>
      </c>
      <c r="E3867" s="11">
        <v>304</v>
      </c>
      <c r="F3867" s="11" t="s">
        <v>0</v>
      </c>
      <c r="G3867">
        <v>20260701</v>
      </c>
      <c r="I3867" s="11" t="s">
        <v>63</v>
      </c>
      <c r="J3867" s="72">
        <v>20644284</v>
      </c>
      <c r="K3867" s="99" t="str">
        <f>_xlfn.XLOOKUP(_2__ROI_Daily_Update[[#This Row],[CSM id]],SHP!F:F,SHP!EE:EE,"-")</f>
        <v>-</v>
      </c>
    </row>
    <row r="3868" spans="1:11" x14ac:dyDescent="0.45">
      <c r="A3868" s="57">
        <v>1231</v>
      </c>
      <c r="B3868" t="s">
        <v>7646</v>
      </c>
      <c r="C3868" t="s">
        <v>7647</v>
      </c>
      <c r="D3868" s="12">
        <v>46333</v>
      </c>
      <c r="E3868" s="11">
        <v>80</v>
      </c>
      <c r="F3868" s="11" t="s">
        <v>0</v>
      </c>
      <c r="G3868">
        <v>20261001</v>
      </c>
      <c r="H3868" s="12">
        <v>46478</v>
      </c>
      <c r="I3868" s="11" t="s">
        <v>63</v>
      </c>
      <c r="J3868" s="72">
        <v>639702</v>
      </c>
      <c r="K3868" s="99" t="str">
        <f>_xlfn.XLOOKUP(_2__ROI_Daily_Update[[#This Row],[CSM id]],SHP!F:F,SHP!EE:EE,"-")</f>
        <v>-</v>
      </c>
    </row>
    <row r="3869" spans="1:11" x14ac:dyDescent="0.45">
      <c r="A3869" s="57">
        <v>1123</v>
      </c>
      <c r="B3869" t="s">
        <v>6257</v>
      </c>
      <c r="C3869" t="s">
        <v>6258</v>
      </c>
      <c r="D3869" s="12">
        <v>46333</v>
      </c>
      <c r="E3869" s="11">
        <v>16</v>
      </c>
      <c r="F3869" s="11" t="s">
        <v>0</v>
      </c>
      <c r="G3869">
        <v>20221001</v>
      </c>
      <c r="I3869" s="11" t="s">
        <v>63</v>
      </c>
      <c r="J3869" s="72">
        <v>50531313</v>
      </c>
      <c r="K3869" s="99" t="str">
        <f>_xlfn.XLOOKUP(_2__ROI_Daily_Update[[#This Row],[CSM id]],SHP!F:F,SHP!EE:EE,"-")</f>
        <v>-</v>
      </c>
    </row>
    <row r="3870" spans="1:11" x14ac:dyDescent="0.45">
      <c r="A3870" s="57">
        <v>1121</v>
      </c>
      <c r="B3870" t="s">
        <v>7636</v>
      </c>
      <c r="C3870" t="s">
        <v>7637</v>
      </c>
      <c r="D3870" s="12">
        <v>46333</v>
      </c>
      <c r="E3870" s="11">
        <v>24</v>
      </c>
      <c r="F3870" s="11" t="s">
        <v>0</v>
      </c>
      <c r="G3870">
        <v>20200401</v>
      </c>
      <c r="H3870" s="12">
        <v>46388</v>
      </c>
      <c r="I3870" s="11" t="s">
        <v>63</v>
      </c>
      <c r="J3870" s="72">
        <v>60458326</v>
      </c>
      <c r="K3870" s="99" t="str">
        <f>_xlfn.XLOOKUP(_2__ROI_Daily_Update[[#This Row],[CSM id]],SHP!F:F,SHP!EE:EE,"-")</f>
        <v>-</v>
      </c>
    </row>
    <row r="3871" spans="1:11" x14ac:dyDescent="0.45">
      <c r="A3871" s="57">
        <v>964</v>
      </c>
      <c r="B3871" t="s">
        <v>759</v>
      </c>
      <c r="C3871" t="s">
        <v>760</v>
      </c>
      <c r="D3871" s="12">
        <v>46333</v>
      </c>
      <c r="E3871" s="11">
        <v>50</v>
      </c>
      <c r="F3871" s="11" t="s">
        <v>0</v>
      </c>
      <c r="G3871">
        <v>20200801</v>
      </c>
      <c r="H3871" s="12">
        <v>46388</v>
      </c>
      <c r="I3871" s="11" t="s">
        <v>63</v>
      </c>
      <c r="J3871" s="72">
        <v>70464119</v>
      </c>
      <c r="K3871" s="99" t="str">
        <f>_xlfn.XLOOKUP(_2__ROI_Daily_Update[[#This Row],[CSM id]],SHP!F:F,SHP!EE:EE,"-")</f>
        <v>-</v>
      </c>
    </row>
    <row r="3872" spans="1:11" x14ac:dyDescent="0.45">
      <c r="A3872" s="57">
        <v>1122</v>
      </c>
      <c r="B3872" t="s">
        <v>1607</v>
      </c>
      <c r="C3872" t="s">
        <v>1608</v>
      </c>
      <c r="D3872" s="12">
        <v>46333</v>
      </c>
      <c r="E3872" s="11">
        <v>88</v>
      </c>
      <c r="F3872" s="11" t="s">
        <v>0</v>
      </c>
      <c r="G3872">
        <v>20230701</v>
      </c>
      <c r="H3872" s="12">
        <v>46388</v>
      </c>
      <c r="I3872" s="11" t="s">
        <v>63</v>
      </c>
      <c r="J3872" s="72">
        <v>20560284</v>
      </c>
      <c r="K3872" s="99" t="str">
        <f>_xlfn.XLOOKUP(_2__ROI_Daily_Update[[#This Row],[CSM id]],SHP!F:F,SHP!EE:EE,"-")</f>
        <v>-</v>
      </c>
    </row>
    <row r="3873" spans="1:11" x14ac:dyDescent="0.45">
      <c r="A3873" s="57">
        <v>1231</v>
      </c>
      <c r="B3873" t="s">
        <v>5298</v>
      </c>
      <c r="C3873" t="s">
        <v>5299</v>
      </c>
      <c r="D3873" s="12">
        <v>46333</v>
      </c>
      <c r="E3873" s="11">
        <v>20</v>
      </c>
      <c r="F3873" s="11" t="s">
        <v>0</v>
      </c>
      <c r="G3873">
        <v>20241001</v>
      </c>
      <c r="I3873" s="11" t="s">
        <v>63</v>
      </c>
      <c r="J3873" s="72">
        <v>50591137</v>
      </c>
      <c r="K3873" s="99" t="str">
        <f>_xlfn.XLOOKUP(_2__ROI_Daily_Update[[#This Row],[CSM id]],SHP!F:F,SHP!EE:EE,"-")</f>
        <v>-</v>
      </c>
    </row>
    <row r="3874" spans="1:11" x14ac:dyDescent="0.45">
      <c r="A3874" s="57">
        <v>215</v>
      </c>
      <c r="B3874" t="s">
        <v>7576</v>
      </c>
      <c r="C3874" t="s">
        <v>7577</v>
      </c>
      <c r="D3874" s="12">
        <v>46333</v>
      </c>
      <c r="E3874" s="11">
        <v>24</v>
      </c>
      <c r="F3874" s="11" t="s">
        <v>0</v>
      </c>
      <c r="G3874">
        <v>20170201</v>
      </c>
      <c r="I3874" s="11" t="s">
        <v>63</v>
      </c>
      <c r="J3874" s="72">
        <v>80339295</v>
      </c>
      <c r="K3874" s="99" t="str">
        <f>_xlfn.XLOOKUP(_2__ROI_Daily_Update[[#This Row],[CSM id]],SHP!F:F,SHP!EE:EE,"-")</f>
        <v>-</v>
      </c>
    </row>
    <row r="3875" spans="1:11" x14ac:dyDescent="0.45">
      <c r="A3875" s="57">
        <v>1014</v>
      </c>
      <c r="B3875" t="s">
        <v>1134</v>
      </c>
      <c r="C3875" t="s">
        <v>1135</v>
      </c>
      <c r="D3875" s="12">
        <v>46333</v>
      </c>
      <c r="E3875" s="11">
        <v>10</v>
      </c>
      <c r="F3875" s="11" t="s">
        <v>0</v>
      </c>
      <c r="G3875">
        <v>20170801</v>
      </c>
      <c r="I3875" s="11" t="s">
        <v>63</v>
      </c>
      <c r="J3875" s="72">
        <v>80337705</v>
      </c>
      <c r="K3875" s="99" t="str">
        <f>_xlfn.XLOOKUP(_2__ROI_Daily_Update[[#This Row],[CSM id]],SHP!F:F,SHP!EE:EE,"-")</f>
        <v>-</v>
      </c>
    </row>
    <row r="3876" spans="1:11" x14ac:dyDescent="0.45">
      <c r="A3876" s="57">
        <v>1112</v>
      </c>
      <c r="B3876" t="s">
        <v>1527</v>
      </c>
      <c r="C3876" t="s">
        <v>1528</v>
      </c>
      <c r="D3876" s="12">
        <v>46333</v>
      </c>
      <c r="E3876" s="11">
        <v>10</v>
      </c>
      <c r="F3876" s="11" t="s">
        <v>0</v>
      </c>
      <c r="G3876">
        <v>20260701</v>
      </c>
      <c r="I3876" s="11" t="s">
        <v>63</v>
      </c>
      <c r="J3876" s="72">
        <v>60632905</v>
      </c>
      <c r="K3876" s="99" t="str">
        <f>_xlfn.XLOOKUP(_2__ROI_Daily_Update[[#This Row],[CSM id]],SHP!F:F,SHP!EE:EE,"-")</f>
        <v>-</v>
      </c>
    </row>
    <row r="3877" spans="1:11" x14ac:dyDescent="0.45">
      <c r="A3877" s="57">
        <v>1641</v>
      </c>
      <c r="B3877" t="s">
        <v>3155</v>
      </c>
      <c r="C3877" t="s">
        <v>3156</v>
      </c>
      <c r="D3877" s="12">
        <v>46333</v>
      </c>
      <c r="E3877" s="11">
        <v>20</v>
      </c>
      <c r="F3877" s="11" t="s">
        <v>0</v>
      </c>
      <c r="G3877">
        <v>20240401</v>
      </c>
      <c r="I3877" s="11" t="s">
        <v>63</v>
      </c>
      <c r="J3877" s="72">
        <v>50550033</v>
      </c>
      <c r="K3877" s="99" t="str">
        <f>_xlfn.XLOOKUP(_2__ROI_Daily_Update[[#This Row],[CSM id]],SHP!F:F,SHP!EE:EE,"-")</f>
        <v>-</v>
      </c>
    </row>
    <row r="3878" spans="1:11" x14ac:dyDescent="0.45">
      <c r="A3878" s="57">
        <v>621</v>
      </c>
      <c r="B3878" t="s">
        <v>6007</v>
      </c>
      <c r="C3878" t="s">
        <v>6008</v>
      </c>
      <c r="D3878" s="12">
        <v>46333</v>
      </c>
      <c r="E3878" s="11">
        <v>10</v>
      </c>
      <c r="F3878" s="11" t="s">
        <v>0</v>
      </c>
      <c r="G3878">
        <v>20250701</v>
      </c>
      <c r="H3878" s="12">
        <v>46388</v>
      </c>
      <c r="I3878" s="11" t="s">
        <v>63</v>
      </c>
      <c r="J3878" s="72">
        <v>70587040</v>
      </c>
      <c r="K3878" s="99" t="str">
        <f>_xlfn.XLOOKUP(_2__ROI_Daily_Update[[#This Row],[CSM id]],SHP!F:F,SHP!EE:EE,"-")</f>
        <v>-</v>
      </c>
    </row>
    <row r="3879" spans="1:11" x14ac:dyDescent="0.45">
      <c r="A3879" s="57">
        <v>1813</v>
      </c>
      <c r="B3879" t="s">
        <v>7642</v>
      </c>
      <c r="C3879" t="s">
        <v>7643</v>
      </c>
      <c r="D3879" s="12">
        <v>46333</v>
      </c>
      <c r="E3879" s="11">
        <v>975</v>
      </c>
      <c r="F3879" s="11" t="s">
        <v>0</v>
      </c>
      <c r="G3879">
        <v>20250401</v>
      </c>
      <c r="I3879" s="11" t="s">
        <v>63</v>
      </c>
      <c r="J3879" s="72">
        <v>50593457</v>
      </c>
      <c r="K3879" s="99" t="str">
        <f>_xlfn.XLOOKUP(_2__ROI_Daily_Update[[#This Row],[CSM id]],SHP!F:F,SHP!EE:EE,"-")</f>
        <v>-</v>
      </c>
    </row>
    <row r="3880" spans="1:11" x14ac:dyDescent="0.45">
      <c r="A3880" s="57">
        <v>973</v>
      </c>
      <c r="B3880" t="s">
        <v>917</v>
      </c>
      <c r="C3880" t="s">
        <v>918</v>
      </c>
      <c r="D3880" s="12">
        <v>46333</v>
      </c>
      <c r="E3880" s="11">
        <v>154</v>
      </c>
      <c r="F3880" s="11" t="s">
        <v>0</v>
      </c>
      <c r="G3880">
        <v>20190801</v>
      </c>
      <c r="I3880" s="11" t="s">
        <v>18</v>
      </c>
      <c r="J3880" s="72">
        <v>80461083</v>
      </c>
      <c r="K3880" s="99" t="str">
        <f>_xlfn.XLOOKUP(_2__ROI_Daily_Update[[#This Row],[CSM id]],SHP!F:F,SHP!EE:EE,"-")</f>
        <v>-</v>
      </c>
    </row>
    <row r="3881" spans="1:11" x14ac:dyDescent="0.45">
      <c r="A3881" s="57">
        <v>1014</v>
      </c>
      <c r="B3881" t="s">
        <v>1130</v>
      </c>
      <c r="C3881" t="s">
        <v>1131</v>
      </c>
      <c r="D3881" s="12">
        <v>46333</v>
      </c>
      <c r="E3881" s="11">
        <v>4</v>
      </c>
      <c r="F3881" s="11" t="s">
        <v>0</v>
      </c>
      <c r="G3881">
        <v>20250401</v>
      </c>
      <c r="I3881" s="11" t="s">
        <v>63</v>
      </c>
      <c r="J3881" s="72">
        <v>40592514</v>
      </c>
      <c r="K3881" s="99" t="str">
        <f>_xlfn.XLOOKUP(_2__ROI_Daily_Update[[#This Row],[CSM id]],SHP!F:F,SHP!EE:EE,"-")</f>
        <v>-</v>
      </c>
    </row>
    <row r="3882" spans="1:11" x14ac:dyDescent="0.45">
      <c r="A3882" s="57">
        <v>972</v>
      </c>
      <c r="B3882" t="s">
        <v>7560</v>
      </c>
      <c r="C3882" t="s">
        <v>7561</v>
      </c>
      <c r="D3882" s="12">
        <v>46333</v>
      </c>
      <c r="E3882" s="11">
        <v>18</v>
      </c>
      <c r="F3882" s="11" t="s">
        <v>0</v>
      </c>
      <c r="G3882">
        <v>20241001</v>
      </c>
      <c r="I3882" s="11" t="s">
        <v>18</v>
      </c>
      <c r="J3882" s="72">
        <v>544493</v>
      </c>
      <c r="K3882" s="99" t="str">
        <f>_xlfn.XLOOKUP(_2__ROI_Daily_Update[[#This Row],[CSM id]],SHP!F:F,SHP!EE:EE,"-")</f>
        <v>-</v>
      </c>
    </row>
    <row r="3883" spans="1:11" x14ac:dyDescent="0.45">
      <c r="A3883" s="57">
        <v>1641</v>
      </c>
      <c r="B3883" t="s">
        <v>3159</v>
      </c>
      <c r="C3883" t="s">
        <v>3160</v>
      </c>
      <c r="D3883" s="12">
        <v>46333</v>
      </c>
      <c r="E3883" s="11">
        <v>60</v>
      </c>
      <c r="F3883" s="11" t="s">
        <v>0</v>
      </c>
      <c r="G3883">
        <v>20240401</v>
      </c>
      <c r="I3883" s="11" t="s">
        <v>18</v>
      </c>
      <c r="J3883" s="72">
        <v>50553710</v>
      </c>
      <c r="K3883" s="99" t="str">
        <f>_xlfn.XLOOKUP(_2__ROI_Daily_Update[[#This Row],[CSM id]],SHP!F:F,SHP!EE:EE,"-")</f>
        <v>-</v>
      </c>
    </row>
    <row r="3884" spans="1:11" x14ac:dyDescent="0.45">
      <c r="A3884" s="57">
        <v>1121</v>
      </c>
      <c r="B3884" t="s">
        <v>7672</v>
      </c>
      <c r="C3884" t="s">
        <v>7673</v>
      </c>
      <c r="D3884" s="12">
        <v>46333</v>
      </c>
      <c r="E3884" s="11">
        <v>16</v>
      </c>
      <c r="F3884" s="11" t="s">
        <v>0</v>
      </c>
      <c r="G3884">
        <v>20200401</v>
      </c>
      <c r="I3884" s="11" t="s">
        <v>63</v>
      </c>
      <c r="J3884" s="72">
        <v>20457989</v>
      </c>
      <c r="K3884" s="99" t="str">
        <f>_xlfn.XLOOKUP(_2__ROI_Daily_Update[[#This Row],[CSM id]],SHP!F:F,SHP!EE:EE,"-")</f>
        <v>-</v>
      </c>
    </row>
    <row r="3885" spans="1:11" x14ac:dyDescent="0.45">
      <c r="A3885" s="57">
        <v>782</v>
      </c>
      <c r="B3885" t="s">
        <v>583</v>
      </c>
      <c r="C3885" t="s">
        <v>584</v>
      </c>
      <c r="D3885" s="12">
        <v>46333</v>
      </c>
      <c r="E3885" s="11">
        <v>140</v>
      </c>
      <c r="F3885" s="11" t="s">
        <v>0</v>
      </c>
      <c r="G3885">
        <v>20250101</v>
      </c>
      <c r="I3885" s="11" t="s">
        <v>18</v>
      </c>
      <c r="J3885" s="72">
        <v>20591775</v>
      </c>
      <c r="K3885" s="99" t="str">
        <f>_xlfn.XLOOKUP(_2__ROI_Daily_Update[[#This Row],[CSM id]],SHP!F:F,SHP!EE:EE,"-")</f>
        <v>-</v>
      </c>
    </row>
    <row r="3886" spans="1:11" x14ac:dyDescent="0.45">
      <c r="A3886" s="57">
        <v>1836</v>
      </c>
      <c r="B3886" t="s">
        <v>3666</v>
      </c>
      <c r="C3886" t="s">
        <v>3667</v>
      </c>
      <c r="D3886" s="12">
        <v>46333</v>
      </c>
      <c r="E3886" s="11">
        <v>520</v>
      </c>
      <c r="F3886" s="11" t="s">
        <v>0</v>
      </c>
      <c r="G3886">
        <v>20211001</v>
      </c>
      <c r="H3886" s="12">
        <v>46388</v>
      </c>
      <c r="I3886" s="11" t="s">
        <v>63</v>
      </c>
      <c r="J3886" s="72">
        <v>90504195</v>
      </c>
      <c r="K3886" s="99" t="str">
        <f>_xlfn.XLOOKUP(_2__ROI_Daily_Update[[#This Row],[CSM id]],SHP!F:F,SHP!EE:EE,"-")</f>
        <v>-</v>
      </c>
    </row>
    <row r="3887" spans="1:11" x14ac:dyDescent="0.45">
      <c r="A3887" s="57">
        <v>1122</v>
      </c>
      <c r="B3887" t="s">
        <v>7682</v>
      </c>
      <c r="C3887" t="s">
        <v>7683</v>
      </c>
      <c r="D3887" s="12">
        <v>46333</v>
      </c>
      <c r="E3887" s="11">
        <v>32</v>
      </c>
      <c r="F3887" s="11" t="s">
        <v>0</v>
      </c>
      <c r="G3887">
        <v>20261001</v>
      </c>
      <c r="I3887" s="11" t="s">
        <v>63</v>
      </c>
      <c r="J3887" s="72">
        <v>30629933</v>
      </c>
      <c r="K3887" s="99" t="str">
        <f>_xlfn.XLOOKUP(_2__ROI_Daily_Update[[#This Row],[CSM id]],SHP!F:F,SHP!EE:EE,"-")</f>
        <v>-</v>
      </c>
    </row>
    <row r="3888" spans="1:11" x14ac:dyDescent="0.45">
      <c r="A3888" s="57">
        <v>1813</v>
      </c>
      <c r="B3888" t="s">
        <v>3382</v>
      </c>
      <c r="C3888" t="s">
        <v>3383</v>
      </c>
      <c r="D3888" s="12">
        <v>46333</v>
      </c>
      <c r="E3888" s="11">
        <v>44</v>
      </c>
      <c r="F3888" s="11" t="s">
        <v>0</v>
      </c>
      <c r="G3888">
        <v>20250701</v>
      </c>
      <c r="I3888" s="11" t="s">
        <v>63</v>
      </c>
      <c r="J3888" s="72">
        <v>20596914</v>
      </c>
      <c r="K3888" s="99" t="str">
        <f>_xlfn.XLOOKUP(_2__ROI_Daily_Update[[#This Row],[CSM id]],SHP!F:F,SHP!EE:EE,"-")</f>
        <v>-</v>
      </c>
    </row>
    <row r="3889" spans="1:11" x14ac:dyDescent="0.45">
      <c r="A3889" s="57">
        <v>1634</v>
      </c>
      <c r="B3889" t="s">
        <v>7652</v>
      </c>
      <c r="C3889" t="s">
        <v>7653</v>
      </c>
      <c r="D3889" s="12">
        <v>46333</v>
      </c>
      <c r="E3889" s="11">
        <v>36</v>
      </c>
      <c r="F3889" s="11" t="s">
        <v>0</v>
      </c>
      <c r="G3889">
        <v>20260401</v>
      </c>
      <c r="I3889" s="11" t="s">
        <v>63</v>
      </c>
      <c r="J3889" s="72">
        <v>80614953</v>
      </c>
      <c r="K3889" s="99" t="str">
        <f>_xlfn.XLOOKUP(_2__ROI_Daily_Update[[#This Row],[CSM id]],SHP!F:F,SHP!EE:EE,"-")</f>
        <v>-</v>
      </c>
    </row>
    <row r="3890" spans="1:11" x14ac:dyDescent="0.45">
      <c r="A3890" s="57">
        <v>1112</v>
      </c>
      <c r="B3890" t="s">
        <v>1507</v>
      </c>
      <c r="C3890" t="s">
        <v>1508</v>
      </c>
      <c r="D3890" s="12">
        <v>46333</v>
      </c>
      <c r="E3890" s="11">
        <v>6</v>
      </c>
      <c r="F3890" s="11" t="s">
        <v>0</v>
      </c>
      <c r="G3890">
        <v>20261001</v>
      </c>
      <c r="I3890" s="11" t="s">
        <v>63</v>
      </c>
      <c r="J3890" s="72">
        <v>40636612</v>
      </c>
      <c r="K3890" s="99" t="str">
        <f>_xlfn.XLOOKUP(_2__ROI_Daily_Update[[#This Row],[CSM id]],SHP!F:F,SHP!EE:EE,"-")</f>
        <v>-</v>
      </c>
    </row>
    <row r="3891" spans="1:11" x14ac:dyDescent="0.45">
      <c r="A3891" s="57">
        <v>1231</v>
      </c>
      <c r="B3891" t="s">
        <v>7151</v>
      </c>
      <c r="C3891" t="s">
        <v>7152</v>
      </c>
      <c r="D3891" s="12">
        <v>46333</v>
      </c>
      <c r="E3891" s="11">
        <v>24</v>
      </c>
      <c r="F3891" s="11" t="s">
        <v>0</v>
      </c>
      <c r="G3891">
        <v>20260101</v>
      </c>
      <c r="I3891" s="11" t="s">
        <v>63</v>
      </c>
      <c r="J3891" s="72">
        <v>30625652</v>
      </c>
      <c r="K3891" s="99" t="str">
        <f>_xlfn.XLOOKUP(_2__ROI_Daily_Update[[#This Row],[CSM id]],SHP!F:F,SHP!EE:EE,"-")</f>
        <v>-</v>
      </c>
    </row>
    <row r="3892" spans="1:11" x14ac:dyDescent="0.45">
      <c r="A3892" s="57">
        <v>361</v>
      </c>
      <c r="B3892" t="s">
        <v>6969</v>
      </c>
      <c r="C3892" t="s">
        <v>6970</v>
      </c>
      <c r="D3892" s="12">
        <v>46333</v>
      </c>
      <c r="E3892" s="11">
        <v>72</v>
      </c>
      <c r="F3892" s="11" t="s">
        <v>0</v>
      </c>
      <c r="G3892">
        <v>20210201</v>
      </c>
      <c r="I3892" s="11" t="s">
        <v>18</v>
      </c>
      <c r="J3892" s="72">
        <v>80474783</v>
      </c>
      <c r="K3892" s="99" t="str">
        <f>_xlfn.XLOOKUP(_2__ROI_Daily_Update[[#This Row],[CSM id]],SHP!F:F,SHP!EE:EE,"-")</f>
        <v>-</v>
      </c>
    </row>
    <row r="3893" spans="1:11" x14ac:dyDescent="0.45">
      <c r="A3893" s="57">
        <v>1121</v>
      </c>
      <c r="B3893" t="s">
        <v>1587</v>
      </c>
      <c r="C3893" t="s">
        <v>1588</v>
      </c>
      <c r="D3893" s="12">
        <v>46333</v>
      </c>
      <c r="E3893" s="11">
        <v>14</v>
      </c>
      <c r="F3893" s="11" t="s">
        <v>0</v>
      </c>
      <c r="G3893">
        <v>20200401</v>
      </c>
      <c r="I3893" s="11" t="s">
        <v>63</v>
      </c>
      <c r="J3893" s="72">
        <v>50459289</v>
      </c>
      <c r="K3893" s="99" t="str">
        <f>_xlfn.XLOOKUP(_2__ROI_Daily_Update[[#This Row],[CSM id]],SHP!F:F,SHP!EE:EE,"-")</f>
        <v>-</v>
      </c>
    </row>
    <row r="3894" spans="1:11" x14ac:dyDescent="0.45">
      <c r="A3894" s="57">
        <v>1634</v>
      </c>
      <c r="B3894" t="s">
        <v>7616</v>
      </c>
      <c r="C3894" t="s">
        <v>7617</v>
      </c>
      <c r="D3894" s="12">
        <v>46333</v>
      </c>
      <c r="E3894" s="11">
        <v>72</v>
      </c>
      <c r="F3894" s="11" t="s">
        <v>0</v>
      </c>
      <c r="G3894">
        <v>20261001</v>
      </c>
      <c r="H3894" s="12">
        <v>46388</v>
      </c>
      <c r="I3894" s="11" t="s">
        <v>63</v>
      </c>
      <c r="J3894" s="72">
        <v>80636592</v>
      </c>
      <c r="K3894" s="99" t="str">
        <f>_xlfn.XLOOKUP(_2__ROI_Daily_Update[[#This Row],[CSM id]],SHP!F:F,SHP!EE:EE,"-")</f>
        <v>-</v>
      </c>
    </row>
    <row r="3895" spans="1:11" x14ac:dyDescent="0.45">
      <c r="A3895" s="57">
        <v>1231</v>
      </c>
      <c r="B3895" t="s">
        <v>7656</v>
      </c>
      <c r="C3895" t="s">
        <v>7657</v>
      </c>
      <c r="D3895" s="12">
        <v>46333</v>
      </c>
      <c r="E3895" s="11">
        <v>40</v>
      </c>
      <c r="F3895" s="11" t="s">
        <v>0</v>
      </c>
      <c r="G3895">
        <v>20251001</v>
      </c>
      <c r="H3895" s="12">
        <v>46569</v>
      </c>
      <c r="I3895" s="11" t="s">
        <v>63</v>
      </c>
      <c r="J3895" s="72">
        <v>90584489</v>
      </c>
      <c r="K3895" s="99" t="str">
        <f>_xlfn.XLOOKUP(_2__ROI_Daily_Update[[#This Row],[CSM id]],SHP!F:F,SHP!EE:EE,"-")</f>
        <v>-</v>
      </c>
    </row>
    <row r="3896" spans="1:11" x14ac:dyDescent="0.45">
      <c r="A3896" s="57">
        <v>1122</v>
      </c>
      <c r="B3896" t="s">
        <v>7600</v>
      </c>
      <c r="C3896" t="s">
        <v>7601</v>
      </c>
      <c r="D3896" s="12">
        <v>46333</v>
      </c>
      <c r="E3896" s="11">
        <v>88</v>
      </c>
      <c r="F3896" s="11" t="s">
        <v>0</v>
      </c>
      <c r="G3896">
        <v>20230701</v>
      </c>
      <c r="H3896" s="12">
        <v>46388</v>
      </c>
      <c r="I3896" s="11" t="s">
        <v>63</v>
      </c>
      <c r="J3896" s="72">
        <v>30552844</v>
      </c>
      <c r="K3896" s="99" t="str">
        <f>_xlfn.XLOOKUP(_2__ROI_Daily_Update[[#This Row],[CSM id]],SHP!F:F,SHP!EE:EE,"-")</f>
        <v>-</v>
      </c>
    </row>
    <row r="3897" spans="1:11" x14ac:dyDescent="0.45">
      <c r="A3897" s="57">
        <v>1813</v>
      </c>
      <c r="B3897" t="s">
        <v>7650</v>
      </c>
      <c r="C3897" t="s">
        <v>7651</v>
      </c>
      <c r="D3897" s="12">
        <v>46333</v>
      </c>
      <c r="E3897" s="11">
        <v>624</v>
      </c>
      <c r="F3897" s="11" t="s">
        <v>0</v>
      </c>
      <c r="G3897">
        <v>20140801</v>
      </c>
      <c r="I3897" s="11" t="s">
        <v>18</v>
      </c>
      <c r="J3897" s="72">
        <v>70177726</v>
      </c>
      <c r="K3897" s="99" t="str">
        <f>_xlfn.XLOOKUP(_2__ROI_Daily_Update[[#This Row],[CSM id]],SHP!F:F,SHP!EE:EE,"-")</f>
        <v>-</v>
      </c>
    </row>
    <row r="3898" spans="1:11" x14ac:dyDescent="0.45">
      <c r="A3898" s="57">
        <v>1012</v>
      </c>
      <c r="B3898" t="s">
        <v>1062</v>
      </c>
      <c r="C3898" t="s">
        <v>1063</v>
      </c>
      <c r="D3898" s="12">
        <v>46333</v>
      </c>
      <c r="E3898" s="11">
        <v>15</v>
      </c>
      <c r="F3898" s="11" t="s">
        <v>0</v>
      </c>
      <c r="G3898">
        <v>20210701</v>
      </c>
      <c r="I3898" s="11" t="s">
        <v>18</v>
      </c>
      <c r="J3898" s="72">
        <v>20404991</v>
      </c>
      <c r="K3898" s="99" t="str">
        <f>_xlfn.XLOOKUP(_2__ROI_Daily_Update[[#This Row],[CSM id]],SHP!F:F,SHP!EE:EE,"-")</f>
        <v>-</v>
      </c>
    </row>
    <row r="3899" spans="1:11" x14ac:dyDescent="0.45">
      <c r="A3899" s="57">
        <v>621</v>
      </c>
      <c r="B3899" t="s">
        <v>7588</v>
      </c>
      <c r="C3899" t="s">
        <v>7589</v>
      </c>
      <c r="D3899" s="12">
        <v>46333</v>
      </c>
      <c r="E3899" s="11">
        <v>8</v>
      </c>
      <c r="F3899" s="11" t="s">
        <v>0</v>
      </c>
      <c r="G3899">
        <v>20250401</v>
      </c>
      <c r="I3899" s="11" t="s">
        <v>63</v>
      </c>
      <c r="J3899" s="72">
        <v>80602709</v>
      </c>
      <c r="K3899" s="99" t="str">
        <f>_xlfn.XLOOKUP(_2__ROI_Daily_Update[[#This Row],[CSM id]],SHP!F:F,SHP!EE:EE,"-")</f>
        <v>-</v>
      </c>
    </row>
    <row r="3900" spans="1:11" x14ac:dyDescent="0.45">
      <c r="A3900" s="57">
        <v>964</v>
      </c>
      <c r="B3900" t="s">
        <v>6153</v>
      </c>
      <c r="C3900" t="s">
        <v>6154</v>
      </c>
      <c r="D3900" s="12">
        <v>46333</v>
      </c>
      <c r="E3900" s="11">
        <v>11</v>
      </c>
      <c r="F3900" s="11" t="s">
        <v>0</v>
      </c>
      <c r="G3900">
        <v>20251001</v>
      </c>
      <c r="I3900" s="11" t="s">
        <v>63</v>
      </c>
      <c r="J3900" s="72">
        <v>60603187</v>
      </c>
      <c r="K3900" s="99" t="str">
        <f>_xlfn.XLOOKUP(_2__ROI_Daily_Update[[#This Row],[CSM id]],SHP!F:F,SHP!EE:EE,"-")</f>
        <v>-</v>
      </c>
    </row>
    <row r="3901" spans="1:11" x14ac:dyDescent="0.45">
      <c r="A3901" s="57">
        <v>1231</v>
      </c>
      <c r="B3901" t="s">
        <v>5769</v>
      </c>
      <c r="C3901" t="s">
        <v>5770</v>
      </c>
      <c r="D3901" s="12">
        <v>46333</v>
      </c>
      <c r="E3901" s="11">
        <v>16</v>
      </c>
      <c r="F3901" s="11" t="s">
        <v>0</v>
      </c>
      <c r="G3901">
        <v>20241001</v>
      </c>
      <c r="H3901" s="12">
        <v>46569</v>
      </c>
      <c r="I3901" s="11" t="s">
        <v>63</v>
      </c>
      <c r="J3901" s="72">
        <v>50590982</v>
      </c>
      <c r="K3901" s="99" t="str">
        <f>_xlfn.XLOOKUP(_2__ROI_Daily_Update[[#This Row],[CSM id]],SHP!F:F,SHP!EE:EE,"-")</f>
        <v>-</v>
      </c>
    </row>
    <row r="3902" spans="1:11" x14ac:dyDescent="0.45">
      <c r="A3902" s="57">
        <v>1811</v>
      </c>
      <c r="B3902" t="s">
        <v>3356</v>
      </c>
      <c r="C3902" t="s">
        <v>3357</v>
      </c>
      <c r="D3902" s="12">
        <v>46333</v>
      </c>
      <c r="E3902" s="11">
        <v>36</v>
      </c>
      <c r="F3902" s="11" t="s">
        <v>0</v>
      </c>
      <c r="G3902">
        <v>20251001</v>
      </c>
      <c r="I3902" s="11" t="s">
        <v>63</v>
      </c>
      <c r="J3902" s="72">
        <v>80596954</v>
      </c>
      <c r="K3902" s="99" t="str">
        <f>_xlfn.XLOOKUP(_2__ROI_Daily_Update[[#This Row],[CSM id]],SHP!F:F,SHP!EE:EE,"-")</f>
        <v>-</v>
      </c>
    </row>
    <row r="3903" spans="1:11" x14ac:dyDescent="0.45">
      <c r="A3903" s="57">
        <v>351</v>
      </c>
      <c r="B3903" t="s">
        <v>7586</v>
      </c>
      <c r="C3903" t="s">
        <v>7587</v>
      </c>
      <c r="D3903" s="12">
        <v>46333</v>
      </c>
      <c r="E3903" s="11">
        <v>16</v>
      </c>
      <c r="F3903" s="11" t="s">
        <v>0</v>
      </c>
      <c r="G3903">
        <v>20260701</v>
      </c>
      <c r="I3903" s="11" t="s">
        <v>63</v>
      </c>
      <c r="J3903" s="72">
        <v>10598409</v>
      </c>
      <c r="K3903" s="99" t="str">
        <f>_xlfn.XLOOKUP(_2__ROI_Daily_Update[[#This Row],[CSM id]],SHP!F:F,SHP!EE:EE,"-")</f>
        <v>-</v>
      </c>
    </row>
    <row r="3904" spans="1:11" x14ac:dyDescent="0.45">
      <c r="A3904" s="57">
        <v>782</v>
      </c>
      <c r="B3904" t="s">
        <v>585</v>
      </c>
      <c r="C3904" t="s">
        <v>586</v>
      </c>
      <c r="D3904" s="12">
        <v>46333</v>
      </c>
      <c r="E3904" s="11">
        <v>58</v>
      </c>
      <c r="F3904" s="11" t="s">
        <v>0</v>
      </c>
      <c r="G3904">
        <v>20260401</v>
      </c>
      <c r="I3904" s="11" t="s">
        <v>63</v>
      </c>
      <c r="J3904" s="72">
        <v>20629721</v>
      </c>
      <c r="K3904" s="99" t="str">
        <f>_xlfn.XLOOKUP(_2__ROI_Daily_Update[[#This Row],[CSM id]],SHP!F:F,SHP!EE:EE,"-")</f>
        <v>-</v>
      </c>
    </row>
    <row r="3905" spans="1:11" x14ac:dyDescent="0.45">
      <c r="A3905" s="57">
        <v>1813</v>
      </c>
      <c r="B3905" t="s">
        <v>7558</v>
      </c>
      <c r="C3905" t="s">
        <v>7559</v>
      </c>
      <c r="D3905" s="12">
        <v>46333</v>
      </c>
      <c r="E3905" s="11">
        <v>37</v>
      </c>
      <c r="F3905" s="11" t="s">
        <v>0</v>
      </c>
      <c r="G3905">
        <v>20190801</v>
      </c>
      <c r="I3905" s="11" t="s">
        <v>63</v>
      </c>
      <c r="J3905" s="72">
        <v>30457663</v>
      </c>
      <c r="K3905" s="99" t="str">
        <f>_xlfn.XLOOKUP(_2__ROI_Daily_Update[[#This Row],[CSM id]],SHP!F:F,SHP!EE:EE,"-")</f>
        <v>-</v>
      </c>
    </row>
    <row r="3906" spans="1:11" x14ac:dyDescent="0.45">
      <c r="A3906" s="57">
        <v>1012</v>
      </c>
      <c r="B3906" t="s">
        <v>1064</v>
      </c>
      <c r="C3906" t="s">
        <v>1065</v>
      </c>
      <c r="D3906" s="12">
        <v>46333</v>
      </c>
      <c r="E3906" s="11">
        <v>18</v>
      </c>
      <c r="F3906" s="11" t="s">
        <v>0</v>
      </c>
      <c r="G3906">
        <v>20140801</v>
      </c>
      <c r="I3906" s="11" t="s">
        <v>18</v>
      </c>
      <c r="J3906" s="72">
        <v>30283899</v>
      </c>
      <c r="K3906" s="99" t="str">
        <f>_xlfn.XLOOKUP(_2__ROI_Daily_Update[[#This Row],[CSM id]],SHP!F:F,SHP!EE:EE,"-")</f>
        <v>-</v>
      </c>
    </row>
    <row r="3907" spans="1:11" x14ac:dyDescent="0.45">
      <c r="A3907" s="57">
        <v>972</v>
      </c>
      <c r="B3907" t="s">
        <v>861</v>
      </c>
      <c r="C3907" t="s">
        <v>862</v>
      </c>
      <c r="D3907" s="12">
        <v>46333</v>
      </c>
      <c r="E3907" s="11">
        <v>24</v>
      </c>
      <c r="F3907" s="11" t="s">
        <v>0</v>
      </c>
      <c r="G3907">
        <v>20230401</v>
      </c>
      <c r="I3907" s="11" t="s">
        <v>63</v>
      </c>
      <c r="J3907" s="72">
        <v>544643</v>
      </c>
      <c r="K3907" s="99" t="str">
        <f>_xlfn.XLOOKUP(_2__ROI_Daily_Update[[#This Row],[CSM id]],SHP!F:F,SHP!EE:EE,"-")</f>
        <v>-</v>
      </c>
    </row>
    <row r="3908" spans="1:11" x14ac:dyDescent="0.45">
      <c r="A3908" s="57">
        <v>621</v>
      </c>
      <c r="B3908" t="s">
        <v>7592</v>
      </c>
      <c r="C3908" t="s">
        <v>7593</v>
      </c>
      <c r="D3908" s="12">
        <v>46333</v>
      </c>
      <c r="E3908" s="11">
        <v>36</v>
      </c>
      <c r="F3908" s="11" t="s">
        <v>0</v>
      </c>
      <c r="G3908">
        <v>20260401</v>
      </c>
      <c r="H3908" s="12">
        <v>46569</v>
      </c>
      <c r="I3908" s="11" t="s">
        <v>63</v>
      </c>
      <c r="J3908" s="72">
        <v>618243</v>
      </c>
      <c r="K3908" s="99" t="str">
        <f>_xlfn.XLOOKUP(_2__ROI_Daily_Update[[#This Row],[CSM id]],SHP!F:F,SHP!EE:EE,"-")</f>
        <v>-</v>
      </c>
    </row>
    <row r="3909" spans="1:11" x14ac:dyDescent="0.45">
      <c r="A3909" s="57">
        <v>1813</v>
      </c>
      <c r="B3909" t="s">
        <v>3424</v>
      </c>
      <c r="C3909" t="s">
        <v>3425</v>
      </c>
      <c r="D3909" s="12">
        <v>46333</v>
      </c>
      <c r="E3909" s="11">
        <v>24</v>
      </c>
      <c r="F3909" s="11" t="s">
        <v>0</v>
      </c>
      <c r="G3909">
        <v>20150801</v>
      </c>
      <c r="I3909" s="11" t="s">
        <v>18</v>
      </c>
      <c r="J3909" s="72">
        <v>80280209</v>
      </c>
      <c r="K3909" s="99" t="str">
        <f>_xlfn.XLOOKUP(_2__ROI_Daily_Update[[#This Row],[CSM id]],SHP!F:F,SHP!EE:EE,"-")</f>
        <v>-</v>
      </c>
    </row>
    <row r="3910" spans="1:11" x14ac:dyDescent="0.45">
      <c r="A3910" s="57">
        <v>1231</v>
      </c>
      <c r="B3910" t="s">
        <v>6235</v>
      </c>
      <c r="C3910" t="s">
        <v>6236</v>
      </c>
      <c r="D3910" s="12">
        <v>46333</v>
      </c>
      <c r="E3910" s="11">
        <v>48</v>
      </c>
      <c r="F3910" s="11" t="s">
        <v>0</v>
      </c>
      <c r="G3910">
        <v>20250401</v>
      </c>
      <c r="I3910" s="11" t="s">
        <v>63</v>
      </c>
      <c r="J3910" s="72">
        <v>80566886</v>
      </c>
      <c r="K3910" s="99" t="str">
        <f>_xlfn.XLOOKUP(_2__ROI_Daily_Update[[#This Row],[CSM id]],SHP!F:F,SHP!EE:EE,"-")</f>
        <v>-</v>
      </c>
    </row>
    <row r="3911" spans="1:11" x14ac:dyDescent="0.45">
      <c r="A3911" s="57">
        <v>1231</v>
      </c>
      <c r="B3911" t="s">
        <v>1869</v>
      </c>
      <c r="C3911" t="s">
        <v>1870</v>
      </c>
      <c r="D3911" s="12">
        <v>46333</v>
      </c>
      <c r="E3911" s="11">
        <v>360</v>
      </c>
      <c r="F3911" s="11" t="s">
        <v>0</v>
      </c>
      <c r="G3911">
        <v>20230401</v>
      </c>
      <c r="I3911" s="11" t="s">
        <v>18</v>
      </c>
      <c r="J3911" s="72">
        <v>30550703</v>
      </c>
      <c r="K3911" s="99" t="str">
        <f>_xlfn.XLOOKUP(_2__ROI_Daily_Update[[#This Row],[CSM id]],SHP!F:F,SHP!EE:EE,"-")</f>
        <v>-</v>
      </c>
    </row>
    <row r="3912" spans="1:11" x14ac:dyDescent="0.45">
      <c r="A3912" s="57">
        <v>1433</v>
      </c>
      <c r="B3912" t="s">
        <v>2462</v>
      </c>
      <c r="C3912" t="s">
        <v>2463</v>
      </c>
      <c r="D3912" s="12">
        <v>46333</v>
      </c>
      <c r="E3912" s="11">
        <v>18</v>
      </c>
      <c r="F3912" s="11" t="s">
        <v>0</v>
      </c>
      <c r="G3912">
        <v>20250101</v>
      </c>
      <c r="I3912" s="11" t="s">
        <v>18</v>
      </c>
      <c r="J3912" s="72">
        <v>50595437</v>
      </c>
      <c r="K3912" s="99" t="str">
        <f>_xlfn.XLOOKUP(_2__ROI_Daily_Update[[#This Row],[CSM id]],SHP!F:F,SHP!EE:EE,"-")</f>
        <v>-</v>
      </c>
    </row>
    <row r="3913" spans="1:11" x14ac:dyDescent="0.45">
      <c r="A3913" s="57">
        <v>972</v>
      </c>
      <c r="B3913" t="s">
        <v>6401</v>
      </c>
      <c r="C3913" t="s">
        <v>6402</v>
      </c>
      <c r="D3913" s="12">
        <v>46333</v>
      </c>
      <c r="E3913" s="11">
        <v>16</v>
      </c>
      <c r="F3913" s="11" t="s">
        <v>0</v>
      </c>
      <c r="G3913">
        <v>20211001</v>
      </c>
      <c r="I3913" s="11" t="s">
        <v>63</v>
      </c>
      <c r="J3913" s="72">
        <v>10504236</v>
      </c>
      <c r="K3913" s="99" t="str">
        <f>_xlfn.XLOOKUP(_2__ROI_Daily_Update[[#This Row],[CSM id]],SHP!F:F,SHP!EE:EE,"-")</f>
        <v>-</v>
      </c>
    </row>
    <row r="3914" spans="1:11" x14ac:dyDescent="0.45">
      <c r="A3914" s="57">
        <v>1433</v>
      </c>
      <c r="B3914" t="s">
        <v>6467</v>
      </c>
      <c r="C3914" t="s">
        <v>6468</v>
      </c>
      <c r="D3914" s="12">
        <v>46333</v>
      </c>
      <c r="E3914" s="11">
        <v>1900</v>
      </c>
      <c r="F3914" s="11" t="s">
        <v>0</v>
      </c>
      <c r="G3914">
        <v>20180601</v>
      </c>
      <c r="I3914" s="11" t="s">
        <v>18</v>
      </c>
      <c r="J3914" s="72">
        <v>50353688</v>
      </c>
      <c r="K3914" s="99" t="str">
        <f>_xlfn.XLOOKUP(_2__ROI_Daily_Update[[#This Row],[CSM id]],SHP!F:F,SHP!EE:EE,"-")</f>
        <v>-</v>
      </c>
    </row>
    <row r="3915" spans="1:11" x14ac:dyDescent="0.45">
      <c r="A3915" s="57">
        <v>1231</v>
      </c>
      <c r="B3915" t="s">
        <v>1913</v>
      </c>
      <c r="C3915" t="s">
        <v>1914</v>
      </c>
      <c r="D3915" s="12">
        <v>46333</v>
      </c>
      <c r="E3915" s="11">
        <v>30</v>
      </c>
      <c r="F3915" s="11" t="s">
        <v>0</v>
      </c>
      <c r="G3915">
        <v>20230401</v>
      </c>
      <c r="I3915" s="11" t="s">
        <v>63</v>
      </c>
      <c r="J3915" s="72">
        <v>70550697</v>
      </c>
      <c r="K3915" s="99" t="str">
        <f>_xlfn.XLOOKUP(_2__ROI_Daily_Update[[#This Row],[CSM id]],SHP!F:F,SHP!EE:EE,"-")</f>
        <v>-</v>
      </c>
    </row>
    <row r="3916" spans="1:11" x14ac:dyDescent="0.45">
      <c r="A3916" s="57">
        <v>1641</v>
      </c>
      <c r="B3916" t="s">
        <v>3145</v>
      </c>
      <c r="C3916" t="s">
        <v>3146</v>
      </c>
      <c r="D3916" s="12">
        <v>46333</v>
      </c>
      <c r="E3916" s="11">
        <v>11</v>
      </c>
      <c r="F3916" s="11" t="s">
        <v>0</v>
      </c>
      <c r="G3916">
        <v>20240701</v>
      </c>
      <c r="I3916" s="11" t="s">
        <v>63</v>
      </c>
      <c r="J3916" s="72">
        <v>30566394</v>
      </c>
      <c r="K3916" s="99" t="str">
        <f>_xlfn.XLOOKUP(_2__ROI_Daily_Update[[#This Row],[CSM id]],SHP!F:F,SHP!EE:EE,"-")</f>
        <v>-</v>
      </c>
    </row>
    <row r="3917" spans="1:11" x14ac:dyDescent="0.45">
      <c r="A3917" s="57">
        <v>972</v>
      </c>
      <c r="B3917" t="s">
        <v>893</v>
      </c>
      <c r="C3917" t="s">
        <v>894</v>
      </c>
      <c r="D3917" s="12">
        <v>46333</v>
      </c>
      <c r="E3917" s="11">
        <v>18</v>
      </c>
      <c r="F3917" s="11" t="s">
        <v>0</v>
      </c>
      <c r="G3917">
        <v>20261001</v>
      </c>
      <c r="I3917" s="11" t="s">
        <v>63</v>
      </c>
      <c r="J3917" s="72">
        <v>70620884</v>
      </c>
      <c r="K3917" s="99" t="str">
        <f>_xlfn.XLOOKUP(_2__ROI_Daily_Update[[#This Row],[CSM id]],SHP!F:F,SHP!EE:EE,"-")</f>
        <v>-</v>
      </c>
    </row>
    <row r="3918" spans="1:11" x14ac:dyDescent="0.45">
      <c r="A3918" s="57">
        <v>1013</v>
      </c>
      <c r="B3918" t="s">
        <v>7536</v>
      </c>
      <c r="C3918" t="s">
        <v>7537</v>
      </c>
      <c r="D3918" s="12">
        <v>46333</v>
      </c>
      <c r="E3918" s="11">
        <v>12</v>
      </c>
      <c r="F3918" s="11" t="s">
        <v>0</v>
      </c>
      <c r="G3918">
        <v>20201001</v>
      </c>
      <c r="I3918" s="11" t="s">
        <v>63</v>
      </c>
      <c r="J3918" s="72">
        <v>50472083</v>
      </c>
      <c r="K3918" s="99" t="str">
        <f>_xlfn.XLOOKUP(_2__ROI_Daily_Update[[#This Row],[CSM id]],SHP!F:F,SHP!EE:EE,"-")</f>
        <v>-</v>
      </c>
    </row>
    <row r="3919" spans="1:11" x14ac:dyDescent="0.45">
      <c r="A3919" s="57">
        <v>1112</v>
      </c>
      <c r="B3919" t="s">
        <v>5827</v>
      </c>
      <c r="C3919" t="s">
        <v>5828</v>
      </c>
      <c r="D3919" s="12">
        <v>46333</v>
      </c>
      <c r="E3919" s="11">
        <v>6</v>
      </c>
      <c r="F3919" s="11" t="s">
        <v>0</v>
      </c>
      <c r="G3919">
        <v>20251001</v>
      </c>
      <c r="I3919" s="11" t="s">
        <v>63</v>
      </c>
      <c r="J3919" s="72">
        <v>90614820</v>
      </c>
      <c r="K3919" s="99" t="str">
        <f>_xlfn.XLOOKUP(_2__ROI_Daily_Update[[#This Row],[CSM id]],SHP!F:F,SHP!EE:EE,"-")</f>
        <v>-</v>
      </c>
    </row>
    <row r="3920" spans="1:11" x14ac:dyDescent="0.45">
      <c r="A3920" s="57">
        <v>1011</v>
      </c>
      <c r="B3920" t="s">
        <v>1036</v>
      </c>
      <c r="C3920" t="s">
        <v>1037</v>
      </c>
      <c r="D3920" s="12">
        <v>46333</v>
      </c>
      <c r="E3920" s="11">
        <v>12</v>
      </c>
      <c r="F3920" s="11" t="s">
        <v>0</v>
      </c>
      <c r="G3920">
        <v>20160401</v>
      </c>
      <c r="I3920" s="11" t="s">
        <v>18</v>
      </c>
      <c r="J3920" s="72">
        <v>80321323</v>
      </c>
      <c r="K3920" s="99" t="str">
        <f>_xlfn.XLOOKUP(_2__ROI_Daily_Update[[#This Row],[CSM id]],SHP!F:F,SHP!EE:EE,"-")</f>
        <v>-</v>
      </c>
    </row>
    <row r="3921" spans="1:11" x14ac:dyDescent="0.45">
      <c r="A3921" s="57">
        <v>1832</v>
      </c>
      <c r="B3921" t="s">
        <v>3612</v>
      </c>
      <c r="C3921" t="s">
        <v>3613</v>
      </c>
      <c r="D3921" s="12">
        <v>46333</v>
      </c>
      <c r="E3921" s="11">
        <v>128</v>
      </c>
      <c r="F3921" s="11" t="s">
        <v>0</v>
      </c>
      <c r="G3921">
        <v>20150801</v>
      </c>
      <c r="I3921" s="11" t="s">
        <v>18</v>
      </c>
      <c r="J3921" s="72">
        <v>30238538</v>
      </c>
      <c r="K3921" s="99" t="str">
        <f>_xlfn.XLOOKUP(_2__ROI_Daily_Update[[#This Row],[CSM id]],SHP!F:F,SHP!EE:EE,"-")</f>
        <v>-</v>
      </c>
    </row>
    <row r="3922" spans="1:11" x14ac:dyDescent="0.45">
      <c r="A3922" s="57">
        <v>1231</v>
      </c>
      <c r="B3922" t="s">
        <v>7620</v>
      </c>
      <c r="C3922" t="s">
        <v>7621</v>
      </c>
      <c r="D3922" s="12">
        <v>46333</v>
      </c>
      <c r="E3922" s="11">
        <v>12</v>
      </c>
      <c r="F3922" s="11" t="s">
        <v>0</v>
      </c>
      <c r="G3922">
        <v>20260401</v>
      </c>
      <c r="I3922" s="11" t="s">
        <v>63</v>
      </c>
      <c r="J3922" s="72">
        <v>30531007</v>
      </c>
      <c r="K3922" s="99" t="str">
        <f>_xlfn.XLOOKUP(_2__ROI_Daily_Update[[#This Row],[CSM id]],SHP!F:F,SHP!EE:EE,"-")</f>
        <v>-</v>
      </c>
    </row>
    <row r="3923" spans="1:11" x14ac:dyDescent="0.45">
      <c r="A3923" s="57">
        <v>1013</v>
      </c>
      <c r="B3923" t="s">
        <v>1104</v>
      </c>
      <c r="C3923" t="s">
        <v>1105</v>
      </c>
      <c r="D3923" s="12">
        <v>46333</v>
      </c>
      <c r="E3923" s="11">
        <v>12</v>
      </c>
      <c r="F3923" s="11" t="s">
        <v>0</v>
      </c>
      <c r="G3923">
        <v>20260401</v>
      </c>
      <c r="I3923" s="11" t="s">
        <v>63</v>
      </c>
      <c r="J3923" s="72">
        <v>30596782</v>
      </c>
      <c r="K3923" s="99" t="str">
        <f>_xlfn.XLOOKUP(_2__ROI_Daily_Update[[#This Row],[CSM id]],SHP!F:F,SHP!EE:EE,"-")</f>
        <v>-</v>
      </c>
    </row>
    <row r="3924" spans="1:11" x14ac:dyDescent="0.45">
      <c r="A3924" s="57">
        <v>972</v>
      </c>
      <c r="B3924" t="s">
        <v>899</v>
      </c>
      <c r="C3924" t="s">
        <v>900</v>
      </c>
      <c r="D3924" s="12">
        <v>46333</v>
      </c>
      <c r="E3924" s="11">
        <v>60</v>
      </c>
      <c r="F3924" s="11" t="s">
        <v>0</v>
      </c>
      <c r="G3924">
        <v>20260201</v>
      </c>
      <c r="I3924" s="11" t="s">
        <v>63</v>
      </c>
      <c r="J3924" s="72">
        <v>90611925</v>
      </c>
      <c r="K3924" s="99" t="str">
        <f>_xlfn.XLOOKUP(_2__ROI_Daily_Update[[#This Row],[CSM id]],SHP!F:F,SHP!EE:EE,"-")</f>
        <v>-</v>
      </c>
    </row>
    <row r="3925" spans="1:11" x14ac:dyDescent="0.45">
      <c r="A3925" s="57">
        <v>966</v>
      </c>
      <c r="B3925" t="s">
        <v>785</v>
      </c>
      <c r="C3925" t="s">
        <v>786</v>
      </c>
      <c r="D3925" s="12">
        <v>46333</v>
      </c>
      <c r="E3925" s="11">
        <v>27</v>
      </c>
      <c r="F3925" s="11" t="s">
        <v>0</v>
      </c>
      <c r="G3925">
        <v>20220401</v>
      </c>
      <c r="I3925" s="11" t="s">
        <v>18</v>
      </c>
      <c r="J3925" s="72">
        <v>40520428</v>
      </c>
      <c r="K3925" s="99" t="str">
        <f>_xlfn.XLOOKUP(_2__ROI_Daily_Update[[#This Row],[CSM id]],SHP!F:F,SHP!EE:EE,"-")</f>
        <v>-</v>
      </c>
    </row>
    <row r="3926" spans="1:11" x14ac:dyDescent="0.45">
      <c r="A3926" s="57">
        <v>1813</v>
      </c>
      <c r="B3926" t="s">
        <v>3432</v>
      </c>
      <c r="C3926" t="s">
        <v>3433</v>
      </c>
      <c r="D3926" s="12">
        <v>46333</v>
      </c>
      <c r="E3926" s="11">
        <v>96</v>
      </c>
      <c r="F3926" s="11" t="s">
        <v>0</v>
      </c>
      <c r="G3926">
        <v>20190601</v>
      </c>
      <c r="I3926" s="11" t="s">
        <v>18</v>
      </c>
      <c r="J3926" s="72">
        <v>80439695</v>
      </c>
      <c r="K3926" s="99" t="str">
        <f>_xlfn.XLOOKUP(_2__ROI_Daily_Update[[#This Row],[CSM id]],SHP!F:F,SHP!EE:EE,"-")</f>
        <v>-</v>
      </c>
    </row>
    <row r="3927" spans="1:11" x14ac:dyDescent="0.45">
      <c r="A3927" s="57">
        <v>761</v>
      </c>
      <c r="B3927" t="s">
        <v>5544</v>
      </c>
      <c r="C3927" t="s">
        <v>5545</v>
      </c>
      <c r="D3927" s="12">
        <v>46333</v>
      </c>
      <c r="E3927" s="11">
        <v>12</v>
      </c>
      <c r="F3927" s="11" t="s">
        <v>0</v>
      </c>
      <c r="G3927">
        <v>20211001</v>
      </c>
      <c r="H3927" s="12">
        <v>46478</v>
      </c>
      <c r="I3927" s="11" t="s">
        <v>63</v>
      </c>
      <c r="J3927" s="72">
        <v>486426</v>
      </c>
      <c r="K3927" s="99" t="str">
        <f>_xlfn.XLOOKUP(_2__ROI_Daily_Update[[#This Row],[CSM id]],SHP!F:F,SHP!EE:EE,"-")</f>
        <v>-</v>
      </c>
    </row>
    <row r="3928" spans="1:11" x14ac:dyDescent="0.45">
      <c r="A3928" s="57">
        <v>1637</v>
      </c>
      <c r="B3928" t="s">
        <v>5991</v>
      </c>
      <c r="C3928" t="s">
        <v>5992</v>
      </c>
      <c r="D3928" s="12">
        <v>46333</v>
      </c>
      <c r="E3928" s="11">
        <v>49</v>
      </c>
      <c r="F3928" s="11" t="s">
        <v>0</v>
      </c>
      <c r="G3928">
        <v>20261001</v>
      </c>
      <c r="H3928" s="12">
        <v>46388</v>
      </c>
      <c r="I3928" s="11" t="s">
        <v>63</v>
      </c>
      <c r="J3928" s="72">
        <v>60638356</v>
      </c>
      <c r="K3928" s="99" t="str">
        <f>_xlfn.XLOOKUP(_2__ROI_Daily_Update[[#This Row],[CSM id]],SHP!F:F,SHP!EE:EE,"-")</f>
        <v>-</v>
      </c>
    </row>
    <row r="3929" spans="1:11" x14ac:dyDescent="0.45">
      <c r="A3929" s="57">
        <v>1637</v>
      </c>
      <c r="B3929" t="s">
        <v>7602</v>
      </c>
      <c r="C3929" t="s">
        <v>7603</v>
      </c>
      <c r="D3929" s="12">
        <v>46333</v>
      </c>
      <c r="E3929" s="11">
        <v>120</v>
      </c>
      <c r="F3929" s="11" t="s">
        <v>0</v>
      </c>
      <c r="G3929">
        <v>20261001</v>
      </c>
      <c r="H3929" s="12">
        <v>46388</v>
      </c>
      <c r="I3929" s="11" t="s">
        <v>63</v>
      </c>
      <c r="J3929" s="72">
        <v>60640298</v>
      </c>
      <c r="K3929" s="99" t="str">
        <f>_xlfn.XLOOKUP(_2__ROI_Daily_Update[[#This Row],[CSM id]],SHP!F:F,SHP!EE:EE,"-")</f>
        <v>-</v>
      </c>
    </row>
    <row r="3930" spans="1:11" x14ac:dyDescent="0.45">
      <c r="A3930" s="57">
        <v>1637</v>
      </c>
      <c r="B3930" t="s">
        <v>7604</v>
      </c>
      <c r="C3930" t="s">
        <v>7605</v>
      </c>
      <c r="D3930" s="12">
        <v>46333</v>
      </c>
      <c r="E3930" s="11">
        <v>60</v>
      </c>
      <c r="F3930" s="11" t="s">
        <v>0</v>
      </c>
      <c r="G3930">
        <v>20261001</v>
      </c>
      <c r="H3930" s="12">
        <v>46388</v>
      </c>
      <c r="I3930" s="11" t="s">
        <v>63</v>
      </c>
      <c r="J3930" s="72">
        <v>60640364</v>
      </c>
      <c r="K3930" s="99" t="str">
        <f>_xlfn.XLOOKUP(_2__ROI_Daily_Update[[#This Row],[CSM id]],SHP!F:F,SHP!EE:EE,"-")</f>
        <v>-</v>
      </c>
    </row>
    <row r="3931" spans="1:11" x14ac:dyDescent="0.45">
      <c r="A3931" s="57">
        <v>972</v>
      </c>
      <c r="B3931" t="s">
        <v>7670</v>
      </c>
      <c r="C3931" t="s">
        <v>7671</v>
      </c>
      <c r="D3931" s="12">
        <v>46333</v>
      </c>
      <c r="E3931" s="11">
        <v>504</v>
      </c>
      <c r="F3931" s="11" t="s">
        <v>0</v>
      </c>
      <c r="G3931">
        <v>20140801</v>
      </c>
      <c r="H3931" s="12">
        <v>46388</v>
      </c>
      <c r="I3931" s="11" t="s">
        <v>63</v>
      </c>
      <c r="J3931" s="72">
        <v>90185749</v>
      </c>
      <c r="K3931" s="99" t="str">
        <f>_xlfn.XLOOKUP(_2__ROI_Daily_Update[[#This Row],[CSM id]],SHP!F:F,SHP!EE:EE,"-")</f>
        <v>-</v>
      </c>
    </row>
    <row r="3932" spans="1:11" x14ac:dyDescent="0.45">
      <c r="A3932" s="57">
        <v>125</v>
      </c>
      <c r="B3932" t="s">
        <v>74</v>
      </c>
      <c r="C3932" t="s">
        <v>75</v>
      </c>
      <c r="D3932" s="12">
        <v>46333</v>
      </c>
      <c r="E3932" s="11">
        <v>6</v>
      </c>
      <c r="F3932" s="11" t="s">
        <v>0</v>
      </c>
      <c r="G3932">
        <v>20260701</v>
      </c>
      <c r="I3932" s="11" t="s">
        <v>63</v>
      </c>
      <c r="J3932" s="72">
        <v>20624926</v>
      </c>
      <c r="K3932" s="99" t="str">
        <f>_xlfn.XLOOKUP(_2__ROI_Daily_Update[[#This Row],[CSM id]],SHP!F:F,SHP!EE:EE,"-")</f>
        <v>-</v>
      </c>
    </row>
    <row r="3933" spans="1:11" x14ac:dyDescent="0.45">
      <c r="A3933" s="57">
        <v>1231</v>
      </c>
      <c r="B3933" t="s">
        <v>1837</v>
      </c>
      <c r="C3933" t="s">
        <v>1838</v>
      </c>
      <c r="D3933" s="12">
        <v>46333</v>
      </c>
      <c r="E3933" s="11">
        <v>24</v>
      </c>
      <c r="F3933" s="11" t="s">
        <v>0</v>
      </c>
      <c r="G3933">
        <v>20260401</v>
      </c>
      <c r="I3933" s="11" t="s">
        <v>63</v>
      </c>
      <c r="J3933" s="72">
        <v>624362</v>
      </c>
      <c r="K3933" s="99" t="str">
        <f>_xlfn.XLOOKUP(_2__ROI_Daily_Update[[#This Row],[CSM id]],SHP!F:F,SHP!EE:EE,"-")</f>
        <v>-</v>
      </c>
    </row>
    <row r="3934" spans="1:11" x14ac:dyDescent="0.45">
      <c r="A3934" s="57">
        <v>1231</v>
      </c>
      <c r="B3934" t="s">
        <v>1909</v>
      </c>
      <c r="C3934" t="s">
        <v>1910</v>
      </c>
      <c r="D3934" s="12">
        <v>46333</v>
      </c>
      <c r="E3934" s="11">
        <v>204</v>
      </c>
      <c r="F3934" s="11" t="s">
        <v>0</v>
      </c>
      <c r="G3934">
        <v>20180801</v>
      </c>
      <c r="I3934" s="11" t="s">
        <v>63</v>
      </c>
      <c r="J3934" s="72">
        <v>70372775</v>
      </c>
      <c r="K3934" s="99" t="str">
        <f>_xlfn.XLOOKUP(_2__ROI_Daily_Update[[#This Row],[CSM id]],SHP!F:F,SHP!EE:EE,"-")</f>
        <v>-</v>
      </c>
    </row>
    <row r="3935" spans="1:11" x14ac:dyDescent="0.45">
      <c r="A3935" s="57">
        <v>1836</v>
      </c>
      <c r="B3935" t="s">
        <v>7582</v>
      </c>
      <c r="C3935" t="s">
        <v>7583</v>
      </c>
      <c r="D3935" s="12">
        <v>46333</v>
      </c>
      <c r="E3935" s="11">
        <v>70</v>
      </c>
      <c r="F3935" s="11" t="s">
        <v>0</v>
      </c>
      <c r="G3935">
        <v>20260401</v>
      </c>
      <c r="H3935" s="12">
        <v>46478</v>
      </c>
      <c r="I3935" s="11" t="s">
        <v>63</v>
      </c>
      <c r="J3935" s="72">
        <v>50633571</v>
      </c>
      <c r="K3935" s="99" t="str">
        <f>_xlfn.XLOOKUP(_2__ROI_Daily_Update[[#This Row],[CSM id]],SHP!F:F,SHP!EE:EE,"-")</f>
        <v>-</v>
      </c>
    </row>
    <row r="3936" spans="1:11" x14ac:dyDescent="0.45">
      <c r="A3936" s="57">
        <v>1433</v>
      </c>
      <c r="B3936" t="s">
        <v>2464</v>
      </c>
      <c r="C3936" t="s">
        <v>2465</v>
      </c>
      <c r="D3936" s="12">
        <v>46333</v>
      </c>
      <c r="E3936" s="11">
        <v>20</v>
      </c>
      <c r="F3936" s="11" t="s">
        <v>0</v>
      </c>
      <c r="G3936">
        <v>20221001</v>
      </c>
      <c r="I3936" s="11" t="s">
        <v>63</v>
      </c>
      <c r="J3936" s="72">
        <v>60503475</v>
      </c>
      <c r="K3936" s="99" t="str">
        <f>_xlfn.XLOOKUP(_2__ROI_Daily_Update[[#This Row],[CSM id]],SHP!F:F,SHP!EE:EE,"-")</f>
        <v>-</v>
      </c>
    </row>
    <row r="3937" spans="1:11" x14ac:dyDescent="0.45">
      <c r="A3937" s="57">
        <v>1122</v>
      </c>
      <c r="B3937" t="s">
        <v>1625</v>
      </c>
      <c r="C3937" t="s">
        <v>1626</v>
      </c>
      <c r="D3937" s="12">
        <v>46333</v>
      </c>
      <c r="E3937" s="11">
        <v>50</v>
      </c>
      <c r="F3937" s="11" t="s">
        <v>0</v>
      </c>
      <c r="G3937">
        <v>20190801</v>
      </c>
      <c r="H3937" s="12">
        <v>46478</v>
      </c>
      <c r="I3937" s="11" t="s">
        <v>18</v>
      </c>
      <c r="J3937" s="72">
        <v>80446097</v>
      </c>
      <c r="K3937" s="99" t="str">
        <f>_xlfn.XLOOKUP(_2__ROI_Daily_Update[[#This Row],[CSM id]],SHP!F:F,SHP!EE:EE,"-")</f>
        <v>-</v>
      </c>
    </row>
    <row r="3938" spans="1:11" x14ac:dyDescent="0.45">
      <c r="A3938" s="57">
        <v>1831</v>
      </c>
      <c r="B3938" t="s">
        <v>3592</v>
      </c>
      <c r="C3938" t="s">
        <v>3593</v>
      </c>
      <c r="D3938" s="12">
        <v>46333</v>
      </c>
      <c r="E3938" s="11">
        <v>80</v>
      </c>
      <c r="F3938" s="11" t="s">
        <v>0</v>
      </c>
      <c r="G3938">
        <v>20260101</v>
      </c>
      <c r="I3938" s="11" t="s">
        <v>18</v>
      </c>
      <c r="J3938" s="72">
        <v>30591063</v>
      </c>
      <c r="K3938" s="99" t="str">
        <f>_xlfn.XLOOKUP(_2__ROI_Daily_Update[[#This Row],[CSM id]],SHP!F:F,SHP!EE:EE,"-")</f>
        <v>-</v>
      </c>
    </row>
    <row r="3939" spans="1:11" x14ac:dyDescent="0.45">
      <c r="A3939" s="57">
        <v>215</v>
      </c>
      <c r="B3939" t="s">
        <v>7127</v>
      </c>
      <c r="C3939" t="s">
        <v>7128</v>
      </c>
      <c r="D3939" s="12">
        <v>46333</v>
      </c>
      <c r="E3939" s="11">
        <v>30</v>
      </c>
      <c r="F3939" s="11" t="s">
        <v>0</v>
      </c>
      <c r="G3939">
        <v>20180801</v>
      </c>
      <c r="I3939" s="11" t="s">
        <v>18</v>
      </c>
      <c r="J3939" s="72">
        <v>60409939</v>
      </c>
      <c r="K3939" s="99" t="str">
        <f>_xlfn.XLOOKUP(_2__ROI_Daily_Update[[#This Row],[CSM id]],SHP!F:F,SHP!EE:EE,"-")</f>
        <v>-</v>
      </c>
    </row>
    <row r="3940" spans="1:11" x14ac:dyDescent="0.45">
      <c r="A3940" s="57">
        <v>1434</v>
      </c>
      <c r="B3940" t="s">
        <v>2490</v>
      </c>
      <c r="C3940" t="s">
        <v>2491</v>
      </c>
      <c r="D3940" s="12">
        <v>46333</v>
      </c>
      <c r="E3940" s="11">
        <v>336</v>
      </c>
      <c r="F3940" s="11" t="s">
        <v>0</v>
      </c>
      <c r="G3940">
        <v>20240101</v>
      </c>
      <c r="I3940" s="11" t="s">
        <v>18</v>
      </c>
      <c r="J3940" s="72">
        <v>40572808</v>
      </c>
      <c r="K3940" s="99" t="str">
        <f>_xlfn.XLOOKUP(_2__ROI_Daily_Update[[#This Row],[CSM id]],SHP!F:F,SHP!EE:EE,"-")</f>
        <v>-</v>
      </c>
    </row>
    <row r="3941" spans="1:11" x14ac:dyDescent="0.45">
      <c r="A3941" s="57">
        <v>1014</v>
      </c>
      <c r="B3941" t="s">
        <v>7688</v>
      </c>
      <c r="C3941" t="s">
        <v>7689</v>
      </c>
      <c r="D3941" s="12">
        <v>46333</v>
      </c>
      <c r="E3941" s="11">
        <v>16</v>
      </c>
      <c r="F3941" s="11" t="s">
        <v>0</v>
      </c>
      <c r="G3941">
        <v>20240401</v>
      </c>
      <c r="I3941" s="11" t="s">
        <v>63</v>
      </c>
      <c r="J3941" s="72">
        <v>40564196</v>
      </c>
      <c r="K3941" s="99" t="str">
        <f>_xlfn.XLOOKUP(_2__ROI_Daily_Update[[#This Row],[CSM id]],SHP!F:F,SHP!EE:EE,"-")</f>
        <v>-</v>
      </c>
    </row>
    <row r="3942" spans="1:11" x14ac:dyDescent="0.45">
      <c r="A3942" s="57">
        <v>621</v>
      </c>
      <c r="B3942" t="s">
        <v>489</v>
      </c>
      <c r="C3942" t="s">
        <v>490</v>
      </c>
      <c r="D3942" s="12">
        <v>46333</v>
      </c>
      <c r="E3942" s="11">
        <v>558</v>
      </c>
      <c r="F3942" s="11" t="s">
        <v>0</v>
      </c>
      <c r="G3942">
        <v>20260101</v>
      </c>
      <c r="I3942" s="11" t="s">
        <v>63</v>
      </c>
      <c r="J3942" s="72">
        <v>628973</v>
      </c>
      <c r="K3942" s="99" t="str">
        <f>_xlfn.XLOOKUP(_2__ROI_Daily_Update[[#This Row],[CSM id]],SHP!F:F,SHP!EE:EE,"-")</f>
        <v>-</v>
      </c>
    </row>
    <row r="3943" spans="1:11" x14ac:dyDescent="0.45">
      <c r="A3943" s="57">
        <v>1434</v>
      </c>
      <c r="B3943" t="s">
        <v>2486</v>
      </c>
      <c r="C3943" t="s">
        <v>2487</v>
      </c>
      <c r="D3943" s="12">
        <v>46333</v>
      </c>
      <c r="E3943" s="11">
        <v>34</v>
      </c>
      <c r="F3943" s="11" t="s">
        <v>0</v>
      </c>
      <c r="G3943">
        <v>20261001</v>
      </c>
      <c r="I3943" s="11" t="s">
        <v>18</v>
      </c>
      <c r="J3943" s="72">
        <v>30497720</v>
      </c>
      <c r="K3943" s="99" t="str">
        <f>_xlfn.XLOOKUP(_2__ROI_Daily_Update[[#This Row],[CSM id]],SHP!F:F,SHP!EE:EE,"-")</f>
        <v>-</v>
      </c>
    </row>
    <row r="3944" spans="1:11" x14ac:dyDescent="0.45">
      <c r="A3944" s="57">
        <v>761</v>
      </c>
      <c r="B3944" t="s">
        <v>7686</v>
      </c>
      <c r="C3944" t="s">
        <v>7687</v>
      </c>
      <c r="D3944" s="12">
        <v>46333</v>
      </c>
      <c r="E3944" s="11">
        <v>1056</v>
      </c>
      <c r="F3944" s="11" t="s">
        <v>0</v>
      </c>
      <c r="G3944">
        <v>20140801</v>
      </c>
      <c r="I3944" s="11" t="s">
        <v>18</v>
      </c>
      <c r="J3944" s="72">
        <v>40164075</v>
      </c>
      <c r="K3944" s="99" t="str">
        <f>_xlfn.XLOOKUP(_2__ROI_Daily_Update[[#This Row],[CSM id]],SHP!F:F,SHP!EE:EE,"-")</f>
        <v>-</v>
      </c>
    </row>
    <row r="3945" spans="1:11" x14ac:dyDescent="0.45">
      <c r="A3945" s="57">
        <v>1836</v>
      </c>
      <c r="B3945" t="s">
        <v>7630</v>
      </c>
      <c r="C3945" t="s">
        <v>7631</v>
      </c>
      <c r="D3945" s="12">
        <v>46333</v>
      </c>
      <c r="E3945" s="11">
        <v>420</v>
      </c>
      <c r="F3945" s="11" t="s">
        <v>0</v>
      </c>
      <c r="G3945">
        <v>20260401</v>
      </c>
      <c r="H3945" s="12">
        <v>46478</v>
      </c>
      <c r="I3945" s="11" t="s">
        <v>18</v>
      </c>
      <c r="J3945" s="72">
        <v>70633570</v>
      </c>
      <c r="K3945" s="99" t="str">
        <f>_xlfn.XLOOKUP(_2__ROI_Daily_Update[[#This Row],[CSM id]],SHP!F:F,SHP!EE:EE,"-")</f>
        <v>-</v>
      </c>
    </row>
    <row r="3946" spans="1:11" x14ac:dyDescent="0.45">
      <c r="A3946" s="57">
        <v>623</v>
      </c>
      <c r="B3946" t="s">
        <v>437</v>
      </c>
      <c r="C3946" t="s">
        <v>438</v>
      </c>
      <c r="D3946" s="12">
        <v>46333</v>
      </c>
      <c r="E3946" s="11">
        <v>36</v>
      </c>
      <c r="F3946" s="11" t="s">
        <v>0</v>
      </c>
      <c r="G3946">
        <v>20260401</v>
      </c>
      <c r="I3946" s="11" t="s">
        <v>18</v>
      </c>
      <c r="J3946" s="72">
        <v>40621427</v>
      </c>
      <c r="K3946" s="99" t="str">
        <f>_xlfn.XLOOKUP(_2__ROI_Daily_Update[[#This Row],[CSM id]],SHP!F:F,SHP!EE:EE,"-")</f>
        <v>-</v>
      </c>
    </row>
    <row r="3947" spans="1:11" x14ac:dyDescent="0.45">
      <c r="A3947" s="57">
        <v>972</v>
      </c>
      <c r="B3947" t="s">
        <v>885</v>
      </c>
      <c r="C3947" t="s">
        <v>886</v>
      </c>
      <c r="D3947" s="12">
        <v>46333</v>
      </c>
      <c r="E3947" s="11">
        <v>18</v>
      </c>
      <c r="F3947" s="11" t="s">
        <v>0</v>
      </c>
      <c r="G3947">
        <v>20261001</v>
      </c>
      <c r="I3947" s="11" t="s">
        <v>63</v>
      </c>
      <c r="J3947" s="72">
        <v>50620880</v>
      </c>
      <c r="K3947" s="99" t="str">
        <f>_xlfn.XLOOKUP(_2__ROI_Daily_Update[[#This Row],[CSM id]],SHP!F:F,SHP!EE:EE,"-")</f>
        <v>-</v>
      </c>
    </row>
    <row r="3948" spans="1:11" x14ac:dyDescent="0.45">
      <c r="A3948" s="57">
        <v>1433</v>
      </c>
      <c r="B3948" t="s">
        <v>2468</v>
      </c>
      <c r="C3948" t="s">
        <v>2469</v>
      </c>
      <c r="D3948" s="12">
        <v>46333</v>
      </c>
      <c r="E3948" s="11">
        <v>378</v>
      </c>
      <c r="F3948" s="11" t="s">
        <v>0</v>
      </c>
      <c r="G3948">
        <v>20150201</v>
      </c>
      <c r="I3948" s="11" t="s">
        <v>18</v>
      </c>
      <c r="J3948" s="72">
        <v>70179546</v>
      </c>
      <c r="K3948" s="99" t="str">
        <f>_xlfn.XLOOKUP(_2__ROI_Daily_Update[[#This Row],[CSM id]],SHP!F:F,SHP!EE:EE,"-")</f>
        <v>-</v>
      </c>
    </row>
    <row r="3949" spans="1:11" x14ac:dyDescent="0.45">
      <c r="A3949" s="57">
        <v>621</v>
      </c>
      <c r="B3949" t="s">
        <v>502</v>
      </c>
      <c r="C3949" t="s">
        <v>503</v>
      </c>
      <c r="D3949" s="12">
        <v>46333</v>
      </c>
      <c r="E3949" s="11">
        <v>12</v>
      </c>
      <c r="F3949" s="11" t="s">
        <v>0</v>
      </c>
      <c r="G3949">
        <v>20260701</v>
      </c>
      <c r="I3949" s="11" t="s">
        <v>63</v>
      </c>
      <c r="J3949" s="72">
        <v>394016</v>
      </c>
      <c r="K3949" s="99" t="str">
        <f>_xlfn.XLOOKUP(_2__ROI_Daily_Update[[#This Row],[CSM id]],SHP!F:F,SHP!EE:EE,"-")</f>
        <v>-</v>
      </c>
    </row>
    <row r="3950" spans="1:11" x14ac:dyDescent="0.45">
      <c r="A3950" s="57">
        <v>1434</v>
      </c>
      <c r="B3950" t="s">
        <v>2482</v>
      </c>
      <c r="C3950" t="s">
        <v>2483</v>
      </c>
      <c r="D3950" s="12">
        <v>46333</v>
      </c>
      <c r="E3950" s="11">
        <v>320</v>
      </c>
      <c r="F3950" s="11" t="s">
        <v>0</v>
      </c>
      <c r="G3950">
        <v>20151201</v>
      </c>
      <c r="I3950" s="11" t="s">
        <v>18</v>
      </c>
      <c r="J3950" s="72">
        <v>313322</v>
      </c>
      <c r="K3950" s="99" t="str">
        <f>_xlfn.XLOOKUP(_2__ROI_Daily_Update[[#This Row],[CSM id]],SHP!F:F,SHP!EE:EE,"-")</f>
        <v>-</v>
      </c>
    </row>
    <row r="3951" spans="1:11" x14ac:dyDescent="0.45">
      <c r="A3951" s="57">
        <v>1231</v>
      </c>
      <c r="B3951" t="s">
        <v>5689</v>
      </c>
      <c r="C3951" t="s">
        <v>5690</v>
      </c>
      <c r="D3951" s="12">
        <v>46333</v>
      </c>
      <c r="E3951" s="11">
        <v>48</v>
      </c>
      <c r="F3951" s="11" t="s">
        <v>0</v>
      </c>
      <c r="G3951">
        <v>20260401</v>
      </c>
      <c r="I3951" s="11" t="s">
        <v>63</v>
      </c>
      <c r="J3951" s="72">
        <v>10625889</v>
      </c>
      <c r="K3951" s="99" t="str">
        <f>_xlfn.XLOOKUP(_2__ROI_Daily_Update[[#This Row],[CSM id]],SHP!F:F,SHP!EE:EE,"-")</f>
        <v>-</v>
      </c>
    </row>
    <row r="3952" spans="1:11" x14ac:dyDescent="0.45">
      <c r="A3952" s="57">
        <v>622</v>
      </c>
      <c r="B3952" t="s">
        <v>7690</v>
      </c>
      <c r="C3952" t="s">
        <v>7691</v>
      </c>
      <c r="D3952" s="12">
        <v>46333</v>
      </c>
      <c r="E3952" s="11">
        <v>1728</v>
      </c>
      <c r="F3952" s="11" t="s">
        <v>0</v>
      </c>
      <c r="G3952">
        <v>20190201</v>
      </c>
      <c r="I3952" s="11" t="s">
        <v>18</v>
      </c>
      <c r="J3952" s="72">
        <v>50381276</v>
      </c>
      <c r="K3952" s="99" t="str">
        <f>_xlfn.XLOOKUP(_2__ROI_Daily_Update[[#This Row],[CSM id]],SHP!F:F,SHP!EE:EE,"-")</f>
        <v>-</v>
      </c>
    </row>
    <row r="3953" spans="1:11" x14ac:dyDescent="0.45">
      <c r="A3953" s="57">
        <v>1433</v>
      </c>
      <c r="B3953" t="s">
        <v>2480</v>
      </c>
      <c r="C3953" t="s">
        <v>2481</v>
      </c>
      <c r="D3953" s="12">
        <v>46333</v>
      </c>
      <c r="E3953" s="11">
        <v>102</v>
      </c>
      <c r="F3953" s="11" t="s">
        <v>0</v>
      </c>
      <c r="G3953">
        <v>20251001</v>
      </c>
      <c r="I3953" s="11" t="s">
        <v>18</v>
      </c>
      <c r="J3953" s="72">
        <v>90605316</v>
      </c>
      <c r="K3953" s="99" t="str">
        <f>_xlfn.XLOOKUP(_2__ROI_Daily_Update[[#This Row],[CSM id]],SHP!F:F,SHP!EE:EE,"-")</f>
        <v>-</v>
      </c>
    </row>
    <row r="3954" spans="1:11" x14ac:dyDescent="0.45">
      <c r="A3954" s="57">
        <v>1121</v>
      </c>
      <c r="B3954" t="s">
        <v>7618</v>
      </c>
      <c r="C3954" t="s">
        <v>7619</v>
      </c>
      <c r="D3954" s="12">
        <v>46333</v>
      </c>
      <c r="E3954" s="11">
        <v>18</v>
      </c>
      <c r="F3954" s="11" t="s">
        <v>0</v>
      </c>
      <c r="G3954">
        <v>20200401</v>
      </c>
      <c r="I3954" s="11" t="s">
        <v>63</v>
      </c>
      <c r="J3954" s="72">
        <v>70459033</v>
      </c>
      <c r="K3954" s="99" t="str">
        <f>_xlfn.XLOOKUP(_2__ROI_Daily_Update[[#This Row],[CSM id]],SHP!F:F,SHP!EE:EE,"-")</f>
        <v>-</v>
      </c>
    </row>
    <row r="3955" spans="1:11" x14ac:dyDescent="0.45">
      <c r="A3955" s="57">
        <v>214</v>
      </c>
      <c r="B3955" t="s">
        <v>6483</v>
      </c>
      <c r="C3955" t="s">
        <v>6484</v>
      </c>
      <c r="D3955" s="12">
        <v>46333</v>
      </c>
      <c r="E3955" s="11">
        <v>108</v>
      </c>
      <c r="F3955" s="11" t="s">
        <v>0</v>
      </c>
      <c r="G3955">
        <v>20210701</v>
      </c>
      <c r="I3955" s="11" t="s">
        <v>18</v>
      </c>
      <c r="J3955" s="72">
        <v>10483880</v>
      </c>
      <c r="K3955" s="99" t="str">
        <f>_xlfn.XLOOKUP(_2__ROI_Daily_Update[[#This Row],[CSM id]],SHP!F:F,SHP!EE:EE,"-")</f>
        <v>-</v>
      </c>
    </row>
    <row r="3956" spans="1:11" x14ac:dyDescent="0.45">
      <c r="A3956" s="57">
        <v>612</v>
      </c>
      <c r="B3956" t="s">
        <v>7528</v>
      </c>
      <c r="C3956" t="s">
        <v>7529</v>
      </c>
      <c r="D3956" s="12">
        <v>46333</v>
      </c>
      <c r="E3956" s="11">
        <v>40</v>
      </c>
      <c r="F3956" s="11" t="s">
        <v>0</v>
      </c>
      <c r="G3956">
        <v>20190801</v>
      </c>
      <c r="I3956" s="11" t="s">
        <v>18</v>
      </c>
      <c r="J3956" s="72">
        <v>10450808</v>
      </c>
      <c r="K3956" s="99" t="str">
        <f>_xlfn.XLOOKUP(_2__ROI_Daily_Update[[#This Row],[CSM id]],SHP!F:F,SHP!EE:EE,"-")</f>
        <v>-</v>
      </c>
    </row>
    <row r="3957" spans="1:11" x14ac:dyDescent="0.45">
      <c r="A3957" s="57">
        <v>1831</v>
      </c>
      <c r="B3957" t="s">
        <v>3598</v>
      </c>
      <c r="C3957" t="s">
        <v>3599</v>
      </c>
      <c r="D3957" s="12">
        <v>46333</v>
      </c>
      <c r="E3957" s="11">
        <v>164</v>
      </c>
      <c r="F3957" s="11" t="s">
        <v>0</v>
      </c>
      <c r="G3957">
        <v>20260101</v>
      </c>
      <c r="I3957" s="11" t="s">
        <v>63</v>
      </c>
      <c r="J3957" s="72">
        <v>40591048</v>
      </c>
      <c r="K3957" s="99" t="str">
        <f>_xlfn.XLOOKUP(_2__ROI_Daily_Update[[#This Row],[CSM id]],SHP!F:F,SHP!EE:EE,"-")</f>
        <v>-</v>
      </c>
    </row>
    <row r="3958" spans="1:11" x14ac:dyDescent="0.45">
      <c r="A3958" s="57">
        <v>622</v>
      </c>
      <c r="B3958" t="s">
        <v>5705</v>
      </c>
      <c r="C3958" t="s">
        <v>5706</v>
      </c>
      <c r="D3958" s="12">
        <v>46333</v>
      </c>
      <c r="E3958" s="11">
        <v>90</v>
      </c>
      <c r="F3958" s="11" t="s">
        <v>0</v>
      </c>
      <c r="G3958">
        <v>20260701</v>
      </c>
      <c r="I3958" s="11" t="s">
        <v>63</v>
      </c>
      <c r="J3958" s="72">
        <v>30629971</v>
      </c>
      <c r="K3958" s="99" t="str">
        <f>_xlfn.XLOOKUP(_2__ROI_Daily_Update[[#This Row],[CSM id]],SHP!F:F,SHP!EE:EE,"-")</f>
        <v>-</v>
      </c>
    </row>
    <row r="3959" spans="1:11" x14ac:dyDescent="0.45">
      <c r="A3959" s="57">
        <v>1433</v>
      </c>
      <c r="B3959" t="s">
        <v>2472</v>
      </c>
      <c r="C3959" t="s">
        <v>2473</v>
      </c>
      <c r="D3959" s="12">
        <v>46333</v>
      </c>
      <c r="E3959" s="11">
        <v>80</v>
      </c>
      <c r="F3959" s="11" t="s">
        <v>0</v>
      </c>
      <c r="G3959">
        <v>20210201</v>
      </c>
      <c r="I3959" s="11" t="s">
        <v>63</v>
      </c>
      <c r="J3959" s="72">
        <v>80473868</v>
      </c>
      <c r="K3959" s="99" t="str">
        <f>_xlfn.XLOOKUP(_2__ROI_Daily_Update[[#This Row],[CSM id]],SHP!F:F,SHP!EE:EE,"-")</f>
        <v>-</v>
      </c>
    </row>
    <row r="3960" spans="1:11" x14ac:dyDescent="0.45">
      <c r="A3960" s="57">
        <v>1231</v>
      </c>
      <c r="B3960" t="s">
        <v>7025</v>
      </c>
      <c r="C3960" t="s">
        <v>7026</v>
      </c>
      <c r="D3960" s="12">
        <v>46333</v>
      </c>
      <c r="E3960" s="11">
        <v>44</v>
      </c>
      <c r="F3960" s="11" t="s">
        <v>0</v>
      </c>
      <c r="G3960">
        <v>20260401</v>
      </c>
      <c r="I3960" s="11" t="s">
        <v>63</v>
      </c>
      <c r="J3960" s="72">
        <v>40628240</v>
      </c>
      <c r="K3960" s="99" t="str">
        <f>_xlfn.XLOOKUP(_2__ROI_Daily_Update[[#This Row],[CSM id]],SHP!F:F,SHP!EE:EE,"-")</f>
        <v>-</v>
      </c>
    </row>
    <row r="3961" spans="1:11" x14ac:dyDescent="0.45">
      <c r="A3961" s="57">
        <v>1811</v>
      </c>
      <c r="B3961" t="s">
        <v>3364</v>
      </c>
      <c r="C3961" t="s">
        <v>3365</v>
      </c>
      <c r="D3961" s="12">
        <v>46333</v>
      </c>
      <c r="E3961" s="11">
        <v>126</v>
      </c>
      <c r="F3961" s="11" t="s">
        <v>0</v>
      </c>
      <c r="G3961">
        <v>20261001</v>
      </c>
      <c r="I3961" s="11" t="s">
        <v>63</v>
      </c>
      <c r="J3961" s="72">
        <v>90625809</v>
      </c>
      <c r="K3961" s="99" t="str">
        <f>_xlfn.XLOOKUP(_2__ROI_Daily_Update[[#This Row],[CSM id]],SHP!F:F,SHP!EE:EE,"-")</f>
        <v>-</v>
      </c>
    </row>
    <row r="3962" spans="1:11" x14ac:dyDescent="0.45">
      <c r="A3962" s="57">
        <v>1031</v>
      </c>
      <c r="B3962" t="s">
        <v>5701</v>
      </c>
      <c r="C3962" t="s">
        <v>5702</v>
      </c>
      <c r="D3962" s="12">
        <v>46333</v>
      </c>
      <c r="E3962" s="11">
        <v>12</v>
      </c>
      <c r="F3962" s="11" t="s">
        <v>0</v>
      </c>
      <c r="G3962">
        <v>20260401</v>
      </c>
      <c r="I3962" s="11" t="s">
        <v>63</v>
      </c>
      <c r="J3962" s="72">
        <v>60619720</v>
      </c>
      <c r="K3962" s="99" t="str">
        <f>_xlfn.XLOOKUP(_2__ROI_Daily_Update[[#This Row],[CSM id]],SHP!F:F,SHP!EE:EE,"-")</f>
        <v>-</v>
      </c>
    </row>
    <row r="3963" spans="1:11" x14ac:dyDescent="0.45">
      <c r="A3963" s="57">
        <v>1815</v>
      </c>
      <c r="B3963" t="s">
        <v>5606</v>
      </c>
      <c r="C3963" t="s">
        <v>5607</v>
      </c>
      <c r="D3963" s="12">
        <v>46333</v>
      </c>
      <c r="E3963" s="11">
        <v>350</v>
      </c>
      <c r="F3963" s="11" t="s">
        <v>0</v>
      </c>
      <c r="G3963">
        <v>20260701</v>
      </c>
      <c r="I3963" s="11" t="s">
        <v>63</v>
      </c>
      <c r="J3963" s="72">
        <v>40644283</v>
      </c>
      <c r="K3963" s="99" t="str">
        <f>_xlfn.XLOOKUP(_2__ROI_Daily_Update[[#This Row],[CSM id]],SHP!F:F,SHP!EE:EE,"-")</f>
        <v>-</v>
      </c>
    </row>
    <row r="3964" spans="1:11" x14ac:dyDescent="0.45">
      <c r="A3964" s="57">
        <v>982</v>
      </c>
      <c r="B3964" t="s">
        <v>7674</v>
      </c>
      <c r="C3964" t="s">
        <v>7675</v>
      </c>
      <c r="D3964" s="12">
        <v>46333</v>
      </c>
      <c r="E3964" s="11">
        <v>28</v>
      </c>
      <c r="F3964" s="11" t="s">
        <v>0</v>
      </c>
      <c r="G3964">
        <v>20230401</v>
      </c>
      <c r="I3964" s="11" t="s">
        <v>18</v>
      </c>
      <c r="J3964" s="72">
        <v>80517004</v>
      </c>
      <c r="K3964" s="99" t="str">
        <f>_xlfn.XLOOKUP(_2__ROI_Daily_Update[[#This Row],[CSM id]],SHP!F:F,SHP!EE:EE,"-")</f>
        <v>-</v>
      </c>
    </row>
    <row r="3965" spans="1:11" x14ac:dyDescent="0.45">
      <c r="A3965" s="57">
        <v>1852</v>
      </c>
      <c r="B3965" t="s">
        <v>3717</v>
      </c>
      <c r="C3965" t="s">
        <v>3718</v>
      </c>
      <c r="D3965" s="12">
        <v>46333</v>
      </c>
      <c r="E3965" s="11">
        <v>12</v>
      </c>
      <c r="F3965" s="11" t="s">
        <v>0</v>
      </c>
      <c r="G3965">
        <v>20260101</v>
      </c>
      <c r="I3965" s="11" t="s">
        <v>63</v>
      </c>
      <c r="J3965" s="72">
        <v>90595398</v>
      </c>
      <c r="K3965" s="99" t="str">
        <f>_xlfn.XLOOKUP(_2__ROI_Daily_Update[[#This Row],[CSM id]],SHP!F:F,SHP!EE:EE,"-")</f>
        <v>-</v>
      </c>
    </row>
    <row r="3966" spans="1:11" x14ac:dyDescent="0.45">
      <c r="A3966" s="57">
        <v>1411</v>
      </c>
      <c r="B3966" t="s">
        <v>2102</v>
      </c>
      <c r="C3966" t="s">
        <v>2103</v>
      </c>
      <c r="D3966" s="12">
        <v>46333</v>
      </c>
      <c r="E3966" s="11">
        <v>40</v>
      </c>
      <c r="F3966" s="11" t="s">
        <v>0</v>
      </c>
      <c r="G3966">
        <v>20251001</v>
      </c>
      <c r="I3966" s="11" t="s">
        <v>63</v>
      </c>
      <c r="J3966" s="72">
        <v>70611059</v>
      </c>
      <c r="K3966" s="99" t="str">
        <f>_xlfn.XLOOKUP(_2__ROI_Daily_Update[[#This Row],[CSM id]],SHP!F:F,SHP!EE:EE,"-")</f>
        <v>-</v>
      </c>
    </row>
    <row r="3967" spans="1:11" x14ac:dyDescent="0.45">
      <c r="A3967" s="57">
        <v>982</v>
      </c>
      <c r="B3967" t="s">
        <v>5983</v>
      </c>
      <c r="C3967" t="s">
        <v>5984</v>
      </c>
      <c r="D3967" s="12">
        <v>46333</v>
      </c>
      <c r="E3967" s="11">
        <v>84</v>
      </c>
      <c r="F3967" s="11" t="s">
        <v>0</v>
      </c>
      <c r="G3967">
        <v>20190201</v>
      </c>
      <c r="I3967" s="11" t="s">
        <v>63</v>
      </c>
      <c r="J3967" s="72">
        <v>80434278</v>
      </c>
      <c r="K3967" s="99" t="str">
        <f>_xlfn.XLOOKUP(_2__ROI_Daily_Update[[#This Row],[CSM id]],SHP!F:F,SHP!EE:EE,"-")</f>
        <v>-</v>
      </c>
    </row>
    <row r="3968" spans="1:11" x14ac:dyDescent="0.45">
      <c r="A3968" s="57">
        <v>241</v>
      </c>
      <c r="B3968" t="s">
        <v>5124</v>
      </c>
      <c r="C3968" t="s">
        <v>5125</v>
      </c>
      <c r="D3968" s="12">
        <v>46333</v>
      </c>
      <c r="E3968" s="11">
        <v>24</v>
      </c>
      <c r="F3968" s="11" t="s">
        <v>0</v>
      </c>
      <c r="G3968">
        <v>20210201</v>
      </c>
      <c r="I3968" s="11" t="s">
        <v>18</v>
      </c>
      <c r="J3968" s="72">
        <v>40483077</v>
      </c>
      <c r="K3968" s="99" t="str">
        <f>_xlfn.XLOOKUP(_2__ROI_Daily_Update[[#This Row],[CSM id]],SHP!F:F,SHP!EE:EE,"-")</f>
        <v>-</v>
      </c>
    </row>
    <row r="3969" spans="1:11" x14ac:dyDescent="0.45">
      <c r="A3969" s="57">
        <v>1643</v>
      </c>
      <c r="B3969" t="s">
        <v>5572</v>
      </c>
      <c r="C3969" t="s">
        <v>5573</v>
      </c>
      <c r="D3969" s="12">
        <v>46333</v>
      </c>
      <c r="E3969" s="11">
        <v>60</v>
      </c>
      <c r="F3969" s="11" t="s">
        <v>0</v>
      </c>
      <c r="G3969">
        <v>20221001</v>
      </c>
      <c r="I3969" s="11" t="s">
        <v>63</v>
      </c>
      <c r="J3969" s="72">
        <v>10540480</v>
      </c>
      <c r="K3969" s="99" t="str">
        <f>_xlfn.XLOOKUP(_2__ROI_Daily_Update[[#This Row],[CSM id]],SHP!F:F,SHP!EE:EE,"-")</f>
        <v>-</v>
      </c>
    </row>
    <row r="3970" spans="1:11" x14ac:dyDescent="0.45">
      <c r="A3970" s="57">
        <v>241</v>
      </c>
      <c r="B3970" t="s">
        <v>335</v>
      </c>
      <c r="C3970" t="s">
        <v>336</v>
      </c>
      <c r="D3970" s="12">
        <v>46333</v>
      </c>
      <c r="E3970" s="11">
        <v>27</v>
      </c>
      <c r="F3970" s="11" t="s">
        <v>0</v>
      </c>
      <c r="G3970">
        <v>20140801</v>
      </c>
      <c r="I3970" s="11" t="s">
        <v>18</v>
      </c>
      <c r="J3970" s="72">
        <v>167207</v>
      </c>
      <c r="K3970" s="99" t="str">
        <f>_xlfn.XLOOKUP(_2__ROI_Daily_Update[[#This Row],[CSM id]],SHP!F:F,SHP!EE:EE,"-")</f>
        <v>-</v>
      </c>
    </row>
    <row r="3971" spans="1:11" x14ac:dyDescent="0.45">
      <c r="A3971" s="57">
        <v>1821</v>
      </c>
      <c r="B3971" t="s">
        <v>7568</v>
      </c>
      <c r="C3971" t="s">
        <v>7569</v>
      </c>
      <c r="D3971" s="12">
        <v>46333</v>
      </c>
      <c r="E3971" s="11">
        <v>12</v>
      </c>
      <c r="F3971" s="11" t="s">
        <v>0</v>
      </c>
      <c r="G3971">
        <v>20180401</v>
      </c>
      <c r="I3971" s="11" t="s">
        <v>63</v>
      </c>
      <c r="J3971" s="72">
        <v>50334869</v>
      </c>
      <c r="K3971" s="99" t="str">
        <f>_xlfn.XLOOKUP(_2__ROI_Daily_Update[[#This Row],[CSM id]],SHP!F:F,SHP!EE:EE,"-")</f>
        <v>-</v>
      </c>
    </row>
    <row r="3972" spans="1:11" x14ac:dyDescent="0.45">
      <c r="A3972" s="57">
        <v>982</v>
      </c>
      <c r="B3972" t="s">
        <v>7684</v>
      </c>
      <c r="C3972" t="s">
        <v>7685</v>
      </c>
      <c r="D3972" s="12">
        <v>46333</v>
      </c>
      <c r="E3972" s="11">
        <v>11</v>
      </c>
      <c r="F3972" s="11" t="s">
        <v>0</v>
      </c>
      <c r="G3972">
        <v>20240701</v>
      </c>
      <c r="I3972" s="11" t="s">
        <v>63</v>
      </c>
      <c r="J3972" s="72">
        <v>60540289</v>
      </c>
      <c r="K3972" s="99" t="str">
        <f>_xlfn.XLOOKUP(_2__ROI_Daily_Update[[#This Row],[CSM id]],SHP!F:F,SHP!EE:EE,"-")</f>
        <v>-</v>
      </c>
    </row>
    <row r="3973" spans="1:11" x14ac:dyDescent="0.45">
      <c r="A3973" s="57">
        <v>1643</v>
      </c>
      <c r="B3973" t="s">
        <v>7676</v>
      </c>
      <c r="C3973" t="s">
        <v>7677</v>
      </c>
      <c r="D3973" s="12">
        <v>46333</v>
      </c>
      <c r="E3973" s="11">
        <v>70</v>
      </c>
      <c r="F3973" s="11" t="s">
        <v>0</v>
      </c>
      <c r="G3973">
        <v>20250101</v>
      </c>
      <c r="H3973" s="12">
        <v>46569</v>
      </c>
      <c r="I3973" s="11" t="s">
        <v>63</v>
      </c>
      <c r="J3973" s="72">
        <v>20592124</v>
      </c>
      <c r="K3973" s="99" t="str">
        <f>_xlfn.XLOOKUP(_2__ROI_Daily_Update[[#This Row],[CSM id]],SHP!F:F,SHP!EE:EE,"-")</f>
        <v>-</v>
      </c>
    </row>
    <row r="3974" spans="1:11" x14ac:dyDescent="0.45">
      <c r="A3974" s="57">
        <v>1022</v>
      </c>
      <c r="B3974" t="s">
        <v>7640</v>
      </c>
      <c r="C3974" t="s">
        <v>7641</v>
      </c>
      <c r="D3974" s="12">
        <v>46333</v>
      </c>
      <c r="E3974" s="11">
        <v>16</v>
      </c>
      <c r="F3974" s="11" t="s">
        <v>0</v>
      </c>
      <c r="G3974">
        <v>20260701</v>
      </c>
      <c r="I3974" s="11" t="s">
        <v>63</v>
      </c>
      <c r="J3974" s="72">
        <v>60605068</v>
      </c>
      <c r="K3974" s="99" t="str">
        <f>_xlfn.XLOOKUP(_2__ROI_Daily_Update[[#This Row],[CSM id]],SHP!F:F,SHP!EE:EE,"-")</f>
        <v>-</v>
      </c>
    </row>
    <row r="3975" spans="1:11" x14ac:dyDescent="0.45">
      <c r="A3975" s="57">
        <v>1643</v>
      </c>
      <c r="B3975" t="s">
        <v>7596</v>
      </c>
      <c r="C3975" t="s">
        <v>7597</v>
      </c>
      <c r="D3975" s="12">
        <v>46333</v>
      </c>
      <c r="E3975" s="11">
        <v>154</v>
      </c>
      <c r="F3975" s="11" t="s">
        <v>0</v>
      </c>
      <c r="G3975">
        <v>20241001</v>
      </c>
      <c r="I3975" s="11" t="s">
        <v>63</v>
      </c>
      <c r="J3975" s="72">
        <v>20592807</v>
      </c>
      <c r="K3975" s="99" t="str">
        <f>_xlfn.XLOOKUP(_2__ROI_Daily_Update[[#This Row],[CSM id]],SHP!F:F,SHP!EE:EE,"-")</f>
        <v>-</v>
      </c>
    </row>
    <row r="3976" spans="1:11" x14ac:dyDescent="0.45">
      <c r="A3976" s="57">
        <v>1632</v>
      </c>
      <c r="B3976" t="s">
        <v>7598</v>
      </c>
      <c r="C3976" t="s">
        <v>7599</v>
      </c>
      <c r="D3976" s="12">
        <v>46333</v>
      </c>
      <c r="E3976" s="11">
        <v>27</v>
      </c>
      <c r="F3976" s="11" t="s">
        <v>0</v>
      </c>
      <c r="G3976">
        <v>20260801</v>
      </c>
      <c r="H3976" s="12">
        <v>46388</v>
      </c>
      <c r="I3976" s="11" t="s">
        <v>63</v>
      </c>
      <c r="J3976" s="72">
        <v>80633051</v>
      </c>
      <c r="K3976" s="99" t="str">
        <f>_xlfn.XLOOKUP(_2__ROI_Daily_Update[[#This Row],[CSM id]],SHP!F:F,SHP!EE:EE,"-")</f>
        <v>-</v>
      </c>
    </row>
    <row r="3977" spans="1:11" x14ac:dyDescent="0.45">
      <c r="A3977" s="57">
        <v>1211</v>
      </c>
      <c r="B3977" t="s">
        <v>7542</v>
      </c>
      <c r="C3977" t="s">
        <v>7543</v>
      </c>
      <c r="D3977" s="12">
        <v>46333</v>
      </c>
      <c r="E3977" s="11">
        <v>6</v>
      </c>
      <c r="F3977" s="11" t="s">
        <v>0</v>
      </c>
      <c r="G3977">
        <v>20241001</v>
      </c>
      <c r="H3977" s="12">
        <v>46478</v>
      </c>
      <c r="I3977" s="11" t="s">
        <v>63</v>
      </c>
      <c r="J3977" s="72">
        <v>586020</v>
      </c>
      <c r="K3977" s="99" t="str">
        <f>_xlfn.XLOOKUP(_2__ROI_Daily_Update[[#This Row],[CSM id]],SHP!F:F,SHP!EE:EE,"-")</f>
        <v>-</v>
      </c>
    </row>
    <row r="3978" spans="1:11" x14ac:dyDescent="0.45">
      <c r="A3978" s="57">
        <v>921</v>
      </c>
      <c r="B3978" t="s">
        <v>7614</v>
      </c>
      <c r="C3978" t="s">
        <v>7615</v>
      </c>
      <c r="D3978" s="12">
        <v>46333</v>
      </c>
      <c r="E3978" s="11">
        <v>16</v>
      </c>
      <c r="F3978" s="11" t="s">
        <v>0</v>
      </c>
      <c r="G3978">
        <v>20220701</v>
      </c>
      <c r="I3978" s="11" t="s">
        <v>63</v>
      </c>
      <c r="J3978" s="72">
        <v>70530082</v>
      </c>
      <c r="K3978" s="99" t="str">
        <f>_xlfn.XLOOKUP(_2__ROI_Daily_Update[[#This Row],[CSM id]],SHP!F:F,SHP!EE:EE,"-")</f>
        <v>-</v>
      </c>
    </row>
    <row r="3979" spans="1:11" x14ac:dyDescent="0.45">
      <c r="A3979" s="57">
        <v>241</v>
      </c>
      <c r="B3979" t="s">
        <v>347</v>
      </c>
      <c r="C3979" t="s">
        <v>348</v>
      </c>
      <c r="D3979" s="12">
        <v>46333</v>
      </c>
      <c r="E3979" s="11">
        <v>28</v>
      </c>
      <c r="F3979" s="11" t="s">
        <v>0</v>
      </c>
      <c r="G3979">
        <v>20221001</v>
      </c>
      <c r="I3979" s="11" t="s">
        <v>18</v>
      </c>
      <c r="J3979" s="72">
        <v>80530977</v>
      </c>
      <c r="K3979" s="99" t="str">
        <f>_xlfn.XLOOKUP(_2__ROI_Daily_Update[[#This Row],[CSM id]],SHP!F:F,SHP!EE:EE,"-")</f>
        <v>-</v>
      </c>
    </row>
    <row r="3980" spans="1:11" x14ac:dyDescent="0.45">
      <c r="A3980" s="57">
        <v>1213</v>
      </c>
      <c r="B3980" t="s">
        <v>7580</v>
      </c>
      <c r="C3980" t="s">
        <v>7581</v>
      </c>
      <c r="D3980" s="12">
        <v>46333</v>
      </c>
      <c r="E3980" s="11">
        <v>20</v>
      </c>
      <c r="F3980" s="11" t="s">
        <v>0</v>
      </c>
      <c r="G3980">
        <v>20220101</v>
      </c>
      <c r="I3980" s="11" t="s">
        <v>63</v>
      </c>
      <c r="J3980" s="72">
        <v>70506553</v>
      </c>
      <c r="K3980" s="99" t="str">
        <f>_xlfn.XLOOKUP(_2__ROI_Daily_Update[[#This Row],[CSM id]],SHP!F:F,SHP!EE:EE,"-")</f>
        <v>-</v>
      </c>
    </row>
    <row r="3981" spans="1:11" x14ac:dyDescent="0.45">
      <c r="A3981" s="57">
        <v>1821</v>
      </c>
      <c r="B3981" t="s">
        <v>3523</v>
      </c>
      <c r="C3981" t="s">
        <v>3524</v>
      </c>
      <c r="D3981" s="12">
        <v>46333</v>
      </c>
      <c r="E3981" s="11">
        <v>70</v>
      </c>
      <c r="F3981" s="11" t="s">
        <v>0</v>
      </c>
      <c r="G3981">
        <v>20180201</v>
      </c>
      <c r="I3981" s="11" t="s">
        <v>63</v>
      </c>
      <c r="J3981" s="72">
        <v>30335619</v>
      </c>
      <c r="K3981" s="99" t="str">
        <f>_xlfn.XLOOKUP(_2__ROI_Daily_Update[[#This Row],[CSM id]],SHP!F:F,SHP!EE:EE,"-")</f>
        <v>-</v>
      </c>
    </row>
    <row r="3982" spans="1:11" x14ac:dyDescent="0.45">
      <c r="A3982" s="57">
        <v>1633</v>
      </c>
      <c r="B3982" t="s">
        <v>2980</v>
      </c>
      <c r="C3982" t="s">
        <v>2981</v>
      </c>
      <c r="D3982" s="12">
        <v>46333</v>
      </c>
      <c r="E3982" s="11">
        <v>12</v>
      </c>
      <c r="F3982" s="11" t="s">
        <v>0</v>
      </c>
      <c r="G3982">
        <v>20220101</v>
      </c>
      <c r="I3982" s="11" t="s">
        <v>63</v>
      </c>
      <c r="J3982" s="72">
        <v>20511967</v>
      </c>
      <c r="K3982" s="99" t="str">
        <f>_xlfn.XLOOKUP(_2__ROI_Daily_Update[[#This Row],[CSM id]],SHP!F:F,SHP!EE:EE,"-")</f>
        <v>-</v>
      </c>
    </row>
    <row r="3983" spans="1:11" x14ac:dyDescent="0.45">
      <c r="A3983" s="57">
        <v>1643</v>
      </c>
      <c r="B3983" t="s">
        <v>3229</v>
      </c>
      <c r="C3983" t="s">
        <v>3230</v>
      </c>
      <c r="D3983" s="12">
        <v>46333</v>
      </c>
      <c r="E3983" s="11">
        <v>9</v>
      </c>
      <c r="F3983" s="11" t="s">
        <v>0</v>
      </c>
      <c r="G3983">
        <v>20221001</v>
      </c>
      <c r="I3983" s="11" t="s">
        <v>18</v>
      </c>
      <c r="J3983" s="72">
        <v>30540865</v>
      </c>
      <c r="K3983" s="99" t="str">
        <f>_xlfn.XLOOKUP(_2__ROI_Daily_Update[[#This Row],[CSM id]],SHP!F:F,SHP!EE:EE,"-")</f>
        <v>-</v>
      </c>
    </row>
    <row r="3984" spans="1:11" x14ac:dyDescent="0.45">
      <c r="A3984" s="57">
        <v>1021</v>
      </c>
      <c r="B3984" t="s">
        <v>6289</v>
      </c>
      <c r="C3984" t="s">
        <v>6290</v>
      </c>
      <c r="D3984" s="12">
        <v>46333</v>
      </c>
      <c r="E3984" s="11">
        <v>20</v>
      </c>
      <c r="F3984" s="11" t="s">
        <v>0</v>
      </c>
      <c r="G3984">
        <v>20260701</v>
      </c>
      <c r="I3984" s="11" t="s">
        <v>63</v>
      </c>
      <c r="J3984" s="72">
        <v>70621553</v>
      </c>
      <c r="K3984" s="99" t="str">
        <f>_xlfn.XLOOKUP(_2__ROI_Daily_Update[[#This Row],[CSM id]],SHP!F:F,SHP!EE:EE,"-")</f>
        <v>-</v>
      </c>
    </row>
    <row r="3985" spans="1:11" x14ac:dyDescent="0.45">
      <c r="A3985" s="57">
        <v>1231</v>
      </c>
      <c r="B3985" t="s">
        <v>1947</v>
      </c>
      <c r="C3985" t="s">
        <v>1948</v>
      </c>
      <c r="D3985" s="12">
        <v>46333</v>
      </c>
      <c r="E3985" s="11">
        <v>168</v>
      </c>
      <c r="F3985" s="11" t="s">
        <v>0</v>
      </c>
      <c r="G3985">
        <v>20250701</v>
      </c>
      <c r="H3985" s="12">
        <v>46569</v>
      </c>
      <c r="I3985" s="11" t="s">
        <v>63</v>
      </c>
      <c r="J3985" s="72">
        <v>90610742</v>
      </c>
      <c r="K3985" s="99" t="str">
        <f>_xlfn.XLOOKUP(_2__ROI_Daily_Update[[#This Row],[CSM id]],SHP!F:F,SHP!EE:EE,"-")</f>
        <v>-</v>
      </c>
    </row>
    <row r="3986" spans="1:11" x14ac:dyDescent="0.45">
      <c r="A3986" s="57">
        <v>1836</v>
      </c>
      <c r="B3986" t="s">
        <v>7622</v>
      </c>
      <c r="C3986" t="s">
        <v>7623</v>
      </c>
      <c r="D3986" s="12">
        <v>46333</v>
      </c>
      <c r="E3986" s="11">
        <v>150</v>
      </c>
      <c r="F3986" s="11" t="s">
        <v>0</v>
      </c>
      <c r="G3986">
        <v>20200601</v>
      </c>
      <c r="I3986" s="11" t="s">
        <v>63</v>
      </c>
      <c r="J3986" s="72">
        <v>10485638</v>
      </c>
      <c r="K3986" s="99" t="str">
        <f>_xlfn.XLOOKUP(_2__ROI_Daily_Update[[#This Row],[CSM id]],SHP!F:F,SHP!EE:EE,"-")</f>
        <v>-</v>
      </c>
    </row>
    <row r="3987" spans="1:11" x14ac:dyDescent="0.45">
      <c r="A3987" s="57">
        <v>1211</v>
      </c>
      <c r="B3987" t="s">
        <v>1729</v>
      </c>
      <c r="C3987" t="s">
        <v>1730</v>
      </c>
      <c r="D3987" s="12">
        <v>46333</v>
      </c>
      <c r="E3987" s="11">
        <v>42</v>
      </c>
      <c r="F3987" s="11" t="s">
        <v>0</v>
      </c>
      <c r="G3987">
        <v>20250101</v>
      </c>
      <c r="H3987" s="12">
        <v>46569</v>
      </c>
      <c r="I3987" s="11" t="s">
        <v>63</v>
      </c>
      <c r="J3987" s="72">
        <v>10597711</v>
      </c>
      <c r="K3987" s="99" t="str">
        <f>_xlfn.XLOOKUP(_2__ROI_Daily_Update[[#This Row],[CSM id]],SHP!F:F,SHP!EE:EE,"-")</f>
        <v>-</v>
      </c>
    </row>
    <row r="3988" spans="1:11" x14ac:dyDescent="0.45">
      <c r="A3988" s="57">
        <v>1852</v>
      </c>
      <c r="B3988" t="s">
        <v>3711</v>
      </c>
      <c r="C3988" t="s">
        <v>3712</v>
      </c>
      <c r="D3988" s="12">
        <v>46333</v>
      </c>
      <c r="E3988" s="11">
        <v>48</v>
      </c>
      <c r="F3988" s="11" t="s">
        <v>0</v>
      </c>
      <c r="G3988">
        <v>20260101</v>
      </c>
      <c r="I3988" s="11" t="s">
        <v>63</v>
      </c>
      <c r="J3988" s="72">
        <v>80595394</v>
      </c>
      <c r="K3988" s="99" t="str">
        <f>_xlfn.XLOOKUP(_2__ROI_Daily_Update[[#This Row],[CSM id]],SHP!F:F,SHP!EE:EE,"-")</f>
        <v>-</v>
      </c>
    </row>
    <row r="3989" spans="1:11" x14ac:dyDescent="0.45">
      <c r="A3989" s="57">
        <v>921</v>
      </c>
      <c r="B3989" t="s">
        <v>688</v>
      </c>
      <c r="C3989" t="s">
        <v>689</v>
      </c>
      <c r="D3989" s="12">
        <v>46333</v>
      </c>
      <c r="E3989" s="11">
        <v>16</v>
      </c>
      <c r="F3989" s="11" t="s">
        <v>0</v>
      </c>
      <c r="G3989">
        <v>20210201</v>
      </c>
      <c r="I3989" s="11" t="s">
        <v>18</v>
      </c>
      <c r="J3989" s="72">
        <v>40434143</v>
      </c>
      <c r="K3989" s="99" t="str">
        <f>_xlfn.XLOOKUP(_2__ROI_Daily_Update[[#This Row],[CSM id]],SHP!F:F,SHP!EE:EE,"-")</f>
        <v>-</v>
      </c>
    </row>
    <row r="3990" spans="1:11" x14ac:dyDescent="0.45">
      <c r="A3990" s="57">
        <v>981</v>
      </c>
      <c r="B3990" t="s">
        <v>6145</v>
      </c>
      <c r="C3990" t="s">
        <v>6146</v>
      </c>
      <c r="D3990" s="12">
        <v>46333</v>
      </c>
      <c r="E3990" s="11">
        <v>42</v>
      </c>
      <c r="F3990" s="11" t="s">
        <v>0</v>
      </c>
      <c r="G3990">
        <v>20180201</v>
      </c>
      <c r="I3990" s="11" t="s">
        <v>18</v>
      </c>
      <c r="J3990" s="72">
        <v>90382325</v>
      </c>
      <c r="K3990" s="99" t="str">
        <f>_xlfn.XLOOKUP(_2__ROI_Daily_Update[[#This Row],[CSM id]],SHP!F:F,SHP!EE:EE,"-")</f>
        <v>-</v>
      </c>
    </row>
    <row r="3991" spans="1:11" x14ac:dyDescent="0.45">
      <c r="A3991" s="57">
        <v>1233</v>
      </c>
      <c r="B3991" t="s">
        <v>2014</v>
      </c>
      <c r="C3991" t="s">
        <v>2015</v>
      </c>
      <c r="D3991" s="12">
        <v>46333</v>
      </c>
      <c r="E3991" s="11">
        <v>100</v>
      </c>
      <c r="F3991" s="11" t="s">
        <v>0</v>
      </c>
      <c r="G3991">
        <v>20261001</v>
      </c>
      <c r="I3991" s="11" t="s">
        <v>63</v>
      </c>
      <c r="J3991" s="72">
        <v>90635158</v>
      </c>
      <c r="K3991" s="99" t="str">
        <f>_xlfn.XLOOKUP(_2__ROI_Daily_Update[[#This Row],[CSM id]],SHP!F:F,SHP!EE:EE,"-")</f>
        <v>-</v>
      </c>
    </row>
    <row r="3992" spans="1:11" x14ac:dyDescent="0.45">
      <c r="A3992" s="57">
        <v>982</v>
      </c>
      <c r="B3992" t="s">
        <v>7692</v>
      </c>
      <c r="C3992" t="s">
        <v>7693</v>
      </c>
      <c r="D3992" s="12">
        <v>46333</v>
      </c>
      <c r="E3992" s="11">
        <v>480</v>
      </c>
      <c r="F3992" s="11" t="s">
        <v>0</v>
      </c>
      <c r="G3992">
        <v>20221001</v>
      </c>
      <c r="H3992" s="12">
        <v>46569</v>
      </c>
      <c r="I3992" s="11" t="s">
        <v>18</v>
      </c>
      <c r="J3992" s="72">
        <v>30528509</v>
      </c>
      <c r="K3992" s="99" t="str">
        <f>_xlfn.XLOOKUP(_2__ROI_Daily_Update[[#This Row],[CSM id]],SHP!F:F,SHP!EE:EE,"-")</f>
        <v>-</v>
      </c>
    </row>
    <row r="3993" spans="1:11" x14ac:dyDescent="0.45">
      <c r="A3993" s="57">
        <v>1211</v>
      </c>
      <c r="B3993" t="s">
        <v>1715</v>
      </c>
      <c r="C3993" t="s">
        <v>1716</v>
      </c>
      <c r="D3993" s="12">
        <v>46333</v>
      </c>
      <c r="E3993" s="11">
        <v>4</v>
      </c>
      <c r="F3993" s="11" t="s">
        <v>0</v>
      </c>
      <c r="G3993">
        <v>20230701</v>
      </c>
      <c r="I3993" s="11" t="s">
        <v>63</v>
      </c>
      <c r="J3993" s="72">
        <v>556377</v>
      </c>
      <c r="K3993" s="99" t="str">
        <f>_xlfn.XLOOKUP(_2__ROI_Daily_Update[[#This Row],[CSM id]],SHP!F:F,SHP!EE:EE,"-")</f>
        <v>-</v>
      </c>
    </row>
    <row r="3994" spans="1:11" x14ac:dyDescent="0.45">
      <c r="A3994" s="57">
        <v>1821</v>
      </c>
      <c r="B3994" t="s">
        <v>5955</v>
      </c>
      <c r="C3994" t="s">
        <v>5956</v>
      </c>
      <c r="D3994" s="12">
        <v>46333</v>
      </c>
      <c r="E3994" s="11">
        <v>15</v>
      </c>
      <c r="F3994" s="11" t="s">
        <v>0</v>
      </c>
      <c r="G3994">
        <v>20180401</v>
      </c>
      <c r="I3994" s="11" t="s">
        <v>63</v>
      </c>
      <c r="J3994" s="72">
        <v>40334935</v>
      </c>
      <c r="K3994" s="99" t="str">
        <f>_xlfn.XLOOKUP(_2__ROI_Daily_Update[[#This Row],[CSM id]],SHP!F:F,SHP!EE:EE,"-")</f>
        <v>-</v>
      </c>
    </row>
    <row r="3995" spans="1:11" x14ac:dyDescent="0.45">
      <c r="A3995" s="57">
        <v>1021</v>
      </c>
      <c r="B3995" t="s">
        <v>7658</v>
      </c>
      <c r="C3995" t="s">
        <v>7659</v>
      </c>
      <c r="D3995" s="12">
        <v>46333</v>
      </c>
      <c r="E3995" s="11">
        <v>288</v>
      </c>
      <c r="F3995" s="11" t="s">
        <v>0</v>
      </c>
      <c r="G3995">
        <v>20250401</v>
      </c>
      <c r="I3995" s="11" t="s">
        <v>63</v>
      </c>
      <c r="J3995" s="72">
        <v>90558433</v>
      </c>
      <c r="K3995" s="99" t="str">
        <f>_xlfn.XLOOKUP(_2__ROI_Daily_Update[[#This Row],[CSM id]],SHP!F:F,SHP!EE:EE,"-")</f>
        <v>-</v>
      </c>
    </row>
    <row r="3996" spans="1:11" x14ac:dyDescent="0.45">
      <c r="A3996" s="57">
        <v>1213</v>
      </c>
      <c r="B3996" t="s">
        <v>7666</v>
      </c>
      <c r="C3996" t="s">
        <v>7667</v>
      </c>
      <c r="D3996" s="12">
        <v>46333</v>
      </c>
      <c r="E3996" s="11">
        <v>6</v>
      </c>
      <c r="F3996" s="11" t="s">
        <v>0</v>
      </c>
      <c r="G3996">
        <v>20190201</v>
      </c>
      <c r="I3996" s="11" t="s">
        <v>63</v>
      </c>
      <c r="J3996" s="72">
        <v>20380990</v>
      </c>
      <c r="K3996" s="99" t="str">
        <f>_xlfn.XLOOKUP(_2__ROI_Daily_Update[[#This Row],[CSM id]],SHP!F:F,SHP!EE:EE,"-")</f>
        <v>-</v>
      </c>
    </row>
    <row r="3997" spans="1:11" x14ac:dyDescent="0.45">
      <c r="A3997" s="57">
        <v>1023</v>
      </c>
      <c r="B3997" t="s">
        <v>1258</v>
      </c>
      <c r="C3997" t="s">
        <v>1259</v>
      </c>
      <c r="D3997" s="12">
        <v>46333</v>
      </c>
      <c r="E3997" s="11">
        <v>10</v>
      </c>
      <c r="F3997" s="11" t="s">
        <v>0</v>
      </c>
      <c r="G3997">
        <v>20221001</v>
      </c>
      <c r="I3997" s="11" t="s">
        <v>63</v>
      </c>
      <c r="J3997" s="72">
        <v>493610</v>
      </c>
      <c r="K3997" s="99" t="str">
        <f>_xlfn.XLOOKUP(_2__ROI_Daily_Update[[#This Row],[CSM id]],SHP!F:F,SHP!EE:EE,"-")</f>
        <v>-</v>
      </c>
    </row>
    <row r="3998" spans="1:11" x14ac:dyDescent="0.45">
      <c r="A3998" s="57">
        <v>1023</v>
      </c>
      <c r="B3998" t="s">
        <v>7644</v>
      </c>
      <c r="C3998" t="s">
        <v>7645</v>
      </c>
      <c r="D3998" s="12">
        <v>46333</v>
      </c>
      <c r="E3998" s="11">
        <v>20</v>
      </c>
      <c r="F3998" s="11" t="s">
        <v>0</v>
      </c>
      <c r="G3998">
        <v>20221001</v>
      </c>
      <c r="I3998" s="11" t="s">
        <v>63</v>
      </c>
      <c r="J3998" s="72">
        <v>20493609</v>
      </c>
      <c r="K3998" s="99" t="str">
        <f>_xlfn.XLOOKUP(_2__ROI_Daily_Update[[#This Row],[CSM id]],SHP!F:F,SHP!EE:EE,"-")</f>
        <v>-</v>
      </c>
    </row>
    <row r="3999" spans="1:11" x14ac:dyDescent="0.45">
      <c r="A3999" s="57">
        <v>1314</v>
      </c>
      <c r="B3999" t="s">
        <v>2056</v>
      </c>
      <c r="C3999" t="s">
        <v>2057</v>
      </c>
      <c r="D3999" s="12">
        <v>46333</v>
      </c>
      <c r="E3999" s="11">
        <v>108</v>
      </c>
      <c r="F3999" s="11" t="s">
        <v>0</v>
      </c>
      <c r="G3999">
        <v>20250701</v>
      </c>
      <c r="H3999" s="12">
        <v>46569</v>
      </c>
      <c r="I3999" s="11" t="s">
        <v>63</v>
      </c>
      <c r="J3999" s="72">
        <v>20610788</v>
      </c>
      <c r="K3999" s="99" t="str">
        <f>_xlfn.XLOOKUP(_2__ROI_Daily_Update[[#This Row],[CSM id]],SHP!F:F,SHP!EE:EE,"-")</f>
        <v>-</v>
      </c>
    </row>
    <row r="4000" spans="1:11" x14ac:dyDescent="0.45">
      <c r="A4000" s="57">
        <v>1623</v>
      </c>
      <c r="B4000" t="s">
        <v>7632</v>
      </c>
      <c r="C4000" t="s">
        <v>7633</v>
      </c>
      <c r="D4000" s="12">
        <v>46333</v>
      </c>
      <c r="E4000" s="11">
        <v>216</v>
      </c>
      <c r="F4000" s="11" t="s">
        <v>0</v>
      </c>
      <c r="G4000">
        <v>20260401</v>
      </c>
      <c r="I4000" s="11" t="s">
        <v>63</v>
      </c>
      <c r="J4000" s="72">
        <v>90615259</v>
      </c>
      <c r="K4000" s="99" t="str">
        <f>_xlfn.XLOOKUP(_2__ROI_Daily_Update[[#This Row],[CSM id]],SHP!F:F,SHP!EE:EE,"-")</f>
        <v>-</v>
      </c>
    </row>
    <row r="4001" spans="1:11" x14ac:dyDescent="0.45">
      <c r="A4001" s="57">
        <v>1882</v>
      </c>
      <c r="B4001" t="s">
        <v>3733</v>
      </c>
      <c r="C4001" t="s">
        <v>3734</v>
      </c>
      <c r="D4001" s="12">
        <v>46333</v>
      </c>
      <c r="E4001" s="11">
        <v>168</v>
      </c>
      <c r="F4001" s="11" t="s">
        <v>0</v>
      </c>
      <c r="G4001">
        <v>20221001</v>
      </c>
      <c r="I4001" s="11" t="s">
        <v>18</v>
      </c>
      <c r="J4001" s="72">
        <v>20527096</v>
      </c>
      <c r="K4001" s="99" t="str">
        <f>_xlfn.XLOOKUP(_2__ROI_Daily_Update[[#This Row],[CSM id]],SHP!F:F,SHP!EE:EE,"-")</f>
        <v>-</v>
      </c>
    </row>
    <row r="4002" spans="1:11" x14ac:dyDescent="0.45">
      <c r="A4002" s="57">
        <v>1622</v>
      </c>
      <c r="B4002" t="s">
        <v>7787</v>
      </c>
      <c r="C4002" t="s">
        <v>7788</v>
      </c>
      <c r="D4002" s="12">
        <v>46333</v>
      </c>
      <c r="E4002" s="11">
        <v>24</v>
      </c>
      <c r="F4002" s="11" t="s">
        <v>0</v>
      </c>
      <c r="G4002">
        <v>20261001</v>
      </c>
      <c r="H4002" s="12">
        <v>46388</v>
      </c>
      <c r="I4002" s="11" t="s">
        <v>32</v>
      </c>
      <c r="J4002" s="72">
        <v>20640399</v>
      </c>
      <c r="K4002" s="99" t="str">
        <f>_xlfn.XLOOKUP(_2__ROI_Daily_Update[[#This Row],[CSM id]],SHP!F:F,SHP!EE:EE,"-")</f>
        <v>-</v>
      </c>
    </row>
    <row r="4003" spans="1:11" x14ac:dyDescent="0.45">
      <c r="A4003" s="57">
        <v>1622</v>
      </c>
      <c r="B4003" t="s">
        <v>7785</v>
      </c>
      <c r="C4003" t="s">
        <v>7786</v>
      </c>
      <c r="D4003" s="12">
        <v>46333</v>
      </c>
      <c r="E4003" s="11">
        <v>40</v>
      </c>
      <c r="F4003" s="11" t="s">
        <v>0</v>
      </c>
      <c r="G4003">
        <v>20261001</v>
      </c>
      <c r="H4003" s="12">
        <v>46388</v>
      </c>
      <c r="I4003" s="11" t="s">
        <v>32</v>
      </c>
      <c r="J4003" s="72">
        <v>40640402</v>
      </c>
      <c r="K4003" s="99" t="str">
        <f>_xlfn.XLOOKUP(_2__ROI_Daily_Update[[#This Row],[CSM id]],SHP!F:F,SHP!EE:EE,"-")</f>
        <v>-</v>
      </c>
    </row>
    <row r="4004" spans="1:11" x14ac:dyDescent="0.45">
      <c r="A4004" s="57">
        <v>983</v>
      </c>
      <c r="B4004" t="s">
        <v>976</v>
      </c>
      <c r="C4004" t="s">
        <v>977</v>
      </c>
      <c r="D4004" s="12">
        <v>46333</v>
      </c>
      <c r="E4004" s="11">
        <v>78</v>
      </c>
      <c r="F4004" s="11" t="s">
        <v>0</v>
      </c>
      <c r="G4004">
        <v>20250101</v>
      </c>
      <c r="I4004" s="11" t="s">
        <v>63</v>
      </c>
      <c r="J4004" s="72">
        <v>20595575</v>
      </c>
      <c r="K4004" s="99" t="str">
        <f>_xlfn.XLOOKUP(_2__ROI_Daily_Update[[#This Row],[CSM id]],SHP!F:F,SHP!EE:EE,"-")</f>
        <v>-</v>
      </c>
    </row>
    <row r="4005" spans="1:11" x14ac:dyDescent="0.45">
      <c r="A4005" s="57">
        <v>1211</v>
      </c>
      <c r="B4005" t="s">
        <v>1767</v>
      </c>
      <c r="C4005" t="s">
        <v>1768</v>
      </c>
      <c r="D4005" s="12">
        <v>46333</v>
      </c>
      <c r="E4005" s="11">
        <v>16</v>
      </c>
      <c r="F4005" s="11" t="s">
        <v>0</v>
      </c>
      <c r="G4005">
        <v>20241001</v>
      </c>
      <c r="I4005" s="11" t="s">
        <v>63</v>
      </c>
      <c r="J4005" s="72">
        <v>80297554</v>
      </c>
      <c r="K4005" s="99" t="str">
        <f>_xlfn.XLOOKUP(_2__ROI_Daily_Update[[#This Row],[CSM id]],SHP!F:F,SHP!EE:EE,"-")</f>
        <v>-</v>
      </c>
    </row>
    <row r="4006" spans="1:11" x14ac:dyDescent="0.45">
      <c r="A4006" s="57">
        <v>1211</v>
      </c>
      <c r="B4006" t="s">
        <v>1753</v>
      </c>
      <c r="C4006" t="s">
        <v>1754</v>
      </c>
      <c r="D4006" s="12">
        <v>46333</v>
      </c>
      <c r="E4006" s="11">
        <v>180</v>
      </c>
      <c r="F4006" s="11" t="s">
        <v>0</v>
      </c>
      <c r="G4006">
        <v>20250401</v>
      </c>
      <c r="I4006" s="11" t="s">
        <v>18</v>
      </c>
      <c r="J4006" s="72">
        <v>50602150</v>
      </c>
      <c r="K4006" s="99" t="str">
        <f>_xlfn.XLOOKUP(_2__ROI_Daily_Update[[#This Row],[CSM id]],SHP!F:F,SHP!EE:EE,"-")</f>
        <v>-</v>
      </c>
    </row>
    <row r="4007" spans="1:11" x14ac:dyDescent="0.45">
      <c r="A4007" s="57">
        <v>1642</v>
      </c>
      <c r="B4007" t="s">
        <v>7574</v>
      </c>
      <c r="C4007" t="s">
        <v>7575</v>
      </c>
      <c r="D4007" s="12">
        <v>46333</v>
      </c>
      <c r="E4007" s="11">
        <v>21</v>
      </c>
      <c r="F4007" s="11" t="s">
        <v>0</v>
      </c>
      <c r="G4007">
        <v>20250701</v>
      </c>
      <c r="I4007" s="11" t="s">
        <v>63</v>
      </c>
      <c r="J4007" s="72">
        <v>50601990</v>
      </c>
      <c r="K4007" s="99" t="str">
        <f>_xlfn.XLOOKUP(_2__ROI_Daily_Update[[#This Row],[CSM id]],SHP!F:F,SHP!EE:EE,"-")</f>
        <v>-</v>
      </c>
    </row>
    <row r="4008" spans="1:11" x14ac:dyDescent="0.45">
      <c r="A4008" s="57">
        <v>922</v>
      </c>
      <c r="B4008" t="s">
        <v>724</v>
      </c>
      <c r="C4008" t="s">
        <v>725</v>
      </c>
      <c r="D4008" s="12">
        <v>46333</v>
      </c>
      <c r="E4008" s="11">
        <v>20</v>
      </c>
      <c r="F4008" s="11" t="s">
        <v>0</v>
      </c>
      <c r="G4008">
        <v>20251001</v>
      </c>
      <c r="H4008" s="12">
        <v>46478</v>
      </c>
      <c r="I4008" s="11" t="s">
        <v>63</v>
      </c>
      <c r="J4008" s="72">
        <v>50603215</v>
      </c>
      <c r="K4008" s="99" t="str">
        <f>_xlfn.XLOOKUP(_2__ROI_Daily_Update[[#This Row],[CSM id]],SHP!F:F,SHP!EE:EE,"-")</f>
        <v>-</v>
      </c>
    </row>
    <row r="4009" spans="1:11" x14ac:dyDescent="0.45">
      <c r="A4009" s="57">
        <v>1211</v>
      </c>
      <c r="B4009" t="s">
        <v>7570</v>
      </c>
      <c r="C4009" t="s">
        <v>7571</v>
      </c>
      <c r="D4009" s="12">
        <v>46333</v>
      </c>
      <c r="E4009" s="11">
        <v>23</v>
      </c>
      <c r="F4009" s="11" t="s">
        <v>0</v>
      </c>
      <c r="G4009">
        <v>20261001</v>
      </c>
      <c r="I4009" s="11" t="s">
        <v>63</v>
      </c>
      <c r="J4009" s="72">
        <v>50637164</v>
      </c>
      <c r="K4009" s="99" t="str">
        <f>_xlfn.XLOOKUP(_2__ROI_Daily_Update[[#This Row],[CSM id]],SHP!F:F,SHP!EE:EE,"-")</f>
        <v>-</v>
      </c>
    </row>
    <row r="4010" spans="1:11" x14ac:dyDescent="0.45">
      <c r="A4010" s="57">
        <v>1211</v>
      </c>
      <c r="B4010" t="s">
        <v>1757</v>
      </c>
      <c r="C4010" t="s">
        <v>1758</v>
      </c>
      <c r="D4010" s="12">
        <v>46333</v>
      </c>
      <c r="E4010" s="11">
        <v>8</v>
      </c>
      <c r="F4010" s="11" t="s">
        <v>0</v>
      </c>
      <c r="G4010">
        <v>20200801</v>
      </c>
      <c r="I4010" s="11" t="s">
        <v>63</v>
      </c>
      <c r="J4010" s="72">
        <v>60466717</v>
      </c>
      <c r="K4010" s="99" t="str">
        <f>_xlfn.XLOOKUP(_2__ROI_Daily_Update[[#This Row],[CSM id]],SHP!F:F,SHP!EE:EE,"-")</f>
        <v>-</v>
      </c>
    </row>
    <row r="4011" spans="1:11" x14ac:dyDescent="0.45">
      <c r="A4011" s="57">
        <v>1623</v>
      </c>
      <c r="B4011" t="s">
        <v>6519</v>
      </c>
      <c r="C4011" t="s">
        <v>6520</v>
      </c>
      <c r="D4011" s="12">
        <v>46333</v>
      </c>
      <c r="E4011" s="11">
        <v>6</v>
      </c>
      <c r="F4011" s="11" t="s">
        <v>0</v>
      </c>
      <c r="G4011">
        <v>20260401</v>
      </c>
      <c r="I4011" s="11" t="s">
        <v>63</v>
      </c>
      <c r="J4011" s="72">
        <v>615273</v>
      </c>
      <c r="K4011" s="99" t="str">
        <f>_xlfn.XLOOKUP(_2__ROI_Daily_Update[[#This Row],[CSM id]],SHP!F:F,SHP!EE:EE,"-")</f>
        <v>-</v>
      </c>
    </row>
    <row r="4012" spans="1:11" x14ac:dyDescent="0.45">
      <c r="A4012" s="57">
        <v>1211</v>
      </c>
      <c r="B4012" t="s">
        <v>7594</v>
      </c>
      <c r="C4012" t="s">
        <v>7595</v>
      </c>
      <c r="D4012" s="12">
        <v>46333</v>
      </c>
      <c r="E4012" s="11">
        <v>448</v>
      </c>
      <c r="F4012" s="11" t="s">
        <v>0</v>
      </c>
      <c r="G4012">
        <v>20140801</v>
      </c>
      <c r="I4012" s="11" t="s">
        <v>18</v>
      </c>
      <c r="J4012" s="72">
        <v>70171927</v>
      </c>
      <c r="K4012" s="99" t="str">
        <f>_xlfn.XLOOKUP(_2__ROI_Daily_Update[[#This Row],[CSM id]],SHP!F:F,SHP!EE:EE,"-")</f>
        <v>-</v>
      </c>
    </row>
    <row r="4013" spans="1:11" x14ac:dyDescent="0.45">
      <c r="A4013" s="57">
        <v>1622</v>
      </c>
      <c r="B4013" t="s">
        <v>7783</v>
      </c>
      <c r="C4013" t="s">
        <v>7784</v>
      </c>
      <c r="D4013" s="12">
        <v>46333</v>
      </c>
      <c r="E4013" s="11">
        <v>40</v>
      </c>
      <c r="F4013" s="11" t="s">
        <v>0</v>
      </c>
      <c r="G4013">
        <v>20261001</v>
      </c>
      <c r="H4013" s="12">
        <v>46388</v>
      </c>
      <c r="I4013" s="11" t="s">
        <v>32</v>
      </c>
      <c r="J4013" s="72">
        <v>80640400</v>
      </c>
      <c r="K4013" s="99" t="str">
        <f>_xlfn.XLOOKUP(_2__ROI_Daily_Update[[#This Row],[CSM id]],SHP!F:F,SHP!EE:EE,"-")</f>
        <v>-</v>
      </c>
    </row>
    <row r="4014" spans="1:11" x14ac:dyDescent="0.45">
      <c r="A4014" s="57">
        <v>1233</v>
      </c>
      <c r="B4014" t="s">
        <v>6885</v>
      </c>
      <c r="C4014" t="s">
        <v>6886</v>
      </c>
      <c r="D4014" s="12">
        <v>46333</v>
      </c>
      <c r="E4014" s="11">
        <v>72</v>
      </c>
      <c r="F4014" s="11" t="s">
        <v>0</v>
      </c>
      <c r="G4014">
        <v>20261001</v>
      </c>
      <c r="H4014" s="12">
        <v>46478</v>
      </c>
      <c r="I4014" s="11" t="s">
        <v>63</v>
      </c>
      <c r="J4014" s="72">
        <v>60636908</v>
      </c>
      <c r="K4014" s="99" t="str">
        <f>_xlfn.XLOOKUP(_2__ROI_Daily_Update[[#This Row],[CSM id]],SHP!F:F,SHP!EE:EE,"-")</f>
        <v>-</v>
      </c>
    </row>
    <row r="4015" spans="1:11" x14ac:dyDescent="0.45">
      <c r="A4015" s="57">
        <v>1621</v>
      </c>
      <c r="B4015" t="s">
        <v>2881</v>
      </c>
      <c r="C4015" t="s">
        <v>2882</v>
      </c>
      <c r="D4015" s="12">
        <v>46333</v>
      </c>
      <c r="E4015" s="11">
        <v>12</v>
      </c>
      <c r="F4015" s="11" t="s">
        <v>0</v>
      </c>
      <c r="G4015">
        <v>20250401</v>
      </c>
      <c r="H4015" s="12">
        <v>46569</v>
      </c>
      <c r="I4015" s="11" t="s">
        <v>63</v>
      </c>
      <c r="J4015" s="72">
        <v>80570869</v>
      </c>
      <c r="K4015" s="99" t="str">
        <f>_xlfn.XLOOKUP(_2__ROI_Daily_Update[[#This Row],[CSM id]],SHP!F:F,SHP!EE:EE,"-")</f>
        <v>-</v>
      </c>
    </row>
    <row r="4016" spans="1:11" x14ac:dyDescent="0.45">
      <c r="A4016" s="57">
        <v>1314</v>
      </c>
      <c r="B4016" t="s">
        <v>2060</v>
      </c>
      <c r="C4016" t="s">
        <v>2061</v>
      </c>
      <c r="D4016" s="12">
        <v>46333</v>
      </c>
      <c r="E4016" s="11">
        <v>44</v>
      </c>
      <c r="F4016" s="11" t="s">
        <v>0</v>
      </c>
      <c r="G4016">
        <v>20190401</v>
      </c>
      <c r="I4016" s="11" t="s">
        <v>63</v>
      </c>
      <c r="J4016" s="72">
        <v>40426280</v>
      </c>
      <c r="K4016" s="99" t="str">
        <f>_xlfn.XLOOKUP(_2__ROI_Daily_Update[[#This Row],[CSM id]],SHP!F:F,SHP!EE:EE,"-")</f>
        <v>-</v>
      </c>
    </row>
    <row r="4017" spans="1:11" x14ac:dyDescent="0.45">
      <c r="A4017" s="57">
        <v>1411</v>
      </c>
      <c r="B4017" t="s">
        <v>6027</v>
      </c>
      <c r="C4017" t="s">
        <v>6028</v>
      </c>
      <c r="D4017" s="12">
        <v>46333</v>
      </c>
      <c r="E4017" s="11">
        <v>84</v>
      </c>
      <c r="F4017" s="11" t="s">
        <v>0</v>
      </c>
      <c r="G4017">
        <v>20261001</v>
      </c>
      <c r="H4017" s="12">
        <v>46478</v>
      </c>
      <c r="I4017" s="11" t="s">
        <v>63</v>
      </c>
      <c r="J4017" s="72">
        <v>40637701</v>
      </c>
      <c r="K4017" s="99" t="str">
        <f>_xlfn.XLOOKUP(_2__ROI_Daily_Update[[#This Row],[CSM id]],SHP!F:F,SHP!EE:EE,"-")</f>
        <v>-</v>
      </c>
    </row>
    <row r="4018" spans="1:11" x14ac:dyDescent="0.45">
      <c r="A4018" s="57">
        <v>1642</v>
      </c>
      <c r="B4018" t="s">
        <v>7680</v>
      </c>
      <c r="C4018" t="s">
        <v>7681</v>
      </c>
      <c r="D4018" s="12">
        <v>46333</v>
      </c>
      <c r="E4018" s="11">
        <v>4</v>
      </c>
      <c r="F4018" s="11" t="s">
        <v>0</v>
      </c>
      <c r="G4018">
        <v>20260701</v>
      </c>
      <c r="I4018" s="11" t="s">
        <v>63</v>
      </c>
      <c r="J4018" s="72">
        <v>20623470</v>
      </c>
      <c r="K4018" s="99" t="str">
        <f>_xlfn.XLOOKUP(_2__ROI_Daily_Update[[#This Row],[CSM id]],SHP!F:F,SHP!EE:EE,"-")</f>
        <v>-</v>
      </c>
    </row>
    <row r="4019" spans="1:11" x14ac:dyDescent="0.45">
      <c r="A4019" s="57">
        <v>221</v>
      </c>
      <c r="B4019" t="s">
        <v>314</v>
      </c>
      <c r="C4019" t="s">
        <v>315</v>
      </c>
      <c r="D4019" s="12">
        <v>46333</v>
      </c>
      <c r="E4019" s="11">
        <v>30</v>
      </c>
      <c r="F4019" s="11" t="s">
        <v>0</v>
      </c>
      <c r="G4019">
        <v>20210701</v>
      </c>
      <c r="I4019" s="11" t="s">
        <v>18</v>
      </c>
      <c r="J4019" s="72">
        <v>10502992</v>
      </c>
      <c r="K4019" s="99" t="str">
        <f>_xlfn.XLOOKUP(_2__ROI_Daily_Update[[#This Row],[CSM id]],SHP!F:F,SHP!EE:EE,"-")</f>
        <v>-</v>
      </c>
    </row>
    <row r="4020" spans="1:11" x14ac:dyDescent="0.45">
      <c r="A4020" s="57">
        <v>1211</v>
      </c>
      <c r="B4020" t="s">
        <v>6057</v>
      </c>
      <c r="C4020" t="s">
        <v>6058</v>
      </c>
      <c r="D4020" s="12">
        <v>46333</v>
      </c>
      <c r="E4020" s="11">
        <v>12</v>
      </c>
      <c r="F4020" s="11" t="s">
        <v>0</v>
      </c>
      <c r="G4020">
        <v>20181001</v>
      </c>
      <c r="I4020" s="11" t="s">
        <v>63</v>
      </c>
      <c r="J4020" s="72">
        <v>20423414</v>
      </c>
      <c r="K4020" s="99" t="str">
        <f>_xlfn.XLOOKUP(_2__ROI_Daily_Update[[#This Row],[CSM id]],SHP!F:F,SHP!EE:EE,"-")</f>
        <v>-</v>
      </c>
    </row>
    <row r="4021" spans="1:11" x14ac:dyDescent="0.45">
      <c r="A4021" s="57">
        <v>1621</v>
      </c>
      <c r="B4021" t="s">
        <v>2853</v>
      </c>
      <c r="C4021" t="s">
        <v>2854</v>
      </c>
      <c r="D4021" s="12">
        <v>46333</v>
      </c>
      <c r="E4021" s="11">
        <v>30</v>
      </c>
      <c r="F4021" s="11" t="s">
        <v>0</v>
      </c>
      <c r="G4021">
        <v>20210401</v>
      </c>
      <c r="I4021" s="11" t="s">
        <v>63</v>
      </c>
      <c r="J4021" s="72">
        <v>20478350</v>
      </c>
      <c r="K4021" s="99" t="str">
        <f>_xlfn.XLOOKUP(_2__ROI_Daily_Update[[#This Row],[CSM id]],SHP!F:F,SHP!EE:EE,"-")</f>
        <v>-</v>
      </c>
    </row>
    <row r="4022" spans="1:11" x14ac:dyDescent="0.45">
      <c r="A4022" s="57">
        <v>1314</v>
      </c>
      <c r="B4022" t="s">
        <v>5614</v>
      </c>
      <c r="C4022" t="s">
        <v>5615</v>
      </c>
      <c r="D4022" s="12">
        <v>46333</v>
      </c>
      <c r="E4022" s="11">
        <v>160</v>
      </c>
      <c r="F4022" s="11" t="s">
        <v>0</v>
      </c>
      <c r="G4022">
        <v>20181001</v>
      </c>
      <c r="I4022" s="11" t="s">
        <v>18</v>
      </c>
      <c r="J4022" s="72">
        <v>80420243</v>
      </c>
      <c r="K4022" s="99" t="str">
        <f>_xlfn.XLOOKUP(_2__ROI_Daily_Update[[#This Row],[CSM id]],SHP!F:F,SHP!EE:EE,"-")</f>
        <v>-</v>
      </c>
    </row>
    <row r="4023" spans="1:11" x14ac:dyDescent="0.45">
      <c r="A4023" s="57">
        <v>1211</v>
      </c>
      <c r="B4023" t="s">
        <v>5902</v>
      </c>
      <c r="C4023" t="s">
        <v>5903</v>
      </c>
      <c r="D4023" s="12">
        <v>46333</v>
      </c>
      <c r="E4023" s="11">
        <v>6</v>
      </c>
      <c r="F4023" s="11" t="s">
        <v>0</v>
      </c>
      <c r="G4023">
        <v>20200201</v>
      </c>
      <c r="I4023" s="11" t="s">
        <v>18</v>
      </c>
      <c r="J4023" s="72">
        <v>50462791</v>
      </c>
      <c r="K4023" s="99" t="str">
        <f>_xlfn.XLOOKUP(_2__ROI_Daily_Update[[#This Row],[CSM id]],SHP!F:F,SHP!EE:EE,"-")</f>
        <v>-</v>
      </c>
    </row>
    <row r="4024" spans="1:11" x14ac:dyDescent="0.45">
      <c r="A4024" s="57">
        <v>1621</v>
      </c>
      <c r="B4024" t="s">
        <v>2855</v>
      </c>
      <c r="C4024" t="s">
        <v>2856</v>
      </c>
      <c r="D4024" s="12">
        <v>46333</v>
      </c>
      <c r="E4024" s="11">
        <v>3</v>
      </c>
      <c r="F4024" s="11" t="s">
        <v>0</v>
      </c>
      <c r="G4024">
        <v>20251001</v>
      </c>
      <c r="I4024" s="11" t="s">
        <v>63</v>
      </c>
      <c r="J4024" s="72">
        <v>20621824</v>
      </c>
      <c r="K4024" s="99" t="str">
        <f>_xlfn.XLOOKUP(_2__ROI_Daily_Update[[#This Row],[CSM id]],SHP!F:F,SHP!EE:EE,"-")</f>
        <v>-</v>
      </c>
    </row>
    <row r="4025" spans="1:11" x14ac:dyDescent="0.45">
      <c r="A4025" s="57">
        <v>1831</v>
      </c>
      <c r="B4025" t="s">
        <v>7668</v>
      </c>
      <c r="C4025" t="s">
        <v>7669</v>
      </c>
      <c r="D4025" s="12">
        <v>46333</v>
      </c>
      <c r="E4025" s="11">
        <v>18</v>
      </c>
      <c r="F4025" s="11" t="s">
        <v>0</v>
      </c>
      <c r="G4025">
        <v>20210201</v>
      </c>
      <c r="H4025" s="12">
        <v>46569</v>
      </c>
      <c r="I4025" s="11" t="s">
        <v>63</v>
      </c>
      <c r="J4025" s="72">
        <v>20474371</v>
      </c>
      <c r="K4025" s="99" t="str">
        <f>_xlfn.XLOOKUP(_2__ROI_Daily_Update[[#This Row],[CSM id]],SHP!F:F,SHP!EE:EE,"-")</f>
        <v>-</v>
      </c>
    </row>
    <row r="4026" spans="1:11" x14ac:dyDescent="0.45">
      <c r="A4026" s="57">
        <v>1311</v>
      </c>
      <c r="B4026" t="s">
        <v>7662</v>
      </c>
      <c r="C4026" t="s">
        <v>7663</v>
      </c>
      <c r="D4026" s="12">
        <v>46333</v>
      </c>
      <c r="E4026" s="11">
        <v>25</v>
      </c>
      <c r="F4026" s="11" t="s">
        <v>0</v>
      </c>
      <c r="G4026">
        <v>20260401</v>
      </c>
      <c r="I4026" s="11" t="s">
        <v>63</v>
      </c>
      <c r="J4026" s="72">
        <v>70625706</v>
      </c>
      <c r="K4026" s="99" t="str">
        <f>_xlfn.XLOOKUP(_2__ROI_Daily_Update[[#This Row],[CSM id]],SHP!F:F,SHP!EE:EE,"-")</f>
        <v>-</v>
      </c>
    </row>
    <row r="4027" spans="1:11" x14ac:dyDescent="0.45">
      <c r="A4027" s="57">
        <v>1043</v>
      </c>
      <c r="B4027" t="s">
        <v>1320</v>
      </c>
      <c r="C4027" t="s">
        <v>1321</v>
      </c>
      <c r="D4027" s="12">
        <v>46333</v>
      </c>
      <c r="E4027" s="11">
        <v>84</v>
      </c>
      <c r="F4027" s="11" t="s">
        <v>0</v>
      </c>
      <c r="G4027">
        <v>20241001</v>
      </c>
      <c r="I4027" s="11" t="s">
        <v>63</v>
      </c>
      <c r="J4027" s="72">
        <v>70571906</v>
      </c>
      <c r="K4027" s="99" t="str">
        <f>_xlfn.XLOOKUP(_2__ROI_Daily_Update[[#This Row],[CSM id]],SHP!F:F,SHP!EE:EE,"-")</f>
        <v>-</v>
      </c>
    </row>
    <row r="4028" spans="1:11" x14ac:dyDescent="0.45">
      <c r="A4028" s="57">
        <v>1024</v>
      </c>
      <c r="B4028" t="s">
        <v>1268</v>
      </c>
      <c r="C4028" t="s">
        <v>1269</v>
      </c>
      <c r="D4028" s="12">
        <v>46333</v>
      </c>
      <c r="E4028" s="11">
        <v>12</v>
      </c>
      <c r="F4028" s="11" t="s">
        <v>0</v>
      </c>
      <c r="G4028">
        <v>20230101</v>
      </c>
      <c r="H4028" s="12">
        <v>46569</v>
      </c>
      <c r="I4028" s="11" t="s">
        <v>63</v>
      </c>
      <c r="J4028" s="72">
        <v>70503413</v>
      </c>
      <c r="K4028" s="99" t="str">
        <f>_xlfn.XLOOKUP(_2__ROI_Daily_Update[[#This Row],[CSM id]],SHP!F:F,SHP!EE:EE,"-")</f>
        <v>-</v>
      </c>
    </row>
    <row r="4029" spans="1:11" x14ac:dyDescent="0.45">
      <c r="A4029" s="57">
        <v>1043</v>
      </c>
      <c r="B4029" t="s">
        <v>1316</v>
      </c>
      <c r="C4029" t="s">
        <v>1317</v>
      </c>
      <c r="D4029" s="12">
        <v>46333</v>
      </c>
      <c r="E4029" s="11">
        <v>15</v>
      </c>
      <c r="F4029" s="11" t="s">
        <v>0</v>
      </c>
      <c r="G4029">
        <v>20260101</v>
      </c>
      <c r="I4029" s="11" t="s">
        <v>63</v>
      </c>
      <c r="J4029" s="72">
        <v>60609716</v>
      </c>
      <c r="K4029" s="99" t="str">
        <f>_xlfn.XLOOKUP(_2__ROI_Daily_Update[[#This Row],[CSM id]],SHP!F:F,SHP!EE:EE,"-")</f>
        <v>-</v>
      </c>
    </row>
    <row r="4030" spans="1:11" x14ac:dyDescent="0.45">
      <c r="A4030" s="57">
        <v>983</v>
      </c>
      <c r="B4030" t="s">
        <v>970</v>
      </c>
      <c r="C4030" t="s">
        <v>971</v>
      </c>
      <c r="D4030" s="12">
        <v>46333</v>
      </c>
      <c r="E4030" s="11">
        <v>105</v>
      </c>
      <c r="F4030" s="11" t="s">
        <v>0</v>
      </c>
      <c r="G4030">
        <v>20240701</v>
      </c>
      <c r="I4030" s="11" t="s">
        <v>63</v>
      </c>
      <c r="J4030" s="72">
        <v>10572414</v>
      </c>
      <c r="K4030" s="99" t="str">
        <f>_xlfn.XLOOKUP(_2__ROI_Daily_Update[[#This Row],[CSM id]],SHP!F:F,SHP!EE:EE,"-")</f>
        <v>-</v>
      </c>
    </row>
    <row r="4031" spans="1:11" x14ac:dyDescent="0.45">
      <c r="A4031" s="57">
        <v>1833</v>
      </c>
      <c r="B4031" t="s">
        <v>6291</v>
      </c>
      <c r="C4031" t="s">
        <v>6292</v>
      </c>
      <c r="D4031" s="12">
        <v>46333</v>
      </c>
      <c r="E4031" s="11">
        <v>640</v>
      </c>
      <c r="F4031" s="11" t="s">
        <v>0</v>
      </c>
      <c r="G4031">
        <v>20260701</v>
      </c>
      <c r="I4031" s="11" t="s">
        <v>63</v>
      </c>
      <c r="J4031" s="72">
        <v>632258</v>
      </c>
      <c r="K4031" s="99" t="str">
        <f>_xlfn.XLOOKUP(_2__ROI_Daily_Update[[#This Row],[CSM id]],SHP!F:F,SHP!EE:EE,"-")</f>
        <v>-</v>
      </c>
    </row>
    <row r="4032" spans="1:11" x14ac:dyDescent="0.45">
      <c r="A4032" s="57">
        <v>341</v>
      </c>
      <c r="B4032" t="s">
        <v>128</v>
      </c>
      <c r="C4032" t="s">
        <v>129</v>
      </c>
      <c r="D4032" s="12">
        <v>46333</v>
      </c>
      <c r="E4032" s="11">
        <v>8</v>
      </c>
      <c r="F4032" s="11" t="s">
        <v>0</v>
      </c>
      <c r="G4032">
        <v>20260401</v>
      </c>
      <c r="I4032" s="11" t="s">
        <v>63</v>
      </c>
      <c r="J4032" s="72">
        <v>590791</v>
      </c>
      <c r="K4032" s="99" t="str">
        <f>_xlfn.XLOOKUP(_2__ROI_Daily_Update[[#This Row],[CSM id]],SHP!F:F,SHP!EE:EE,"-")</f>
        <v>-</v>
      </c>
    </row>
    <row r="4033" spans="1:11" x14ac:dyDescent="0.45">
      <c r="A4033" s="57">
        <v>341</v>
      </c>
      <c r="B4033" t="s">
        <v>301</v>
      </c>
      <c r="C4033" t="s">
        <v>302</v>
      </c>
      <c r="D4033" s="12">
        <v>46333</v>
      </c>
      <c r="E4033" s="11">
        <v>36</v>
      </c>
      <c r="F4033" s="11" t="s">
        <v>0</v>
      </c>
      <c r="G4033">
        <v>20230901</v>
      </c>
      <c r="I4033" s="11" t="s">
        <v>18</v>
      </c>
      <c r="J4033" s="72">
        <v>60557802</v>
      </c>
      <c r="K4033" s="99" t="str">
        <f>_xlfn.XLOOKUP(_2__ROI_Daily_Update[[#This Row],[CSM id]],SHP!F:F,SHP!EE:EE,"-")</f>
        <v>-</v>
      </c>
    </row>
    <row r="4034" spans="1:11" x14ac:dyDescent="0.45">
      <c r="A4034" s="57">
        <v>1531</v>
      </c>
      <c r="B4034" t="s">
        <v>7584</v>
      </c>
      <c r="C4034" t="s">
        <v>7585</v>
      </c>
      <c r="D4034" s="12">
        <v>46333</v>
      </c>
      <c r="E4034" s="11">
        <v>240</v>
      </c>
      <c r="F4034" s="11" t="s">
        <v>0</v>
      </c>
      <c r="G4034">
        <v>20240701</v>
      </c>
      <c r="I4034" s="11" t="s">
        <v>63</v>
      </c>
      <c r="J4034" s="72">
        <v>70588817</v>
      </c>
      <c r="K4034" s="99" t="str">
        <f>_xlfn.XLOOKUP(_2__ROI_Daily_Update[[#This Row],[CSM id]],SHP!F:F,SHP!EE:EE,"-")</f>
        <v>-</v>
      </c>
    </row>
    <row r="4035" spans="1:11" x14ac:dyDescent="0.45">
      <c r="A4035" s="57">
        <v>1645</v>
      </c>
      <c r="B4035" t="s">
        <v>3281</v>
      </c>
      <c r="C4035" t="s">
        <v>3282</v>
      </c>
      <c r="D4035" s="12">
        <v>46333</v>
      </c>
      <c r="E4035" s="11">
        <v>70</v>
      </c>
      <c r="F4035" s="11" t="s">
        <v>0</v>
      </c>
      <c r="G4035">
        <v>20260401</v>
      </c>
      <c r="H4035" s="12">
        <v>46569</v>
      </c>
      <c r="I4035" s="11" t="s">
        <v>63</v>
      </c>
      <c r="J4035" s="72">
        <v>60608571</v>
      </c>
      <c r="K4035" s="99" t="str">
        <f>_xlfn.XLOOKUP(_2__ROI_Daily_Update[[#This Row],[CSM id]],SHP!F:F,SHP!EE:EE,"-")</f>
        <v>-</v>
      </c>
    </row>
    <row r="4036" spans="1:11" x14ac:dyDescent="0.45">
      <c r="A4036" s="57">
        <v>1111</v>
      </c>
      <c r="B4036" t="s">
        <v>1437</v>
      </c>
      <c r="C4036" t="s">
        <v>1438</v>
      </c>
      <c r="D4036" s="12">
        <v>46333</v>
      </c>
      <c r="E4036" s="11">
        <v>36</v>
      </c>
      <c r="F4036" s="11" t="s">
        <v>0</v>
      </c>
      <c r="G4036">
        <v>20251001</v>
      </c>
      <c r="I4036" s="11" t="s">
        <v>63</v>
      </c>
      <c r="J4036" s="72">
        <v>80616462</v>
      </c>
      <c r="K4036" s="99" t="str">
        <f>_xlfn.XLOOKUP(_2__ROI_Daily_Update[[#This Row],[CSM id]],SHP!F:F,SHP!EE:EE,"-")</f>
        <v>-</v>
      </c>
    </row>
    <row r="4037" spans="1:11" x14ac:dyDescent="0.45">
      <c r="A4037" s="57">
        <v>1882</v>
      </c>
      <c r="B4037" t="s">
        <v>3739</v>
      </c>
      <c r="C4037" t="s">
        <v>3740</v>
      </c>
      <c r="D4037" s="12">
        <v>46333</v>
      </c>
      <c r="E4037" s="11">
        <v>360</v>
      </c>
      <c r="F4037" s="11" t="s">
        <v>0</v>
      </c>
      <c r="G4037">
        <v>20240701</v>
      </c>
      <c r="I4037" s="11" t="s">
        <v>18</v>
      </c>
      <c r="J4037" s="72">
        <v>50572964</v>
      </c>
      <c r="K4037" s="99" t="str">
        <f>_xlfn.XLOOKUP(_2__ROI_Daily_Update[[#This Row],[CSM id]],SHP!F:F,SHP!EE:EE,"-")</f>
        <v>-</v>
      </c>
    </row>
    <row r="4038" spans="1:11" x14ac:dyDescent="0.45">
      <c r="A4038" s="57">
        <v>361</v>
      </c>
      <c r="B4038" t="s">
        <v>368</v>
      </c>
      <c r="C4038" t="s">
        <v>369</v>
      </c>
      <c r="D4038" s="12">
        <v>46333</v>
      </c>
      <c r="E4038" s="11">
        <v>36</v>
      </c>
      <c r="F4038" s="11" t="s">
        <v>0</v>
      </c>
      <c r="G4038">
        <v>20210201</v>
      </c>
      <c r="I4038" s="11" t="s">
        <v>18</v>
      </c>
      <c r="J4038" s="72">
        <v>80485102</v>
      </c>
      <c r="K4038" s="99" t="str">
        <f>_xlfn.XLOOKUP(_2__ROI_Daily_Update[[#This Row],[CSM id]],SHP!F:F,SHP!EE:EE,"-")</f>
        <v>-</v>
      </c>
    </row>
    <row r="4039" spans="1:11" x14ac:dyDescent="0.45">
      <c r="A4039" s="57">
        <v>1821</v>
      </c>
      <c r="B4039" t="s">
        <v>3521</v>
      </c>
      <c r="C4039" t="s">
        <v>3522</v>
      </c>
      <c r="D4039" s="12">
        <v>46333</v>
      </c>
      <c r="E4039" s="11">
        <v>12</v>
      </c>
      <c r="F4039" s="11" t="s">
        <v>0</v>
      </c>
      <c r="G4039">
        <v>20180401</v>
      </c>
      <c r="I4039" s="11" t="s">
        <v>63</v>
      </c>
      <c r="J4039" s="72">
        <v>30334931</v>
      </c>
      <c r="K4039" s="99" t="str">
        <f>_xlfn.XLOOKUP(_2__ROI_Daily_Update[[#This Row],[CSM id]],SHP!F:F,SHP!EE:EE,"-")</f>
        <v>-</v>
      </c>
    </row>
    <row r="4040" spans="1:11" x14ac:dyDescent="0.45">
      <c r="A4040" s="57">
        <v>361</v>
      </c>
      <c r="B4040" t="s">
        <v>416</v>
      </c>
      <c r="C4040" t="s">
        <v>417</v>
      </c>
      <c r="D4040" s="12">
        <v>46333</v>
      </c>
      <c r="E4040" s="11">
        <v>42</v>
      </c>
      <c r="F4040" s="11" t="s">
        <v>0</v>
      </c>
      <c r="G4040">
        <v>20210601</v>
      </c>
      <c r="I4040" s="11" t="s">
        <v>18</v>
      </c>
      <c r="J4040" s="72">
        <v>70500527</v>
      </c>
      <c r="K4040" s="99" t="str">
        <f>_xlfn.XLOOKUP(_2__ROI_Daily_Update[[#This Row],[CSM id]],SHP!F:F,SHP!EE:EE,"-")</f>
        <v>-</v>
      </c>
    </row>
    <row r="4041" spans="1:11" x14ac:dyDescent="0.45">
      <c r="A4041" s="57">
        <v>1711</v>
      </c>
      <c r="B4041" t="s">
        <v>7626</v>
      </c>
      <c r="C4041" t="s">
        <v>7627</v>
      </c>
      <c r="D4041" s="12">
        <v>46333</v>
      </c>
      <c r="E4041" s="11">
        <v>17</v>
      </c>
      <c r="F4041" s="11" t="s">
        <v>0</v>
      </c>
      <c r="G4041">
        <v>20250101</v>
      </c>
      <c r="I4041" s="11" t="s">
        <v>63</v>
      </c>
      <c r="J4041" s="72">
        <v>20575563</v>
      </c>
      <c r="K4041" s="99" t="str">
        <f>_xlfn.XLOOKUP(_2__ROI_Daily_Update[[#This Row],[CSM id]],SHP!F:F,SHP!EE:EE,"-")</f>
        <v>-</v>
      </c>
    </row>
    <row r="4042" spans="1:11" x14ac:dyDescent="0.45">
      <c r="A4042" s="57">
        <v>962</v>
      </c>
      <c r="B4042" t="s">
        <v>7612</v>
      </c>
      <c r="C4042" t="s">
        <v>7613</v>
      </c>
      <c r="D4042" s="12">
        <v>46333</v>
      </c>
      <c r="E4042" s="11">
        <v>120</v>
      </c>
      <c r="F4042" s="11" t="s">
        <v>0</v>
      </c>
      <c r="G4042">
        <v>20171001</v>
      </c>
      <c r="H4042" s="12">
        <v>46478</v>
      </c>
      <c r="I4042" s="11" t="s">
        <v>63</v>
      </c>
      <c r="J4042" s="72">
        <v>70239084</v>
      </c>
      <c r="K4042" s="99" t="str">
        <f>_xlfn.XLOOKUP(_2__ROI_Daily_Update[[#This Row],[CSM id]],SHP!F:F,SHP!EE:EE,"-")</f>
        <v>-</v>
      </c>
    </row>
    <row r="4043" spans="1:11" x14ac:dyDescent="0.45">
      <c r="A4043" s="57">
        <v>1232</v>
      </c>
      <c r="B4043" t="s">
        <v>7660</v>
      </c>
      <c r="C4043" t="s">
        <v>7661</v>
      </c>
      <c r="D4043" s="12">
        <v>46333</v>
      </c>
      <c r="E4043" s="11">
        <v>10</v>
      </c>
      <c r="F4043" s="11" t="s">
        <v>0</v>
      </c>
      <c r="G4043">
        <v>20250101</v>
      </c>
      <c r="I4043" s="11" t="s">
        <v>63</v>
      </c>
      <c r="J4043" s="72">
        <v>90603157</v>
      </c>
      <c r="K4043" s="99" t="str">
        <f>_xlfn.XLOOKUP(_2__ROI_Daily_Update[[#This Row],[CSM id]],SHP!F:F,SHP!EE:EE,"-")</f>
        <v>-</v>
      </c>
    </row>
    <row r="4044" spans="1:11" x14ac:dyDescent="0.45">
      <c r="A4044" s="57">
        <v>1832</v>
      </c>
      <c r="B4044" t="s">
        <v>3624</v>
      </c>
      <c r="C4044" t="s">
        <v>3625</v>
      </c>
      <c r="D4044" s="12">
        <v>46333</v>
      </c>
      <c r="E4044" s="11">
        <v>120</v>
      </c>
      <c r="F4044" s="11" t="s">
        <v>0</v>
      </c>
      <c r="G4044">
        <v>20230101</v>
      </c>
      <c r="I4044" s="11" t="s">
        <v>63</v>
      </c>
      <c r="J4044" s="72">
        <v>90540730</v>
      </c>
      <c r="K4044" s="99" t="str">
        <f>_xlfn.XLOOKUP(_2__ROI_Daily_Update[[#This Row],[CSM id]],SHP!F:F,SHP!EE:EE,"-")</f>
        <v>-</v>
      </c>
    </row>
    <row r="4045" spans="1:11" x14ac:dyDescent="0.45">
      <c r="A4045" s="57">
        <v>966</v>
      </c>
      <c r="B4045" t="s">
        <v>5961</v>
      </c>
      <c r="C4045" t="s">
        <v>5962</v>
      </c>
      <c r="D4045" s="12">
        <v>46333</v>
      </c>
      <c r="E4045" s="11">
        <v>88</v>
      </c>
      <c r="F4045" s="11" t="s">
        <v>0</v>
      </c>
      <c r="G4045">
        <v>20251001</v>
      </c>
      <c r="I4045" s="11" t="s">
        <v>18</v>
      </c>
      <c r="J4045" s="72">
        <v>80615090</v>
      </c>
      <c r="K4045" s="99" t="str">
        <f>_xlfn.XLOOKUP(_2__ROI_Daily_Update[[#This Row],[CSM id]],SHP!F:F,SHP!EE:EE,"-")</f>
        <v>-</v>
      </c>
    </row>
    <row r="4046" spans="1:11" x14ac:dyDescent="0.45">
      <c r="A4046" s="57">
        <v>1112</v>
      </c>
      <c r="B4046" t="s">
        <v>5454</v>
      </c>
      <c r="C4046" t="s">
        <v>5455</v>
      </c>
      <c r="D4046" s="12">
        <v>46333</v>
      </c>
      <c r="E4046" s="11">
        <v>25</v>
      </c>
      <c r="F4046" s="11" t="s">
        <v>0</v>
      </c>
      <c r="G4046">
        <v>20251001</v>
      </c>
      <c r="I4046" s="11" t="s">
        <v>63</v>
      </c>
      <c r="J4046" s="72">
        <v>10610958</v>
      </c>
      <c r="K4046" s="99" t="str">
        <f>_xlfn.XLOOKUP(_2__ROI_Daily_Update[[#This Row],[CSM id]],SHP!F:F,SHP!EE:EE,"-")</f>
        <v>-</v>
      </c>
    </row>
    <row r="4047" spans="1:11" x14ac:dyDescent="0.45">
      <c r="A4047" s="57">
        <v>1641</v>
      </c>
      <c r="B4047" t="s">
        <v>6225</v>
      </c>
      <c r="C4047" t="s">
        <v>6226</v>
      </c>
      <c r="D4047" s="12">
        <v>46333</v>
      </c>
      <c r="E4047" s="11">
        <v>60</v>
      </c>
      <c r="F4047" s="11" t="s">
        <v>0</v>
      </c>
      <c r="G4047">
        <v>20240401</v>
      </c>
      <c r="I4047" s="11" t="s">
        <v>63</v>
      </c>
      <c r="J4047" s="72">
        <v>80553723</v>
      </c>
      <c r="K4047" s="99" t="str">
        <f>_xlfn.XLOOKUP(_2__ROI_Daily_Update[[#This Row],[CSM id]],SHP!F:F,SHP!EE:EE,"-")</f>
        <v>-</v>
      </c>
    </row>
    <row r="4048" spans="1:11" x14ac:dyDescent="0.45">
      <c r="A4048" s="57">
        <v>962</v>
      </c>
      <c r="B4048" t="s">
        <v>7628</v>
      </c>
      <c r="C4048" t="s">
        <v>7629</v>
      </c>
      <c r="D4048" s="12">
        <v>46333</v>
      </c>
      <c r="E4048" s="11">
        <v>24</v>
      </c>
      <c r="F4048" s="11" t="s">
        <v>0</v>
      </c>
      <c r="G4048">
        <v>20260701</v>
      </c>
      <c r="I4048" s="11" t="s">
        <v>63</v>
      </c>
      <c r="J4048" s="72">
        <v>70628818</v>
      </c>
      <c r="K4048" s="99" t="str">
        <f>_xlfn.XLOOKUP(_2__ROI_Daily_Update[[#This Row],[CSM id]],SHP!F:F,SHP!EE:EE,"-")</f>
        <v>-</v>
      </c>
    </row>
    <row r="4049" spans="1:11" x14ac:dyDescent="0.45">
      <c r="A4049" s="57">
        <v>1634</v>
      </c>
      <c r="B4049" t="s">
        <v>7654</v>
      </c>
      <c r="C4049" t="s">
        <v>7655</v>
      </c>
      <c r="D4049" s="12">
        <v>46333</v>
      </c>
      <c r="E4049" s="11">
        <v>24</v>
      </c>
      <c r="F4049" s="11" t="s">
        <v>0</v>
      </c>
      <c r="G4049">
        <v>20260701</v>
      </c>
      <c r="I4049" s="11" t="s">
        <v>63</v>
      </c>
      <c r="J4049" s="72">
        <v>10630334</v>
      </c>
      <c r="K4049" s="99" t="str">
        <f>_xlfn.XLOOKUP(_2__ROI_Daily_Update[[#This Row],[CSM id]],SHP!F:F,SHP!EE:EE,"-")</f>
        <v>-</v>
      </c>
    </row>
    <row r="4050" spans="1:11" x14ac:dyDescent="0.45">
      <c r="A4050" s="57">
        <v>424</v>
      </c>
      <c r="B4050" t="s">
        <v>439</v>
      </c>
      <c r="C4050" t="s">
        <v>440</v>
      </c>
      <c r="D4050" s="12">
        <v>46333</v>
      </c>
      <c r="E4050" s="11">
        <v>26</v>
      </c>
      <c r="F4050" s="11" t="s">
        <v>0</v>
      </c>
      <c r="G4050">
        <v>20190801</v>
      </c>
      <c r="I4050" s="11" t="s">
        <v>18</v>
      </c>
      <c r="J4050" s="72">
        <v>20431305</v>
      </c>
      <c r="K4050" s="99" t="str">
        <f>_xlfn.XLOOKUP(_2__ROI_Daily_Update[[#This Row],[CSM id]],SHP!F:F,SHP!EE:EE,"-")</f>
        <v>-</v>
      </c>
    </row>
    <row r="4051" spans="1:11" x14ac:dyDescent="0.45">
      <c r="A4051" s="57">
        <v>424</v>
      </c>
      <c r="B4051" t="s">
        <v>5302</v>
      </c>
      <c r="C4051" t="s">
        <v>5303</v>
      </c>
      <c r="D4051" s="12">
        <v>46333</v>
      </c>
      <c r="E4051" s="11">
        <v>21</v>
      </c>
      <c r="F4051" s="11" t="s">
        <v>0</v>
      </c>
      <c r="G4051">
        <v>20190601</v>
      </c>
      <c r="I4051" s="11" t="s">
        <v>63</v>
      </c>
      <c r="J4051" s="72">
        <v>10431315</v>
      </c>
      <c r="K4051" s="99" t="str">
        <f>_xlfn.XLOOKUP(_2__ROI_Daily_Update[[#This Row],[CSM id]],SHP!F:F,SHP!EE:EE,"-")</f>
        <v>-</v>
      </c>
    </row>
    <row r="4052" spans="1:11" x14ac:dyDescent="0.45">
      <c r="A4052" s="57">
        <v>1221</v>
      </c>
      <c r="B4052" t="s">
        <v>7029</v>
      </c>
      <c r="C4052" t="s">
        <v>7030</v>
      </c>
      <c r="D4052" s="12">
        <v>46333</v>
      </c>
      <c r="E4052" s="11">
        <v>6</v>
      </c>
      <c r="F4052" s="11" t="s">
        <v>0</v>
      </c>
      <c r="G4052">
        <v>20260701</v>
      </c>
      <c r="I4052" s="11" t="s">
        <v>63</v>
      </c>
      <c r="J4052" s="72">
        <v>70635526</v>
      </c>
      <c r="K4052" s="99" t="str">
        <f>_xlfn.XLOOKUP(_2__ROI_Daily_Update[[#This Row],[CSM id]],SHP!F:F,SHP!EE:EE,"-")</f>
        <v>-</v>
      </c>
    </row>
    <row r="4053" spans="1:11" x14ac:dyDescent="0.45">
      <c r="A4053" s="57">
        <v>962</v>
      </c>
      <c r="B4053" t="s">
        <v>751</v>
      </c>
      <c r="C4053" t="s">
        <v>752</v>
      </c>
      <c r="D4053" s="12">
        <v>46333</v>
      </c>
      <c r="E4053" s="11">
        <v>22</v>
      </c>
      <c r="F4053" s="11" t="s">
        <v>0</v>
      </c>
      <c r="G4053">
        <v>20260701</v>
      </c>
      <c r="I4053" s="11" t="s">
        <v>63</v>
      </c>
      <c r="J4053" s="72">
        <v>90625055</v>
      </c>
      <c r="K4053" s="99" t="str">
        <f>_xlfn.XLOOKUP(_2__ROI_Daily_Update[[#This Row],[CSM id]],SHP!F:F,SHP!EE:EE,"-")</f>
        <v>-</v>
      </c>
    </row>
    <row r="4054" spans="1:11" x14ac:dyDescent="0.45">
      <c r="A4054" s="57">
        <v>1811</v>
      </c>
      <c r="B4054" t="s">
        <v>3315</v>
      </c>
      <c r="C4054" t="s">
        <v>3316</v>
      </c>
      <c r="D4054" s="12">
        <v>46333</v>
      </c>
      <c r="E4054" s="11">
        <v>114</v>
      </c>
      <c r="F4054" s="11" t="s">
        <v>0</v>
      </c>
      <c r="G4054">
        <v>20250701</v>
      </c>
      <c r="I4054" s="11" t="s">
        <v>63</v>
      </c>
      <c r="J4054" s="72">
        <v>10596924</v>
      </c>
      <c r="K4054" s="99" t="str">
        <f>_xlfn.XLOOKUP(_2__ROI_Daily_Update[[#This Row],[CSM id]],SHP!F:F,SHP!EE:EE,"-")</f>
        <v>-</v>
      </c>
    </row>
    <row r="4055" spans="1:11" x14ac:dyDescent="0.45">
      <c r="A4055" s="57">
        <v>1852</v>
      </c>
      <c r="B4055" t="s">
        <v>3695</v>
      </c>
      <c r="C4055" t="s">
        <v>3696</v>
      </c>
      <c r="D4055" s="12">
        <v>46333</v>
      </c>
      <c r="E4055" s="11">
        <v>12</v>
      </c>
      <c r="F4055" s="11" t="s">
        <v>0</v>
      </c>
      <c r="G4055">
        <v>20260101</v>
      </c>
      <c r="I4055" s="11" t="s">
        <v>63</v>
      </c>
      <c r="J4055" s="72">
        <v>50595395</v>
      </c>
      <c r="K4055" s="99" t="str">
        <f>_xlfn.XLOOKUP(_2__ROI_Daily_Update[[#This Row],[CSM id]],SHP!F:F,SHP!EE:EE,"-")</f>
        <v>-</v>
      </c>
    </row>
    <row r="4056" spans="1:11" x14ac:dyDescent="0.45">
      <c r="A4056" s="57">
        <v>1811</v>
      </c>
      <c r="B4056" t="s">
        <v>3319</v>
      </c>
      <c r="C4056" t="s">
        <v>3320</v>
      </c>
      <c r="D4056" s="12">
        <v>46333</v>
      </c>
      <c r="E4056" s="11">
        <v>72</v>
      </c>
      <c r="F4056" s="11" t="s">
        <v>0</v>
      </c>
      <c r="G4056">
        <v>20261001</v>
      </c>
      <c r="I4056" s="11" t="s">
        <v>63</v>
      </c>
      <c r="J4056" s="72">
        <v>10625808</v>
      </c>
      <c r="K4056" s="99" t="str">
        <f>_xlfn.XLOOKUP(_2__ROI_Daily_Update[[#This Row],[CSM id]],SHP!F:F,SHP!EE:EE,"-")</f>
        <v>-</v>
      </c>
    </row>
    <row r="4057" spans="1:11" x14ac:dyDescent="0.45">
      <c r="A4057" s="57">
        <v>974</v>
      </c>
      <c r="B4057" t="s">
        <v>7610</v>
      </c>
      <c r="C4057" t="s">
        <v>7611</v>
      </c>
      <c r="D4057" s="12">
        <v>46333</v>
      </c>
      <c r="E4057" s="11">
        <v>90</v>
      </c>
      <c r="F4057" s="11" t="s">
        <v>0</v>
      </c>
      <c r="G4057">
        <v>20250401</v>
      </c>
      <c r="I4057" s="11" t="s">
        <v>63</v>
      </c>
      <c r="J4057" s="72">
        <v>50564474</v>
      </c>
      <c r="K4057" s="99" t="str">
        <f>_xlfn.XLOOKUP(_2__ROI_Daily_Update[[#This Row],[CSM id]],SHP!F:F,SHP!EE:EE,"-")</f>
        <v>-</v>
      </c>
    </row>
    <row r="4058" spans="1:11" x14ac:dyDescent="0.45">
      <c r="A4058" s="57">
        <v>1019</v>
      </c>
      <c r="B4058" t="s">
        <v>7590</v>
      </c>
      <c r="C4058" t="s">
        <v>7591</v>
      </c>
      <c r="D4058" s="12">
        <v>46333</v>
      </c>
      <c r="E4058" s="11">
        <v>54</v>
      </c>
      <c r="F4058" s="11" t="s">
        <v>0</v>
      </c>
      <c r="G4058">
        <v>20140801</v>
      </c>
      <c r="I4058" s="11" t="s">
        <v>63</v>
      </c>
      <c r="J4058" s="72">
        <v>283909</v>
      </c>
      <c r="K4058" s="99" t="str">
        <f>_xlfn.XLOOKUP(_2__ROI_Daily_Update[[#This Row],[CSM id]],SHP!F:F,SHP!EE:EE,"-")</f>
        <v>-</v>
      </c>
    </row>
    <row r="4059" spans="1:11" x14ac:dyDescent="0.45">
      <c r="A4059" s="57">
        <v>1231</v>
      </c>
      <c r="B4059" t="s">
        <v>1955</v>
      </c>
      <c r="C4059" t="s">
        <v>1956</v>
      </c>
      <c r="D4059" s="12">
        <v>46333</v>
      </c>
      <c r="E4059" s="11">
        <v>224</v>
      </c>
      <c r="F4059" s="11" t="s">
        <v>0</v>
      </c>
      <c r="G4059">
        <v>20261001</v>
      </c>
      <c r="I4059" s="11" t="s">
        <v>63</v>
      </c>
      <c r="J4059" s="72">
        <v>90639712</v>
      </c>
      <c r="K4059" s="99" t="str">
        <f>_xlfn.XLOOKUP(_2__ROI_Daily_Update[[#This Row],[CSM id]],SHP!F:F,SHP!EE:EE,"-")</f>
        <v>-</v>
      </c>
    </row>
    <row r="4060" spans="1:11" x14ac:dyDescent="0.45">
      <c r="A4060" s="57">
        <v>433</v>
      </c>
      <c r="B4060" t="s">
        <v>473</v>
      </c>
      <c r="C4060" t="s">
        <v>474</v>
      </c>
      <c r="D4060" s="12">
        <v>46333</v>
      </c>
      <c r="E4060" s="11">
        <v>25</v>
      </c>
      <c r="F4060" s="11" t="s">
        <v>0</v>
      </c>
      <c r="G4060">
        <v>20240401</v>
      </c>
      <c r="I4060" s="11" t="s">
        <v>18</v>
      </c>
      <c r="J4060" s="72">
        <v>80558216</v>
      </c>
      <c r="K4060" s="99" t="str">
        <f>_xlfn.XLOOKUP(_2__ROI_Daily_Update[[#This Row],[CSM id]],SHP!F:F,SHP!EE:EE,"-")</f>
        <v>-</v>
      </c>
    </row>
    <row r="4061" spans="1:11" x14ac:dyDescent="0.45">
      <c r="A4061" s="57">
        <v>1811</v>
      </c>
      <c r="B4061" t="s">
        <v>3341</v>
      </c>
      <c r="C4061" t="s">
        <v>3342</v>
      </c>
      <c r="D4061" s="12">
        <v>46333</v>
      </c>
      <c r="E4061" s="11">
        <v>168</v>
      </c>
      <c r="F4061" s="11" t="s">
        <v>0</v>
      </c>
      <c r="G4061">
        <v>20240401</v>
      </c>
      <c r="I4061" s="11" t="s">
        <v>18</v>
      </c>
      <c r="J4061" s="72">
        <v>60480544</v>
      </c>
      <c r="K4061" s="99" t="str">
        <f>_xlfn.XLOOKUP(_2__ROI_Daily_Update[[#This Row],[CSM id]],SHP!F:F,SHP!EE:EE,"-")</f>
        <v>-</v>
      </c>
    </row>
    <row r="4062" spans="1:11" x14ac:dyDescent="0.45">
      <c r="A4062" s="57">
        <v>964</v>
      </c>
      <c r="B4062" t="s">
        <v>7608</v>
      </c>
      <c r="C4062" t="s">
        <v>7609</v>
      </c>
      <c r="D4062" s="12">
        <v>46333</v>
      </c>
      <c r="E4062" s="11">
        <v>10</v>
      </c>
      <c r="F4062" s="11" t="s">
        <v>0</v>
      </c>
      <c r="G4062">
        <v>20260401</v>
      </c>
      <c r="I4062" s="11" t="s">
        <v>63</v>
      </c>
      <c r="J4062" s="72">
        <v>30622724</v>
      </c>
      <c r="K4062" s="99" t="str">
        <f>_xlfn.XLOOKUP(_2__ROI_Daily_Update[[#This Row],[CSM id]],SHP!F:F,SHP!EE:EE,"-")</f>
        <v>-</v>
      </c>
    </row>
    <row r="4063" spans="1:11" x14ac:dyDescent="0.45">
      <c r="A4063" s="57">
        <v>964</v>
      </c>
      <c r="B4063" t="s">
        <v>7606</v>
      </c>
      <c r="C4063" t="s">
        <v>7607</v>
      </c>
      <c r="D4063" s="12">
        <v>46333</v>
      </c>
      <c r="E4063" s="11">
        <v>12</v>
      </c>
      <c r="F4063" s="11" t="s">
        <v>0</v>
      </c>
      <c r="G4063">
        <v>20211001</v>
      </c>
      <c r="H4063" s="12">
        <v>46569</v>
      </c>
      <c r="I4063" s="11" t="s">
        <v>63</v>
      </c>
      <c r="J4063" s="72">
        <v>40508025</v>
      </c>
      <c r="K4063" s="99" t="str">
        <f>_xlfn.XLOOKUP(_2__ROI_Daily_Update[[#This Row],[CSM id]],SHP!F:F,SHP!EE:EE,"-")</f>
        <v>-</v>
      </c>
    </row>
    <row r="4064" spans="1:11" x14ac:dyDescent="0.45">
      <c r="A4064" s="57">
        <v>1233</v>
      </c>
      <c r="B4064" t="s">
        <v>1984</v>
      </c>
      <c r="C4064" t="s">
        <v>1985</v>
      </c>
      <c r="D4064" s="12">
        <v>46333</v>
      </c>
      <c r="E4064" s="11">
        <v>120</v>
      </c>
      <c r="F4064" s="11" t="s">
        <v>0</v>
      </c>
      <c r="G4064">
        <v>20140801</v>
      </c>
      <c r="I4064" s="11" t="s">
        <v>63</v>
      </c>
      <c r="J4064" s="72">
        <v>10174995</v>
      </c>
      <c r="K4064" s="99" t="str">
        <f>_xlfn.XLOOKUP(_2__ROI_Daily_Update[[#This Row],[CSM id]],SHP!F:F,SHP!EE:EE,"-")</f>
        <v>-</v>
      </c>
    </row>
    <row r="4065" spans="1:11" x14ac:dyDescent="0.45">
      <c r="A4065" s="57">
        <v>821</v>
      </c>
      <c r="B4065" t="s">
        <v>651</v>
      </c>
      <c r="C4065" t="s">
        <v>652</v>
      </c>
      <c r="D4065" s="12">
        <v>46333</v>
      </c>
      <c r="E4065" s="11">
        <v>52</v>
      </c>
      <c r="F4065" s="11" t="s">
        <v>0</v>
      </c>
      <c r="G4065">
        <v>20250401</v>
      </c>
      <c r="I4065" s="11" t="s">
        <v>18</v>
      </c>
      <c r="J4065" s="72">
        <v>90592738</v>
      </c>
      <c r="K4065" s="99" t="str">
        <f>_xlfn.XLOOKUP(_2__ROI_Daily_Update[[#This Row],[CSM id]],SHP!F:F,SHP!EE:EE,"-")</f>
        <v>-</v>
      </c>
    </row>
    <row r="4066" spans="1:11" x14ac:dyDescent="0.45">
      <c r="A4066" s="57">
        <v>361</v>
      </c>
      <c r="B4066" t="s">
        <v>194</v>
      </c>
      <c r="C4066" t="s">
        <v>195</v>
      </c>
      <c r="D4066" s="12">
        <v>46333</v>
      </c>
      <c r="E4066" s="11">
        <v>36</v>
      </c>
      <c r="F4066" s="11" t="s">
        <v>0</v>
      </c>
      <c r="G4066">
        <v>20260701</v>
      </c>
      <c r="H4066" s="12">
        <v>46569</v>
      </c>
      <c r="I4066" s="11" t="s">
        <v>63</v>
      </c>
      <c r="J4066" s="72">
        <v>20619859</v>
      </c>
      <c r="K4066" s="99" t="str">
        <f>_xlfn.XLOOKUP(_2__ROI_Daily_Update[[#This Row],[CSM id]],SHP!F:F,SHP!EE:EE,"-")</f>
        <v>-</v>
      </c>
    </row>
    <row r="4067" spans="1:11" x14ac:dyDescent="0.45">
      <c r="A4067" s="57">
        <v>1231</v>
      </c>
      <c r="B4067" t="s">
        <v>1885</v>
      </c>
      <c r="C4067" t="s">
        <v>1886</v>
      </c>
      <c r="D4067" s="12">
        <v>46333</v>
      </c>
      <c r="E4067" s="11">
        <v>30</v>
      </c>
      <c r="F4067" s="11" t="s">
        <v>0</v>
      </c>
      <c r="G4067">
        <v>20180801</v>
      </c>
      <c r="I4067" s="11" t="s">
        <v>63</v>
      </c>
      <c r="J4067" s="72">
        <v>50372776</v>
      </c>
      <c r="K4067" s="99" t="str">
        <f>_xlfn.XLOOKUP(_2__ROI_Daily_Update[[#This Row],[CSM id]],SHP!F:F,SHP!EE:EE,"-")</f>
        <v>-</v>
      </c>
    </row>
    <row r="4068" spans="1:11" x14ac:dyDescent="0.45">
      <c r="A4068" s="57">
        <v>1836</v>
      </c>
      <c r="B4068" t="s">
        <v>7624</v>
      </c>
      <c r="C4068" t="s">
        <v>7625</v>
      </c>
      <c r="D4068" s="12">
        <v>46333</v>
      </c>
      <c r="E4068" s="11">
        <v>248</v>
      </c>
      <c r="F4068" s="11" t="s">
        <v>0</v>
      </c>
      <c r="G4068">
        <v>20231001</v>
      </c>
      <c r="H4068" s="12">
        <v>46388</v>
      </c>
      <c r="I4068" s="11" t="s">
        <v>63</v>
      </c>
      <c r="J4068" s="72">
        <v>10563594</v>
      </c>
      <c r="K4068" s="99" t="str">
        <f>_xlfn.XLOOKUP(_2__ROI_Daily_Update[[#This Row],[CSM id]],SHP!F:F,SHP!EE:EE,"-")</f>
        <v>-</v>
      </c>
    </row>
    <row r="4069" spans="1:11" x14ac:dyDescent="0.45">
      <c r="A4069" s="57">
        <v>1132</v>
      </c>
      <c r="B4069" t="s">
        <v>7310</v>
      </c>
      <c r="C4069" t="s">
        <v>7311</v>
      </c>
      <c r="D4069" s="12">
        <v>46333</v>
      </c>
      <c r="E4069" s="11">
        <v>192</v>
      </c>
      <c r="F4069" s="11" t="s">
        <v>0</v>
      </c>
      <c r="G4069">
        <v>20251001</v>
      </c>
      <c r="I4069" s="11" t="s">
        <v>63</v>
      </c>
      <c r="J4069" s="72">
        <v>80621576</v>
      </c>
      <c r="K4069" s="99" t="str">
        <f>_xlfn.XLOOKUP(_2__ROI_Daily_Update[[#This Row],[CSM id]],SHP!F:F,SHP!EE:EE,"-")</f>
        <v>-</v>
      </c>
    </row>
    <row r="4070" spans="1:11" x14ac:dyDescent="0.45">
      <c r="A4070" s="57">
        <v>1641</v>
      </c>
      <c r="B4070" t="s">
        <v>7678</v>
      </c>
      <c r="C4070" t="s">
        <v>7679</v>
      </c>
      <c r="D4070" s="12">
        <v>46333</v>
      </c>
      <c r="E4070" s="11">
        <v>72</v>
      </c>
      <c r="F4070" s="11" t="s">
        <v>0</v>
      </c>
      <c r="G4070">
        <v>20240401</v>
      </c>
      <c r="I4070" s="11" t="s">
        <v>63</v>
      </c>
      <c r="J4070" s="72">
        <v>90553586</v>
      </c>
      <c r="K4070" s="99" t="str">
        <f>_xlfn.XLOOKUP(_2__ROI_Daily_Update[[#This Row],[CSM id]],SHP!F:F,SHP!EE:EE,"-")</f>
        <v>-</v>
      </c>
    </row>
    <row r="4071" spans="1:11" x14ac:dyDescent="0.45">
      <c r="A4071" s="57">
        <v>1821</v>
      </c>
      <c r="B4071" t="s">
        <v>5144</v>
      </c>
      <c r="C4071" t="s">
        <v>5145</v>
      </c>
      <c r="D4071" s="12">
        <v>46333</v>
      </c>
      <c r="E4071" s="11">
        <v>48</v>
      </c>
      <c r="F4071" s="11" t="s">
        <v>0</v>
      </c>
      <c r="G4071">
        <v>20180401</v>
      </c>
      <c r="I4071" s="11" t="s">
        <v>63</v>
      </c>
      <c r="J4071" s="72">
        <v>70334934</v>
      </c>
      <c r="K4071" s="99" t="str">
        <f>_xlfn.XLOOKUP(_2__ROI_Daily_Update[[#This Row],[CSM id]],SHP!F:F,SHP!EE:EE,"-")</f>
        <v>-</v>
      </c>
    </row>
    <row r="4072" spans="1:11" x14ac:dyDescent="0.45">
      <c r="A4072" s="57">
        <v>1633</v>
      </c>
      <c r="B4072" t="s">
        <v>6339</v>
      </c>
      <c r="C4072" t="s">
        <v>6340</v>
      </c>
      <c r="D4072" s="12">
        <v>46333</v>
      </c>
      <c r="E4072" s="11">
        <v>48</v>
      </c>
      <c r="F4072" s="11" t="s">
        <v>0</v>
      </c>
      <c r="G4072">
        <v>20200201</v>
      </c>
      <c r="I4072" s="11" t="s">
        <v>63</v>
      </c>
      <c r="J4072" s="72">
        <v>50457775</v>
      </c>
      <c r="K4072" s="99" t="str">
        <f>_xlfn.XLOOKUP(_2__ROI_Daily_Update[[#This Row],[CSM id]],SHP!F:F,SHP!EE:EE,"-")</f>
        <v>-</v>
      </c>
    </row>
    <row r="4073" spans="1:11" x14ac:dyDescent="0.45">
      <c r="A4073" s="57">
        <v>922</v>
      </c>
      <c r="B4073" t="s">
        <v>735</v>
      </c>
      <c r="C4073" t="s">
        <v>736</v>
      </c>
      <c r="D4073" s="12">
        <v>46333</v>
      </c>
      <c r="E4073" s="11">
        <v>14</v>
      </c>
      <c r="F4073" s="11" t="s">
        <v>0</v>
      </c>
      <c r="G4073">
        <v>20230701</v>
      </c>
      <c r="I4073" s="11" t="s">
        <v>63</v>
      </c>
      <c r="J4073" s="72">
        <v>90554425</v>
      </c>
      <c r="K4073" s="99" t="str">
        <f>_xlfn.XLOOKUP(_2__ROI_Daily_Update[[#This Row],[CSM id]],SHP!F:F,SHP!EE:EE,"-")</f>
        <v>-</v>
      </c>
    </row>
    <row r="4074" spans="1:11" x14ac:dyDescent="0.45">
      <c r="A4074" s="57">
        <v>824</v>
      </c>
      <c r="B4074" t="s">
        <v>663</v>
      </c>
      <c r="C4074" t="s">
        <v>664</v>
      </c>
      <c r="D4074" s="12">
        <v>46333</v>
      </c>
      <c r="E4074" s="11">
        <v>20</v>
      </c>
      <c r="F4074" s="11" t="s">
        <v>0</v>
      </c>
      <c r="G4074">
        <v>20250401</v>
      </c>
      <c r="I4074" s="11" t="s">
        <v>18</v>
      </c>
      <c r="J4074" s="72">
        <v>10592761</v>
      </c>
      <c r="K4074" s="99" t="str">
        <f>_xlfn.XLOOKUP(_2__ROI_Daily_Update[[#This Row],[CSM id]],SHP!F:F,SHP!EE:EE,"-")</f>
        <v>-</v>
      </c>
    </row>
    <row r="4075" spans="1:11" x14ac:dyDescent="0.45">
      <c r="A4075" s="57">
        <v>1132</v>
      </c>
      <c r="B4075" t="s">
        <v>7538</v>
      </c>
      <c r="C4075" t="s">
        <v>7539</v>
      </c>
      <c r="D4075" s="12">
        <v>46333</v>
      </c>
      <c r="E4075" s="11">
        <v>172</v>
      </c>
      <c r="F4075" s="11" t="s">
        <v>0</v>
      </c>
      <c r="G4075">
        <v>20250701</v>
      </c>
      <c r="I4075" s="11" t="s">
        <v>18</v>
      </c>
      <c r="J4075" s="72">
        <v>90610271</v>
      </c>
      <c r="K4075" s="99" t="str">
        <f>_xlfn.XLOOKUP(_2__ROI_Daily_Update[[#This Row],[CSM id]],SHP!F:F,SHP!EE:EE,"-")</f>
        <v>-</v>
      </c>
    </row>
    <row r="4076" spans="1:11" x14ac:dyDescent="0.45">
      <c r="A4076" s="57">
        <v>1233</v>
      </c>
      <c r="B4076" t="s">
        <v>1996</v>
      </c>
      <c r="C4076" t="s">
        <v>1997</v>
      </c>
      <c r="D4076" s="12">
        <v>46333</v>
      </c>
      <c r="E4076" s="11">
        <v>256</v>
      </c>
      <c r="F4076" s="11" t="s">
        <v>0</v>
      </c>
      <c r="G4076">
        <v>20261001</v>
      </c>
      <c r="I4076" s="11" t="s">
        <v>63</v>
      </c>
      <c r="J4076" s="72">
        <v>50636249</v>
      </c>
      <c r="K4076" s="99" t="str">
        <f>_xlfn.XLOOKUP(_2__ROI_Daily_Update[[#This Row],[CSM id]],SHP!F:F,SHP!EE:EE,"-")</f>
        <v>-</v>
      </c>
    </row>
    <row r="4077" spans="1:11" x14ac:dyDescent="0.45">
      <c r="A4077" s="57">
        <v>1132</v>
      </c>
      <c r="B4077" t="s">
        <v>6827</v>
      </c>
      <c r="C4077" t="s">
        <v>6828</v>
      </c>
      <c r="D4077" s="12">
        <v>46333</v>
      </c>
      <c r="E4077" s="11">
        <v>688</v>
      </c>
      <c r="F4077" s="11" t="s">
        <v>0</v>
      </c>
      <c r="G4077">
        <v>20250701</v>
      </c>
      <c r="I4077" s="11" t="s">
        <v>18</v>
      </c>
      <c r="J4077" s="72">
        <v>60611861</v>
      </c>
      <c r="K4077" s="99" t="str">
        <f>_xlfn.XLOOKUP(_2__ROI_Daily_Update[[#This Row],[CSM id]],SHP!F:F,SHP!EE:EE,"-")</f>
        <v>-</v>
      </c>
    </row>
    <row r="4078" spans="1:11" x14ac:dyDescent="0.45">
      <c r="A4078" s="57">
        <v>1021</v>
      </c>
      <c r="B4078" t="s">
        <v>1204</v>
      </c>
      <c r="C4078" t="s">
        <v>1205</v>
      </c>
      <c r="D4078" s="12">
        <v>46333</v>
      </c>
      <c r="E4078" s="11">
        <v>56</v>
      </c>
      <c r="F4078" s="11" t="s">
        <v>0</v>
      </c>
      <c r="G4078">
        <v>20251001</v>
      </c>
      <c r="I4078" s="11" t="s">
        <v>63</v>
      </c>
      <c r="J4078" s="72">
        <v>20620136</v>
      </c>
      <c r="K4078" s="99" t="str">
        <f>_xlfn.XLOOKUP(_2__ROI_Daily_Update[[#This Row],[CSM id]],SHP!F:F,SHP!EE:EE,"-")</f>
        <v>-</v>
      </c>
    </row>
    <row r="4079" spans="1:11" x14ac:dyDescent="0.45">
      <c r="A4079" s="57">
        <v>1836</v>
      </c>
      <c r="B4079" t="s">
        <v>7638</v>
      </c>
      <c r="C4079" t="s">
        <v>7639</v>
      </c>
      <c r="D4079" s="12">
        <v>46333</v>
      </c>
      <c r="E4079" s="11">
        <v>20</v>
      </c>
      <c r="F4079" s="11" t="s">
        <v>0</v>
      </c>
      <c r="G4079">
        <v>20220401</v>
      </c>
      <c r="I4079" s="11" t="s">
        <v>63</v>
      </c>
      <c r="J4079" s="72">
        <v>30528364</v>
      </c>
      <c r="K4079" s="99" t="str">
        <f>_xlfn.XLOOKUP(_2__ROI_Daily_Update[[#This Row],[CSM id]],SHP!F:F,SHP!EE:EE,"-")</f>
        <v>-</v>
      </c>
    </row>
    <row r="4080" spans="1:11" x14ac:dyDescent="0.45">
      <c r="A4080" s="57">
        <v>342</v>
      </c>
      <c r="B4080" t="s">
        <v>362</v>
      </c>
      <c r="C4080" t="s">
        <v>363</v>
      </c>
      <c r="D4080" s="12">
        <v>46333</v>
      </c>
      <c r="E4080" s="11">
        <v>32</v>
      </c>
      <c r="F4080" s="11" t="s">
        <v>0</v>
      </c>
      <c r="G4080">
        <v>20220401</v>
      </c>
      <c r="H4080" s="12">
        <v>46569</v>
      </c>
      <c r="I4080" s="11" t="s">
        <v>18</v>
      </c>
      <c r="J4080" s="72">
        <v>90520505</v>
      </c>
      <c r="K4080" s="99" t="str">
        <f>_xlfn.XLOOKUP(_2__ROI_Daily_Update[[#This Row],[CSM id]],SHP!F:F,SHP!EE:EE,"-")</f>
        <v>-</v>
      </c>
    </row>
    <row r="4081" spans="1:11" x14ac:dyDescent="0.45">
      <c r="A4081" s="57">
        <v>341</v>
      </c>
      <c r="B4081" t="s">
        <v>283</v>
      </c>
      <c r="C4081" t="s">
        <v>284</v>
      </c>
      <c r="D4081" s="12">
        <v>46333</v>
      </c>
      <c r="E4081" s="11">
        <v>16</v>
      </c>
      <c r="F4081" s="11" t="s">
        <v>0</v>
      </c>
      <c r="G4081">
        <v>20170401</v>
      </c>
      <c r="H4081" s="12">
        <v>46478</v>
      </c>
      <c r="I4081" s="11" t="s">
        <v>18</v>
      </c>
      <c r="J4081" s="72">
        <v>80354281</v>
      </c>
      <c r="K4081" s="99" t="str">
        <f>_xlfn.XLOOKUP(_2__ROI_Daily_Update[[#This Row],[CSM id]],SHP!F:F,SHP!EE:EE,"-")</f>
        <v>-</v>
      </c>
    </row>
    <row r="4082" spans="1:11" x14ac:dyDescent="0.45">
      <c r="A4082" s="57">
        <v>1633</v>
      </c>
      <c r="B4082" t="s">
        <v>7564</v>
      </c>
      <c r="C4082" t="s">
        <v>7565</v>
      </c>
      <c r="D4082" s="12">
        <v>46333</v>
      </c>
      <c r="E4082" s="11">
        <v>4</v>
      </c>
      <c r="F4082" s="11" t="s">
        <v>0</v>
      </c>
      <c r="G4082">
        <v>20250701</v>
      </c>
      <c r="I4082" s="11" t="s">
        <v>63</v>
      </c>
      <c r="J4082" s="72">
        <v>50607303</v>
      </c>
      <c r="K4082" s="99" t="str">
        <f>_xlfn.XLOOKUP(_2__ROI_Daily_Update[[#This Row],[CSM id]],SHP!F:F,SHP!EE:EE,"-")</f>
        <v>-</v>
      </c>
    </row>
    <row r="4083" spans="1:11" x14ac:dyDescent="0.45">
      <c r="A4083" s="57">
        <v>822</v>
      </c>
      <c r="B4083" t="s">
        <v>655</v>
      </c>
      <c r="C4083" t="s">
        <v>656</v>
      </c>
      <c r="D4083" s="12">
        <v>46333</v>
      </c>
      <c r="E4083" s="11">
        <v>156</v>
      </c>
      <c r="F4083" s="11" t="s">
        <v>0</v>
      </c>
      <c r="G4083">
        <v>20140801</v>
      </c>
      <c r="I4083" s="11" t="s">
        <v>18</v>
      </c>
      <c r="J4083" s="72">
        <v>30184050</v>
      </c>
      <c r="K4083" s="99" t="str">
        <f>_xlfn.XLOOKUP(_2__ROI_Daily_Update[[#This Row],[CSM id]],SHP!F:F,SHP!EE:EE,"-")</f>
        <v>-</v>
      </c>
    </row>
    <row r="4084" spans="1:11" x14ac:dyDescent="0.45">
      <c r="A4084" s="57">
        <v>1821</v>
      </c>
      <c r="B4084" t="s">
        <v>3504</v>
      </c>
      <c r="C4084" t="s">
        <v>3505</v>
      </c>
      <c r="D4084" s="12">
        <v>46333</v>
      </c>
      <c r="E4084" s="11">
        <v>64</v>
      </c>
      <c r="F4084" s="11" t="s">
        <v>0</v>
      </c>
      <c r="G4084">
        <v>20220401</v>
      </c>
      <c r="I4084" s="11" t="s">
        <v>18</v>
      </c>
      <c r="J4084" s="72">
        <v>10517762</v>
      </c>
      <c r="K4084" s="99" t="str">
        <f>_xlfn.XLOOKUP(_2__ROI_Daily_Update[[#This Row],[CSM id]],SHP!F:F,SHP!EE:EE,"-")</f>
        <v>-</v>
      </c>
    </row>
    <row r="4085" spans="1:11" x14ac:dyDescent="0.45">
      <c r="A4085" s="57">
        <v>1633</v>
      </c>
      <c r="B4085" t="s">
        <v>6293</v>
      </c>
      <c r="C4085" t="s">
        <v>6294</v>
      </c>
      <c r="D4085" s="12">
        <v>46333</v>
      </c>
      <c r="E4085" s="11">
        <v>48</v>
      </c>
      <c r="F4085" s="11" t="s">
        <v>0</v>
      </c>
      <c r="G4085">
        <v>20261001</v>
      </c>
      <c r="I4085" s="11" t="s">
        <v>63</v>
      </c>
      <c r="J4085" s="72">
        <v>50635184</v>
      </c>
      <c r="K4085" s="99" t="str">
        <f>_xlfn.XLOOKUP(_2__ROI_Daily_Update[[#This Row],[CSM id]],SHP!F:F,SHP!EE:EE,"-")</f>
        <v>-</v>
      </c>
    </row>
    <row r="4086" spans="1:11" x14ac:dyDescent="0.45">
      <c r="A4086" s="57">
        <v>822</v>
      </c>
      <c r="B4086" t="s">
        <v>7572</v>
      </c>
      <c r="C4086" t="s">
        <v>7573</v>
      </c>
      <c r="D4086" s="12">
        <v>46333</v>
      </c>
      <c r="E4086" s="11">
        <v>52</v>
      </c>
      <c r="F4086" s="11" t="s">
        <v>0</v>
      </c>
      <c r="G4086">
        <v>20261001</v>
      </c>
      <c r="I4086" s="11" t="s">
        <v>63</v>
      </c>
      <c r="J4086" s="72">
        <v>20652434</v>
      </c>
      <c r="K4086" s="99" t="str">
        <f>_xlfn.XLOOKUP(_2__ROI_Daily_Update[[#This Row],[CSM id]],SHP!F:F,SHP!EE:EE,"-")</f>
        <v>-</v>
      </c>
    </row>
    <row r="4087" spans="1:11" x14ac:dyDescent="0.45">
      <c r="A4087" s="57">
        <v>1021</v>
      </c>
      <c r="B4087" t="s">
        <v>7578</v>
      </c>
      <c r="C4087" t="s">
        <v>7579</v>
      </c>
      <c r="D4087" s="12">
        <v>46333</v>
      </c>
      <c r="E4087" s="11">
        <v>154</v>
      </c>
      <c r="F4087" s="11" t="s">
        <v>0</v>
      </c>
      <c r="G4087">
        <v>20231001</v>
      </c>
      <c r="I4087" s="11" t="s">
        <v>63</v>
      </c>
      <c r="J4087" s="72">
        <v>555735</v>
      </c>
      <c r="K4087" s="99" t="str">
        <f>_xlfn.XLOOKUP(_2__ROI_Daily_Update[[#This Row],[CSM id]],SHP!F:F,SHP!EE:EE,"-")</f>
        <v>-</v>
      </c>
    </row>
    <row r="4088" spans="1:11" x14ac:dyDescent="0.45">
      <c r="A4088" s="57">
        <v>1233</v>
      </c>
      <c r="B4088" t="s">
        <v>1986</v>
      </c>
      <c r="C4088" t="s">
        <v>1987</v>
      </c>
      <c r="D4088" s="12">
        <v>46333</v>
      </c>
      <c r="E4088" s="11">
        <v>120</v>
      </c>
      <c r="F4088" s="11" t="s">
        <v>0</v>
      </c>
      <c r="G4088">
        <v>20140801</v>
      </c>
      <c r="I4088" s="11" t="s">
        <v>63</v>
      </c>
      <c r="J4088" s="72">
        <v>10175004</v>
      </c>
      <c r="K4088" s="99" t="str">
        <f>_xlfn.XLOOKUP(_2__ROI_Daily_Update[[#This Row],[CSM id]],SHP!F:F,SHP!EE:EE,"-")</f>
        <v>-</v>
      </c>
    </row>
    <row r="4089" spans="1:11" x14ac:dyDescent="0.45">
      <c r="A4089" s="57">
        <v>981</v>
      </c>
      <c r="B4089" t="s">
        <v>6596</v>
      </c>
      <c r="C4089" t="s">
        <v>6597</v>
      </c>
      <c r="D4089" s="12">
        <v>46333</v>
      </c>
      <c r="E4089" s="11">
        <v>26</v>
      </c>
      <c r="F4089" s="11" t="s">
        <v>0</v>
      </c>
      <c r="G4089">
        <v>20180201</v>
      </c>
      <c r="I4089" s="11" t="s">
        <v>63</v>
      </c>
      <c r="J4089" s="72">
        <v>70365176</v>
      </c>
      <c r="K4089" s="99" t="str">
        <f>_xlfn.XLOOKUP(_2__ROI_Daily_Update[[#This Row],[CSM id]],SHP!F:F,SHP!EE:EE,"-")</f>
        <v>-</v>
      </c>
    </row>
    <row r="4090" spans="1:11" x14ac:dyDescent="0.45">
      <c r="A4090" s="57">
        <v>1132</v>
      </c>
      <c r="B4090" t="s">
        <v>1685</v>
      </c>
      <c r="C4090" t="s">
        <v>1686</v>
      </c>
      <c r="D4090" s="12">
        <v>46333</v>
      </c>
      <c r="E4090" s="11">
        <v>516</v>
      </c>
      <c r="F4090" s="11" t="s">
        <v>0</v>
      </c>
      <c r="G4090">
        <v>20250701</v>
      </c>
      <c r="I4090" s="11" t="s">
        <v>18</v>
      </c>
      <c r="J4090" s="72">
        <v>30610269</v>
      </c>
      <c r="K4090" s="99" t="str">
        <f>_xlfn.XLOOKUP(_2__ROI_Daily_Update[[#This Row],[CSM id]],SHP!F:F,SHP!EE:EE,"-")</f>
        <v>-</v>
      </c>
    </row>
    <row r="4091" spans="1:11" x14ac:dyDescent="0.45">
      <c r="A4091" s="57">
        <v>1641</v>
      </c>
      <c r="B4091" t="s">
        <v>7113</v>
      </c>
      <c r="C4091" t="s">
        <v>7114</v>
      </c>
      <c r="D4091" s="12">
        <v>46334</v>
      </c>
      <c r="E4091" s="11">
        <v>20</v>
      </c>
      <c r="F4091" s="11" t="s">
        <v>0</v>
      </c>
      <c r="G4091">
        <v>20240401</v>
      </c>
      <c r="I4091" s="11" t="s">
        <v>63</v>
      </c>
      <c r="J4091" s="72">
        <v>550035</v>
      </c>
      <c r="K4091" s="99" t="str">
        <f>_xlfn.XLOOKUP(_2__ROI_Daily_Update[[#This Row],[CSM id]],SHP!F:F,SHP!EE:EE,"-")</f>
        <v>-</v>
      </c>
    </row>
    <row r="4092" spans="1:11" x14ac:dyDescent="0.45">
      <c r="A4092" s="57">
        <v>1831</v>
      </c>
      <c r="B4092" t="s">
        <v>5134</v>
      </c>
      <c r="C4092" t="s">
        <v>5135</v>
      </c>
      <c r="D4092" s="12">
        <v>46334</v>
      </c>
      <c r="E4092" s="11">
        <v>80</v>
      </c>
      <c r="F4092" s="11" t="s">
        <v>0</v>
      </c>
      <c r="G4092">
        <v>20220701</v>
      </c>
      <c r="I4092" s="11" t="s">
        <v>63</v>
      </c>
      <c r="J4092" s="72">
        <v>528515</v>
      </c>
      <c r="K4092" s="99" t="str">
        <f>_xlfn.XLOOKUP(_2__ROI_Daily_Update[[#This Row],[CSM id]],SHP!F:F,SHP!EE:EE,"-")</f>
        <v>-</v>
      </c>
    </row>
    <row r="4093" spans="1:11" x14ac:dyDescent="0.45">
      <c r="A4093" s="57">
        <v>125</v>
      </c>
      <c r="B4093" t="s">
        <v>115</v>
      </c>
      <c r="C4093" t="s">
        <v>116</v>
      </c>
      <c r="D4093" s="12">
        <v>46334</v>
      </c>
      <c r="E4093" s="11">
        <v>4</v>
      </c>
      <c r="F4093" s="11" t="s">
        <v>7324</v>
      </c>
      <c r="G4093">
        <v>20260401</v>
      </c>
      <c r="I4093" s="11" t="s">
        <v>32</v>
      </c>
      <c r="J4093" s="72">
        <v>40623860</v>
      </c>
      <c r="K4093" s="99" t="str">
        <f>_xlfn.XLOOKUP(_2__ROI_Daily_Update[[#This Row],[CSM id]],SHP!F:F,SHP!EE:EE,"-")</f>
        <v>-</v>
      </c>
    </row>
    <row r="4094" spans="1:11" x14ac:dyDescent="0.45">
      <c r="A4094" s="57">
        <v>125</v>
      </c>
      <c r="B4094" t="s">
        <v>5793</v>
      </c>
      <c r="C4094" t="s">
        <v>5794</v>
      </c>
      <c r="D4094" s="12">
        <v>46334</v>
      </c>
      <c r="E4094" s="11">
        <v>26</v>
      </c>
      <c r="F4094" s="11" t="s">
        <v>0</v>
      </c>
      <c r="G4094">
        <v>20140801</v>
      </c>
      <c r="I4094" s="11" t="s">
        <v>32</v>
      </c>
      <c r="J4094" s="72">
        <v>30158659</v>
      </c>
      <c r="K4094" s="99" t="str">
        <f>_xlfn.XLOOKUP(_2__ROI_Daily_Update[[#This Row],[CSM id]],SHP!F:F,SHP!EE:EE,"-")</f>
        <v>-</v>
      </c>
    </row>
    <row r="4095" spans="1:11" x14ac:dyDescent="0.45">
      <c r="A4095" s="57">
        <v>1122</v>
      </c>
      <c r="B4095" t="s">
        <v>1607</v>
      </c>
      <c r="C4095" t="s">
        <v>1608</v>
      </c>
      <c r="D4095" s="12">
        <v>46334</v>
      </c>
      <c r="E4095" s="11">
        <v>22</v>
      </c>
      <c r="F4095" s="11" t="s">
        <v>0</v>
      </c>
      <c r="G4095">
        <v>20230701</v>
      </c>
      <c r="H4095" s="12">
        <v>46388</v>
      </c>
      <c r="I4095" s="11" t="s">
        <v>63</v>
      </c>
      <c r="J4095" s="72">
        <v>20560284</v>
      </c>
      <c r="K4095" s="99" t="str">
        <f>_xlfn.XLOOKUP(_2__ROI_Daily_Update[[#This Row],[CSM id]],SHP!F:F,SHP!EE:EE,"-")</f>
        <v>-</v>
      </c>
    </row>
    <row r="4096" spans="1:11" x14ac:dyDescent="0.45">
      <c r="A4096" s="57">
        <v>125</v>
      </c>
      <c r="B4096" t="s">
        <v>122</v>
      </c>
      <c r="C4096" t="s">
        <v>123</v>
      </c>
      <c r="D4096" s="12">
        <v>46334</v>
      </c>
      <c r="E4096" s="11">
        <v>8</v>
      </c>
      <c r="F4096" s="11" t="s">
        <v>7324</v>
      </c>
      <c r="G4096">
        <v>20240101</v>
      </c>
      <c r="I4096" s="11" t="s">
        <v>32</v>
      </c>
      <c r="J4096" s="72">
        <v>70570836</v>
      </c>
      <c r="K4096" s="99" t="str">
        <f>_xlfn.XLOOKUP(_2__ROI_Daily_Update[[#This Row],[CSM id]],SHP!F:F,SHP!EE:EE,"-")</f>
        <v>-</v>
      </c>
    </row>
    <row r="4097" spans="1:11" x14ac:dyDescent="0.45">
      <c r="A4097" s="57">
        <v>1813</v>
      </c>
      <c r="B4097" t="s">
        <v>7648</v>
      </c>
      <c r="C4097" t="s">
        <v>7649</v>
      </c>
      <c r="D4097" s="12">
        <v>46334</v>
      </c>
      <c r="E4097" s="11">
        <v>4</v>
      </c>
      <c r="F4097" s="11" t="s">
        <v>0</v>
      </c>
      <c r="G4097">
        <v>20230101</v>
      </c>
      <c r="H4097" s="12">
        <v>46388</v>
      </c>
      <c r="I4097" s="11" t="s">
        <v>63</v>
      </c>
      <c r="J4097" s="72">
        <v>60541571</v>
      </c>
      <c r="K4097" s="99" t="str">
        <f>_xlfn.XLOOKUP(_2__ROI_Daily_Update[[#This Row],[CSM id]],SHP!F:F,SHP!EE:EE,"-")</f>
        <v>-</v>
      </c>
    </row>
    <row r="4098" spans="1:11" x14ac:dyDescent="0.45">
      <c r="A4098" s="57">
        <v>1214</v>
      </c>
      <c r="B4098" t="s">
        <v>7634</v>
      </c>
      <c r="C4098" t="s">
        <v>7635</v>
      </c>
      <c r="D4098" s="12">
        <v>46334</v>
      </c>
      <c r="E4098" s="11">
        <v>8</v>
      </c>
      <c r="F4098" s="11" t="s">
        <v>0</v>
      </c>
      <c r="G4098">
        <v>20210401</v>
      </c>
      <c r="H4098" s="12">
        <v>46478</v>
      </c>
      <c r="I4098" s="11" t="s">
        <v>63</v>
      </c>
      <c r="J4098" s="72">
        <v>50489696</v>
      </c>
      <c r="K4098" s="99" t="str">
        <f>_xlfn.XLOOKUP(_2__ROI_Daily_Update[[#This Row],[CSM id]],SHP!F:F,SHP!EE:EE,"-")</f>
        <v>-</v>
      </c>
    </row>
    <row r="4099" spans="1:11" x14ac:dyDescent="0.45">
      <c r="A4099" s="57">
        <v>1643</v>
      </c>
      <c r="B4099" t="s">
        <v>3251</v>
      </c>
      <c r="C4099" t="s">
        <v>3252</v>
      </c>
      <c r="D4099" s="12">
        <v>46335</v>
      </c>
      <c r="E4099" s="11">
        <v>234</v>
      </c>
      <c r="F4099" s="11" t="s">
        <v>0</v>
      </c>
      <c r="G4099">
        <v>20240701</v>
      </c>
      <c r="I4099" s="11" t="s">
        <v>63</v>
      </c>
      <c r="J4099" s="72">
        <v>90578092</v>
      </c>
      <c r="K4099" s="99" t="str">
        <f>_xlfn.XLOOKUP(_2__ROI_Daily_Update[[#This Row],[CSM id]],SHP!F:F,SHP!EE:EE,"-")</f>
        <v>-</v>
      </c>
    </row>
    <row r="4100" spans="1:11" x14ac:dyDescent="0.45">
      <c r="A4100" s="57">
        <v>1811</v>
      </c>
      <c r="B4100" t="s">
        <v>3351</v>
      </c>
      <c r="C4100" t="s">
        <v>3352</v>
      </c>
      <c r="D4100" s="12">
        <v>46335</v>
      </c>
      <c r="E4100" s="11">
        <v>48</v>
      </c>
      <c r="F4100" s="11" t="s">
        <v>5483</v>
      </c>
      <c r="G4100">
        <v>20200801</v>
      </c>
      <c r="I4100" s="11" t="s">
        <v>32</v>
      </c>
      <c r="J4100" s="72">
        <v>80376481</v>
      </c>
      <c r="K4100" s="99" t="str">
        <f>_xlfn.XLOOKUP(_2__ROI_Daily_Update[[#This Row],[CSM id]],SHP!F:F,SHP!EE:EE,"-")</f>
        <v>-</v>
      </c>
    </row>
    <row r="4101" spans="1:11" x14ac:dyDescent="0.45">
      <c r="A4101" s="57">
        <v>1882</v>
      </c>
      <c r="B4101" t="s">
        <v>7747</v>
      </c>
      <c r="C4101" t="s">
        <v>7748</v>
      </c>
      <c r="D4101" s="12">
        <v>46335</v>
      </c>
      <c r="E4101" s="11">
        <v>900</v>
      </c>
      <c r="F4101" s="11" t="s">
        <v>0</v>
      </c>
      <c r="G4101">
        <v>20181201</v>
      </c>
      <c r="I4101" s="11" t="s">
        <v>63</v>
      </c>
      <c r="J4101" s="72">
        <v>40435406</v>
      </c>
      <c r="K4101" s="99" t="str">
        <f>_xlfn.XLOOKUP(_2__ROI_Daily_Update[[#This Row],[CSM id]],SHP!F:F,SHP!EE:EE,"-")</f>
        <v>-</v>
      </c>
    </row>
    <row r="4102" spans="1:11" x14ac:dyDescent="0.45">
      <c r="A4102" s="57">
        <v>1642</v>
      </c>
      <c r="B4102" t="s">
        <v>6159</v>
      </c>
      <c r="C4102" t="s">
        <v>6160</v>
      </c>
      <c r="D4102" s="12">
        <v>46335</v>
      </c>
      <c r="E4102" s="11">
        <v>10</v>
      </c>
      <c r="F4102" s="11" t="s">
        <v>0</v>
      </c>
      <c r="G4102">
        <v>20260701</v>
      </c>
      <c r="I4102" s="11" t="s">
        <v>63</v>
      </c>
      <c r="J4102" s="72">
        <v>60623449</v>
      </c>
      <c r="K4102" s="99" t="str">
        <f>_xlfn.XLOOKUP(_2__ROI_Daily_Update[[#This Row],[CSM id]],SHP!F:F,SHP!EE:EE,"-")</f>
        <v>-</v>
      </c>
    </row>
    <row r="4103" spans="1:11" x14ac:dyDescent="0.45">
      <c r="A4103" s="57">
        <v>1643</v>
      </c>
      <c r="B4103" t="s">
        <v>3247</v>
      </c>
      <c r="C4103" t="s">
        <v>3248</v>
      </c>
      <c r="D4103" s="12">
        <v>46335</v>
      </c>
      <c r="E4103" s="11">
        <v>20</v>
      </c>
      <c r="F4103" s="11" t="s">
        <v>0</v>
      </c>
      <c r="G4103">
        <v>20250701</v>
      </c>
      <c r="I4103" s="11" t="s">
        <v>63</v>
      </c>
      <c r="J4103" s="72">
        <v>70601710</v>
      </c>
      <c r="K4103" s="99" t="str">
        <f>_xlfn.XLOOKUP(_2__ROI_Daily_Update[[#This Row],[CSM id]],SHP!F:F,SHP!EE:EE,"-")</f>
        <v>-</v>
      </c>
    </row>
    <row r="4104" spans="1:11" x14ac:dyDescent="0.45">
      <c r="A4104" s="57">
        <v>1852</v>
      </c>
      <c r="B4104" t="s">
        <v>3686</v>
      </c>
      <c r="C4104" t="s">
        <v>3687</v>
      </c>
      <c r="D4104" s="12">
        <v>46335</v>
      </c>
      <c r="E4104" s="11">
        <v>36</v>
      </c>
      <c r="F4104" s="11" t="s">
        <v>5483</v>
      </c>
      <c r="G4104">
        <v>20180401</v>
      </c>
      <c r="I4104" s="11" t="s">
        <v>32</v>
      </c>
      <c r="J4104" s="72">
        <v>40339933</v>
      </c>
      <c r="K4104" s="99" t="str">
        <f>_xlfn.XLOOKUP(_2__ROI_Daily_Update[[#This Row],[CSM id]],SHP!F:F,SHP!EE:EE,"-")</f>
        <v>-</v>
      </c>
    </row>
    <row r="4105" spans="1:11" x14ac:dyDescent="0.45">
      <c r="A4105" s="57">
        <v>1831</v>
      </c>
      <c r="B4105" t="s">
        <v>5624</v>
      </c>
      <c r="C4105" t="s">
        <v>5625</v>
      </c>
      <c r="D4105" s="12">
        <v>46335</v>
      </c>
      <c r="E4105" s="11">
        <v>144</v>
      </c>
      <c r="F4105" s="11" t="s">
        <v>0</v>
      </c>
      <c r="G4105">
        <v>20220101</v>
      </c>
      <c r="I4105" s="11" t="s">
        <v>63</v>
      </c>
      <c r="J4105" s="72">
        <v>80503912</v>
      </c>
      <c r="K4105" s="99" t="str">
        <f>_xlfn.XLOOKUP(_2__ROI_Daily_Update[[#This Row],[CSM id]],SHP!F:F,SHP!EE:EE,"-")</f>
        <v>-</v>
      </c>
    </row>
    <row r="4106" spans="1:11" x14ac:dyDescent="0.45">
      <c r="A4106" s="57">
        <v>1833</v>
      </c>
      <c r="B4106" t="s">
        <v>3626</v>
      </c>
      <c r="C4106" t="s">
        <v>3627</v>
      </c>
      <c r="D4106" s="12">
        <v>46335</v>
      </c>
      <c r="E4106" s="11">
        <v>96</v>
      </c>
      <c r="F4106" s="11" t="s">
        <v>0</v>
      </c>
      <c r="G4106">
        <v>20140801</v>
      </c>
      <c r="I4106" s="11" t="s">
        <v>18</v>
      </c>
      <c r="J4106" s="72">
        <v>242891</v>
      </c>
      <c r="K4106" s="99" t="str">
        <f>_xlfn.XLOOKUP(_2__ROI_Daily_Update[[#This Row],[CSM id]],SHP!F:F,SHP!EE:EE,"-")</f>
        <v>-</v>
      </c>
    </row>
    <row r="4107" spans="1:11" x14ac:dyDescent="0.45">
      <c r="A4107" s="57">
        <v>1811</v>
      </c>
      <c r="B4107" t="s">
        <v>3360</v>
      </c>
      <c r="C4107" t="s">
        <v>3361</v>
      </c>
      <c r="D4107" s="12">
        <v>46335</v>
      </c>
      <c r="E4107" s="11">
        <v>320</v>
      </c>
      <c r="F4107" s="11" t="s">
        <v>0</v>
      </c>
      <c r="G4107">
        <v>20240401</v>
      </c>
      <c r="I4107" s="11" t="s">
        <v>63</v>
      </c>
      <c r="J4107" s="72">
        <v>90568535</v>
      </c>
      <c r="K4107" s="99" t="str">
        <f>_xlfn.XLOOKUP(_2__ROI_Daily_Update[[#This Row],[CSM id]],SHP!F:F,SHP!EE:EE,"-")</f>
        <v>-</v>
      </c>
    </row>
    <row r="4108" spans="1:11" x14ac:dyDescent="0.45">
      <c r="A4108" s="57">
        <v>1811</v>
      </c>
      <c r="B4108" t="s">
        <v>3305</v>
      </c>
      <c r="C4108" t="s">
        <v>3306</v>
      </c>
      <c r="D4108" s="12">
        <v>46335</v>
      </c>
      <c r="E4108" s="11">
        <v>483</v>
      </c>
      <c r="F4108" s="11" t="s">
        <v>0</v>
      </c>
      <c r="G4108">
        <v>20240401</v>
      </c>
      <c r="I4108" s="11" t="s">
        <v>18</v>
      </c>
      <c r="J4108" s="72">
        <v>546468</v>
      </c>
      <c r="K4108" s="99" t="str">
        <f>_xlfn.XLOOKUP(_2__ROI_Daily_Update[[#This Row],[CSM id]],SHP!F:F,SHP!EE:EE,"-")</f>
        <v>-</v>
      </c>
    </row>
    <row r="4109" spans="1:11" x14ac:dyDescent="0.45">
      <c r="A4109" s="57">
        <v>1821</v>
      </c>
      <c r="B4109" t="s">
        <v>7769</v>
      </c>
      <c r="C4109" t="s">
        <v>7770</v>
      </c>
      <c r="D4109" s="12">
        <v>46335</v>
      </c>
      <c r="E4109" s="11">
        <v>60</v>
      </c>
      <c r="F4109" s="11" t="s">
        <v>0</v>
      </c>
      <c r="G4109">
        <v>20250701</v>
      </c>
      <c r="I4109" s="11" t="s">
        <v>63</v>
      </c>
      <c r="J4109" s="72">
        <v>60606096</v>
      </c>
      <c r="K4109" s="99" t="str">
        <f>_xlfn.XLOOKUP(_2__ROI_Daily_Update[[#This Row],[CSM id]],SHP!F:F,SHP!EE:EE,"-")</f>
        <v>-</v>
      </c>
    </row>
    <row r="4110" spans="1:11" x14ac:dyDescent="0.45">
      <c r="A4110" s="57">
        <v>1813</v>
      </c>
      <c r="B4110" t="s">
        <v>5398</v>
      </c>
      <c r="C4110" t="s">
        <v>5399</v>
      </c>
      <c r="D4110" s="12">
        <v>46335</v>
      </c>
      <c r="E4110" s="11">
        <v>720</v>
      </c>
      <c r="F4110" s="11" t="s">
        <v>5483</v>
      </c>
      <c r="G4110">
        <v>20260701</v>
      </c>
      <c r="I4110" s="11" t="s">
        <v>32</v>
      </c>
      <c r="J4110" s="72">
        <v>50534383</v>
      </c>
      <c r="K4110" s="99" t="str">
        <f>_xlfn.XLOOKUP(_2__ROI_Daily_Update[[#This Row],[CSM id]],SHP!F:F,SHP!EE:EE,"-")</f>
        <v>-</v>
      </c>
    </row>
    <row r="4111" spans="1:11" x14ac:dyDescent="0.45">
      <c r="A4111" s="57">
        <v>1832</v>
      </c>
      <c r="B4111" t="s">
        <v>3610</v>
      </c>
      <c r="C4111" t="s">
        <v>3611</v>
      </c>
      <c r="D4111" s="12">
        <v>46335</v>
      </c>
      <c r="E4111" s="11">
        <v>560</v>
      </c>
      <c r="F4111" s="11" t="s">
        <v>0</v>
      </c>
      <c r="G4111">
        <v>20210201</v>
      </c>
      <c r="I4111" s="11" t="s">
        <v>18</v>
      </c>
      <c r="J4111" s="72">
        <v>20432480</v>
      </c>
      <c r="K4111" s="99" t="str">
        <f>_xlfn.XLOOKUP(_2__ROI_Daily_Update[[#This Row],[CSM id]],SHP!F:F,SHP!EE:EE,"-")</f>
        <v>-</v>
      </c>
    </row>
    <row r="4112" spans="1:11" x14ac:dyDescent="0.45">
      <c r="A4112" s="57">
        <v>1831</v>
      </c>
      <c r="B4112" t="s">
        <v>5825</v>
      </c>
      <c r="C4112" t="s">
        <v>5826</v>
      </c>
      <c r="D4112" s="12">
        <v>46335</v>
      </c>
      <c r="E4112" s="11">
        <v>24</v>
      </c>
      <c r="F4112" s="11" t="s">
        <v>0</v>
      </c>
      <c r="G4112">
        <v>20220101</v>
      </c>
      <c r="I4112" s="11" t="s">
        <v>18</v>
      </c>
      <c r="J4112" s="72">
        <v>503911</v>
      </c>
      <c r="K4112" s="99" t="str">
        <f>_xlfn.XLOOKUP(_2__ROI_Daily_Update[[#This Row],[CSM id]],SHP!F:F,SHP!EE:EE,"-")</f>
        <v>-</v>
      </c>
    </row>
    <row r="4113" spans="1:11" x14ac:dyDescent="0.45">
      <c r="A4113" s="57">
        <v>1714</v>
      </c>
      <c r="B4113" t="s">
        <v>3297</v>
      </c>
      <c r="C4113" t="s">
        <v>3298</v>
      </c>
      <c r="D4113" s="12">
        <v>46335</v>
      </c>
      <c r="E4113" s="11">
        <v>10</v>
      </c>
      <c r="F4113" s="11" t="s">
        <v>0</v>
      </c>
      <c r="G4113">
        <v>20250101</v>
      </c>
      <c r="I4113" s="11" t="s">
        <v>18</v>
      </c>
      <c r="J4113" s="72">
        <v>30584185</v>
      </c>
      <c r="K4113" s="99" t="str">
        <f>_xlfn.XLOOKUP(_2__ROI_Daily_Update[[#This Row],[CSM id]],SHP!F:F,SHP!EE:EE,"-")</f>
        <v>-</v>
      </c>
    </row>
    <row r="4114" spans="1:11" x14ac:dyDescent="0.45">
      <c r="A4114" s="57">
        <v>1832</v>
      </c>
      <c r="B4114" t="s">
        <v>3616</v>
      </c>
      <c r="C4114" t="s">
        <v>3617</v>
      </c>
      <c r="D4114" s="12">
        <v>46335</v>
      </c>
      <c r="E4114" s="11">
        <v>128</v>
      </c>
      <c r="F4114" s="11" t="s">
        <v>0</v>
      </c>
      <c r="G4114">
        <v>20150801</v>
      </c>
      <c r="I4114" s="11" t="s">
        <v>18</v>
      </c>
      <c r="J4114" s="72">
        <v>50238542</v>
      </c>
      <c r="K4114" s="99" t="str">
        <f>_xlfn.XLOOKUP(_2__ROI_Daily_Update[[#This Row],[CSM id]],SHP!F:F,SHP!EE:EE,"-")</f>
        <v>-</v>
      </c>
    </row>
    <row r="4115" spans="1:11" x14ac:dyDescent="0.45">
      <c r="A4115" s="57">
        <v>1822</v>
      </c>
      <c r="B4115" t="s">
        <v>3562</v>
      </c>
      <c r="C4115" t="s">
        <v>3563</v>
      </c>
      <c r="D4115" s="12">
        <v>46335</v>
      </c>
      <c r="E4115" s="11">
        <v>16</v>
      </c>
      <c r="F4115" s="11" t="s">
        <v>0</v>
      </c>
      <c r="G4115">
        <v>20260601</v>
      </c>
      <c r="I4115" s="11" t="s">
        <v>63</v>
      </c>
      <c r="J4115" s="72">
        <v>80618710</v>
      </c>
      <c r="K4115" s="99" t="str">
        <f>_xlfn.XLOOKUP(_2__ROI_Daily_Update[[#This Row],[CSM id]],SHP!F:F,SHP!EE:EE,"-")</f>
        <v>-</v>
      </c>
    </row>
    <row r="4116" spans="1:11" x14ac:dyDescent="0.45">
      <c r="A4116" s="57">
        <v>1645</v>
      </c>
      <c r="B4116" t="s">
        <v>6179</v>
      </c>
      <c r="C4116" t="s">
        <v>6180</v>
      </c>
      <c r="D4116" s="12">
        <v>46335</v>
      </c>
      <c r="E4116" s="11">
        <v>50</v>
      </c>
      <c r="F4116" s="11" t="s">
        <v>0</v>
      </c>
      <c r="G4116">
        <v>20211001</v>
      </c>
      <c r="I4116" s="11" t="s">
        <v>63</v>
      </c>
      <c r="J4116" s="72">
        <v>30486340</v>
      </c>
      <c r="K4116" s="99" t="str">
        <f>_xlfn.XLOOKUP(_2__ROI_Daily_Update[[#This Row],[CSM id]],SHP!F:F,SHP!EE:EE,"-")</f>
        <v>-</v>
      </c>
    </row>
    <row r="4117" spans="1:11" x14ac:dyDescent="0.45">
      <c r="A4117" s="57">
        <v>1813</v>
      </c>
      <c r="B4117" t="s">
        <v>7664</v>
      </c>
      <c r="C4117" t="s">
        <v>7665</v>
      </c>
      <c r="D4117" s="12">
        <v>46335</v>
      </c>
      <c r="E4117" s="11">
        <v>76</v>
      </c>
      <c r="F4117" s="11" t="s">
        <v>0</v>
      </c>
      <c r="G4117">
        <v>20230101</v>
      </c>
      <c r="I4117" s="11" t="s">
        <v>18</v>
      </c>
      <c r="J4117" s="72">
        <v>541569</v>
      </c>
      <c r="K4117" s="99" t="str">
        <f>_xlfn.XLOOKUP(_2__ROI_Daily_Update[[#This Row],[CSM id]],SHP!F:F,SHP!EE:EE,"-")</f>
        <v>-</v>
      </c>
    </row>
    <row r="4118" spans="1:11" x14ac:dyDescent="0.45">
      <c r="A4118" s="57">
        <v>1813</v>
      </c>
      <c r="B4118" t="s">
        <v>5396</v>
      </c>
      <c r="C4118" t="s">
        <v>5397</v>
      </c>
      <c r="D4118" s="12">
        <v>46335</v>
      </c>
      <c r="E4118" s="11">
        <v>576</v>
      </c>
      <c r="F4118" s="11" t="s">
        <v>5483</v>
      </c>
      <c r="G4118">
        <v>20260701</v>
      </c>
      <c r="I4118" s="11" t="s">
        <v>32</v>
      </c>
      <c r="J4118" s="72">
        <v>30534398</v>
      </c>
      <c r="K4118" s="99" t="str">
        <f>_xlfn.XLOOKUP(_2__ROI_Daily_Update[[#This Row],[CSM id]],SHP!F:F,SHP!EE:EE,"-")</f>
        <v>-</v>
      </c>
    </row>
    <row r="4119" spans="1:11" x14ac:dyDescent="0.45">
      <c r="A4119" s="57">
        <v>1231</v>
      </c>
      <c r="B4119" t="s">
        <v>1867</v>
      </c>
      <c r="C4119" t="s">
        <v>1868</v>
      </c>
      <c r="D4119" s="12">
        <v>46335</v>
      </c>
      <c r="E4119" s="11">
        <v>16</v>
      </c>
      <c r="F4119" s="11" t="s">
        <v>0</v>
      </c>
      <c r="G4119">
        <v>20260701</v>
      </c>
      <c r="I4119" s="11" t="s">
        <v>63</v>
      </c>
      <c r="J4119" s="72">
        <v>20636024</v>
      </c>
      <c r="K4119" s="99" t="str">
        <f>_xlfn.XLOOKUP(_2__ROI_Daily_Update[[#This Row],[CSM id]],SHP!F:F,SHP!EE:EE,"-")</f>
        <v>-</v>
      </c>
    </row>
    <row r="4120" spans="1:11" x14ac:dyDescent="0.45">
      <c r="A4120" s="57">
        <v>1131</v>
      </c>
      <c r="B4120" t="s">
        <v>7773</v>
      </c>
      <c r="C4120" t="s">
        <v>7774</v>
      </c>
      <c r="D4120" s="12">
        <v>46335</v>
      </c>
      <c r="E4120" s="11">
        <v>32</v>
      </c>
      <c r="F4120" s="11" t="s">
        <v>0</v>
      </c>
      <c r="G4120">
        <v>20261001</v>
      </c>
      <c r="I4120" s="11" t="s">
        <v>63</v>
      </c>
      <c r="J4120" s="72">
        <v>60614478</v>
      </c>
      <c r="K4120" s="99" t="str">
        <f>_xlfn.XLOOKUP(_2__ROI_Daily_Update[[#This Row],[CSM id]],SHP!F:F,SHP!EE:EE,"-")</f>
        <v>-</v>
      </c>
    </row>
    <row r="4121" spans="1:11" x14ac:dyDescent="0.45">
      <c r="A4121" s="57">
        <v>1311</v>
      </c>
      <c r="B4121" t="s">
        <v>7781</v>
      </c>
      <c r="C4121" t="s">
        <v>7782</v>
      </c>
      <c r="D4121" s="12">
        <v>46335</v>
      </c>
      <c r="E4121" s="11">
        <v>16</v>
      </c>
      <c r="F4121" s="11" t="s">
        <v>0</v>
      </c>
      <c r="G4121">
        <v>20230701</v>
      </c>
      <c r="I4121" s="11" t="s">
        <v>63</v>
      </c>
      <c r="J4121" s="72">
        <v>30560863</v>
      </c>
      <c r="K4121" s="99" t="str">
        <f>_xlfn.XLOOKUP(_2__ROI_Daily_Update[[#This Row],[CSM id]],SHP!F:F,SHP!EE:EE,"-")</f>
        <v>-</v>
      </c>
    </row>
    <row r="4122" spans="1:11" x14ac:dyDescent="0.45">
      <c r="A4122" s="57">
        <v>221</v>
      </c>
      <c r="B4122" t="s">
        <v>314</v>
      </c>
      <c r="C4122" t="s">
        <v>315</v>
      </c>
      <c r="D4122" s="12">
        <v>46335</v>
      </c>
      <c r="E4122" s="11">
        <v>30</v>
      </c>
      <c r="F4122" s="11" t="s">
        <v>0</v>
      </c>
      <c r="G4122">
        <v>20210701</v>
      </c>
      <c r="I4122" s="11" t="s">
        <v>18</v>
      </c>
      <c r="J4122" s="72">
        <v>10502992</v>
      </c>
      <c r="K4122" s="99" t="str">
        <f>_xlfn.XLOOKUP(_2__ROI_Daily_Update[[#This Row],[CSM id]],SHP!F:F,SHP!EE:EE,"-")</f>
        <v>-</v>
      </c>
    </row>
    <row r="4123" spans="1:11" x14ac:dyDescent="0.45">
      <c r="A4123" s="57">
        <v>241</v>
      </c>
      <c r="B4123" t="s">
        <v>310</v>
      </c>
      <c r="C4123" t="s">
        <v>311</v>
      </c>
      <c r="D4123" s="12">
        <v>46335</v>
      </c>
      <c r="E4123" s="11">
        <v>24</v>
      </c>
      <c r="F4123" s="11" t="s">
        <v>0</v>
      </c>
      <c r="G4123">
        <v>20140801</v>
      </c>
      <c r="I4123" s="11" t="s">
        <v>18</v>
      </c>
      <c r="J4123" s="72">
        <v>20167206</v>
      </c>
      <c r="K4123" s="99" t="str">
        <f>_xlfn.XLOOKUP(_2__ROI_Daily_Update[[#This Row],[CSM id]],SHP!F:F,SHP!EE:EE,"-")</f>
        <v>-</v>
      </c>
    </row>
    <row r="4124" spans="1:11" x14ac:dyDescent="0.45">
      <c r="A4124" s="57">
        <v>241</v>
      </c>
      <c r="B4124" t="s">
        <v>335</v>
      </c>
      <c r="C4124" t="s">
        <v>336</v>
      </c>
      <c r="D4124" s="12">
        <v>46335</v>
      </c>
      <c r="E4124" s="11">
        <v>54</v>
      </c>
      <c r="F4124" s="11" t="s">
        <v>0</v>
      </c>
      <c r="G4124">
        <v>20140801</v>
      </c>
      <c r="I4124" s="11" t="s">
        <v>18</v>
      </c>
      <c r="J4124" s="72">
        <v>167207</v>
      </c>
      <c r="K4124" s="99" t="str">
        <f>_xlfn.XLOOKUP(_2__ROI_Daily_Update[[#This Row],[CSM id]],SHP!F:F,SHP!EE:EE,"-")</f>
        <v>-</v>
      </c>
    </row>
    <row r="4125" spans="1:11" x14ac:dyDescent="0.45">
      <c r="A4125" s="57">
        <v>1081</v>
      </c>
      <c r="B4125" t="s">
        <v>7749</v>
      </c>
      <c r="C4125" t="s">
        <v>7750</v>
      </c>
      <c r="D4125" s="12">
        <v>46335</v>
      </c>
      <c r="E4125" s="11">
        <v>6</v>
      </c>
      <c r="F4125" s="11" t="s">
        <v>0</v>
      </c>
      <c r="G4125">
        <v>20261001</v>
      </c>
      <c r="H4125" s="12">
        <v>46388</v>
      </c>
      <c r="I4125" s="11" t="s">
        <v>63</v>
      </c>
      <c r="J4125" s="72">
        <v>30635482</v>
      </c>
      <c r="K4125" s="99" t="str">
        <f>_xlfn.XLOOKUP(_2__ROI_Daily_Update[[#This Row],[CSM id]],SHP!F:F,SHP!EE:EE,"-")</f>
        <v>-</v>
      </c>
    </row>
    <row r="4126" spans="1:11" x14ac:dyDescent="0.45">
      <c r="A4126" s="57">
        <v>1233</v>
      </c>
      <c r="B4126" t="s">
        <v>1986</v>
      </c>
      <c r="C4126" t="s">
        <v>1987</v>
      </c>
      <c r="D4126" s="12">
        <v>46335</v>
      </c>
      <c r="E4126" s="11">
        <v>120</v>
      </c>
      <c r="F4126" s="11" t="s">
        <v>0</v>
      </c>
      <c r="G4126">
        <v>20140801</v>
      </c>
      <c r="I4126" s="11" t="s">
        <v>63</v>
      </c>
      <c r="J4126" s="72">
        <v>10175004</v>
      </c>
      <c r="K4126" s="99" t="str">
        <f>_xlfn.XLOOKUP(_2__ROI_Daily_Update[[#This Row],[CSM id]],SHP!F:F,SHP!EE:EE,"-")</f>
        <v>-</v>
      </c>
    </row>
    <row r="4127" spans="1:11" x14ac:dyDescent="0.45">
      <c r="A4127" s="57">
        <v>1232</v>
      </c>
      <c r="B4127" t="s">
        <v>7779</v>
      </c>
      <c r="C4127" t="s">
        <v>7780</v>
      </c>
      <c r="D4127" s="12">
        <v>46335</v>
      </c>
      <c r="E4127" s="11">
        <v>64</v>
      </c>
      <c r="F4127" s="11" t="s">
        <v>0</v>
      </c>
      <c r="G4127">
        <v>20260101</v>
      </c>
      <c r="I4127" s="11" t="s">
        <v>63</v>
      </c>
      <c r="J4127" s="72">
        <v>10621810</v>
      </c>
      <c r="K4127" s="99" t="str">
        <f>_xlfn.XLOOKUP(_2__ROI_Daily_Update[[#This Row],[CSM id]],SHP!F:F,SHP!EE:EE,"-")</f>
        <v>-</v>
      </c>
    </row>
    <row r="4128" spans="1:11" x14ac:dyDescent="0.45">
      <c r="A4128" s="57">
        <v>352</v>
      </c>
      <c r="B4128" t="s">
        <v>5294</v>
      </c>
      <c r="C4128" t="s">
        <v>5295</v>
      </c>
      <c r="D4128" s="12">
        <v>46335</v>
      </c>
      <c r="E4128" s="11">
        <v>1</v>
      </c>
      <c r="F4128" s="11" t="s">
        <v>0</v>
      </c>
      <c r="G4128">
        <v>20181001</v>
      </c>
      <c r="I4128" s="11" t="s">
        <v>63</v>
      </c>
      <c r="J4128" s="72">
        <v>20419983</v>
      </c>
      <c r="K4128" s="99" t="str">
        <f>_xlfn.XLOOKUP(_2__ROI_Daily_Update[[#This Row],[CSM id]],SHP!F:F,SHP!EE:EE,"-")</f>
        <v>-</v>
      </c>
    </row>
    <row r="4129" spans="1:11" x14ac:dyDescent="0.45">
      <c r="A4129" s="57">
        <v>822</v>
      </c>
      <c r="B4129" t="s">
        <v>655</v>
      </c>
      <c r="C4129" t="s">
        <v>656</v>
      </c>
      <c r="D4129" s="12">
        <v>46335</v>
      </c>
      <c r="E4129" s="11">
        <v>156</v>
      </c>
      <c r="F4129" s="11" t="s">
        <v>0</v>
      </c>
      <c r="G4129">
        <v>20140801</v>
      </c>
      <c r="I4129" s="11" t="s">
        <v>18</v>
      </c>
      <c r="J4129" s="72">
        <v>30184050</v>
      </c>
      <c r="K4129" s="99" t="str">
        <f>_xlfn.XLOOKUP(_2__ROI_Daily_Update[[#This Row],[CSM id]],SHP!F:F,SHP!EE:EE,"-")</f>
        <v>-</v>
      </c>
    </row>
    <row r="4130" spans="1:11" x14ac:dyDescent="0.45">
      <c r="A4130" s="57">
        <v>1231</v>
      </c>
      <c r="B4130" t="s">
        <v>7751</v>
      </c>
      <c r="C4130" t="s">
        <v>7752</v>
      </c>
      <c r="D4130" s="12">
        <v>46335</v>
      </c>
      <c r="E4130" s="11">
        <v>42</v>
      </c>
      <c r="F4130" s="11" t="s">
        <v>0</v>
      </c>
      <c r="G4130">
        <v>20240401</v>
      </c>
      <c r="H4130" s="12">
        <v>46388</v>
      </c>
      <c r="I4130" s="11" t="s">
        <v>63</v>
      </c>
      <c r="J4130" s="72">
        <v>70572246</v>
      </c>
      <c r="K4130" s="99" t="str">
        <f>_xlfn.XLOOKUP(_2__ROI_Daily_Update[[#This Row],[CSM id]],SHP!F:F,SHP!EE:EE,"-")</f>
        <v>-</v>
      </c>
    </row>
    <row r="4131" spans="1:11" x14ac:dyDescent="0.45">
      <c r="A4131" s="57">
        <v>821</v>
      </c>
      <c r="B4131" t="s">
        <v>635</v>
      </c>
      <c r="C4131" t="s">
        <v>636</v>
      </c>
      <c r="D4131" s="12">
        <v>46335</v>
      </c>
      <c r="E4131" s="11">
        <v>52</v>
      </c>
      <c r="F4131" s="11" t="s">
        <v>0</v>
      </c>
      <c r="G4131">
        <v>20250401</v>
      </c>
      <c r="I4131" s="11" t="s">
        <v>18</v>
      </c>
      <c r="J4131" s="72">
        <v>40592745</v>
      </c>
      <c r="K4131" s="99" t="str">
        <f>_xlfn.XLOOKUP(_2__ROI_Daily_Update[[#This Row],[CSM id]],SHP!F:F,SHP!EE:EE,"-")</f>
        <v>-</v>
      </c>
    </row>
    <row r="4132" spans="1:11" x14ac:dyDescent="0.45">
      <c r="A4132" s="57">
        <v>821</v>
      </c>
      <c r="B4132" t="s">
        <v>623</v>
      </c>
      <c r="C4132" t="s">
        <v>624</v>
      </c>
      <c r="D4132" s="12">
        <v>46335</v>
      </c>
      <c r="E4132" s="11">
        <v>40</v>
      </c>
      <c r="F4132" s="11" t="s">
        <v>0</v>
      </c>
      <c r="G4132">
        <v>20260101</v>
      </c>
      <c r="I4132" s="11" t="s">
        <v>18</v>
      </c>
      <c r="J4132" s="72">
        <v>611798</v>
      </c>
      <c r="K4132" s="99" t="str">
        <f>_xlfn.XLOOKUP(_2__ROI_Daily_Update[[#This Row],[CSM id]],SHP!F:F,SHP!EE:EE,"-")</f>
        <v>-</v>
      </c>
    </row>
    <row r="4133" spans="1:11" x14ac:dyDescent="0.45">
      <c r="A4133" s="57">
        <v>1231</v>
      </c>
      <c r="B4133" t="s">
        <v>1869</v>
      </c>
      <c r="C4133" t="s">
        <v>1870</v>
      </c>
      <c r="D4133" s="12">
        <v>46335</v>
      </c>
      <c r="E4133" s="11">
        <v>120</v>
      </c>
      <c r="F4133" s="11" t="s">
        <v>0</v>
      </c>
      <c r="G4133">
        <v>20230401</v>
      </c>
      <c r="I4133" s="11" t="s">
        <v>18</v>
      </c>
      <c r="J4133" s="72">
        <v>30550703</v>
      </c>
      <c r="K4133" s="99" t="str">
        <f>_xlfn.XLOOKUP(_2__ROI_Daily_Update[[#This Row],[CSM id]],SHP!F:F,SHP!EE:EE,"-")</f>
        <v>-</v>
      </c>
    </row>
    <row r="4134" spans="1:11" x14ac:dyDescent="0.45">
      <c r="A4134" s="57">
        <v>811</v>
      </c>
      <c r="B4134" t="s">
        <v>7761</v>
      </c>
      <c r="C4134" t="s">
        <v>7762</v>
      </c>
      <c r="D4134" s="12">
        <v>46335</v>
      </c>
      <c r="E4134" s="11">
        <v>20</v>
      </c>
      <c r="F4134" s="11" t="s">
        <v>0</v>
      </c>
      <c r="G4134">
        <v>20250401</v>
      </c>
      <c r="I4134" s="11" t="s">
        <v>18</v>
      </c>
      <c r="J4134" s="72">
        <v>30594556</v>
      </c>
      <c r="K4134" s="99" t="str">
        <f>_xlfn.XLOOKUP(_2__ROI_Daily_Update[[#This Row],[CSM id]],SHP!F:F,SHP!EE:EE,"-")</f>
        <v>-</v>
      </c>
    </row>
    <row r="4135" spans="1:11" x14ac:dyDescent="0.45">
      <c r="A4135" s="57">
        <v>1111</v>
      </c>
      <c r="B4135" t="s">
        <v>5306</v>
      </c>
      <c r="C4135" t="s">
        <v>5307</v>
      </c>
      <c r="D4135" s="12">
        <v>46335</v>
      </c>
      <c r="E4135" s="11">
        <v>24</v>
      </c>
      <c r="F4135" s="11" t="s">
        <v>0</v>
      </c>
      <c r="G4135">
        <v>20170401</v>
      </c>
      <c r="I4135" s="11" t="s">
        <v>63</v>
      </c>
      <c r="J4135" s="72">
        <v>80343706</v>
      </c>
      <c r="K4135" s="99" t="str">
        <f>_xlfn.XLOOKUP(_2__ROI_Daily_Update[[#This Row],[CSM id]],SHP!F:F,SHP!EE:EE,"-")</f>
        <v>-</v>
      </c>
    </row>
    <row r="4136" spans="1:11" x14ac:dyDescent="0.45">
      <c r="A4136" s="57">
        <v>621</v>
      </c>
      <c r="B4136" t="s">
        <v>7771</v>
      </c>
      <c r="C4136" t="s">
        <v>7772</v>
      </c>
      <c r="D4136" s="12">
        <v>46335</v>
      </c>
      <c r="E4136" s="11">
        <v>576</v>
      </c>
      <c r="F4136" s="11" t="s">
        <v>0</v>
      </c>
      <c r="G4136">
        <v>20140801</v>
      </c>
      <c r="I4136" s="11" t="s">
        <v>18</v>
      </c>
      <c r="J4136" s="72">
        <v>60182040</v>
      </c>
      <c r="K4136" s="99" t="str">
        <f>_xlfn.XLOOKUP(_2__ROI_Daily_Update[[#This Row],[CSM id]],SHP!F:F,SHP!EE:EE,"-")</f>
        <v>-</v>
      </c>
    </row>
    <row r="4137" spans="1:11" x14ac:dyDescent="0.45">
      <c r="A4137" s="57">
        <v>1211</v>
      </c>
      <c r="B4137" t="s">
        <v>5902</v>
      </c>
      <c r="C4137" t="s">
        <v>5903</v>
      </c>
      <c r="D4137" s="12">
        <v>46335</v>
      </c>
      <c r="E4137" s="11">
        <v>15</v>
      </c>
      <c r="F4137" s="11" t="s">
        <v>0</v>
      </c>
      <c r="G4137">
        <v>20200201</v>
      </c>
      <c r="I4137" s="11" t="s">
        <v>63</v>
      </c>
      <c r="J4137" s="72">
        <v>50462791</v>
      </c>
      <c r="K4137" s="99" t="str">
        <f>_xlfn.XLOOKUP(_2__ROI_Daily_Update[[#This Row],[CSM id]],SHP!F:F,SHP!EE:EE,"-")</f>
        <v>-</v>
      </c>
    </row>
    <row r="4138" spans="1:11" x14ac:dyDescent="0.45">
      <c r="A4138" s="57">
        <v>622</v>
      </c>
      <c r="B4138" t="s">
        <v>199</v>
      </c>
      <c r="C4138" t="s">
        <v>200</v>
      </c>
      <c r="D4138" s="12">
        <v>46335</v>
      </c>
      <c r="E4138" s="11">
        <v>504</v>
      </c>
      <c r="F4138" s="11" t="s">
        <v>0</v>
      </c>
      <c r="G4138">
        <v>20260101</v>
      </c>
      <c r="I4138" s="11" t="s">
        <v>63</v>
      </c>
      <c r="J4138" s="72">
        <v>30600963</v>
      </c>
      <c r="K4138" s="99" t="str">
        <f>_xlfn.XLOOKUP(_2__ROI_Daily_Update[[#This Row],[CSM id]],SHP!F:F,SHP!EE:EE,"-")</f>
        <v>-</v>
      </c>
    </row>
    <row r="4139" spans="1:11" x14ac:dyDescent="0.45">
      <c r="A4139" s="57">
        <v>621</v>
      </c>
      <c r="B4139" t="s">
        <v>5564</v>
      </c>
      <c r="C4139" t="s">
        <v>5565</v>
      </c>
      <c r="D4139" s="12">
        <v>46335</v>
      </c>
      <c r="E4139" s="11">
        <v>24</v>
      </c>
      <c r="F4139" s="11" t="s">
        <v>0</v>
      </c>
      <c r="G4139">
        <v>20261001</v>
      </c>
      <c r="I4139" s="11" t="s">
        <v>63</v>
      </c>
      <c r="J4139" s="72">
        <v>50632091</v>
      </c>
      <c r="K4139" s="99" t="str">
        <f>_xlfn.XLOOKUP(_2__ROI_Daily_Update[[#This Row],[CSM id]],SHP!F:F,SHP!EE:EE,"-")</f>
        <v>-</v>
      </c>
    </row>
    <row r="4140" spans="1:11" x14ac:dyDescent="0.45">
      <c r="A4140" s="57">
        <v>621</v>
      </c>
      <c r="B4140" t="s">
        <v>6249</v>
      </c>
      <c r="C4140" t="s">
        <v>6250</v>
      </c>
      <c r="D4140" s="12">
        <v>46335</v>
      </c>
      <c r="E4140" s="11">
        <v>36</v>
      </c>
      <c r="F4140" s="11" t="s">
        <v>0</v>
      </c>
      <c r="G4140">
        <v>20261001</v>
      </c>
      <c r="I4140" s="11" t="s">
        <v>63</v>
      </c>
      <c r="J4140" s="72">
        <v>70632090</v>
      </c>
      <c r="K4140" s="99" t="str">
        <f>_xlfn.XLOOKUP(_2__ROI_Daily_Update[[#This Row],[CSM id]],SHP!F:F,SHP!EE:EE,"-")</f>
        <v>-</v>
      </c>
    </row>
    <row r="4141" spans="1:11" x14ac:dyDescent="0.45">
      <c r="A4141" s="57">
        <v>612</v>
      </c>
      <c r="B4141" t="s">
        <v>498</v>
      </c>
      <c r="C4141" t="s">
        <v>499</v>
      </c>
      <c r="D4141" s="12">
        <v>46335</v>
      </c>
      <c r="E4141" s="11">
        <v>56</v>
      </c>
      <c r="F4141" s="11" t="s">
        <v>0</v>
      </c>
      <c r="G4141">
        <v>20250701</v>
      </c>
      <c r="I4141" s="11" t="s">
        <v>18</v>
      </c>
      <c r="J4141" s="72">
        <v>30613908</v>
      </c>
      <c r="K4141" s="99" t="str">
        <f>_xlfn.XLOOKUP(_2__ROI_Daily_Update[[#This Row],[CSM id]],SHP!F:F,SHP!EE:EE,"-")</f>
        <v>-</v>
      </c>
    </row>
    <row r="4142" spans="1:11" x14ac:dyDescent="0.45">
      <c r="A4142" s="57">
        <v>612</v>
      </c>
      <c r="B4142" t="s">
        <v>500</v>
      </c>
      <c r="C4142" t="s">
        <v>501</v>
      </c>
      <c r="D4142" s="12">
        <v>46335</v>
      </c>
      <c r="E4142" s="11">
        <v>120</v>
      </c>
      <c r="F4142" s="11" t="s">
        <v>0</v>
      </c>
      <c r="G4142">
        <v>20250401</v>
      </c>
      <c r="I4142" s="11" t="s">
        <v>18</v>
      </c>
      <c r="J4142" s="72">
        <v>50574430</v>
      </c>
      <c r="K4142" s="99" t="str">
        <f>_xlfn.XLOOKUP(_2__ROI_Daily_Update[[#This Row],[CSM id]],SHP!F:F,SHP!EE:EE,"-")</f>
        <v>-</v>
      </c>
    </row>
    <row r="4143" spans="1:11" x14ac:dyDescent="0.45">
      <c r="A4143" s="57">
        <v>217</v>
      </c>
      <c r="B4143" t="s">
        <v>7763</v>
      </c>
      <c r="C4143" t="s">
        <v>7764</v>
      </c>
      <c r="D4143" s="12">
        <v>46335</v>
      </c>
      <c r="E4143" s="11">
        <v>12</v>
      </c>
      <c r="F4143" s="11" t="s">
        <v>0</v>
      </c>
      <c r="G4143">
        <v>20250701</v>
      </c>
      <c r="I4143" s="11" t="s">
        <v>18</v>
      </c>
      <c r="J4143" s="72">
        <v>70570252</v>
      </c>
      <c r="K4143" s="99" t="str">
        <f>_xlfn.XLOOKUP(_2__ROI_Daily_Update[[#This Row],[CSM id]],SHP!F:F,SHP!EE:EE,"-")</f>
        <v>-</v>
      </c>
    </row>
    <row r="4144" spans="1:11" x14ac:dyDescent="0.45">
      <c r="A4144" s="57">
        <v>215</v>
      </c>
      <c r="B4144" t="s">
        <v>263</v>
      </c>
      <c r="C4144" t="s">
        <v>264</v>
      </c>
      <c r="D4144" s="12">
        <v>46335</v>
      </c>
      <c r="E4144" s="11">
        <v>72</v>
      </c>
      <c r="F4144" s="11" t="s">
        <v>0</v>
      </c>
      <c r="G4144">
        <v>20260701</v>
      </c>
      <c r="H4144" s="12">
        <v>46569</v>
      </c>
      <c r="I4144" s="11" t="s">
        <v>63</v>
      </c>
      <c r="J4144" s="72">
        <v>10621481</v>
      </c>
      <c r="K4144" s="99" t="str">
        <f>_xlfn.XLOOKUP(_2__ROI_Daily_Update[[#This Row],[CSM id]],SHP!F:F,SHP!EE:EE,"-")</f>
        <v>-</v>
      </c>
    </row>
    <row r="4145" spans="1:11" x14ac:dyDescent="0.45">
      <c r="A4145" s="57">
        <v>1122</v>
      </c>
      <c r="B4145" t="s">
        <v>1627</v>
      </c>
      <c r="C4145" t="s">
        <v>1628</v>
      </c>
      <c r="D4145" s="12">
        <v>46335</v>
      </c>
      <c r="E4145" s="11">
        <v>20</v>
      </c>
      <c r="F4145" s="11" t="s">
        <v>0</v>
      </c>
      <c r="G4145">
        <v>20220101</v>
      </c>
      <c r="H4145" s="12">
        <v>46478</v>
      </c>
      <c r="I4145" s="11" t="s">
        <v>32</v>
      </c>
      <c r="J4145" s="72">
        <v>80513218</v>
      </c>
      <c r="K4145" s="99" t="str">
        <f>_xlfn.XLOOKUP(_2__ROI_Daily_Update[[#This Row],[CSM id]],SHP!F:F,SHP!EE:EE,"-")</f>
        <v>-</v>
      </c>
    </row>
    <row r="4146" spans="1:11" x14ac:dyDescent="0.45">
      <c r="A4146" s="57">
        <v>1112</v>
      </c>
      <c r="B4146" t="s">
        <v>1531</v>
      </c>
      <c r="C4146" t="s">
        <v>1532</v>
      </c>
      <c r="D4146" s="12">
        <v>46335</v>
      </c>
      <c r="E4146" s="11">
        <v>35</v>
      </c>
      <c r="F4146" s="11" t="s">
        <v>0</v>
      </c>
      <c r="G4146">
        <v>20261001</v>
      </c>
      <c r="I4146" s="11" t="s">
        <v>63</v>
      </c>
      <c r="J4146" s="72">
        <v>60637658</v>
      </c>
      <c r="K4146" s="99" t="str">
        <f>_xlfn.XLOOKUP(_2__ROI_Daily_Update[[#This Row],[CSM id]],SHP!F:F,SHP!EE:EE,"-")</f>
        <v>-</v>
      </c>
    </row>
    <row r="4147" spans="1:11" x14ac:dyDescent="0.45">
      <c r="A4147" s="57">
        <v>1112</v>
      </c>
      <c r="B4147" t="s">
        <v>1503</v>
      </c>
      <c r="C4147" t="s">
        <v>1504</v>
      </c>
      <c r="D4147" s="12">
        <v>46335</v>
      </c>
      <c r="E4147" s="11">
        <v>8</v>
      </c>
      <c r="F4147" s="11" t="s">
        <v>0</v>
      </c>
      <c r="G4147">
        <v>20260401</v>
      </c>
      <c r="I4147" s="11" t="s">
        <v>63</v>
      </c>
      <c r="J4147" s="72">
        <v>40623761</v>
      </c>
      <c r="K4147" s="99" t="str">
        <f>_xlfn.XLOOKUP(_2__ROI_Daily_Update[[#This Row],[CSM id]],SHP!F:F,SHP!EE:EE,"-")</f>
        <v>-</v>
      </c>
    </row>
    <row r="4148" spans="1:11" x14ac:dyDescent="0.45">
      <c r="A4148" s="57">
        <v>423</v>
      </c>
      <c r="B4148" t="s">
        <v>7767</v>
      </c>
      <c r="C4148" t="s">
        <v>7768</v>
      </c>
      <c r="D4148" s="12">
        <v>46335</v>
      </c>
      <c r="E4148" s="11">
        <v>33</v>
      </c>
      <c r="F4148" s="11" t="s">
        <v>0</v>
      </c>
      <c r="G4148">
        <v>20260701</v>
      </c>
      <c r="I4148" s="11" t="s">
        <v>63</v>
      </c>
      <c r="J4148" s="72">
        <v>20610806</v>
      </c>
      <c r="K4148" s="99" t="str">
        <f>_xlfn.XLOOKUP(_2__ROI_Daily_Update[[#This Row],[CSM id]],SHP!F:F,SHP!EE:EE,"-")</f>
        <v>-</v>
      </c>
    </row>
    <row r="4149" spans="1:11" x14ac:dyDescent="0.45">
      <c r="A4149" s="57">
        <v>424</v>
      </c>
      <c r="B4149" t="s">
        <v>447</v>
      </c>
      <c r="C4149" t="s">
        <v>448</v>
      </c>
      <c r="D4149" s="12">
        <v>46335</v>
      </c>
      <c r="E4149" s="11">
        <v>184</v>
      </c>
      <c r="F4149" s="11" t="s">
        <v>0</v>
      </c>
      <c r="G4149">
        <v>20190801</v>
      </c>
      <c r="I4149" s="11" t="s">
        <v>18</v>
      </c>
      <c r="J4149" s="72">
        <v>431311</v>
      </c>
      <c r="K4149" s="99" t="str">
        <f>_xlfn.XLOOKUP(_2__ROI_Daily_Update[[#This Row],[CSM id]],SHP!F:F,SHP!EE:EE,"-")</f>
        <v>-</v>
      </c>
    </row>
    <row r="4150" spans="1:11" x14ac:dyDescent="0.45">
      <c r="A4150" s="57">
        <v>1132</v>
      </c>
      <c r="B4150" t="s">
        <v>1685</v>
      </c>
      <c r="C4150" t="s">
        <v>1686</v>
      </c>
      <c r="D4150" s="12">
        <v>46335</v>
      </c>
      <c r="E4150" s="11">
        <v>172</v>
      </c>
      <c r="F4150" s="11" t="s">
        <v>0</v>
      </c>
      <c r="G4150">
        <v>20250701</v>
      </c>
      <c r="I4150" s="11" t="s">
        <v>18</v>
      </c>
      <c r="J4150" s="72">
        <v>30610269</v>
      </c>
      <c r="K4150" s="99" t="str">
        <f>_xlfn.XLOOKUP(_2__ROI_Daily_Update[[#This Row],[CSM id]],SHP!F:F,SHP!EE:EE,"-")</f>
        <v>-</v>
      </c>
    </row>
    <row r="4151" spans="1:11" x14ac:dyDescent="0.45">
      <c r="A4151" s="57">
        <v>361</v>
      </c>
      <c r="B4151" t="s">
        <v>194</v>
      </c>
      <c r="C4151" t="s">
        <v>195</v>
      </c>
      <c r="D4151" s="12">
        <v>46335</v>
      </c>
      <c r="E4151" s="11">
        <v>72</v>
      </c>
      <c r="F4151" s="11" t="s">
        <v>0</v>
      </c>
      <c r="G4151">
        <v>20260701</v>
      </c>
      <c r="H4151" s="12">
        <v>46569</v>
      </c>
      <c r="I4151" s="11" t="s">
        <v>63</v>
      </c>
      <c r="J4151" s="72">
        <v>20619859</v>
      </c>
      <c r="K4151" s="99" t="str">
        <f>_xlfn.XLOOKUP(_2__ROI_Daily_Update[[#This Row],[CSM id]],SHP!F:F,SHP!EE:EE,"-")</f>
        <v>-</v>
      </c>
    </row>
    <row r="4152" spans="1:11" x14ac:dyDescent="0.45">
      <c r="A4152" s="57">
        <v>1123</v>
      </c>
      <c r="B4152" t="s">
        <v>7759</v>
      </c>
      <c r="C4152" t="s">
        <v>7760</v>
      </c>
      <c r="D4152" s="12">
        <v>46335</v>
      </c>
      <c r="E4152" s="11">
        <v>88</v>
      </c>
      <c r="F4152" s="11" t="s">
        <v>0</v>
      </c>
      <c r="G4152">
        <v>20200401</v>
      </c>
      <c r="H4152" s="12">
        <v>46569</v>
      </c>
      <c r="I4152" s="11" t="s">
        <v>63</v>
      </c>
      <c r="J4152" s="72">
        <v>40461645</v>
      </c>
      <c r="K4152" s="99" t="str">
        <f>_xlfn.XLOOKUP(_2__ROI_Daily_Update[[#This Row],[CSM id]],SHP!F:F,SHP!EE:EE,"-")</f>
        <v>-</v>
      </c>
    </row>
    <row r="4153" spans="1:11" x14ac:dyDescent="0.45">
      <c r="A4153" s="57">
        <v>1314</v>
      </c>
      <c r="B4153" t="s">
        <v>7757</v>
      </c>
      <c r="C4153" t="s">
        <v>7758</v>
      </c>
      <c r="D4153" s="12">
        <v>46335</v>
      </c>
      <c r="E4153" s="11">
        <v>96</v>
      </c>
      <c r="F4153" s="11" t="s">
        <v>0</v>
      </c>
      <c r="G4153">
        <v>20220701</v>
      </c>
      <c r="I4153" s="11" t="s">
        <v>63</v>
      </c>
      <c r="J4153" s="72">
        <v>60528881</v>
      </c>
      <c r="K4153" s="99" t="str">
        <f>_xlfn.XLOOKUP(_2__ROI_Daily_Update[[#This Row],[CSM id]],SHP!F:F,SHP!EE:EE,"-")</f>
        <v>-</v>
      </c>
    </row>
    <row r="4154" spans="1:11" x14ac:dyDescent="0.45">
      <c r="A4154" s="57">
        <v>623</v>
      </c>
      <c r="B4154" t="s">
        <v>6053</v>
      </c>
      <c r="C4154" t="s">
        <v>6054</v>
      </c>
      <c r="D4154" s="12">
        <v>46335</v>
      </c>
      <c r="E4154" s="11">
        <v>12</v>
      </c>
      <c r="F4154" s="11" t="s">
        <v>0</v>
      </c>
      <c r="G4154">
        <v>20261001</v>
      </c>
      <c r="I4154" s="11" t="s">
        <v>63</v>
      </c>
      <c r="J4154" s="72">
        <v>40632096</v>
      </c>
      <c r="K4154" s="99" t="str">
        <f>_xlfn.XLOOKUP(_2__ROI_Daily_Update[[#This Row],[CSM id]],SHP!F:F,SHP!EE:EE,"-")</f>
        <v>-</v>
      </c>
    </row>
    <row r="4155" spans="1:11" x14ac:dyDescent="0.45">
      <c r="A4155" s="57">
        <v>125</v>
      </c>
      <c r="B4155" t="s">
        <v>111</v>
      </c>
      <c r="C4155" t="s">
        <v>112</v>
      </c>
      <c r="D4155" s="12">
        <v>46335</v>
      </c>
      <c r="E4155" s="11">
        <v>30</v>
      </c>
      <c r="F4155" s="11" t="s">
        <v>0</v>
      </c>
      <c r="G4155">
        <v>20260701</v>
      </c>
      <c r="I4155" s="11" t="s">
        <v>63</v>
      </c>
      <c r="J4155" s="72">
        <v>20625407</v>
      </c>
      <c r="K4155" s="99" t="str">
        <f>_xlfn.XLOOKUP(_2__ROI_Daily_Update[[#This Row],[CSM id]],SHP!F:F,SHP!EE:EE,"-")</f>
        <v>-</v>
      </c>
    </row>
    <row r="4156" spans="1:11" x14ac:dyDescent="0.45">
      <c r="A4156" s="57">
        <v>966</v>
      </c>
      <c r="B4156" t="s">
        <v>7217</v>
      </c>
      <c r="C4156" t="s">
        <v>7218</v>
      </c>
      <c r="D4156" s="12">
        <v>46335</v>
      </c>
      <c r="E4156" s="11">
        <v>8</v>
      </c>
      <c r="F4156" s="11" t="s">
        <v>0</v>
      </c>
      <c r="G4156">
        <v>20260201</v>
      </c>
      <c r="I4156" s="11" t="s">
        <v>63</v>
      </c>
      <c r="J4156" s="72">
        <v>80602002</v>
      </c>
      <c r="K4156" s="99" t="str">
        <f>_xlfn.XLOOKUP(_2__ROI_Daily_Update[[#This Row],[CSM id]],SHP!F:F,SHP!EE:EE,"-")</f>
        <v>-</v>
      </c>
    </row>
    <row r="4157" spans="1:11" x14ac:dyDescent="0.45">
      <c r="A4157" s="57">
        <v>981</v>
      </c>
      <c r="B4157" t="s">
        <v>5180</v>
      </c>
      <c r="C4157" t="s">
        <v>5181</v>
      </c>
      <c r="D4157" s="12">
        <v>46335</v>
      </c>
      <c r="E4157" s="11">
        <v>34</v>
      </c>
      <c r="F4157" s="11" t="s">
        <v>0</v>
      </c>
      <c r="G4157">
        <v>20260201</v>
      </c>
      <c r="I4157" s="11" t="s">
        <v>63</v>
      </c>
      <c r="J4157" s="72">
        <v>10598975</v>
      </c>
      <c r="K4157" s="99" t="str">
        <f>_xlfn.XLOOKUP(_2__ROI_Daily_Update[[#This Row],[CSM id]],SHP!F:F,SHP!EE:EE,"-")</f>
        <v>-</v>
      </c>
    </row>
    <row r="4158" spans="1:11" x14ac:dyDescent="0.45">
      <c r="A4158" s="57">
        <v>981</v>
      </c>
      <c r="B4158" t="s">
        <v>943</v>
      </c>
      <c r="C4158" t="s">
        <v>944</v>
      </c>
      <c r="D4158" s="12">
        <v>46335</v>
      </c>
      <c r="E4158" s="11">
        <v>42</v>
      </c>
      <c r="F4158" s="11" t="s">
        <v>0</v>
      </c>
      <c r="G4158">
        <v>20140801</v>
      </c>
      <c r="I4158" s="11" t="s">
        <v>63</v>
      </c>
      <c r="J4158" s="72">
        <v>30176644</v>
      </c>
      <c r="K4158" s="99" t="str">
        <f>_xlfn.XLOOKUP(_2__ROI_Daily_Update[[#This Row],[CSM id]],SHP!F:F,SHP!EE:EE,"-")</f>
        <v>-</v>
      </c>
    </row>
    <row r="4159" spans="1:11" x14ac:dyDescent="0.45">
      <c r="A4159" s="57">
        <v>967</v>
      </c>
      <c r="B4159" t="s">
        <v>6259</v>
      </c>
      <c r="C4159" t="s">
        <v>6260</v>
      </c>
      <c r="D4159" s="12">
        <v>46335</v>
      </c>
      <c r="E4159" s="11">
        <v>40</v>
      </c>
      <c r="F4159" s="11" t="s">
        <v>0</v>
      </c>
      <c r="G4159">
        <v>20251001</v>
      </c>
      <c r="I4159" s="11" t="s">
        <v>63</v>
      </c>
      <c r="J4159" s="72">
        <v>50603258</v>
      </c>
      <c r="K4159" s="99" t="str">
        <f>_xlfn.XLOOKUP(_2__ROI_Daily_Update[[#This Row],[CSM id]],SHP!F:F,SHP!EE:EE,"-")</f>
        <v>-</v>
      </c>
    </row>
    <row r="4160" spans="1:11" x14ac:dyDescent="0.45">
      <c r="A4160" s="57">
        <v>1014</v>
      </c>
      <c r="B4160" t="s">
        <v>1128</v>
      </c>
      <c r="C4160" t="s">
        <v>1129</v>
      </c>
      <c r="D4160" s="12">
        <v>46335</v>
      </c>
      <c r="E4160" s="11">
        <v>7</v>
      </c>
      <c r="F4160" s="11" t="s">
        <v>0</v>
      </c>
      <c r="G4160">
        <v>20260101</v>
      </c>
      <c r="I4160" s="11" t="s">
        <v>63</v>
      </c>
      <c r="J4160" s="72">
        <v>40567562</v>
      </c>
      <c r="K4160" s="99" t="str">
        <f>_xlfn.XLOOKUP(_2__ROI_Daily_Update[[#This Row],[CSM id]],SHP!F:F,SHP!EE:EE,"-")</f>
        <v>-</v>
      </c>
    </row>
    <row r="4161" spans="1:11" x14ac:dyDescent="0.45">
      <c r="A4161" s="57">
        <v>966</v>
      </c>
      <c r="B4161" t="s">
        <v>787</v>
      </c>
      <c r="C4161" t="s">
        <v>788</v>
      </c>
      <c r="D4161" s="12">
        <v>46335</v>
      </c>
      <c r="E4161" s="11">
        <v>24</v>
      </c>
      <c r="F4161" s="11" t="s">
        <v>0</v>
      </c>
      <c r="G4161">
        <v>20230701</v>
      </c>
      <c r="I4161" s="11" t="s">
        <v>63</v>
      </c>
      <c r="J4161" s="72">
        <v>60548209</v>
      </c>
      <c r="K4161" s="99" t="str">
        <f>_xlfn.XLOOKUP(_2__ROI_Daily_Update[[#This Row],[CSM id]],SHP!F:F,SHP!EE:EE,"-")</f>
        <v>-</v>
      </c>
    </row>
    <row r="4162" spans="1:11" x14ac:dyDescent="0.45">
      <c r="A4162" s="57">
        <v>966</v>
      </c>
      <c r="B4162" t="s">
        <v>781</v>
      </c>
      <c r="C4162" t="s">
        <v>782</v>
      </c>
      <c r="D4162" s="12">
        <v>46335</v>
      </c>
      <c r="E4162" s="11">
        <v>44</v>
      </c>
      <c r="F4162" s="11" t="s">
        <v>0</v>
      </c>
      <c r="G4162">
        <v>20251001</v>
      </c>
      <c r="I4162" s="11" t="s">
        <v>18</v>
      </c>
      <c r="J4162" s="72">
        <v>612241</v>
      </c>
      <c r="K4162" s="99" t="str">
        <f>_xlfn.XLOOKUP(_2__ROI_Daily_Update[[#This Row],[CSM id]],SHP!F:F,SHP!EE:EE,"-")</f>
        <v>-</v>
      </c>
    </row>
    <row r="4163" spans="1:11" x14ac:dyDescent="0.45">
      <c r="A4163" s="57">
        <v>971</v>
      </c>
      <c r="B4163" t="s">
        <v>7765</v>
      </c>
      <c r="C4163" t="s">
        <v>7766</v>
      </c>
      <c r="D4163" s="12">
        <v>46335</v>
      </c>
      <c r="E4163" s="11">
        <v>36</v>
      </c>
      <c r="F4163" s="11" t="s">
        <v>0</v>
      </c>
      <c r="G4163">
        <v>20260701</v>
      </c>
      <c r="I4163" s="11" t="s">
        <v>63</v>
      </c>
      <c r="J4163" s="72">
        <v>90603077</v>
      </c>
      <c r="K4163" s="99" t="str">
        <f>_xlfn.XLOOKUP(_2__ROI_Daily_Update[[#This Row],[CSM id]],SHP!F:F,SHP!EE:EE,"-")</f>
        <v>-</v>
      </c>
    </row>
    <row r="4164" spans="1:11" x14ac:dyDescent="0.45">
      <c r="A4164" s="57">
        <v>1637</v>
      </c>
      <c r="B4164" t="s">
        <v>7755</v>
      </c>
      <c r="C4164" t="s">
        <v>7756</v>
      </c>
      <c r="D4164" s="12">
        <v>46335</v>
      </c>
      <c r="E4164" s="11">
        <v>50</v>
      </c>
      <c r="F4164" s="11" t="s">
        <v>0</v>
      </c>
      <c r="G4164">
        <v>20261001</v>
      </c>
      <c r="H4164" s="12">
        <v>46388</v>
      </c>
      <c r="I4164" s="11" t="s">
        <v>63</v>
      </c>
      <c r="J4164" s="72">
        <v>10635435</v>
      </c>
      <c r="K4164" s="99" t="str">
        <f>_xlfn.XLOOKUP(_2__ROI_Daily_Update[[#This Row],[CSM id]],SHP!F:F,SHP!EE:EE,"-")</f>
        <v>-</v>
      </c>
    </row>
    <row r="4165" spans="1:11" x14ac:dyDescent="0.45">
      <c r="A4165" s="57">
        <v>1016</v>
      </c>
      <c r="B4165" t="s">
        <v>7775</v>
      </c>
      <c r="C4165" t="s">
        <v>7776</v>
      </c>
      <c r="D4165" s="12">
        <v>46335</v>
      </c>
      <c r="E4165" s="11">
        <v>10</v>
      </c>
      <c r="F4165" s="11" t="s">
        <v>0</v>
      </c>
      <c r="G4165">
        <v>20140801</v>
      </c>
      <c r="I4165" s="11" t="s">
        <v>63</v>
      </c>
      <c r="J4165" s="72">
        <v>80283547</v>
      </c>
      <c r="K4165" s="99" t="str">
        <f>_xlfn.XLOOKUP(_2__ROI_Daily_Update[[#This Row],[CSM id]],SHP!F:F,SHP!EE:EE,"-")</f>
        <v>-</v>
      </c>
    </row>
    <row r="4166" spans="1:11" x14ac:dyDescent="0.45">
      <c r="A4166" s="57">
        <v>1633</v>
      </c>
      <c r="B4166" t="s">
        <v>3012</v>
      </c>
      <c r="C4166" t="s">
        <v>3013</v>
      </c>
      <c r="D4166" s="12">
        <v>46335</v>
      </c>
      <c r="E4166" s="11">
        <v>15</v>
      </c>
      <c r="F4166" s="11" t="s">
        <v>0</v>
      </c>
      <c r="G4166">
        <v>20231001</v>
      </c>
      <c r="I4166" s="11" t="s">
        <v>63</v>
      </c>
      <c r="J4166" s="72">
        <v>70559551</v>
      </c>
      <c r="K4166" s="99" t="str">
        <f>_xlfn.XLOOKUP(_2__ROI_Daily_Update[[#This Row],[CSM id]],SHP!F:F,SHP!EE:EE,"-")</f>
        <v>-</v>
      </c>
    </row>
    <row r="4167" spans="1:11" x14ac:dyDescent="0.45">
      <c r="A4167" s="57">
        <v>1014</v>
      </c>
      <c r="B4167" t="s">
        <v>1120</v>
      </c>
      <c r="C4167" t="s">
        <v>1121</v>
      </c>
      <c r="D4167" s="12">
        <v>46335</v>
      </c>
      <c r="E4167" s="11">
        <v>10</v>
      </c>
      <c r="F4167" s="11" t="s">
        <v>0</v>
      </c>
      <c r="G4167">
        <v>20261001</v>
      </c>
      <c r="I4167" s="11" t="s">
        <v>63</v>
      </c>
      <c r="J4167" s="72">
        <v>640116</v>
      </c>
      <c r="K4167" s="99" t="str">
        <f>_xlfn.XLOOKUP(_2__ROI_Daily_Update[[#This Row],[CSM id]],SHP!F:F,SHP!EE:EE,"-")</f>
        <v>-</v>
      </c>
    </row>
    <row r="4168" spans="1:11" x14ac:dyDescent="0.45">
      <c r="A4168" s="57">
        <v>1011</v>
      </c>
      <c r="B4168" t="s">
        <v>1012</v>
      </c>
      <c r="C4168" t="s">
        <v>1013</v>
      </c>
      <c r="D4168" s="12">
        <v>46335</v>
      </c>
      <c r="E4168" s="11">
        <v>12</v>
      </c>
      <c r="F4168" s="11" t="s">
        <v>0</v>
      </c>
      <c r="G4168">
        <v>20140801</v>
      </c>
      <c r="I4168" s="11" t="s">
        <v>63</v>
      </c>
      <c r="J4168" s="72">
        <v>10284036</v>
      </c>
      <c r="K4168" s="99" t="str">
        <f>_xlfn.XLOOKUP(_2__ROI_Daily_Update[[#This Row],[CSM id]],SHP!F:F,SHP!EE:EE,"-")</f>
        <v>-</v>
      </c>
    </row>
    <row r="4169" spans="1:11" x14ac:dyDescent="0.45">
      <c r="A4169" s="57">
        <v>1013</v>
      </c>
      <c r="B4169" t="s">
        <v>7777</v>
      </c>
      <c r="C4169" t="s">
        <v>7778</v>
      </c>
      <c r="D4169" s="12">
        <v>46335</v>
      </c>
      <c r="E4169" s="11">
        <v>36</v>
      </c>
      <c r="F4169" s="11" t="s">
        <v>0</v>
      </c>
      <c r="G4169">
        <v>20200201</v>
      </c>
      <c r="I4169" s="11" t="s">
        <v>63</v>
      </c>
      <c r="J4169" s="72">
        <v>20455457</v>
      </c>
      <c r="K4169" s="99" t="str">
        <f>_xlfn.XLOOKUP(_2__ROI_Daily_Update[[#This Row],[CSM id]],SHP!F:F,SHP!EE:EE,"-")</f>
        <v>-</v>
      </c>
    </row>
    <row r="4170" spans="1:11" x14ac:dyDescent="0.45">
      <c r="A4170" s="57">
        <v>1641</v>
      </c>
      <c r="B4170" t="s">
        <v>6033</v>
      </c>
      <c r="C4170" t="s">
        <v>6034</v>
      </c>
      <c r="D4170" s="12">
        <v>46335</v>
      </c>
      <c r="E4170" s="11">
        <v>40</v>
      </c>
      <c r="F4170" s="11" t="s">
        <v>0</v>
      </c>
      <c r="G4170">
        <v>20240401</v>
      </c>
      <c r="I4170" s="11" t="s">
        <v>18</v>
      </c>
      <c r="J4170" s="72">
        <v>20550096</v>
      </c>
      <c r="K4170" s="99" t="str">
        <f>_xlfn.XLOOKUP(_2__ROI_Daily_Update[[#This Row],[CSM id]],SHP!F:F,SHP!EE:EE,"-")</f>
        <v>-</v>
      </c>
    </row>
    <row r="4171" spans="1:11" x14ac:dyDescent="0.45">
      <c r="A4171" s="57">
        <v>1011</v>
      </c>
      <c r="B4171" t="s">
        <v>1040</v>
      </c>
      <c r="C4171" t="s">
        <v>1041</v>
      </c>
      <c r="D4171" s="12">
        <v>46335</v>
      </c>
      <c r="E4171" s="11">
        <v>4</v>
      </c>
      <c r="F4171" s="11" t="s">
        <v>0</v>
      </c>
      <c r="G4171">
        <v>20260701</v>
      </c>
      <c r="I4171" s="11" t="s">
        <v>63</v>
      </c>
      <c r="J4171" s="72">
        <v>80629978</v>
      </c>
      <c r="K4171" s="99" t="str">
        <f>_xlfn.XLOOKUP(_2__ROI_Daily_Update[[#This Row],[CSM id]],SHP!F:F,SHP!EE:EE,"-")</f>
        <v>-</v>
      </c>
    </row>
    <row r="4172" spans="1:11" x14ac:dyDescent="0.45">
      <c r="A4172" s="57">
        <v>1641</v>
      </c>
      <c r="B4172" t="s">
        <v>3141</v>
      </c>
      <c r="C4172" t="s">
        <v>3142</v>
      </c>
      <c r="D4172" s="12">
        <v>46335</v>
      </c>
      <c r="E4172" s="11">
        <v>20</v>
      </c>
      <c r="F4172" s="11" t="s">
        <v>0</v>
      </c>
      <c r="G4172">
        <v>20240401</v>
      </c>
      <c r="I4172" s="11" t="s">
        <v>18</v>
      </c>
      <c r="J4172" s="72">
        <v>30550109</v>
      </c>
      <c r="K4172" s="99" t="str">
        <f>_xlfn.XLOOKUP(_2__ROI_Daily_Update[[#This Row],[CSM id]],SHP!F:F,SHP!EE:EE,"-")</f>
        <v>-</v>
      </c>
    </row>
    <row r="4173" spans="1:11" x14ac:dyDescent="0.45">
      <c r="A4173" s="57">
        <v>1423</v>
      </c>
      <c r="B4173" t="s">
        <v>2278</v>
      </c>
      <c r="C4173" t="s">
        <v>2279</v>
      </c>
      <c r="D4173" s="12">
        <v>46335</v>
      </c>
      <c r="E4173" s="11">
        <v>54</v>
      </c>
      <c r="F4173" s="11" t="s">
        <v>0</v>
      </c>
      <c r="G4173">
        <v>20150401</v>
      </c>
      <c r="I4173" s="11" t="s">
        <v>63</v>
      </c>
      <c r="J4173" s="72">
        <v>30289170</v>
      </c>
      <c r="K4173" s="99" t="str">
        <f>_xlfn.XLOOKUP(_2__ROI_Daily_Update[[#This Row],[CSM id]],SHP!F:F,SHP!EE:EE,"-")</f>
        <v>-</v>
      </c>
    </row>
    <row r="4174" spans="1:11" x14ac:dyDescent="0.45">
      <c r="A4174" s="57">
        <v>1132</v>
      </c>
      <c r="B4174" t="s">
        <v>1691</v>
      </c>
      <c r="C4174" t="s">
        <v>1692</v>
      </c>
      <c r="D4174" s="12">
        <v>46336</v>
      </c>
      <c r="E4174" s="11">
        <v>60</v>
      </c>
      <c r="F4174" s="11" t="s">
        <v>0</v>
      </c>
      <c r="G4174">
        <v>20261001</v>
      </c>
      <c r="I4174" s="11" t="s">
        <v>63</v>
      </c>
      <c r="J4174" s="72">
        <v>80623274</v>
      </c>
      <c r="K4174" s="99" t="str">
        <f>_xlfn.XLOOKUP(_2__ROI_Daily_Update[[#This Row],[CSM id]],SHP!F:F,SHP!EE:EE,"-")</f>
        <v>-</v>
      </c>
    </row>
    <row r="4175" spans="1:11" x14ac:dyDescent="0.45">
      <c r="A4175" s="57">
        <v>1112</v>
      </c>
      <c r="B4175" t="s">
        <v>6859</v>
      </c>
      <c r="C4175" t="s">
        <v>6860</v>
      </c>
      <c r="D4175" s="12">
        <v>46336</v>
      </c>
      <c r="E4175" s="11">
        <v>3</v>
      </c>
      <c r="F4175" s="11" t="s">
        <v>0</v>
      </c>
      <c r="G4175">
        <v>20251001</v>
      </c>
      <c r="I4175" s="11" t="s">
        <v>63</v>
      </c>
      <c r="J4175" s="72">
        <v>40610947</v>
      </c>
      <c r="K4175" s="99" t="str">
        <f>_xlfn.XLOOKUP(_2__ROI_Daily_Update[[#This Row],[CSM id]],SHP!F:F,SHP!EE:EE,"-")</f>
        <v>-</v>
      </c>
    </row>
    <row r="4176" spans="1:11" x14ac:dyDescent="0.45">
      <c r="A4176" s="57">
        <v>1813</v>
      </c>
      <c r="B4176" t="s">
        <v>3440</v>
      </c>
      <c r="C4176" t="s">
        <v>3441</v>
      </c>
      <c r="D4176" s="12">
        <v>46336</v>
      </c>
      <c r="E4176" s="11">
        <v>81</v>
      </c>
      <c r="F4176" s="11" t="s">
        <v>0</v>
      </c>
      <c r="G4176">
        <v>20240401</v>
      </c>
      <c r="I4176" s="11" t="s">
        <v>63</v>
      </c>
      <c r="J4176" s="72">
        <v>80542089</v>
      </c>
      <c r="K4176" s="99" t="str">
        <f>_xlfn.XLOOKUP(_2__ROI_Daily_Update[[#This Row],[CSM id]],SHP!F:F,SHP!EE:EE,"-")</f>
        <v>-</v>
      </c>
    </row>
    <row r="4177" spans="1:11" x14ac:dyDescent="0.45">
      <c r="A4177" s="57">
        <v>1112</v>
      </c>
      <c r="B4177" t="s">
        <v>5130</v>
      </c>
      <c r="C4177" t="s">
        <v>5131</v>
      </c>
      <c r="D4177" s="12">
        <v>46336</v>
      </c>
      <c r="E4177" s="11">
        <v>12</v>
      </c>
      <c r="F4177" s="11" t="s">
        <v>0</v>
      </c>
      <c r="G4177">
        <v>20251001</v>
      </c>
      <c r="I4177" s="11" t="s">
        <v>63</v>
      </c>
      <c r="J4177" s="72">
        <v>40610914</v>
      </c>
      <c r="K4177" s="99" t="str">
        <f>_xlfn.XLOOKUP(_2__ROI_Daily_Update[[#This Row],[CSM id]],SHP!F:F,SHP!EE:EE,"-")</f>
        <v>-</v>
      </c>
    </row>
    <row r="4178" spans="1:11" x14ac:dyDescent="0.45">
      <c r="A4178" s="57">
        <v>423</v>
      </c>
      <c r="B4178" t="s">
        <v>445</v>
      </c>
      <c r="C4178" t="s">
        <v>446</v>
      </c>
      <c r="D4178" s="12">
        <v>46336</v>
      </c>
      <c r="E4178" s="11">
        <v>6</v>
      </c>
      <c r="F4178" s="11" t="s">
        <v>0</v>
      </c>
      <c r="G4178">
        <v>20200801</v>
      </c>
      <c r="I4178" s="11" t="s">
        <v>32</v>
      </c>
      <c r="J4178" s="72">
        <v>30437241</v>
      </c>
      <c r="K4178" s="99" t="str">
        <f>_xlfn.XLOOKUP(_2__ROI_Daily_Update[[#This Row],[CSM id]],SHP!F:F,SHP!EE:EE,"-")</f>
        <v>-</v>
      </c>
    </row>
    <row r="4179" spans="1:11" x14ac:dyDescent="0.45">
      <c r="A4179" s="57">
        <v>1314</v>
      </c>
      <c r="B4179" t="s">
        <v>2060</v>
      </c>
      <c r="C4179" t="s">
        <v>2061</v>
      </c>
      <c r="D4179" s="12">
        <v>46336</v>
      </c>
      <c r="E4179" s="11">
        <v>88</v>
      </c>
      <c r="F4179" s="11" t="s">
        <v>0</v>
      </c>
      <c r="G4179">
        <v>20190401</v>
      </c>
      <c r="I4179" s="11" t="s">
        <v>63</v>
      </c>
      <c r="J4179" s="72">
        <v>40426280</v>
      </c>
      <c r="K4179" s="99" t="str">
        <f>_xlfn.XLOOKUP(_2__ROI_Daily_Update[[#This Row],[CSM id]],SHP!F:F,SHP!EE:EE,"-")</f>
        <v>-</v>
      </c>
    </row>
    <row r="4180" spans="1:11" x14ac:dyDescent="0.45">
      <c r="A4180" s="57">
        <v>1131</v>
      </c>
      <c r="B4180" t="s">
        <v>7829</v>
      </c>
      <c r="C4180" t="s">
        <v>7830</v>
      </c>
      <c r="D4180" s="12">
        <v>46336</v>
      </c>
      <c r="E4180" s="11">
        <v>128</v>
      </c>
      <c r="F4180" s="11" t="s">
        <v>0</v>
      </c>
      <c r="G4180">
        <v>20251001</v>
      </c>
      <c r="I4180" s="11" t="s">
        <v>63</v>
      </c>
      <c r="J4180" s="72">
        <v>50612106</v>
      </c>
      <c r="K4180" s="99" t="str">
        <f>_xlfn.XLOOKUP(_2__ROI_Daily_Update[[#This Row],[CSM id]],SHP!F:F,SHP!EE:EE,"-")</f>
        <v>-</v>
      </c>
    </row>
    <row r="4181" spans="1:11" x14ac:dyDescent="0.45">
      <c r="A4181" s="57">
        <v>622</v>
      </c>
      <c r="B4181" t="s">
        <v>6031</v>
      </c>
      <c r="C4181" t="s">
        <v>6032</v>
      </c>
      <c r="D4181" s="12">
        <v>46336</v>
      </c>
      <c r="E4181" s="11">
        <v>48</v>
      </c>
      <c r="F4181" s="11" t="s">
        <v>0</v>
      </c>
      <c r="G4181">
        <v>20260101</v>
      </c>
      <c r="I4181" s="11" t="s">
        <v>63</v>
      </c>
      <c r="J4181" s="72">
        <v>90619950</v>
      </c>
      <c r="K4181" s="99" t="str">
        <f>_xlfn.XLOOKUP(_2__ROI_Daily_Update[[#This Row],[CSM id]],SHP!F:F,SHP!EE:EE,"-")</f>
        <v>-</v>
      </c>
    </row>
    <row r="4182" spans="1:11" x14ac:dyDescent="0.45">
      <c r="A4182" s="57">
        <v>1644</v>
      </c>
      <c r="B4182" t="s">
        <v>6167</v>
      </c>
      <c r="C4182" t="s">
        <v>6168</v>
      </c>
      <c r="D4182" s="12">
        <v>46336</v>
      </c>
      <c r="E4182" s="11">
        <v>26</v>
      </c>
      <c r="F4182" s="11" t="s">
        <v>0</v>
      </c>
      <c r="G4182">
        <v>20261001</v>
      </c>
      <c r="I4182" s="11" t="s">
        <v>63</v>
      </c>
      <c r="J4182" s="72">
        <v>651039</v>
      </c>
      <c r="K4182" s="99" t="str">
        <f>_xlfn.XLOOKUP(_2__ROI_Daily_Update[[#This Row],[CSM id]],SHP!F:F,SHP!EE:EE,"-")</f>
        <v>-</v>
      </c>
    </row>
    <row r="4183" spans="1:11" x14ac:dyDescent="0.45">
      <c r="A4183" s="57">
        <v>211</v>
      </c>
      <c r="B4183" t="s">
        <v>7831</v>
      </c>
      <c r="C4183" t="s">
        <v>7832</v>
      </c>
      <c r="D4183" s="12">
        <v>46336</v>
      </c>
      <c r="E4183" s="11">
        <v>44</v>
      </c>
      <c r="F4183" s="11" t="s">
        <v>0</v>
      </c>
      <c r="G4183">
        <v>20170201</v>
      </c>
      <c r="I4183" s="11" t="s">
        <v>63</v>
      </c>
      <c r="J4183" s="72">
        <v>60334604</v>
      </c>
      <c r="K4183" s="99" t="str">
        <f>_xlfn.XLOOKUP(_2__ROI_Daily_Update[[#This Row],[CSM id]],SHP!F:F,SHP!EE:EE,"-")</f>
        <v>-</v>
      </c>
    </row>
    <row r="4184" spans="1:11" x14ac:dyDescent="0.45">
      <c r="A4184" s="57">
        <v>973</v>
      </c>
      <c r="B4184" t="s">
        <v>5821</v>
      </c>
      <c r="C4184" t="s">
        <v>5822</v>
      </c>
      <c r="D4184" s="12">
        <v>46336</v>
      </c>
      <c r="E4184" s="11">
        <v>48</v>
      </c>
      <c r="F4184" s="11" t="s">
        <v>0</v>
      </c>
      <c r="G4184">
        <v>20200801</v>
      </c>
      <c r="I4184" s="11" t="s">
        <v>63</v>
      </c>
      <c r="J4184" s="72">
        <v>70477598</v>
      </c>
      <c r="K4184" s="99" t="str">
        <f>_xlfn.XLOOKUP(_2__ROI_Daily_Update[[#This Row],[CSM id]],SHP!F:F,SHP!EE:EE,"-")</f>
        <v>-</v>
      </c>
    </row>
    <row r="4185" spans="1:11" x14ac:dyDescent="0.45">
      <c r="A4185" s="57">
        <v>1113</v>
      </c>
      <c r="B4185" t="s">
        <v>5350</v>
      </c>
      <c r="C4185" t="s">
        <v>5351</v>
      </c>
      <c r="D4185" s="12">
        <v>46336</v>
      </c>
      <c r="E4185" s="11">
        <v>44</v>
      </c>
      <c r="F4185" s="11" t="s">
        <v>0</v>
      </c>
      <c r="G4185">
        <v>20251001</v>
      </c>
      <c r="I4185" s="11" t="s">
        <v>63</v>
      </c>
      <c r="J4185" s="72">
        <v>20614989</v>
      </c>
      <c r="K4185" s="99" t="str">
        <f>_xlfn.XLOOKUP(_2__ROI_Daily_Update[[#This Row],[CSM id]],SHP!F:F,SHP!EE:EE,"-")</f>
        <v>-</v>
      </c>
    </row>
    <row r="4186" spans="1:11" x14ac:dyDescent="0.45">
      <c r="A4186" s="57">
        <v>1112</v>
      </c>
      <c r="B4186" t="s">
        <v>7833</v>
      </c>
      <c r="C4186" t="s">
        <v>7834</v>
      </c>
      <c r="D4186" s="12">
        <v>46336</v>
      </c>
      <c r="E4186" s="11">
        <v>4</v>
      </c>
      <c r="F4186" s="11" t="s">
        <v>0</v>
      </c>
      <c r="G4186">
        <v>20260701</v>
      </c>
      <c r="I4186" s="11" t="s">
        <v>63</v>
      </c>
      <c r="J4186" s="72">
        <v>90632174</v>
      </c>
      <c r="K4186" s="99" t="str">
        <f>_xlfn.XLOOKUP(_2__ROI_Daily_Update[[#This Row],[CSM id]],SHP!F:F,SHP!EE:EE,"-")</f>
        <v>-</v>
      </c>
    </row>
    <row r="4187" spans="1:11" x14ac:dyDescent="0.45">
      <c r="A4187" s="57">
        <v>1634</v>
      </c>
      <c r="B4187" t="s">
        <v>6574</v>
      </c>
      <c r="C4187" t="s">
        <v>6575</v>
      </c>
      <c r="D4187" s="12">
        <v>46336</v>
      </c>
      <c r="E4187" s="11">
        <v>48</v>
      </c>
      <c r="F4187" s="11" t="s">
        <v>0</v>
      </c>
      <c r="G4187">
        <v>20251001</v>
      </c>
      <c r="I4187" s="11" t="s">
        <v>63</v>
      </c>
      <c r="J4187" s="72">
        <v>50606087</v>
      </c>
      <c r="K4187" s="99" t="str">
        <f>_xlfn.XLOOKUP(_2__ROI_Daily_Update[[#This Row],[CSM id]],SHP!F:F,SHP!EE:EE,"-")</f>
        <v>-</v>
      </c>
    </row>
    <row r="4188" spans="1:11" x14ac:dyDescent="0.45">
      <c r="A4188" s="57">
        <v>1433</v>
      </c>
      <c r="B4188" t="s">
        <v>7835</v>
      </c>
      <c r="C4188" t="s">
        <v>7836</v>
      </c>
      <c r="D4188" s="12">
        <v>46336</v>
      </c>
      <c r="E4188" s="11">
        <v>198</v>
      </c>
      <c r="F4188" s="11" t="s">
        <v>0</v>
      </c>
      <c r="G4188">
        <v>20251001</v>
      </c>
      <c r="I4188" s="11" t="s">
        <v>63</v>
      </c>
      <c r="J4188" s="72">
        <v>90605321</v>
      </c>
      <c r="K4188" s="99" t="str">
        <f>_xlfn.XLOOKUP(_2__ROI_Daily_Update[[#This Row],[CSM id]],SHP!F:F,SHP!EE:EE,"-")</f>
        <v>-</v>
      </c>
    </row>
    <row r="4189" spans="1:11" x14ac:dyDescent="0.45">
      <c r="A4189" s="57">
        <v>1122</v>
      </c>
      <c r="B4189" t="s">
        <v>1625</v>
      </c>
      <c r="C4189" t="s">
        <v>1626</v>
      </c>
      <c r="D4189" s="12">
        <v>46336</v>
      </c>
      <c r="E4189" s="11">
        <v>70</v>
      </c>
      <c r="F4189" s="11" t="s">
        <v>0</v>
      </c>
      <c r="G4189">
        <v>20190801</v>
      </c>
      <c r="H4189" s="12">
        <v>46478</v>
      </c>
      <c r="I4189" s="11" t="s">
        <v>63</v>
      </c>
      <c r="J4189" s="72">
        <v>80446097</v>
      </c>
      <c r="K4189" s="99" t="str">
        <f>_xlfn.XLOOKUP(_2__ROI_Daily_Update[[#This Row],[CSM id]],SHP!F:F,SHP!EE:EE,"-")</f>
        <v>-</v>
      </c>
    </row>
    <row r="4190" spans="1:11" x14ac:dyDescent="0.45">
      <c r="A4190" s="57">
        <v>511</v>
      </c>
      <c r="B4190" t="s">
        <v>48</v>
      </c>
      <c r="C4190" t="s">
        <v>49</v>
      </c>
      <c r="D4190" s="12">
        <v>46336</v>
      </c>
      <c r="E4190" s="11">
        <v>13</v>
      </c>
      <c r="F4190" s="11" t="s">
        <v>0</v>
      </c>
      <c r="G4190">
        <v>20211001</v>
      </c>
      <c r="I4190" s="11" t="s">
        <v>32</v>
      </c>
      <c r="J4190" s="72">
        <v>80480859</v>
      </c>
      <c r="K4190" s="99" t="str">
        <f>_xlfn.XLOOKUP(_2__ROI_Daily_Update[[#This Row],[CSM id]],SHP!F:F,SHP!EE:EE,"-")</f>
        <v>-</v>
      </c>
    </row>
    <row r="4191" spans="1:11" x14ac:dyDescent="0.45">
      <c r="A4191" s="57">
        <v>351</v>
      </c>
      <c r="B4191" t="s">
        <v>7225</v>
      </c>
      <c r="C4191" t="s">
        <v>7226</v>
      </c>
      <c r="D4191" s="12">
        <v>46336</v>
      </c>
      <c r="E4191" s="11">
        <v>35</v>
      </c>
      <c r="F4191" s="11" t="s">
        <v>0</v>
      </c>
      <c r="G4191">
        <v>20211001</v>
      </c>
      <c r="I4191" s="11" t="s">
        <v>32</v>
      </c>
      <c r="J4191" s="72">
        <v>30474790</v>
      </c>
      <c r="K4191" s="99" t="str">
        <f>_xlfn.XLOOKUP(_2__ROI_Daily_Update[[#This Row],[CSM id]],SHP!F:F,SHP!EE:EE,"-")</f>
        <v>-</v>
      </c>
    </row>
    <row r="4192" spans="1:11" x14ac:dyDescent="0.45">
      <c r="A4192" s="57">
        <v>1831</v>
      </c>
      <c r="B4192" t="s">
        <v>3568</v>
      </c>
      <c r="C4192" t="s">
        <v>3569</v>
      </c>
      <c r="D4192" s="12">
        <v>46336</v>
      </c>
      <c r="E4192" s="11">
        <v>48</v>
      </c>
      <c r="F4192" s="11" t="s">
        <v>0</v>
      </c>
      <c r="G4192">
        <v>20200801</v>
      </c>
      <c r="I4192" s="11" t="s">
        <v>63</v>
      </c>
      <c r="J4192" s="72">
        <v>472995</v>
      </c>
      <c r="K4192" s="99" t="str">
        <f>_xlfn.XLOOKUP(_2__ROI_Daily_Update[[#This Row],[CSM id]],SHP!F:F,SHP!EE:EE,"-")</f>
        <v>-</v>
      </c>
    </row>
    <row r="4193" spans="1:11" x14ac:dyDescent="0.45">
      <c r="A4193" s="57">
        <v>1542</v>
      </c>
      <c r="B4193" t="s">
        <v>7290</v>
      </c>
      <c r="C4193" t="s">
        <v>7291</v>
      </c>
      <c r="D4193" s="12">
        <v>46336</v>
      </c>
      <c r="E4193" s="11">
        <v>704</v>
      </c>
      <c r="F4193" s="11" t="s">
        <v>0</v>
      </c>
      <c r="G4193">
        <v>20231001</v>
      </c>
      <c r="I4193" s="11" t="s">
        <v>63</v>
      </c>
      <c r="J4193" s="72">
        <v>562298</v>
      </c>
      <c r="K4193" s="99" t="str">
        <f>_xlfn.XLOOKUP(_2__ROI_Daily_Update[[#This Row],[CSM id]],SHP!F:F,SHP!EE:EE,"-")</f>
        <v>-</v>
      </c>
    </row>
    <row r="4194" spans="1:11" x14ac:dyDescent="0.45">
      <c r="A4194" s="57">
        <v>1634</v>
      </c>
      <c r="B4194" t="s">
        <v>3051</v>
      </c>
      <c r="C4194" t="s">
        <v>3052</v>
      </c>
      <c r="D4194" s="12">
        <v>46336</v>
      </c>
      <c r="E4194" s="11">
        <v>64</v>
      </c>
      <c r="F4194" s="11" t="s">
        <v>0</v>
      </c>
      <c r="G4194">
        <v>20250701</v>
      </c>
      <c r="I4194" s="11" t="s">
        <v>63</v>
      </c>
      <c r="J4194" s="72">
        <v>60560121</v>
      </c>
      <c r="K4194" s="99" t="str">
        <f>_xlfn.XLOOKUP(_2__ROI_Daily_Update[[#This Row],[CSM id]],SHP!F:F,SHP!EE:EE,"-")</f>
        <v>-</v>
      </c>
    </row>
    <row r="4195" spans="1:11" x14ac:dyDescent="0.45">
      <c r="A4195" s="57">
        <v>1122</v>
      </c>
      <c r="B4195" t="s">
        <v>5939</v>
      </c>
      <c r="C4195" t="s">
        <v>5940</v>
      </c>
      <c r="D4195" s="12">
        <v>46336</v>
      </c>
      <c r="E4195" s="11">
        <v>24</v>
      </c>
      <c r="F4195" s="11" t="s">
        <v>0</v>
      </c>
      <c r="G4195">
        <v>20261001</v>
      </c>
      <c r="I4195" s="11" t="s">
        <v>63</v>
      </c>
      <c r="J4195" s="72">
        <v>10637000</v>
      </c>
      <c r="K4195" s="99" t="str">
        <f>_xlfn.XLOOKUP(_2__ROI_Daily_Update[[#This Row],[CSM id]],SHP!F:F,SHP!EE:EE,"-")</f>
        <v>-</v>
      </c>
    </row>
    <row r="4196" spans="1:11" x14ac:dyDescent="0.45">
      <c r="A4196" s="57">
        <v>1214</v>
      </c>
      <c r="B4196" t="s">
        <v>7837</v>
      </c>
      <c r="C4196" t="s">
        <v>7838</v>
      </c>
      <c r="D4196" s="12">
        <v>46336</v>
      </c>
      <c r="E4196" s="11">
        <v>288</v>
      </c>
      <c r="F4196" s="11" t="s">
        <v>0</v>
      </c>
      <c r="G4196">
        <v>20140801</v>
      </c>
      <c r="H4196" s="12">
        <v>46478</v>
      </c>
      <c r="I4196" s="11" t="s">
        <v>63</v>
      </c>
      <c r="J4196" s="72">
        <v>40217130</v>
      </c>
      <c r="K4196" s="99" t="str">
        <f>_xlfn.XLOOKUP(_2__ROI_Daily_Update[[#This Row],[CSM id]],SHP!F:F,SHP!EE:EE,"-")</f>
        <v>-</v>
      </c>
    </row>
    <row r="4197" spans="1:11" x14ac:dyDescent="0.45">
      <c r="A4197" s="57">
        <v>1043</v>
      </c>
      <c r="B4197" t="s">
        <v>7839</v>
      </c>
      <c r="C4197" t="s">
        <v>7840</v>
      </c>
      <c r="D4197" s="12">
        <v>46336</v>
      </c>
      <c r="E4197" s="11">
        <v>36</v>
      </c>
      <c r="F4197" s="11" t="s">
        <v>0</v>
      </c>
      <c r="G4197">
        <v>20230101</v>
      </c>
      <c r="H4197" s="12">
        <v>46569</v>
      </c>
      <c r="I4197" s="11" t="s">
        <v>63</v>
      </c>
      <c r="J4197" s="72">
        <v>80519927</v>
      </c>
      <c r="K4197" s="99" t="str">
        <f>_xlfn.XLOOKUP(_2__ROI_Daily_Update[[#This Row],[CSM id]],SHP!F:F,SHP!EE:EE,"-")</f>
        <v>-</v>
      </c>
    </row>
    <row r="4198" spans="1:11" x14ac:dyDescent="0.45">
      <c r="A4198" s="57">
        <v>623</v>
      </c>
      <c r="B4198" t="s">
        <v>7841</v>
      </c>
      <c r="C4198" t="s">
        <v>7842</v>
      </c>
      <c r="D4198" s="12">
        <v>46336</v>
      </c>
      <c r="E4198" s="11">
        <v>60</v>
      </c>
      <c r="F4198" s="11" t="s">
        <v>0</v>
      </c>
      <c r="G4198">
        <v>20251001</v>
      </c>
      <c r="I4198" s="11" t="s">
        <v>63</v>
      </c>
      <c r="J4198" s="72">
        <v>80612652</v>
      </c>
      <c r="K4198" s="99" t="str">
        <f>_xlfn.XLOOKUP(_2__ROI_Daily_Update[[#This Row],[CSM id]],SHP!F:F,SHP!EE:EE,"-")</f>
        <v>-</v>
      </c>
    </row>
    <row r="4199" spans="1:11" x14ac:dyDescent="0.45">
      <c r="A4199" s="57">
        <v>1881</v>
      </c>
      <c r="B4199" t="s">
        <v>3727</v>
      </c>
      <c r="C4199" t="s">
        <v>3728</v>
      </c>
      <c r="D4199" s="12">
        <v>46336</v>
      </c>
      <c r="E4199" s="11">
        <v>60</v>
      </c>
      <c r="F4199" s="11" t="s">
        <v>0</v>
      </c>
      <c r="G4199">
        <v>20231001</v>
      </c>
      <c r="I4199" s="11" t="s">
        <v>63</v>
      </c>
      <c r="J4199" s="72">
        <v>70563727</v>
      </c>
      <c r="K4199" s="99" t="str">
        <f>_xlfn.XLOOKUP(_2__ROI_Daily_Update[[#This Row],[CSM id]],SHP!F:F,SHP!EE:EE,"-")</f>
        <v>-</v>
      </c>
    </row>
    <row r="4200" spans="1:11" x14ac:dyDescent="0.45">
      <c r="A4200" s="57">
        <v>1813</v>
      </c>
      <c r="B4200" t="s">
        <v>3396</v>
      </c>
      <c r="C4200" t="s">
        <v>3397</v>
      </c>
      <c r="D4200" s="12">
        <v>46336</v>
      </c>
      <c r="E4200" s="11">
        <v>32</v>
      </c>
      <c r="F4200" s="11" t="s">
        <v>0</v>
      </c>
      <c r="G4200">
        <v>20260701</v>
      </c>
      <c r="I4200" s="11" t="s">
        <v>63</v>
      </c>
      <c r="J4200" s="72">
        <v>40521927</v>
      </c>
      <c r="K4200" s="99" t="str">
        <f>_xlfn.XLOOKUP(_2__ROI_Daily_Update[[#This Row],[CSM id]],SHP!F:F,SHP!EE:EE,"-")</f>
        <v>-</v>
      </c>
    </row>
    <row r="4201" spans="1:11" x14ac:dyDescent="0.45">
      <c r="A4201" s="57">
        <v>962</v>
      </c>
      <c r="B4201" t="s">
        <v>7843</v>
      </c>
      <c r="C4201" t="s">
        <v>7844</v>
      </c>
      <c r="D4201" s="12">
        <v>46336</v>
      </c>
      <c r="E4201" s="11">
        <v>33</v>
      </c>
      <c r="F4201" s="11" t="s">
        <v>0</v>
      </c>
      <c r="G4201">
        <v>20260701</v>
      </c>
      <c r="I4201" s="11" t="s">
        <v>63</v>
      </c>
      <c r="J4201" s="72">
        <v>50625062</v>
      </c>
      <c r="K4201" s="99" t="str">
        <f>_xlfn.XLOOKUP(_2__ROI_Daily_Update[[#This Row],[CSM id]],SHP!F:F,SHP!EE:EE,"-")</f>
        <v>-</v>
      </c>
    </row>
    <row r="4202" spans="1:11" x14ac:dyDescent="0.45">
      <c r="A4202" s="57">
        <v>1621</v>
      </c>
      <c r="B4202" t="s">
        <v>7845</v>
      </c>
      <c r="C4202" t="s">
        <v>7846</v>
      </c>
      <c r="D4202" s="12">
        <v>46336</v>
      </c>
      <c r="E4202" s="11">
        <v>16</v>
      </c>
      <c r="F4202" s="11" t="s">
        <v>0</v>
      </c>
      <c r="G4202">
        <v>20251001</v>
      </c>
      <c r="I4202" s="11" t="s">
        <v>63</v>
      </c>
      <c r="J4202" s="72">
        <v>60621822</v>
      </c>
      <c r="K4202" s="99" t="str">
        <f>_xlfn.XLOOKUP(_2__ROI_Daily_Update[[#This Row],[CSM id]],SHP!F:F,SHP!EE:EE,"-")</f>
        <v>-</v>
      </c>
    </row>
    <row r="4203" spans="1:11" x14ac:dyDescent="0.45">
      <c r="A4203" s="57">
        <v>1233</v>
      </c>
      <c r="B4203" t="s">
        <v>5344</v>
      </c>
      <c r="C4203" t="s">
        <v>5345</v>
      </c>
      <c r="D4203" s="12">
        <v>46336</v>
      </c>
      <c r="E4203" s="11">
        <v>152</v>
      </c>
      <c r="F4203" s="11" t="s">
        <v>0</v>
      </c>
      <c r="G4203">
        <v>20260401</v>
      </c>
      <c r="I4203" s="11" t="s">
        <v>63</v>
      </c>
      <c r="J4203" s="72">
        <v>50629772</v>
      </c>
      <c r="K4203" s="99" t="str">
        <f>_xlfn.XLOOKUP(_2__ROI_Daily_Update[[#This Row],[CSM id]],SHP!F:F,SHP!EE:EE,"-")</f>
        <v>-</v>
      </c>
    </row>
    <row r="4204" spans="1:11" x14ac:dyDescent="0.45">
      <c r="A4204" s="57">
        <v>1233</v>
      </c>
      <c r="B4204" t="s">
        <v>6449</v>
      </c>
      <c r="C4204" t="s">
        <v>6450</v>
      </c>
      <c r="D4204" s="12">
        <v>46336</v>
      </c>
      <c r="E4204" s="11">
        <v>55</v>
      </c>
      <c r="F4204" s="11" t="s">
        <v>0</v>
      </c>
      <c r="G4204">
        <v>20250401</v>
      </c>
      <c r="I4204" s="11" t="s">
        <v>63</v>
      </c>
      <c r="J4204" s="72">
        <v>50559726</v>
      </c>
      <c r="K4204" s="99" t="str">
        <f>_xlfn.XLOOKUP(_2__ROI_Daily_Update[[#This Row],[CSM id]],SHP!F:F,SHP!EE:EE,"-")</f>
        <v>-</v>
      </c>
    </row>
    <row r="4205" spans="1:11" x14ac:dyDescent="0.45">
      <c r="A4205" s="57">
        <v>1821</v>
      </c>
      <c r="B4205" t="s">
        <v>7847</v>
      </c>
      <c r="C4205" t="s">
        <v>7848</v>
      </c>
      <c r="D4205" s="12">
        <v>46336</v>
      </c>
      <c r="E4205" s="11">
        <v>25</v>
      </c>
      <c r="F4205" s="11" t="s">
        <v>0</v>
      </c>
      <c r="G4205">
        <v>20210401</v>
      </c>
      <c r="I4205" s="11" t="s">
        <v>63</v>
      </c>
      <c r="J4205" s="72">
        <v>477648</v>
      </c>
      <c r="K4205" s="99" t="str">
        <f>_xlfn.XLOOKUP(_2__ROI_Daily_Update[[#This Row],[CSM id]],SHP!F:F,SHP!EE:EE,"-")</f>
        <v>-</v>
      </c>
    </row>
    <row r="4206" spans="1:11" x14ac:dyDescent="0.45">
      <c r="A4206" s="57">
        <v>1021</v>
      </c>
      <c r="B4206" t="s">
        <v>1202</v>
      </c>
      <c r="C4206" t="s">
        <v>1203</v>
      </c>
      <c r="D4206" s="12">
        <v>46336</v>
      </c>
      <c r="E4206" s="11">
        <v>56</v>
      </c>
      <c r="F4206" s="11" t="s">
        <v>0</v>
      </c>
      <c r="G4206">
        <v>20251001</v>
      </c>
      <c r="I4206" s="11" t="s">
        <v>63</v>
      </c>
      <c r="J4206" s="72">
        <v>625234</v>
      </c>
      <c r="K4206" s="99" t="str">
        <f>_xlfn.XLOOKUP(_2__ROI_Daily_Update[[#This Row],[CSM id]],SHP!F:F,SHP!EE:EE,"-")</f>
        <v>-</v>
      </c>
    </row>
    <row r="4207" spans="1:11" x14ac:dyDescent="0.45">
      <c r="A4207" s="57">
        <v>113</v>
      </c>
      <c r="B4207" t="s">
        <v>7849</v>
      </c>
      <c r="C4207" t="s">
        <v>7850</v>
      </c>
      <c r="D4207" s="12">
        <v>46336</v>
      </c>
      <c r="E4207" s="11">
        <v>4</v>
      </c>
      <c r="F4207" s="11" t="s">
        <v>0</v>
      </c>
      <c r="G4207">
        <v>20250401</v>
      </c>
      <c r="I4207" s="11" t="s">
        <v>63</v>
      </c>
      <c r="J4207" s="72">
        <v>40586099</v>
      </c>
      <c r="K4207" s="99" t="str">
        <f>_xlfn.XLOOKUP(_2__ROI_Daily_Update[[#This Row],[CSM id]],SHP!F:F,SHP!EE:EE,"-")</f>
        <v>-</v>
      </c>
    </row>
    <row r="4208" spans="1:11" x14ac:dyDescent="0.45">
      <c r="A4208" s="57">
        <v>1314</v>
      </c>
      <c r="B4208" t="s">
        <v>2054</v>
      </c>
      <c r="C4208" t="s">
        <v>2055</v>
      </c>
      <c r="D4208" s="12">
        <v>46336</v>
      </c>
      <c r="E4208" s="11">
        <v>44</v>
      </c>
      <c r="F4208" s="11" t="s">
        <v>0</v>
      </c>
      <c r="G4208">
        <v>20190401</v>
      </c>
      <c r="I4208" s="11" t="s">
        <v>63</v>
      </c>
      <c r="J4208" s="72">
        <v>20426281</v>
      </c>
      <c r="K4208" s="99" t="str">
        <f>_xlfn.XLOOKUP(_2__ROI_Daily_Update[[#This Row],[CSM id]],SHP!F:F,SHP!EE:EE,"-")</f>
        <v>-</v>
      </c>
    </row>
    <row r="4209" spans="1:11" x14ac:dyDescent="0.45">
      <c r="A4209" s="57">
        <v>1031</v>
      </c>
      <c r="B4209" t="s">
        <v>1286</v>
      </c>
      <c r="C4209" t="s">
        <v>1287</v>
      </c>
      <c r="D4209" s="12">
        <v>46336</v>
      </c>
      <c r="E4209" s="11">
        <v>90</v>
      </c>
      <c r="F4209" s="11" t="s">
        <v>0</v>
      </c>
      <c r="G4209">
        <v>20250701</v>
      </c>
      <c r="I4209" s="11" t="s">
        <v>63</v>
      </c>
      <c r="J4209" s="72">
        <v>30591510</v>
      </c>
      <c r="K4209" s="99" t="str">
        <f>_xlfn.XLOOKUP(_2__ROI_Daily_Update[[#This Row],[CSM id]],SHP!F:F,SHP!EE:EE,"-")</f>
        <v>-</v>
      </c>
    </row>
    <row r="4210" spans="1:11" x14ac:dyDescent="0.45">
      <c r="A4210" s="57">
        <v>1111</v>
      </c>
      <c r="B4210" t="s">
        <v>1365</v>
      </c>
      <c r="C4210" t="s">
        <v>1366</v>
      </c>
      <c r="D4210" s="12">
        <v>46336</v>
      </c>
      <c r="E4210" s="11">
        <v>10</v>
      </c>
      <c r="F4210" s="11" t="s">
        <v>0</v>
      </c>
      <c r="G4210">
        <v>20171001</v>
      </c>
      <c r="I4210" s="11" t="s">
        <v>63</v>
      </c>
      <c r="J4210" s="72">
        <v>20356565</v>
      </c>
      <c r="K4210" s="99" t="str">
        <f>_xlfn.XLOOKUP(_2__ROI_Daily_Update[[#This Row],[CSM id]],SHP!F:F,SHP!EE:EE,"-")</f>
        <v>-</v>
      </c>
    </row>
    <row r="4211" spans="1:11" x14ac:dyDescent="0.45">
      <c r="A4211" s="57">
        <v>1624</v>
      </c>
      <c r="B4211" t="s">
        <v>2926</v>
      </c>
      <c r="C4211" t="s">
        <v>2927</v>
      </c>
      <c r="D4211" s="12">
        <v>46336</v>
      </c>
      <c r="E4211" s="11">
        <v>20</v>
      </c>
      <c r="F4211" s="11" t="s">
        <v>0</v>
      </c>
      <c r="G4211">
        <v>20160201</v>
      </c>
      <c r="I4211" s="11" t="s">
        <v>63</v>
      </c>
      <c r="J4211" s="72">
        <v>60294962</v>
      </c>
      <c r="K4211" s="99" t="str">
        <f>_xlfn.XLOOKUP(_2__ROI_Daily_Update[[#This Row],[CSM id]],SHP!F:F,SHP!EE:EE,"-")</f>
        <v>-</v>
      </c>
    </row>
    <row r="4212" spans="1:11" x14ac:dyDescent="0.45">
      <c r="A4212" s="57">
        <v>1013</v>
      </c>
      <c r="B4212" t="s">
        <v>7851</v>
      </c>
      <c r="C4212" t="s">
        <v>7852</v>
      </c>
      <c r="D4212" s="12">
        <v>46336</v>
      </c>
      <c r="E4212" s="11">
        <v>15</v>
      </c>
      <c r="F4212" s="11" t="s">
        <v>0</v>
      </c>
      <c r="G4212">
        <v>20261001</v>
      </c>
      <c r="I4212" s="11" t="s">
        <v>63</v>
      </c>
      <c r="J4212" s="72">
        <v>90603954</v>
      </c>
      <c r="K4212" s="99" t="str">
        <f>_xlfn.XLOOKUP(_2__ROI_Daily_Update[[#This Row],[CSM id]],SHP!F:F,SHP!EE:EE,"-")</f>
        <v>-</v>
      </c>
    </row>
    <row r="4213" spans="1:11" x14ac:dyDescent="0.45">
      <c r="A4213" s="57">
        <v>1013</v>
      </c>
      <c r="B4213" t="s">
        <v>7853</v>
      </c>
      <c r="C4213" t="s">
        <v>7854</v>
      </c>
      <c r="D4213" s="12">
        <v>46336</v>
      </c>
      <c r="E4213" s="11">
        <v>18</v>
      </c>
      <c r="F4213" s="11" t="s">
        <v>0</v>
      </c>
      <c r="G4213">
        <v>20250101</v>
      </c>
      <c r="I4213" s="11" t="s">
        <v>63</v>
      </c>
      <c r="J4213" s="72">
        <v>70582783</v>
      </c>
      <c r="K4213" s="99" t="str">
        <f>_xlfn.XLOOKUP(_2__ROI_Daily_Update[[#This Row],[CSM id]],SHP!F:F,SHP!EE:EE,"-")</f>
        <v>-</v>
      </c>
    </row>
    <row r="4214" spans="1:11" x14ac:dyDescent="0.45">
      <c r="A4214" s="57">
        <v>1024</v>
      </c>
      <c r="B4214" t="s">
        <v>6025</v>
      </c>
      <c r="C4214" t="s">
        <v>6026</v>
      </c>
      <c r="D4214" s="12">
        <v>46336</v>
      </c>
      <c r="E4214" s="11">
        <v>77</v>
      </c>
      <c r="F4214" s="11" t="s">
        <v>0</v>
      </c>
      <c r="G4214">
        <v>20260401</v>
      </c>
      <c r="I4214" s="11" t="s">
        <v>63</v>
      </c>
      <c r="J4214" s="72">
        <v>40641524</v>
      </c>
      <c r="K4214" s="99" t="str">
        <f>_xlfn.XLOOKUP(_2__ROI_Daily_Update[[#This Row],[CSM id]],SHP!F:F,SHP!EE:EE,"-")</f>
        <v>-</v>
      </c>
    </row>
    <row r="4215" spans="1:11" x14ac:dyDescent="0.45">
      <c r="A4215" s="57">
        <v>9542</v>
      </c>
      <c r="B4215" t="s">
        <v>7855</v>
      </c>
      <c r="C4215" t="s">
        <v>7856</v>
      </c>
      <c r="D4215" s="12">
        <v>46336</v>
      </c>
      <c r="E4215" s="11">
        <v>230</v>
      </c>
      <c r="F4215" s="11" t="s">
        <v>0</v>
      </c>
      <c r="G4215">
        <v>20190801</v>
      </c>
      <c r="I4215" s="11" t="s">
        <v>63</v>
      </c>
      <c r="J4215" s="72">
        <v>90409315</v>
      </c>
      <c r="K4215" s="99" t="str">
        <f>_xlfn.XLOOKUP(_2__ROI_Daily_Update[[#This Row],[CSM id]],SHP!F:F,SHP!EE:EE,"-")</f>
        <v>-</v>
      </c>
    </row>
    <row r="4216" spans="1:11" x14ac:dyDescent="0.45">
      <c r="A4216" s="57">
        <v>965</v>
      </c>
      <c r="B4216" t="s">
        <v>7857</v>
      </c>
      <c r="C4216" t="s">
        <v>7858</v>
      </c>
      <c r="D4216" s="12">
        <v>46336</v>
      </c>
      <c r="E4216" s="11">
        <v>32</v>
      </c>
      <c r="F4216" s="11" t="s">
        <v>0</v>
      </c>
      <c r="G4216">
        <v>20260401</v>
      </c>
      <c r="I4216" s="11" t="s">
        <v>63</v>
      </c>
      <c r="J4216" s="72">
        <v>60629210</v>
      </c>
      <c r="K4216" s="99" t="str">
        <f>_xlfn.XLOOKUP(_2__ROI_Daily_Update[[#This Row],[CSM id]],SHP!F:F,SHP!EE:EE,"-")</f>
        <v>-</v>
      </c>
    </row>
    <row r="4217" spans="1:11" x14ac:dyDescent="0.45">
      <c r="A4217" s="57">
        <v>1231</v>
      </c>
      <c r="B4217" t="s">
        <v>5689</v>
      </c>
      <c r="C4217" t="s">
        <v>5690</v>
      </c>
      <c r="D4217" s="12">
        <v>46336</v>
      </c>
      <c r="E4217" s="11">
        <v>48</v>
      </c>
      <c r="F4217" s="11" t="s">
        <v>0</v>
      </c>
      <c r="G4217">
        <v>20260401</v>
      </c>
      <c r="I4217" s="11" t="s">
        <v>63</v>
      </c>
      <c r="J4217" s="72">
        <v>10625889</v>
      </c>
      <c r="K4217" s="99" t="str">
        <f>_xlfn.XLOOKUP(_2__ROI_Daily_Update[[#This Row],[CSM id]],SHP!F:F,SHP!EE:EE,"-")</f>
        <v>-</v>
      </c>
    </row>
    <row r="4218" spans="1:11" x14ac:dyDescent="0.45">
      <c r="A4218" s="57">
        <v>1231</v>
      </c>
      <c r="B4218" t="s">
        <v>1899</v>
      </c>
      <c r="C4218" t="s">
        <v>1900</v>
      </c>
      <c r="D4218" s="12">
        <v>46336</v>
      </c>
      <c r="E4218" s="11">
        <v>48</v>
      </c>
      <c r="F4218" s="11" t="s">
        <v>0</v>
      </c>
      <c r="G4218">
        <v>20241001</v>
      </c>
      <c r="I4218" s="11" t="s">
        <v>63</v>
      </c>
      <c r="J4218" s="72">
        <v>60590929</v>
      </c>
      <c r="K4218" s="99" t="str">
        <f>_xlfn.XLOOKUP(_2__ROI_Daily_Update[[#This Row],[CSM id]],SHP!F:F,SHP!EE:EE,"-")</f>
        <v>-</v>
      </c>
    </row>
    <row r="4219" spans="1:11" x14ac:dyDescent="0.45">
      <c r="A4219" s="57">
        <v>1813</v>
      </c>
      <c r="B4219" t="s">
        <v>7859</v>
      </c>
      <c r="C4219" t="s">
        <v>7860</v>
      </c>
      <c r="D4219" s="12">
        <v>46336</v>
      </c>
      <c r="E4219" s="11">
        <v>90</v>
      </c>
      <c r="F4219" s="11" t="s">
        <v>0</v>
      </c>
      <c r="G4219">
        <v>20240401</v>
      </c>
      <c r="H4219" s="12">
        <v>46388</v>
      </c>
      <c r="I4219" s="11" t="s">
        <v>63</v>
      </c>
      <c r="J4219" s="72">
        <v>50530399</v>
      </c>
      <c r="K4219" s="99" t="str">
        <f>_xlfn.XLOOKUP(_2__ROI_Daily_Update[[#This Row],[CSM id]],SHP!F:F,SHP!EE:EE,"-")</f>
        <v>-</v>
      </c>
    </row>
    <row r="4220" spans="1:11" x14ac:dyDescent="0.45">
      <c r="A4220" s="57">
        <v>215</v>
      </c>
      <c r="B4220" t="s">
        <v>259</v>
      </c>
      <c r="C4220" t="s">
        <v>260</v>
      </c>
      <c r="D4220" s="12">
        <v>46337</v>
      </c>
      <c r="E4220" s="11">
        <v>54</v>
      </c>
      <c r="F4220" s="11" t="s">
        <v>0</v>
      </c>
      <c r="G4220">
        <v>20151001</v>
      </c>
      <c r="I4220" s="11" t="s">
        <v>18</v>
      </c>
      <c r="J4220" s="72">
        <v>168527</v>
      </c>
      <c r="K4220" s="99" t="str">
        <f>_xlfn.XLOOKUP(_2__ROI_Daily_Update[[#This Row],[CSM id]],SHP!F:F,SHP!EE:EE,"-")</f>
        <v>-</v>
      </c>
    </row>
    <row r="4221" spans="1:11" x14ac:dyDescent="0.45">
      <c r="A4221" s="57">
        <v>1021</v>
      </c>
      <c r="B4221" t="s">
        <v>7861</v>
      </c>
      <c r="C4221" t="s">
        <v>7862</v>
      </c>
      <c r="D4221" s="12">
        <v>46337</v>
      </c>
      <c r="E4221" s="11">
        <v>120</v>
      </c>
      <c r="F4221" s="11" t="s">
        <v>0</v>
      </c>
      <c r="G4221">
        <v>20231001</v>
      </c>
      <c r="I4221" s="11" t="s">
        <v>63</v>
      </c>
      <c r="J4221" s="72">
        <v>60566967</v>
      </c>
      <c r="K4221" s="99" t="str">
        <f>_xlfn.XLOOKUP(_2__ROI_Daily_Update[[#This Row],[CSM id]],SHP!F:F,SHP!EE:EE,"-")</f>
        <v>-</v>
      </c>
    </row>
    <row r="4222" spans="1:11" x14ac:dyDescent="0.45">
      <c r="A4222" s="57">
        <v>922</v>
      </c>
      <c r="B4222" t="s">
        <v>7087</v>
      </c>
      <c r="C4222" t="s">
        <v>7088</v>
      </c>
      <c r="D4222" s="12">
        <v>46337</v>
      </c>
      <c r="E4222" s="11">
        <v>80</v>
      </c>
      <c r="F4222" s="11" t="s">
        <v>0</v>
      </c>
      <c r="G4222">
        <v>20260401</v>
      </c>
      <c r="I4222" s="11" t="s">
        <v>63</v>
      </c>
      <c r="J4222" s="72">
        <v>40618566</v>
      </c>
      <c r="K4222" s="99" t="str">
        <f>_xlfn.XLOOKUP(_2__ROI_Daily_Update[[#This Row],[CSM id]],SHP!F:F,SHP!EE:EE,"-")</f>
        <v>-</v>
      </c>
    </row>
    <row r="4223" spans="1:11" x14ac:dyDescent="0.45">
      <c r="A4223" s="57">
        <v>215</v>
      </c>
      <c r="B4223" t="s">
        <v>7127</v>
      </c>
      <c r="C4223" t="s">
        <v>7128</v>
      </c>
      <c r="D4223" s="12">
        <v>46337</v>
      </c>
      <c r="E4223" s="11">
        <v>12</v>
      </c>
      <c r="F4223" s="11" t="s">
        <v>0</v>
      </c>
      <c r="G4223">
        <v>20180801</v>
      </c>
      <c r="I4223" s="11" t="s">
        <v>18</v>
      </c>
      <c r="J4223" s="72">
        <v>60409939</v>
      </c>
      <c r="K4223" s="99" t="str">
        <f>_xlfn.XLOOKUP(_2__ROI_Daily_Update[[#This Row],[CSM id]],SHP!F:F,SHP!EE:EE,"-")</f>
        <v>-</v>
      </c>
    </row>
    <row r="4224" spans="1:11" x14ac:dyDescent="0.45">
      <c r="A4224" s="57">
        <v>965</v>
      </c>
      <c r="B4224" t="s">
        <v>773</v>
      </c>
      <c r="C4224" t="s">
        <v>774</v>
      </c>
      <c r="D4224" s="12">
        <v>46337</v>
      </c>
      <c r="E4224" s="11">
        <v>8</v>
      </c>
      <c r="F4224" s="11" t="s">
        <v>0</v>
      </c>
      <c r="G4224">
        <v>20260201</v>
      </c>
      <c r="I4224" s="11" t="s">
        <v>63</v>
      </c>
      <c r="J4224" s="72">
        <v>70602012</v>
      </c>
      <c r="K4224" s="99" t="str">
        <f>_xlfn.XLOOKUP(_2__ROI_Daily_Update[[#This Row],[CSM id]],SHP!F:F,SHP!EE:EE,"-")</f>
        <v>-</v>
      </c>
    </row>
    <row r="4225" spans="1:11" x14ac:dyDescent="0.45">
      <c r="A4225" s="57">
        <v>1031</v>
      </c>
      <c r="B4225" t="s">
        <v>7863</v>
      </c>
      <c r="C4225" t="s">
        <v>7864</v>
      </c>
      <c r="D4225" s="12">
        <v>46337</v>
      </c>
      <c r="E4225" s="11">
        <v>48</v>
      </c>
      <c r="F4225" s="11" t="s">
        <v>0</v>
      </c>
      <c r="G4225">
        <v>20260401</v>
      </c>
      <c r="I4225" s="11" t="s">
        <v>63</v>
      </c>
      <c r="J4225" s="72">
        <v>60619273</v>
      </c>
      <c r="K4225" s="99" t="str">
        <f>_xlfn.XLOOKUP(_2__ROI_Daily_Update[[#This Row],[CSM id]],SHP!F:F,SHP!EE:EE,"-")</f>
        <v>-</v>
      </c>
    </row>
    <row r="4226" spans="1:11" x14ac:dyDescent="0.45">
      <c r="A4226" s="57">
        <v>972</v>
      </c>
      <c r="B4226" t="s">
        <v>863</v>
      </c>
      <c r="C4226" t="s">
        <v>864</v>
      </c>
      <c r="D4226" s="12">
        <v>46337</v>
      </c>
      <c r="E4226" s="11">
        <v>24</v>
      </c>
      <c r="F4226" s="11" t="s">
        <v>0</v>
      </c>
      <c r="G4226">
        <v>20261001</v>
      </c>
      <c r="I4226" s="11" t="s">
        <v>63</v>
      </c>
      <c r="J4226" s="72">
        <v>641470</v>
      </c>
      <c r="K4226" s="99" t="str">
        <f>_xlfn.XLOOKUP(_2__ROI_Daily_Update[[#This Row],[CSM id]],SHP!F:F,SHP!EE:EE,"-")</f>
        <v>-</v>
      </c>
    </row>
    <row r="4227" spans="1:11" x14ac:dyDescent="0.45">
      <c r="A4227" s="57">
        <v>1031</v>
      </c>
      <c r="B4227" t="s">
        <v>7865</v>
      </c>
      <c r="C4227" t="s">
        <v>7866</v>
      </c>
      <c r="D4227" s="12">
        <v>46337</v>
      </c>
      <c r="E4227" s="11">
        <v>64</v>
      </c>
      <c r="F4227" s="11" t="s">
        <v>0</v>
      </c>
      <c r="G4227">
        <v>20260401</v>
      </c>
      <c r="I4227" s="11" t="s">
        <v>63</v>
      </c>
      <c r="J4227" s="72">
        <v>50619749</v>
      </c>
      <c r="K4227" s="99" t="str">
        <f>_xlfn.XLOOKUP(_2__ROI_Daily_Update[[#This Row],[CSM id]],SHP!F:F,SHP!EE:EE,"-")</f>
        <v>-</v>
      </c>
    </row>
    <row r="4228" spans="1:11" x14ac:dyDescent="0.45">
      <c r="A4228" s="57">
        <v>1021</v>
      </c>
      <c r="B4228" t="s">
        <v>1208</v>
      </c>
      <c r="C4228" t="s">
        <v>1209</v>
      </c>
      <c r="D4228" s="12">
        <v>46337</v>
      </c>
      <c r="E4228" s="11">
        <v>40</v>
      </c>
      <c r="F4228" s="11" t="s">
        <v>0</v>
      </c>
      <c r="G4228">
        <v>20230101</v>
      </c>
      <c r="I4228" s="11" t="s">
        <v>63</v>
      </c>
      <c r="J4228" s="72">
        <v>30539188</v>
      </c>
      <c r="K4228" s="99" t="str">
        <f>_xlfn.XLOOKUP(_2__ROI_Daily_Update[[#This Row],[CSM id]],SHP!F:F,SHP!EE:EE,"-")</f>
        <v>-</v>
      </c>
    </row>
    <row r="4229" spans="1:11" x14ac:dyDescent="0.45">
      <c r="A4229" s="57">
        <v>1043</v>
      </c>
      <c r="B4229" t="s">
        <v>7867</v>
      </c>
      <c r="C4229" t="s">
        <v>7868</v>
      </c>
      <c r="D4229" s="12">
        <v>46337</v>
      </c>
      <c r="E4229" s="11">
        <v>180</v>
      </c>
      <c r="F4229" s="11" t="s">
        <v>0</v>
      </c>
      <c r="G4229">
        <v>20260101</v>
      </c>
      <c r="I4229" s="11" t="s">
        <v>63</v>
      </c>
      <c r="J4229" s="72">
        <v>10615159</v>
      </c>
      <c r="K4229" s="99" t="str">
        <f>_xlfn.XLOOKUP(_2__ROI_Daily_Update[[#This Row],[CSM id]],SHP!F:F,SHP!EE:EE,"-")</f>
        <v>-</v>
      </c>
    </row>
    <row r="4230" spans="1:11" x14ac:dyDescent="0.45">
      <c r="A4230" s="57">
        <v>967</v>
      </c>
      <c r="B4230" t="s">
        <v>798</v>
      </c>
      <c r="C4230" t="s">
        <v>799</v>
      </c>
      <c r="D4230" s="12">
        <v>46337</v>
      </c>
      <c r="E4230" s="11">
        <v>240</v>
      </c>
      <c r="F4230" s="11" t="s">
        <v>0</v>
      </c>
      <c r="G4230">
        <v>20260701</v>
      </c>
      <c r="I4230" s="11" t="s">
        <v>63</v>
      </c>
      <c r="J4230" s="72">
        <v>30465093</v>
      </c>
      <c r="K4230" s="99" t="str">
        <f>_xlfn.XLOOKUP(_2__ROI_Daily_Update[[#This Row],[CSM id]],SHP!F:F,SHP!EE:EE,"-")</f>
        <v>-</v>
      </c>
    </row>
    <row r="4231" spans="1:11" x14ac:dyDescent="0.45">
      <c r="A4231" s="57">
        <v>433</v>
      </c>
      <c r="B4231" t="s">
        <v>7135</v>
      </c>
      <c r="C4231" t="s">
        <v>7136</v>
      </c>
      <c r="D4231" s="12">
        <v>46337</v>
      </c>
      <c r="E4231" s="11">
        <v>25</v>
      </c>
      <c r="F4231" s="11" t="s">
        <v>0</v>
      </c>
      <c r="G4231">
        <v>20240401</v>
      </c>
      <c r="I4231" s="11" t="s">
        <v>18</v>
      </c>
      <c r="J4231" s="72">
        <v>558215</v>
      </c>
      <c r="K4231" s="99" t="str">
        <f>_xlfn.XLOOKUP(_2__ROI_Daily_Update[[#This Row],[CSM id]],SHP!F:F,SHP!EE:EE,"-")</f>
        <v>-</v>
      </c>
    </row>
    <row r="4232" spans="1:11" x14ac:dyDescent="0.45">
      <c r="A4232" s="57">
        <v>981</v>
      </c>
      <c r="B4232" t="s">
        <v>947</v>
      </c>
      <c r="C4232" t="s">
        <v>948</v>
      </c>
      <c r="D4232" s="12">
        <v>46337</v>
      </c>
      <c r="E4232" s="11">
        <v>24</v>
      </c>
      <c r="F4232" s="11" t="s">
        <v>0</v>
      </c>
      <c r="G4232">
        <v>20180401</v>
      </c>
      <c r="I4232" s="11" t="s">
        <v>63</v>
      </c>
      <c r="J4232" s="72">
        <v>90365364</v>
      </c>
      <c r="K4232" s="99" t="str">
        <f>_xlfn.XLOOKUP(_2__ROI_Daily_Update[[#This Row],[CSM id]],SHP!F:F,SHP!EE:EE,"-")</f>
        <v>-</v>
      </c>
    </row>
    <row r="4233" spans="1:11" x14ac:dyDescent="0.45">
      <c r="A4233" s="57">
        <v>1111</v>
      </c>
      <c r="B4233" t="s">
        <v>1381</v>
      </c>
      <c r="C4233" t="s">
        <v>1382</v>
      </c>
      <c r="D4233" s="12">
        <v>46337</v>
      </c>
      <c r="E4233" s="11">
        <v>42</v>
      </c>
      <c r="F4233" s="11" t="s">
        <v>0</v>
      </c>
      <c r="G4233">
        <v>20221001</v>
      </c>
      <c r="I4233" s="11" t="s">
        <v>63</v>
      </c>
      <c r="J4233" s="72">
        <v>30547602</v>
      </c>
      <c r="K4233" s="99" t="str">
        <f>_xlfn.XLOOKUP(_2__ROI_Daily_Update[[#This Row],[CSM id]],SHP!F:F,SHP!EE:EE,"-")</f>
        <v>-</v>
      </c>
    </row>
    <row r="4234" spans="1:11" x14ac:dyDescent="0.45">
      <c r="A4234" s="57">
        <v>621</v>
      </c>
      <c r="B4234" t="s">
        <v>7869</v>
      </c>
      <c r="C4234" t="s">
        <v>7870</v>
      </c>
      <c r="D4234" s="12">
        <v>46337</v>
      </c>
      <c r="E4234" s="11">
        <v>2400</v>
      </c>
      <c r="F4234" s="11" t="s">
        <v>0</v>
      </c>
      <c r="G4234">
        <v>20270101</v>
      </c>
      <c r="I4234" s="11" t="s">
        <v>63</v>
      </c>
      <c r="J4234" s="72">
        <v>30644354</v>
      </c>
      <c r="K4234" s="99" t="str">
        <f>_xlfn.XLOOKUP(_2__ROI_Daily_Update[[#This Row],[CSM id]],SHP!F:F,SHP!EE:EE,"-")</f>
        <v>-</v>
      </c>
    </row>
    <row r="4235" spans="1:11" x14ac:dyDescent="0.45">
      <c r="A4235" s="57">
        <v>1012</v>
      </c>
      <c r="B4235" t="s">
        <v>1070</v>
      </c>
      <c r="C4235" t="s">
        <v>1071</v>
      </c>
      <c r="D4235" s="12">
        <v>46337</v>
      </c>
      <c r="E4235" s="11">
        <v>68</v>
      </c>
      <c r="F4235" s="11" t="s">
        <v>0</v>
      </c>
      <c r="G4235">
        <v>20251001</v>
      </c>
      <c r="I4235" s="11" t="s">
        <v>63</v>
      </c>
      <c r="J4235" s="72">
        <v>30617609</v>
      </c>
      <c r="K4235" s="99" t="str">
        <f>_xlfn.XLOOKUP(_2__ROI_Daily_Update[[#This Row],[CSM id]],SHP!F:F,SHP!EE:EE,"-")</f>
        <v>-</v>
      </c>
    </row>
    <row r="4236" spans="1:11" x14ac:dyDescent="0.45">
      <c r="A4236" s="57">
        <v>1112</v>
      </c>
      <c r="B4236" t="s">
        <v>1485</v>
      </c>
      <c r="C4236" t="s">
        <v>1486</v>
      </c>
      <c r="D4236" s="12">
        <v>46337</v>
      </c>
      <c r="E4236" s="11">
        <v>15</v>
      </c>
      <c r="F4236" s="11" t="s">
        <v>0</v>
      </c>
      <c r="G4236">
        <v>20260701</v>
      </c>
      <c r="I4236" s="11" t="s">
        <v>63</v>
      </c>
      <c r="J4236" s="72">
        <v>30632172</v>
      </c>
      <c r="K4236" s="99" t="str">
        <f>_xlfn.XLOOKUP(_2__ROI_Daily_Update[[#This Row],[CSM id]],SHP!F:F,SHP!EE:EE,"-")</f>
        <v>-</v>
      </c>
    </row>
    <row r="4237" spans="1:11" x14ac:dyDescent="0.45">
      <c r="A4237" s="57">
        <v>217</v>
      </c>
      <c r="B4237" t="s">
        <v>7871</v>
      </c>
      <c r="C4237" t="s">
        <v>7872</v>
      </c>
      <c r="D4237" s="12">
        <v>46337</v>
      </c>
      <c r="E4237" s="11">
        <v>30</v>
      </c>
      <c r="F4237" s="11" t="s">
        <v>0</v>
      </c>
      <c r="G4237">
        <v>20240401</v>
      </c>
      <c r="I4237" s="11" t="s">
        <v>18</v>
      </c>
      <c r="J4237" s="72">
        <v>553618</v>
      </c>
      <c r="K4237" s="99" t="str">
        <f>_xlfn.XLOOKUP(_2__ROI_Daily_Update[[#This Row],[CSM id]],SHP!F:F,SHP!EE:EE,"-")</f>
        <v>-</v>
      </c>
    </row>
    <row r="4238" spans="1:11" x14ac:dyDescent="0.45">
      <c r="A4238" s="57">
        <v>1013</v>
      </c>
      <c r="B4238" t="s">
        <v>1098</v>
      </c>
      <c r="C4238" t="s">
        <v>1099</v>
      </c>
      <c r="D4238" s="12">
        <v>46337</v>
      </c>
      <c r="E4238" s="11">
        <v>10</v>
      </c>
      <c r="F4238" s="11" t="s">
        <v>0</v>
      </c>
      <c r="G4238">
        <v>20190201</v>
      </c>
      <c r="I4238" s="11" t="s">
        <v>63</v>
      </c>
      <c r="J4238" s="72">
        <v>407146</v>
      </c>
      <c r="K4238" s="99" t="str">
        <f>_xlfn.XLOOKUP(_2__ROI_Daily_Update[[#This Row],[CSM id]],SHP!F:F,SHP!EE:EE,"-")</f>
        <v>-</v>
      </c>
    </row>
    <row r="4239" spans="1:11" x14ac:dyDescent="0.45">
      <c r="A4239" s="57">
        <v>1641</v>
      </c>
      <c r="B4239" t="s">
        <v>3161</v>
      </c>
      <c r="C4239" t="s">
        <v>3162</v>
      </c>
      <c r="D4239" s="12">
        <v>46337</v>
      </c>
      <c r="E4239" s="11">
        <v>18</v>
      </c>
      <c r="F4239" s="11" t="s">
        <v>0</v>
      </c>
      <c r="G4239">
        <v>20210701</v>
      </c>
      <c r="I4239" s="11" t="s">
        <v>63</v>
      </c>
      <c r="J4239" s="72">
        <v>60335854</v>
      </c>
      <c r="K4239" s="99" t="str">
        <f>_xlfn.XLOOKUP(_2__ROI_Daily_Update[[#This Row],[CSM id]],SHP!F:F,SHP!EE:EE,"-")</f>
        <v>-</v>
      </c>
    </row>
    <row r="4240" spans="1:11" x14ac:dyDescent="0.45">
      <c r="A4240" s="57">
        <v>1852</v>
      </c>
      <c r="B4240" t="s">
        <v>3678</v>
      </c>
      <c r="C4240" t="s">
        <v>3679</v>
      </c>
      <c r="D4240" s="12">
        <v>46337</v>
      </c>
      <c r="E4240" s="11">
        <v>12</v>
      </c>
      <c r="F4240" s="11" t="s">
        <v>0</v>
      </c>
      <c r="G4240">
        <v>20260101</v>
      </c>
      <c r="I4240" s="11" t="s">
        <v>63</v>
      </c>
      <c r="J4240" s="72">
        <v>20595392</v>
      </c>
      <c r="K4240" s="99" t="str">
        <f>_xlfn.XLOOKUP(_2__ROI_Daily_Update[[#This Row],[CSM id]],SHP!F:F,SHP!EE:EE,"-")</f>
        <v>-</v>
      </c>
    </row>
    <row r="4241" spans="1:11" x14ac:dyDescent="0.45">
      <c r="A4241" s="57">
        <v>241</v>
      </c>
      <c r="B4241" t="s">
        <v>347</v>
      </c>
      <c r="C4241" t="s">
        <v>348</v>
      </c>
      <c r="D4241" s="12">
        <v>46337</v>
      </c>
      <c r="E4241" s="11">
        <v>14</v>
      </c>
      <c r="F4241" s="11" t="s">
        <v>0</v>
      </c>
      <c r="G4241">
        <v>20221001</v>
      </c>
      <c r="I4241" s="11" t="s">
        <v>18</v>
      </c>
      <c r="J4241" s="72">
        <v>80530977</v>
      </c>
      <c r="K4241" s="99" t="str">
        <f>_xlfn.XLOOKUP(_2__ROI_Daily_Update[[#This Row],[CSM id]],SHP!F:F,SHP!EE:EE,"-")</f>
        <v>-</v>
      </c>
    </row>
    <row r="4242" spans="1:11" x14ac:dyDescent="0.45">
      <c r="A4242" s="57">
        <v>241</v>
      </c>
      <c r="B4242" t="s">
        <v>310</v>
      </c>
      <c r="C4242" t="s">
        <v>311</v>
      </c>
      <c r="D4242" s="12">
        <v>46337</v>
      </c>
      <c r="E4242" s="11">
        <v>24</v>
      </c>
      <c r="F4242" s="11" t="s">
        <v>0</v>
      </c>
      <c r="G4242">
        <v>20140801</v>
      </c>
      <c r="I4242" s="11" t="s">
        <v>18</v>
      </c>
      <c r="J4242" s="72">
        <v>20167206</v>
      </c>
      <c r="K4242" s="99" t="str">
        <f>_xlfn.XLOOKUP(_2__ROI_Daily_Update[[#This Row],[CSM id]],SHP!F:F,SHP!EE:EE,"-")</f>
        <v>-</v>
      </c>
    </row>
    <row r="4243" spans="1:11" x14ac:dyDescent="0.45">
      <c r="A4243" s="57">
        <v>1233</v>
      </c>
      <c r="B4243" t="s">
        <v>2002</v>
      </c>
      <c r="C4243" t="s">
        <v>2003</v>
      </c>
      <c r="D4243" s="12">
        <v>46337</v>
      </c>
      <c r="E4243" s="11">
        <v>120</v>
      </c>
      <c r="F4243" s="11" t="s">
        <v>0</v>
      </c>
      <c r="G4243">
        <v>20251001</v>
      </c>
      <c r="I4243" s="11" t="s">
        <v>18</v>
      </c>
      <c r="J4243" s="72">
        <v>60612163</v>
      </c>
      <c r="K4243" s="99" t="str">
        <f>_xlfn.XLOOKUP(_2__ROI_Daily_Update[[#This Row],[CSM id]],SHP!F:F,SHP!EE:EE,"-")</f>
        <v>-</v>
      </c>
    </row>
    <row r="4244" spans="1:11" x14ac:dyDescent="0.45">
      <c r="A4244" s="57">
        <v>1311</v>
      </c>
      <c r="B4244" t="s">
        <v>7873</v>
      </c>
      <c r="C4244" t="s">
        <v>7874</v>
      </c>
      <c r="D4244" s="12">
        <v>46337</v>
      </c>
      <c r="E4244" s="11">
        <v>36</v>
      </c>
      <c r="F4244" s="11" t="s">
        <v>0</v>
      </c>
      <c r="G4244">
        <v>20260101</v>
      </c>
      <c r="I4244" s="11" t="s">
        <v>63</v>
      </c>
      <c r="J4244" s="72">
        <v>90550205</v>
      </c>
      <c r="K4244" s="99" t="str">
        <f>_xlfn.XLOOKUP(_2__ROI_Daily_Update[[#This Row],[CSM id]],SHP!F:F,SHP!EE:EE,"-")</f>
        <v>-</v>
      </c>
    </row>
    <row r="4245" spans="1:11" x14ac:dyDescent="0.45">
      <c r="A4245" s="57">
        <v>1113</v>
      </c>
      <c r="B4245" t="s">
        <v>7875</v>
      </c>
      <c r="C4245" t="s">
        <v>7876</v>
      </c>
      <c r="D4245" s="12">
        <v>46337</v>
      </c>
      <c r="E4245" s="11">
        <v>30</v>
      </c>
      <c r="F4245" s="11" t="s">
        <v>0</v>
      </c>
      <c r="G4245">
        <v>20251001</v>
      </c>
      <c r="I4245" s="11" t="s">
        <v>63</v>
      </c>
      <c r="J4245" s="72">
        <v>20606734</v>
      </c>
      <c r="K4245" s="99" t="str">
        <f>_xlfn.XLOOKUP(_2__ROI_Daily_Update[[#This Row],[CSM id]],SHP!F:F,SHP!EE:EE,"-")</f>
        <v>-</v>
      </c>
    </row>
    <row r="4246" spans="1:11" x14ac:dyDescent="0.45">
      <c r="A4246" s="57">
        <v>1431</v>
      </c>
      <c r="B4246" t="s">
        <v>7877</v>
      </c>
      <c r="C4246" t="s">
        <v>7878</v>
      </c>
      <c r="D4246" s="12">
        <v>46337</v>
      </c>
      <c r="E4246" s="11">
        <v>720</v>
      </c>
      <c r="F4246" s="11" t="s">
        <v>0</v>
      </c>
      <c r="G4246">
        <v>20190601</v>
      </c>
      <c r="I4246" s="11" t="s">
        <v>63</v>
      </c>
      <c r="J4246" s="72">
        <v>30448070</v>
      </c>
      <c r="K4246" s="99" t="str">
        <f>_xlfn.XLOOKUP(_2__ROI_Daily_Update[[#This Row],[CSM id]],SHP!F:F,SHP!EE:EE,"-")</f>
        <v>-</v>
      </c>
    </row>
    <row r="4247" spans="1:11" x14ac:dyDescent="0.45">
      <c r="A4247" s="57">
        <v>215</v>
      </c>
      <c r="B4247" t="s">
        <v>285</v>
      </c>
      <c r="C4247" t="s">
        <v>286</v>
      </c>
      <c r="D4247" s="12">
        <v>46337</v>
      </c>
      <c r="E4247" s="11">
        <v>44</v>
      </c>
      <c r="F4247" s="11" t="s">
        <v>0</v>
      </c>
      <c r="G4247">
        <v>20210701</v>
      </c>
      <c r="I4247" s="11" t="s">
        <v>18</v>
      </c>
      <c r="J4247" s="72">
        <v>60483873</v>
      </c>
      <c r="K4247" s="99" t="str">
        <f>_xlfn.XLOOKUP(_2__ROI_Daily_Update[[#This Row],[CSM id]],SHP!F:F,SHP!EE:EE,"-")</f>
        <v>-</v>
      </c>
    </row>
    <row r="4248" spans="1:11" x14ac:dyDescent="0.45">
      <c r="A4248" s="57">
        <v>1624</v>
      </c>
      <c r="B4248" t="s">
        <v>2932</v>
      </c>
      <c r="C4248" t="s">
        <v>2933</v>
      </c>
      <c r="D4248" s="12">
        <v>46337</v>
      </c>
      <c r="E4248" s="11">
        <v>84</v>
      </c>
      <c r="F4248" s="11" t="s">
        <v>0</v>
      </c>
      <c r="G4248">
        <v>20260401</v>
      </c>
      <c r="I4248" s="11" t="s">
        <v>63</v>
      </c>
      <c r="J4248" s="72">
        <v>90621726</v>
      </c>
      <c r="K4248" s="99" t="str">
        <f>_xlfn.XLOOKUP(_2__ROI_Daily_Update[[#This Row],[CSM id]],SHP!F:F,SHP!EE:EE,"-")</f>
        <v>-</v>
      </c>
    </row>
    <row r="4249" spans="1:11" x14ac:dyDescent="0.45">
      <c r="A4249" s="57">
        <v>1631</v>
      </c>
      <c r="B4249" t="s">
        <v>7103</v>
      </c>
      <c r="C4249" t="s">
        <v>7104</v>
      </c>
      <c r="D4249" s="12">
        <v>46337</v>
      </c>
      <c r="E4249" s="11">
        <v>42</v>
      </c>
      <c r="F4249" s="11" t="s">
        <v>0</v>
      </c>
      <c r="G4249">
        <v>20261001</v>
      </c>
      <c r="I4249" s="11" t="s">
        <v>63</v>
      </c>
      <c r="J4249" s="72">
        <v>30634454</v>
      </c>
      <c r="K4249" s="99" t="str">
        <f>_xlfn.XLOOKUP(_2__ROI_Daily_Update[[#This Row],[CSM id]],SHP!F:F,SHP!EE:EE,"-")</f>
        <v>-</v>
      </c>
    </row>
    <row r="4250" spans="1:11" x14ac:dyDescent="0.45">
      <c r="A4250" s="57">
        <v>214</v>
      </c>
      <c r="B4250" t="s">
        <v>245</v>
      </c>
      <c r="C4250" t="s">
        <v>246</v>
      </c>
      <c r="D4250" s="12">
        <v>46337</v>
      </c>
      <c r="E4250" s="11">
        <v>27</v>
      </c>
      <c r="F4250" s="11" t="s">
        <v>0</v>
      </c>
      <c r="G4250">
        <v>20210701</v>
      </c>
      <c r="I4250" s="11" t="s">
        <v>18</v>
      </c>
      <c r="J4250" s="72">
        <v>10483875</v>
      </c>
      <c r="K4250" s="99" t="str">
        <f>_xlfn.XLOOKUP(_2__ROI_Daily_Update[[#This Row],[CSM id]],SHP!F:F,SHP!EE:EE,"-")</f>
        <v>-</v>
      </c>
    </row>
    <row r="4251" spans="1:11" x14ac:dyDescent="0.45">
      <c r="A4251" s="57">
        <v>1314</v>
      </c>
      <c r="B4251" t="s">
        <v>7073</v>
      </c>
      <c r="C4251" t="s">
        <v>7074</v>
      </c>
      <c r="D4251" s="12">
        <v>46337</v>
      </c>
      <c r="E4251" s="11">
        <v>150</v>
      </c>
      <c r="F4251" s="11" t="s">
        <v>0</v>
      </c>
      <c r="G4251">
        <v>20250101</v>
      </c>
      <c r="I4251" s="11" t="s">
        <v>63</v>
      </c>
      <c r="J4251" s="72">
        <v>20592826</v>
      </c>
      <c r="K4251" s="99" t="str">
        <f>_xlfn.XLOOKUP(_2__ROI_Daily_Update[[#This Row],[CSM id]],SHP!F:F,SHP!EE:EE,"-")</f>
        <v>-</v>
      </c>
    </row>
    <row r="4252" spans="1:11" x14ac:dyDescent="0.45">
      <c r="A4252" s="57">
        <v>1813</v>
      </c>
      <c r="B4252" t="s">
        <v>7642</v>
      </c>
      <c r="C4252" t="s">
        <v>7643</v>
      </c>
      <c r="D4252" s="12">
        <v>46337</v>
      </c>
      <c r="E4252" s="11">
        <v>975</v>
      </c>
      <c r="F4252" s="11" t="s">
        <v>0</v>
      </c>
      <c r="G4252">
        <v>20250401</v>
      </c>
      <c r="I4252" s="11" t="s">
        <v>63</v>
      </c>
      <c r="J4252" s="72">
        <v>50593457</v>
      </c>
      <c r="K4252" s="99" t="str">
        <f>_xlfn.XLOOKUP(_2__ROI_Daily_Update[[#This Row],[CSM id]],SHP!F:F,SHP!EE:EE,"-")</f>
        <v>-</v>
      </c>
    </row>
    <row r="4253" spans="1:11" x14ac:dyDescent="0.45">
      <c r="A4253" s="57">
        <v>1633</v>
      </c>
      <c r="B4253" t="s">
        <v>7879</v>
      </c>
      <c r="C4253" t="s">
        <v>7880</v>
      </c>
      <c r="D4253" s="12">
        <v>46337</v>
      </c>
      <c r="E4253" s="11">
        <v>48</v>
      </c>
      <c r="F4253" s="11" t="s">
        <v>0</v>
      </c>
      <c r="G4253">
        <v>20261001</v>
      </c>
      <c r="H4253" s="12">
        <v>46388</v>
      </c>
      <c r="I4253" s="11" t="s">
        <v>63</v>
      </c>
      <c r="J4253" s="72">
        <v>30636702</v>
      </c>
      <c r="K4253" s="99" t="str">
        <f>_xlfn.XLOOKUP(_2__ROI_Daily_Update[[#This Row],[CSM id]],SHP!F:F,SHP!EE:EE,"-")</f>
        <v>-</v>
      </c>
    </row>
    <row r="4254" spans="1:11" x14ac:dyDescent="0.45">
      <c r="A4254" s="57">
        <v>1815</v>
      </c>
      <c r="B4254" t="s">
        <v>3496</v>
      </c>
      <c r="C4254" t="s">
        <v>3497</v>
      </c>
      <c r="D4254" s="12">
        <v>46337</v>
      </c>
      <c r="E4254" s="11">
        <v>180</v>
      </c>
      <c r="F4254" s="11" t="s">
        <v>0</v>
      </c>
      <c r="G4254">
        <v>20260701</v>
      </c>
      <c r="I4254" s="11" t="s">
        <v>18</v>
      </c>
      <c r="J4254" s="72">
        <v>90644285</v>
      </c>
      <c r="K4254" s="99" t="str">
        <f>_xlfn.XLOOKUP(_2__ROI_Daily_Update[[#This Row],[CSM id]],SHP!F:F,SHP!EE:EE,"-")</f>
        <v>-</v>
      </c>
    </row>
    <row r="4255" spans="1:11" x14ac:dyDescent="0.45">
      <c r="A4255" s="57">
        <v>1635</v>
      </c>
      <c r="B4255" t="s">
        <v>6865</v>
      </c>
      <c r="C4255" t="s">
        <v>6866</v>
      </c>
      <c r="D4255" s="12">
        <v>46337</v>
      </c>
      <c r="E4255" s="11">
        <v>1200</v>
      </c>
      <c r="F4255" s="11" t="s">
        <v>0</v>
      </c>
      <c r="G4255">
        <v>20260401</v>
      </c>
      <c r="I4255" s="11" t="s">
        <v>63</v>
      </c>
      <c r="J4255" s="72">
        <v>90619139</v>
      </c>
      <c r="K4255" s="99" t="str">
        <f>_xlfn.XLOOKUP(_2__ROI_Daily_Update[[#This Row],[CSM id]],SHP!F:F,SHP!EE:EE,"-")</f>
        <v>-</v>
      </c>
    </row>
    <row r="4256" spans="1:11" x14ac:dyDescent="0.45">
      <c r="A4256" s="57">
        <v>1882</v>
      </c>
      <c r="B4256" t="s">
        <v>3743</v>
      </c>
      <c r="C4256" t="s">
        <v>3744</v>
      </c>
      <c r="D4256" s="12">
        <v>46337</v>
      </c>
      <c r="E4256" s="11">
        <v>504</v>
      </c>
      <c r="F4256" s="11" t="s">
        <v>0</v>
      </c>
      <c r="G4256">
        <v>20140801</v>
      </c>
      <c r="I4256" s="11" t="s">
        <v>18</v>
      </c>
      <c r="J4256" s="72">
        <v>70147758</v>
      </c>
      <c r="K4256" s="99" t="str">
        <f>_xlfn.XLOOKUP(_2__ROI_Daily_Update[[#This Row],[CSM id]],SHP!F:F,SHP!EE:EE,"-")</f>
        <v>-</v>
      </c>
    </row>
    <row r="4257" spans="1:11" x14ac:dyDescent="0.45">
      <c r="A4257" s="57">
        <v>125</v>
      </c>
      <c r="B4257" t="s">
        <v>74</v>
      </c>
      <c r="C4257" t="s">
        <v>75</v>
      </c>
      <c r="D4257" s="12">
        <v>46337</v>
      </c>
      <c r="E4257" s="11">
        <v>6</v>
      </c>
      <c r="F4257" s="11" t="s">
        <v>0</v>
      </c>
      <c r="G4257">
        <v>20260701</v>
      </c>
      <c r="I4257" s="11" t="s">
        <v>63</v>
      </c>
      <c r="J4257" s="72">
        <v>20624926</v>
      </c>
      <c r="K4257" s="99" t="str">
        <f>_xlfn.XLOOKUP(_2__ROI_Daily_Update[[#This Row],[CSM id]],SHP!F:F,SHP!EE:EE,"-")</f>
        <v>-</v>
      </c>
    </row>
    <row r="4258" spans="1:11" x14ac:dyDescent="0.45">
      <c r="A4258" s="57">
        <v>1635</v>
      </c>
      <c r="B4258" t="s">
        <v>3083</v>
      </c>
      <c r="C4258" t="s">
        <v>3084</v>
      </c>
      <c r="D4258" s="12">
        <v>46337</v>
      </c>
      <c r="E4258" s="11">
        <v>48</v>
      </c>
      <c r="F4258" s="11" t="s">
        <v>0</v>
      </c>
      <c r="G4258">
        <v>20260401</v>
      </c>
      <c r="I4258" s="11" t="s">
        <v>63</v>
      </c>
      <c r="J4258" s="72">
        <v>80608438</v>
      </c>
      <c r="K4258" s="99" t="str">
        <f>_xlfn.XLOOKUP(_2__ROI_Daily_Update[[#This Row],[CSM id]],SHP!F:F,SHP!EE:EE,"-")</f>
        <v>-</v>
      </c>
    </row>
    <row r="4259" spans="1:11" x14ac:dyDescent="0.45">
      <c r="A4259" s="57">
        <v>1635</v>
      </c>
      <c r="B4259" t="s">
        <v>7881</v>
      </c>
      <c r="C4259" t="s">
        <v>7882</v>
      </c>
      <c r="D4259" s="12">
        <v>46337</v>
      </c>
      <c r="E4259" s="11">
        <v>504</v>
      </c>
      <c r="F4259" s="11" t="s">
        <v>0</v>
      </c>
      <c r="G4259">
        <v>20260401</v>
      </c>
      <c r="I4259" s="11" t="s">
        <v>63</v>
      </c>
      <c r="J4259" s="72">
        <v>30608370</v>
      </c>
      <c r="K4259" s="99" t="str">
        <f>_xlfn.XLOOKUP(_2__ROI_Daily_Update[[#This Row],[CSM id]],SHP!F:F,SHP!EE:EE,"-")</f>
        <v>-</v>
      </c>
    </row>
    <row r="4260" spans="1:11" x14ac:dyDescent="0.45">
      <c r="A4260" s="57">
        <v>1815</v>
      </c>
      <c r="B4260" t="s">
        <v>5606</v>
      </c>
      <c r="C4260" t="s">
        <v>5607</v>
      </c>
      <c r="D4260" s="12">
        <v>46337</v>
      </c>
      <c r="E4260" s="11">
        <v>400</v>
      </c>
      <c r="F4260" s="11" t="s">
        <v>0</v>
      </c>
      <c r="G4260">
        <v>20260701</v>
      </c>
      <c r="I4260" s="11" t="s">
        <v>63</v>
      </c>
      <c r="J4260" s="72">
        <v>40644283</v>
      </c>
      <c r="K4260" s="99" t="str">
        <f>_xlfn.XLOOKUP(_2__ROI_Daily_Update[[#This Row],[CSM id]],SHP!F:F,SHP!EE:EE,"-")</f>
        <v>-</v>
      </c>
    </row>
    <row r="4261" spans="1:11" x14ac:dyDescent="0.45">
      <c r="A4261" s="57">
        <v>1882</v>
      </c>
      <c r="B4261" t="s">
        <v>3747</v>
      </c>
      <c r="C4261" t="s">
        <v>3748</v>
      </c>
      <c r="D4261" s="12">
        <v>46337</v>
      </c>
      <c r="E4261" s="11">
        <v>32</v>
      </c>
      <c r="F4261" s="11" t="s">
        <v>0</v>
      </c>
      <c r="G4261">
        <v>20240101</v>
      </c>
      <c r="H4261" s="12">
        <v>46478</v>
      </c>
      <c r="I4261" s="11" t="s">
        <v>63</v>
      </c>
      <c r="J4261" s="72">
        <v>70567631</v>
      </c>
      <c r="K4261" s="99" t="str">
        <f>_xlfn.XLOOKUP(_2__ROI_Daily_Update[[#This Row],[CSM id]],SHP!F:F,SHP!EE:EE,"-")</f>
        <v>-</v>
      </c>
    </row>
    <row r="4262" spans="1:11" x14ac:dyDescent="0.45">
      <c r="A4262" s="57">
        <v>341</v>
      </c>
      <c r="B4262" t="s">
        <v>301</v>
      </c>
      <c r="C4262" t="s">
        <v>302</v>
      </c>
      <c r="D4262" s="12">
        <v>46337</v>
      </c>
      <c r="E4262" s="11">
        <v>36</v>
      </c>
      <c r="F4262" s="11" t="s">
        <v>0</v>
      </c>
      <c r="G4262">
        <v>20230901</v>
      </c>
      <c r="I4262" s="11" t="s">
        <v>18</v>
      </c>
      <c r="J4262" s="72">
        <v>60557802</v>
      </c>
      <c r="K4262" s="99" t="str">
        <f>_xlfn.XLOOKUP(_2__ROI_Daily_Update[[#This Row],[CSM id]],SHP!F:F,SHP!EE:EE,"-")</f>
        <v>-</v>
      </c>
    </row>
    <row r="4263" spans="1:11" x14ac:dyDescent="0.45">
      <c r="A4263" s="57">
        <v>1233</v>
      </c>
      <c r="B4263" t="s">
        <v>1984</v>
      </c>
      <c r="C4263" t="s">
        <v>1985</v>
      </c>
      <c r="D4263" s="12">
        <v>46337</v>
      </c>
      <c r="E4263" s="11">
        <v>120</v>
      </c>
      <c r="F4263" s="11" t="s">
        <v>0</v>
      </c>
      <c r="G4263">
        <v>20140801</v>
      </c>
      <c r="I4263" s="11" t="s">
        <v>63</v>
      </c>
      <c r="J4263" s="72">
        <v>10174995</v>
      </c>
      <c r="K4263" s="99" t="str">
        <f>_xlfn.XLOOKUP(_2__ROI_Daily_Update[[#This Row],[CSM id]],SHP!F:F,SHP!EE:EE,"-")</f>
        <v>-</v>
      </c>
    </row>
    <row r="4264" spans="1:11" x14ac:dyDescent="0.45">
      <c r="A4264" s="57">
        <v>1634</v>
      </c>
      <c r="B4264" t="s">
        <v>3037</v>
      </c>
      <c r="C4264" t="s">
        <v>3038</v>
      </c>
      <c r="D4264" s="12">
        <v>46337</v>
      </c>
      <c r="E4264" s="11">
        <v>24</v>
      </c>
      <c r="F4264" s="11" t="s">
        <v>0</v>
      </c>
      <c r="G4264">
        <v>20251001</v>
      </c>
      <c r="I4264" s="11" t="s">
        <v>63</v>
      </c>
      <c r="J4264" s="72">
        <v>30606291</v>
      </c>
      <c r="K4264" s="99" t="str">
        <f>_xlfn.XLOOKUP(_2__ROI_Daily_Update[[#This Row],[CSM id]],SHP!F:F,SHP!EE:EE,"-")</f>
        <v>-</v>
      </c>
    </row>
    <row r="4265" spans="1:11" x14ac:dyDescent="0.45">
      <c r="A4265" s="57">
        <v>352</v>
      </c>
      <c r="B4265" t="s">
        <v>396</v>
      </c>
      <c r="C4265" t="s">
        <v>397</v>
      </c>
      <c r="D4265" s="12">
        <v>46337</v>
      </c>
      <c r="E4265" s="11">
        <v>10</v>
      </c>
      <c r="F4265" s="11" t="s">
        <v>7324</v>
      </c>
      <c r="G4265">
        <v>20210701</v>
      </c>
      <c r="I4265" s="11" t="s">
        <v>32</v>
      </c>
      <c r="J4265" s="72">
        <v>50492203</v>
      </c>
      <c r="K4265" s="99" t="str">
        <f>_xlfn.XLOOKUP(_2__ROI_Daily_Update[[#This Row],[CSM id]],SHP!F:F,SHP!EE:EE,"-")</f>
        <v>-</v>
      </c>
    </row>
    <row r="4266" spans="1:11" x14ac:dyDescent="0.45">
      <c r="A4266" s="57">
        <v>1643</v>
      </c>
      <c r="B4266" t="s">
        <v>6955</v>
      </c>
      <c r="C4266" t="s">
        <v>6956</v>
      </c>
      <c r="D4266" s="12">
        <v>46337</v>
      </c>
      <c r="E4266" s="11">
        <v>250</v>
      </c>
      <c r="F4266" s="11" t="s">
        <v>0</v>
      </c>
      <c r="G4266">
        <v>20260401</v>
      </c>
      <c r="H4266" s="12">
        <v>46569</v>
      </c>
      <c r="I4266" s="11" t="s">
        <v>63</v>
      </c>
      <c r="J4266" s="72">
        <v>90620449</v>
      </c>
      <c r="K4266" s="99" t="str">
        <f>_xlfn.XLOOKUP(_2__ROI_Daily_Update[[#This Row],[CSM id]],SHP!F:F,SHP!EE:EE,"-")</f>
        <v>-</v>
      </c>
    </row>
    <row r="4267" spans="1:11" x14ac:dyDescent="0.45">
      <c r="A4267" s="57">
        <v>621</v>
      </c>
      <c r="B4267" t="s">
        <v>215</v>
      </c>
      <c r="C4267" t="s">
        <v>216</v>
      </c>
      <c r="D4267" s="12">
        <v>46337</v>
      </c>
      <c r="E4267" s="11">
        <v>36</v>
      </c>
      <c r="F4267" s="11" t="s">
        <v>0</v>
      </c>
      <c r="G4267">
        <v>20260401</v>
      </c>
      <c r="H4267" s="12">
        <v>46569</v>
      </c>
      <c r="I4267" s="11" t="s">
        <v>63</v>
      </c>
      <c r="J4267" s="72">
        <v>40618241</v>
      </c>
      <c r="K4267" s="99" t="str">
        <f>_xlfn.XLOOKUP(_2__ROI_Daily_Update[[#This Row],[CSM id]],SHP!F:F,SHP!EE:EE,"-")</f>
        <v>-</v>
      </c>
    </row>
    <row r="4268" spans="1:11" x14ac:dyDescent="0.45">
      <c r="A4268" s="57">
        <v>612</v>
      </c>
      <c r="B4268" t="s">
        <v>364</v>
      </c>
      <c r="C4268" t="s">
        <v>365</v>
      </c>
      <c r="D4268" s="12">
        <v>46337</v>
      </c>
      <c r="E4268" s="11">
        <v>40</v>
      </c>
      <c r="F4268" s="11" t="s">
        <v>0</v>
      </c>
      <c r="G4268">
        <v>20160401</v>
      </c>
      <c r="I4268" s="11" t="s">
        <v>18</v>
      </c>
      <c r="J4268" s="72">
        <v>20307867</v>
      </c>
      <c r="K4268" s="99" t="str">
        <f>_xlfn.XLOOKUP(_2__ROI_Daily_Update[[#This Row],[CSM id]],SHP!F:F,SHP!EE:EE,"-")</f>
        <v>-</v>
      </c>
    </row>
    <row r="4269" spans="1:11" x14ac:dyDescent="0.45">
      <c r="A4269" s="57">
        <v>1852</v>
      </c>
      <c r="B4269" t="s">
        <v>3684</v>
      </c>
      <c r="C4269" t="s">
        <v>3685</v>
      </c>
      <c r="D4269" s="12">
        <v>46337</v>
      </c>
      <c r="E4269" s="11">
        <v>12</v>
      </c>
      <c r="F4269" s="11" t="s">
        <v>0</v>
      </c>
      <c r="G4269">
        <v>20260101</v>
      </c>
      <c r="I4269" s="11" t="s">
        <v>63</v>
      </c>
      <c r="J4269" s="72">
        <v>30595400</v>
      </c>
      <c r="K4269" s="99" t="str">
        <f>_xlfn.XLOOKUP(_2__ROI_Daily_Update[[#This Row],[CSM id]],SHP!F:F,SHP!EE:EE,"-")</f>
        <v>-</v>
      </c>
    </row>
    <row r="4270" spans="1:11" x14ac:dyDescent="0.45">
      <c r="A4270" s="57">
        <v>1122</v>
      </c>
      <c r="B4270" t="s">
        <v>1625</v>
      </c>
      <c r="C4270" t="s">
        <v>1626</v>
      </c>
      <c r="D4270" s="12">
        <v>46337</v>
      </c>
      <c r="E4270" s="11">
        <v>70</v>
      </c>
      <c r="F4270" s="11" t="s">
        <v>0</v>
      </c>
      <c r="G4270">
        <v>20190801</v>
      </c>
      <c r="H4270" s="12">
        <v>46478</v>
      </c>
      <c r="I4270" s="11" t="s">
        <v>63</v>
      </c>
      <c r="J4270" s="72">
        <v>80446097</v>
      </c>
      <c r="K4270" s="99" t="str">
        <f>_xlfn.XLOOKUP(_2__ROI_Daily_Update[[#This Row],[CSM id]],SHP!F:F,SHP!EE:EE,"-")</f>
        <v>-</v>
      </c>
    </row>
    <row r="4271" spans="1:11" x14ac:dyDescent="0.45">
      <c r="A4271" s="57">
        <v>435</v>
      </c>
      <c r="B4271" t="s">
        <v>38</v>
      </c>
      <c r="C4271" t="s">
        <v>39</v>
      </c>
      <c r="D4271" s="12">
        <v>46337</v>
      </c>
      <c r="E4271" s="11">
        <v>42</v>
      </c>
      <c r="F4271" s="11" t="s">
        <v>0</v>
      </c>
      <c r="G4271">
        <v>20221001</v>
      </c>
      <c r="I4271" s="11" t="s">
        <v>18</v>
      </c>
      <c r="J4271" s="72">
        <v>70530987</v>
      </c>
      <c r="K4271" s="99" t="str">
        <f>_xlfn.XLOOKUP(_2__ROI_Daily_Update[[#This Row],[CSM id]],SHP!F:F,SHP!EE:EE,"-")</f>
        <v>-</v>
      </c>
    </row>
    <row r="4272" spans="1:11" x14ac:dyDescent="0.45">
      <c r="A4272" s="57">
        <v>1641</v>
      </c>
      <c r="B4272" t="s">
        <v>3163</v>
      </c>
      <c r="C4272" t="s">
        <v>3164</v>
      </c>
      <c r="D4272" s="12">
        <v>46337</v>
      </c>
      <c r="E4272" s="11">
        <v>64</v>
      </c>
      <c r="F4272" s="11" t="s">
        <v>0</v>
      </c>
      <c r="G4272">
        <v>20190401</v>
      </c>
      <c r="I4272" s="11" t="s">
        <v>63</v>
      </c>
      <c r="J4272" s="72">
        <v>60427269</v>
      </c>
      <c r="K4272" s="99" t="str">
        <f>_xlfn.XLOOKUP(_2__ROI_Daily_Update[[#This Row],[CSM id]],SHP!F:F,SHP!EE:EE,"-")</f>
        <v>-</v>
      </c>
    </row>
    <row r="4273" spans="1:11" x14ac:dyDescent="0.45">
      <c r="A4273" s="57">
        <v>1231</v>
      </c>
      <c r="B4273" t="s">
        <v>1951</v>
      </c>
      <c r="C4273" t="s">
        <v>1952</v>
      </c>
      <c r="D4273" s="12">
        <v>46337</v>
      </c>
      <c r="E4273" s="11">
        <v>88</v>
      </c>
      <c r="F4273" s="11" t="s">
        <v>0</v>
      </c>
      <c r="G4273">
        <v>20260701</v>
      </c>
      <c r="I4273" s="11" t="s">
        <v>63</v>
      </c>
      <c r="J4273" s="72">
        <v>90625277</v>
      </c>
      <c r="K4273" s="99" t="str">
        <f>_xlfn.XLOOKUP(_2__ROI_Daily_Update[[#This Row],[CSM id]],SHP!F:F,SHP!EE:EE,"-")</f>
        <v>-</v>
      </c>
    </row>
    <row r="4274" spans="1:11" x14ac:dyDescent="0.45">
      <c r="A4274" s="57">
        <v>1131</v>
      </c>
      <c r="B4274" t="s">
        <v>1677</v>
      </c>
      <c r="C4274" t="s">
        <v>1678</v>
      </c>
      <c r="D4274" s="12">
        <v>46337</v>
      </c>
      <c r="E4274" s="11">
        <v>72</v>
      </c>
      <c r="F4274" s="11" t="s">
        <v>0</v>
      </c>
      <c r="G4274">
        <v>20240701</v>
      </c>
      <c r="I4274" s="11" t="s">
        <v>63</v>
      </c>
      <c r="J4274" s="72">
        <v>80579681</v>
      </c>
      <c r="K4274" s="99" t="str">
        <f>_xlfn.XLOOKUP(_2__ROI_Daily_Update[[#This Row],[CSM id]],SHP!F:F,SHP!EE:EE,"-")</f>
        <v>-</v>
      </c>
    </row>
    <row r="4275" spans="1:11" x14ac:dyDescent="0.45">
      <c r="A4275" s="57">
        <v>423</v>
      </c>
      <c r="B4275" t="s">
        <v>435</v>
      </c>
      <c r="C4275" t="s">
        <v>436</v>
      </c>
      <c r="D4275" s="12">
        <v>46337</v>
      </c>
      <c r="E4275" s="11">
        <v>5</v>
      </c>
      <c r="F4275" s="11" t="s">
        <v>0</v>
      </c>
      <c r="G4275">
        <v>20191001</v>
      </c>
      <c r="I4275" s="11" t="s">
        <v>32</v>
      </c>
      <c r="J4275" s="72">
        <v>80441759</v>
      </c>
      <c r="K4275" s="99" t="str">
        <f>_xlfn.XLOOKUP(_2__ROI_Daily_Update[[#This Row],[CSM id]],SHP!F:F,SHP!EE:EE,"-")</f>
        <v>-</v>
      </c>
    </row>
    <row r="4276" spans="1:11" x14ac:dyDescent="0.45">
      <c r="A4276" s="57">
        <v>431</v>
      </c>
      <c r="B4276" t="s">
        <v>451</v>
      </c>
      <c r="C4276" t="s">
        <v>452</v>
      </c>
      <c r="D4276" s="12">
        <v>46337</v>
      </c>
      <c r="E4276" s="11">
        <v>16</v>
      </c>
      <c r="F4276" s="11" t="s">
        <v>0</v>
      </c>
      <c r="G4276">
        <v>20180201</v>
      </c>
      <c r="H4276" s="12">
        <v>46388</v>
      </c>
      <c r="I4276" s="11" t="s">
        <v>18</v>
      </c>
      <c r="J4276" s="72">
        <v>355661</v>
      </c>
      <c r="K4276" s="99" t="str">
        <f>_xlfn.XLOOKUP(_2__ROI_Daily_Update[[#This Row],[CSM id]],SHP!F:F,SHP!EE:EE,"-")</f>
        <v>-</v>
      </c>
    </row>
    <row r="4277" spans="1:11" x14ac:dyDescent="0.45">
      <c r="A4277" s="57">
        <v>1214</v>
      </c>
      <c r="B4277" t="s">
        <v>1809</v>
      </c>
      <c r="C4277" t="s">
        <v>1810</v>
      </c>
      <c r="D4277" s="12">
        <v>46337</v>
      </c>
      <c r="E4277" s="11">
        <v>160</v>
      </c>
      <c r="F4277" s="11" t="s">
        <v>0</v>
      </c>
      <c r="G4277">
        <v>20210401</v>
      </c>
      <c r="H4277" s="12">
        <v>46478</v>
      </c>
      <c r="I4277" s="11" t="s">
        <v>63</v>
      </c>
      <c r="J4277" s="72">
        <v>20489688</v>
      </c>
      <c r="K4277" s="99" t="str">
        <f>_xlfn.XLOOKUP(_2__ROI_Daily_Update[[#This Row],[CSM id]],SHP!F:F,SHP!EE:EE,"-")</f>
        <v>-</v>
      </c>
    </row>
    <row r="4278" spans="1:11" x14ac:dyDescent="0.45">
      <c r="A4278" s="57">
        <v>1541</v>
      </c>
      <c r="B4278" t="s">
        <v>7883</v>
      </c>
      <c r="C4278" t="s">
        <v>7884</v>
      </c>
      <c r="D4278" s="12">
        <v>46337</v>
      </c>
      <c r="E4278" s="11">
        <v>52</v>
      </c>
      <c r="F4278" s="11" t="s">
        <v>0</v>
      </c>
      <c r="G4278">
        <v>20230101</v>
      </c>
      <c r="I4278" s="11" t="s">
        <v>63</v>
      </c>
      <c r="J4278" s="72">
        <v>90545855</v>
      </c>
      <c r="K4278" s="99" t="str">
        <f>_xlfn.XLOOKUP(_2__ROI_Daily_Update[[#This Row],[CSM id]],SHP!F:F,SHP!EE:EE,"-")</f>
        <v>-</v>
      </c>
    </row>
    <row r="4279" spans="1:11" x14ac:dyDescent="0.45">
      <c r="A4279" s="57">
        <v>1214</v>
      </c>
      <c r="B4279" t="s">
        <v>5949</v>
      </c>
      <c r="C4279" t="s">
        <v>5950</v>
      </c>
      <c r="D4279" s="12">
        <v>46337</v>
      </c>
      <c r="E4279" s="11">
        <v>42</v>
      </c>
      <c r="F4279" s="11" t="s">
        <v>0</v>
      </c>
      <c r="G4279">
        <v>20140801</v>
      </c>
      <c r="H4279" s="12">
        <v>46478</v>
      </c>
      <c r="I4279" s="11" t="s">
        <v>63</v>
      </c>
      <c r="J4279" s="72">
        <v>30221397</v>
      </c>
      <c r="K4279" s="99" t="str">
        <f>_xlfn.XLOOKUP(_2__ROI_Daily_Update[[#This Row],[CSM id]],SHP!F:F,SHP!EE:EE,"-")</f>
        <v>-</v>
      </c>
    </row>
    <row r="4280" spans="1:11" x14ac:dyDescent="0.45">
      <c r="A4280" s="57">
        <v>1231</v>
      </c>
      <c r="B4280" t="s">
        <v>1839</v>
      </c>
      <c r="C4280" t="s">
        <v>1840</v>
      </c>
      <c r="D4280" s="12">
        <v>46337</v>
      </c>
      <c r="E4280" s="11">
        <v>64</v>
      </c>
      <c r="F4280" s="11" t="s">
        <v>0</v>
      </c>
      <c r="G4280">
        <v>20260401</v>
      </c>
      <c r="I4280" s="11" t="s">
        <v>63</v>
      </c>
      <c r="J4280" s="72">
        <v>624588</v>
      </c>
      <c r="K4280" s="99" t="str">
        <f>_xlfn.XLOOKUP(_2__ROI_Daily_Update[[#This Row],[CSM id]],SHP!F:F,SHP!EE:EE,"-")</f>
        <v>-</v>
      </c>
    </row>
    <row r="4281" spans="1:11" x14ac:dyDescent="0.45">
      <c r="A4281" s="57">
        <v>1231</v>
      </c>
      <c r="B4281" t="s">
        <v>7885</v>
      </c>
      <c r="C4281" t="s">
        <v>7886</v>
      </c>
      <c r="D4281" s="12">
        <v>46337</v>
      </c>
      <c r="E4281" s="11">
        <v>20</v>
      </c>
      <c r="F4281" s="11" t="s">
        <v>0</v>
      </c>
      <c r="G4281">
        <v>20260701</v>
      </c>
      <c r="I4281" s="11" t="s">
        <v>63</v>
      </c>
      <c r="J4281" s="72">
        <v>636020</v>
      </c>
      <c r="K4281" s="99" t="str">
        <f>_xlfn.XLOOKUP(_2__ROI_Daily_Update[[#This Row],[CSM id]],SHP!F:F,SHP!EE:EE,"-")</f>
        <v>-</v>
      </c>
    </row>
    <row r="4282" spans="1:11" x14ac:dyDescent="0.45">
      <c r="A4282" s="57">
        <v>352</v>
      </c>
      <c r="B4282" t="s">
        <v>398</v>
      </c>
      <c r="C4282" t="s">
        <v>399</v>
      </c>
      <c r="D4282" s="12">
        <v>46337</v>
      </c>
      <c r="E4282" s="11">
        <v>8</v>
      </c>
      <c r="F4282" s="11" t="s">
        <v>0</v>
      </c>
      <c r="G4282">
        <v>20220401</v>
      </c>
      <c r="I4282" s="11" t="s">
        <v>18</v>
      </c>
      <c r="J4282" s="72">
        <v>90521859</v>
      </c>
      <c r="K4282" s="99" t="str">
        <f>_xlfn.XLOOKUP(_2__ROI_Daily_Update[[#This Row],[CSM id]],SHP!F:F,SHP!EE:EE,"-")</f>
        <v>-</v>
      </c>
    </row>
    <row r="4283" spans="1:11" x14ac:dyDescent="0.45">
      <c r="A4283" s="57">
        <v>1852</v>
      </c>
      <c r="B4283" t="s">
        <v>6019</v>
      </c>
      <c r="C4283" t="s">
        <v>6020</v>
      </c>
      <c r="D4283" s="12">
        <v>46337</v>
      </c>
      <c r="E4283" s="11">
        <v>80</v>
      </c>
      <c r="F4283" s="11" t="s">
        <v>0</v>
      </c>
      <c r="G4283">
        <v>20240401</v>
      </c>
      <c r="I4283" s="11" t="s">
        <v>63</v>
      </c>
      <c r="J4283" s="72">
        <v>70567004</v>
      </c>
      <c r="K4283" s="99" t="str">
        <f>_xlfn.XLOOKUP(_2__ROI_Daily_Update[[#This Row],[CSM id]],SHP!F:F,SHP!EE:EE,"-")</f>
        <v>-</v>
      </c>
    </row>
    <row r="4284" spans="1:11" x14ac:dyDescent="0.45">
      <c r="A4284" s="57">
        <v>1213</v>
      </c>
      <c r="B4284" t="s">
        <v>1795</v>
      </c>
      <c r="C4284" t="s">
        <v>1796</v>
      </c>
      <c r="D4284" s="12">
        <v>46337</v>
      </c>
      <c r="E4284" s="11">
        <v>8</v>
      </c>
      <c r="F4284" s="11" t="s">
        <v>0</v>
      </c>
      <c r="G4284">
        <v>20240701</v>
      </c>
      <c r="I4284" s="11" t="s">
        <v>63</v>
      </c>
      <c r="J4284" s="72">
        <v>50583707</v>
      </c>
      <c r="K4284" s="99" t="str">
        <f>_xlfn.XLOOKUP(_2__ROI_Daily_Update[[#This Row],[CSM id]],SHP!F:F,SHP!EE:EE,"-")</f>
        <v>-</v>
      </c>
    </row>
    <row r="4285" spans="1:11" x14ac:dyDescent="0.45">
      <c r="A4285" s="57">
        <v>1231</v>
      </c>
      <c r="B4285" t="s">
        <v>1869</v>
      </c>
      <c r="C4285" t="s">
        <v>1870</v>
      </c>
      <c r="D4285" s="12">
        <v>46337</v>
      </c>
      <c r="E4285" s="11">
        <v>240</v>
      </c>
      <c r="F4285" s="11" t="s">
        <v>0</v>
      </c>
      <c r="G4285">
        <v>20230401</v>
      </c>
      <c r="I4285" s="11" t="s">
        <v>18</v>
      </c>
      <c r="J4285" s="72">
        <v>30550703</v>
      </c>
      <c r="K4285" s="99" t="str">
        <f>_xlfn.XLOOKUP(_2__ROI_Daily_Update[[#This Row],[CSM id]],SHP!F:F,SHP!EE:EE,"-")</f>
        <v>-</v>
      </c>
    </row>
    <row r="4286" spans="1:11" x14ac:dyDescent="0.45">
      <c r="A4286" s="57">
        <v>361</v>
      </c>
      <c r="B4286" t="s">
        <v>422</v>
      </c>
      <c r="C4286" t="s">
        <v>423</v>
      </c>
      <c r="D4286" s="12">
        <v>46338</v>
      </c>
      <c r="E4286" s="11">
        <v>18</v>
      </c>
      <c r="F4286" s="11" t="s">
        <v>6062</v>
      </c>
      <c r="G4286">
        <v>20240701</v>
      </c>
      <c r="H4286" s="12">
        <v>46569</v>
      </c>
      <c r="I4286" s="11" t="s">
        <v>32</v>
      </c>
      <c r="J4286" s="72">
        <v>90588109</v>
      </c>
      <c r="K4286" s="99" t="str">
        <f>_xlfn.XLOOKUP(_2__ROI_Daily_Update[[#This Row],[CSM id]],SHP!F:F,SHP!EE:EE,"-")</f>
        <v>-</v>
      </c>
    </row>
    <row r="4287" spans="1:11" x14ac:dyDescent="0.45">
      <c r="A4287" s="57">
        <v>125</v>
      </c>
      <c r="B4287" t="s">
        <v>108</v>
      </c>
      <c r="C4287" t="s">
        <v>109</v>
      </c>
      <c r="D4287" s="12">
        <v>46338</v>
      </c>
      <c r="E4287" s="11">
        <v>8</v>
      </c>
      <c r="F4287" s="11" t="s">
        <v>6531</v>
      </c>
      <c r="G4287">
        <v>20240101</v>
      </c>
      <c r="H4287" s="12">
        <v>46388</v>
      </c>
      <c r="I4287" s="11" t="s">
        <v>32</v>
      </c>
      <c r="J4287" s="72">
        <v>20570829</v>
      </c>
      <c r="K4287" s="99" t="str">
        <f>_xlfn.XLOOKUP(_2__ROI_Daily_Update[[#This Row],[CSM id]],SHP!F:F,SHP!EE:EE,"-")</f>
        <v>-</v>
      </c>
    </row>
    <row r="4288" spans="1:11" x14ac:dyDescent="0.45">
      <c r="A4288" s="57">
        <v>1122</v>
      </c>
      <c r="B4288" t="s">
        <v>6063</v>
      </c>
      <c r="C4288" t="s">
        <v>6064</v>
      </c>
      <c r="D4288" s="12">
        <v>46338</v>
      </c>
      <c r="E4288" s="11">
        <v>56</v>
      </c>
      <c r="F4288" s="11" t="s">
        <v>0</v>
      </c>
      <c r="G4288">
        <v>20220101</v>
      </c>
      <c r="H4288" s="12">
        <v>46478</v>
      </c>
      <c r="I4288" s="11" t="s">
        <v>32</v>
      </c>
      <c r="J4288" s="72">
        <v>10507348</v>
      </c>
      <c r="K4288" s="99" t="str">
        <f>_xlfn.XLOOKUP(_2__ROI_Daily_Update[[#This Row],[CSM id]],SHP!F:F,SHP!EE:EE,"-")</f>
        <v>-</v>
      </c>
    </row>
    <row r="4289" spans="1:11" x14ac:dyDescent="0.45">
      <c r="A4289" s="57">
        <v>125</v>
      </c>
      <c r="B4289" t="s">
        <v>122</v>
      </c>
      <c r="C4289" t="s">
        <v>123</v>
      </c>
      <c r="D4289" s="12">
        <v>46338</v>
      </c>
      <c r="E4289" s="11">
        <v>12</v>
      </c>
      <c r="F4289" s="11" t="s">
        <v>6531</v>
      </c>
      <c r="G4289">
        <v>20240101</v>
      </c>
      <c r="I4289" s="11" t="s">
        <v>32</v>
      </c>
      <c r="J4289" s="72">
        <v>70570836</v>
      </c>
      <c r="K4289" s="99" t="str">
        <f>_xlfn.XLOOKUP(_2__ROI_Daily_Update[[#This Row],[CSM id]],SHP!F:F,SHP!EE:EE,"-")</f>
        <v>-</v>
      </c>
    </row>
    <row r="4290" spans="1:11" x14ac:dyDescent="0.45">
      <c r="A4290" s="57">
        <v>125</v>
      </c>
      <c r="B4290" t="s">
        <v>115</v>
      </c>
      <c r="C4290" t="s">
        <v>116</v>
      </c>
      <c r="D4290" s="12">
        <v>46338</v>
      </c>
      <c r="E4290" s="11">
        <v>16</v>
      </c>
      <c r="F4290" s="11" t="s">
        <v>6531</v>
      </c>
      <c r="G4290">
        <v>20260401</v>
      </c>
      <c r="I4290" s="11" t="s">
        <v>32</v>
      </c>
      <c r="J4290" s="72">
        <v>40623860</v>
      </c>
      <c r="K4290" s="99" t="str">
        <f>_xlfn.XLOOKUP(_2__ROI_Daily_Update[[#This Row],[CSM id]],SHP!F:F,SHP!EE:EE,"-")</f>
        <v>-</v>
      </c>
    </row>
    <row r="4291" spans="1:11" x14ac:dyDescent="0.45">
      <c r="A4291" s="57">
        <v>215</v>
      </c>
      <c r="B4291" t="s">
        <v>265</v>
      </c>
      <c r="C4291" t="s">
        <v>266</v>
      </c>
      <c r="D4291" s="12">
        <v>46338</v>
      </c>
      <c r="E4291" s="11">
        <v>60</v>
      </c>
      <c r="F4291" s="11" t="s">
        <v>6065</v>
      </c>
      <c r="G4291">
        <v>20170401</v>
      </c>
      <c r="I4291" s="11" t="s">
        <v>32</v>
      </c>
      <c r="J4291" s="72">
        <v>20351884</v>
      </c>
      <c r="K4291" s="99" t="str">
        <f>_xlfn.XLOOKUP(_2__ROI_Daily_Update[[#This Row],[CSM id]],SHP!F:F,SHP!EE:EE,"-")</f>
        <v>-</v>
      </c>
    </row>
    <row r="4292" spans="1:11" x14ac:dyDescent="0.45">
      <c r="A4292" s="57">
        <v>824</v>
      </c>
      <c r="B4292" t="s">
        <v>670</v>
      </c>
      <c r="C4292" t="s">
        <v>671</v>
      </c>
      <c r="D4292" s="12">
        <v>46338</v>
      </c>
      <c r="E4292" s="11">
        <v>20</v>
      </c>
      <c r="F4292" s="11" t="s">
        <v>6531</v>
      </c>
      <c r="G4292">
        <v>20251001</v>
      </c>
      <c r="I4292" s="11" t="s">
        <v>32</v>
      </c>
      <c r="J4292" s="72">
        <v>70621176</v>
      </c>
      <c r="K4292" s="99" t="str">
        <f>_xlfn.XLOOKUP(_2__ROI_Daily_Update[[#This Row],[CSM id]],SHP!F:F,SHP!EE:EE,"-")</f>
        <v>-</v>
      </c>
    </row>
    <row r="4293" spans="1:11" x14ac:dyDescent="0.45">
      <c r="A4293" s="57">
        <v>983</v>
      </c>
      <c r="B4293" t="s">
        <v>6066</v>
      </c>
      <c r="C4293" t="s">
        <v>6067</v>
      </c>
      <c r="D4293" s="12">
        <v>46339</v>
      </c>
      <c r="E4293" s="11">
        <v>112</v>
      </c>
      <c r="F4293" s="11" t="s">
        <v>6815</v>
      </c>
      <c r="G4293">
        <v>20160401</v>
      </c>
      <c r="I4293" s="11" t="s">
        <v>32</v>
      </c>
      <c r="J4293" s="72">
        <v>20169074</v>
      </c>
      <c r="K4293" s="99">
        <f>_xlfn.XLOOKUP(_2__ROI_Daily_Update[[#This Row],[CSM id]],SHP!F:F,SHP!EE:EE,"-")</f>
        <v>0</v>
      </c>
    </row>
    <row r="4294" spans="1:11" x14ac:dyDescent="0.45">
      <c r="A4294" s="57">
        <v>983</v>
      </c>
      <c r="B4294" t="s">
        <v>980</v>
      </c>
      <c r="C4294" t="s">
        <v>981</v>
      </c>
      <c r="D4294" s="12">
        <v>46339</v>
      </c>
      <c r="E4294" s="11">
        <v>32</v>
      </c>
      <c r="F4294" s="11" t="s">
        <v>6815</v>
      </c>
      <c r="G4294">
        <v>20160401</v>
      </c>
      <c r="I4294" s="11" t="s">
        <v>32</v>
      </c>
      <c r="J4294" s="72">
        <v>30279944</v>
      </c>
      <c r="K4294" s="99">
        <f>_xlfn.XLOOKUP(_2__ROI_Daily_Update[[#This Row],[CSM id]],SHP!F:F,SHP!EE:EE,"-")</f>
        <v>0</v>
      </c>
    </row>
    <row r="4295" spans="1:11" x14ac:dyDescent="0.45">
      <c r="A4295" s="57">
        <v>1815</v>
      </c>
      <c r="B4295" t="s">
        <v>3468</v>
      </c>
      <c r="C4295" t="s">
        <v>3469</v>
      </c>
      <c r="D4295" s="12">
        <v>46339</v>
      </c>
      <c r="E4295" s="11">
        <v>42</v>
      </c>
      <c r="F4295" s="11" t="s">
        <v>6815</v>
      </c>
      <c r="G4295">
        <v>20211001</v>
      </c>
      <c r="I4295" s="11" t="s">
        <v>32</v>
      </c>
      <c r="J4295" s="72">
        <v>40455084</v>
      </c>
      <c r="K4295" s="99">
        <f>_xlfn.XLOOKUP(_2__ROI_Daily_Update[[#This Row],[CSM id]],SHP!F:F,SHP!EE:EE,"-")</f>
        <v>0</v>
      </c>
    </row>
    <row r="4296" spans="1:11" x14ac:dyDescent="0.45">
      <c r="A4296" s="57">
        <v>1811</v>
      </c>
      <c r="B4296" t="s">
        <v>3347</v>
      </c>
      <c r="C4296" t="s">
        <v>3348</v>
      </c>
      <c r="D4296" s="12">
        <v>46339</v>
      </c>
      <c r="E4296" s="11">
        <v>30</v>
      </c>
      <c r="F4296" s="11" t="s">
        <v>6815</v>
      </c>
      <c r="G4296">
        <v>20240401</v>
      </c>
      <c r="I4296" s="11" t="s">
        <v>32</v>
      </c>
      <c r="J4296" s="72">
        <v>70568522</v>
      </c>
      <c r="K4296" s="99">
        <f>_xlfn.XLOOKUP(_2__ROI_Daily_Update[[#This Row],[CSM id]],SHP!F:F,SHP!EE:EE,"-")</f>
        <v>0</v>
      </c>
    </row>
    <row r="4297" spans="1:11" x14ac:dyDescent="0.45">
      <c r="A4297" s="57">
        <v>1815</v>
      </c>
      <c r="B4297" t="s">
        <v>3474</v>
      </c>
      <c r="C4297" t="s">
        <v>3475</v>
      </c>
      <c r="D4297" s="12">
        <v>46339</v>
      </c>
      <c r="E4297" s="11">
        <v>480</v>
      </c>
      <c r="F4297" s="11" t="s">
        <v>6815</v>
      </c>
      <c r="G4297">
        <v>20140801</v>
      </c>
      <c r="I4297" s="11" t="s">
        <v>32</v>
      </c>
      <c r="J4297" s="72">
        <v>60180885</v>
      </c>
      <c r="K4297" s="99">
        <f>_xlfn.XLOOKUP(_2__ROI_Daily_Update[[#This Row],[CSM id]],SHP!F:F,SHP!EE:EE,"-")</f>
        <v>0</v>
      </c>
    </row>
    <row r="4298" spans="1:11" x14ac:dyDescent="0.45">
      <c r="A4298" s="57">
        <v>1815</v>
      </c>
      <c r="B4298" t="s">
        <v>3478</v>
      </c>
      <c r="C4298" t="s">
        <v>3479</v>
      </c>
      <c r="D4298" s="12">
        <v>46339</v>
      </c>
      <c r="E4298" s="11">
        <v>832</v>
      </c>
      <c r="F4298" s="11" t="s">
        <v>6815</v>
      </c>
      <c r="G4298">
        <v>20211001</v>
      </c>
      <c r="I4298" s="11" t="s">
        <v>32</v>
      </c>
      <c r="J4298" s="72">
        <v>60455083</v>
      </c>
      <c r="K4298" s="99">
        <f>_xlfn.XLOOKUP(_2__ROI_Daily_Update[[#This Row],[CSM id]],SHP!F:F,SHP!EE:EE,"-")</f>
        <v>0</v>
      </c>
    </row>
    <row r="4299" spans="1:11" x14ac:dyDescent="0.45">
      <c r="A4299" s="57">
        <v>1815</v>
      </c>
      <c r="B4299" t="s">
        <v>3486</v>
      </c>
      <c r="C4299" t="s">
        <v>3487</v>
      </c>
      <c r="D4299" s="12">
        <v>46339</v>
      </c>
      <c r="E4299" s="11">
        <v>152</v>
      </c>
      <c r="F4299" s="11" t="s">
        <v>6815</v>
      </c>
      <c r="G4299">
        <v>20140801</v>
      </c>
      <c r="I4299" s="11" t="s">
        <v>32</v>
      </c>
      <c r="J4299" s="72">
        <v>70180941</v>
      </c>
      <c r="K4299" s="99">
        <f>_xlfn.XLOOKUP(_2__ROI_Daily_Update[[#This Row],[CSM id]],SHP!F:F,SHP!EE:EE,"-")</f>
        <v>0</v>
      </c>
    </row>
    <row r="4300" spans="1:11" x14ac:dyDescent="0.45">
      <c r="A4300" s="57">
        <v>1815</v>
      </c>
      <c r="B4300" t="s">
        <v>3488</v>
      </c>
      <c r="C4300" t="s">
        <v>3489</v>
      </c>
      <c r="D4300" s="12">
        <v>46339</v>
      </c>
      <c r="E4300" s="11">
        <v>1800</v>
      </c>
      <c r="F4300" s="11" t="s">
        <v>6815</v>
      </c>
      <c r="G4300">
        <v>20161001</v>
      </c>
      <c r="I4300" s="11" t="s">
        <v>32</v>
      </c>
      <c r="J4300" s="72">
        <v>70316181</v>
      </c>
      <c r="K4300" s="99">
        <f>_xlfn.XLOOKUP(_2__ROI_Daily_Update[[#This Row],[CSM id]],SHP!F:F,SHP!EE:EE,"-")</f>
        <v>0</v>
      </c>
    </row>
    <row r="4301" spans="1:11" x14ac:dyDescent="0.45">
      <c r="A4301" s="57">
        <v>1815</v>
      </c>
      <c r="B4301" t="s">
        <v>3492</v>
      </c>
      <c r="C4301" t="s">
        <v>3493</v>
      </c>
      <c r="D4301" s="12">
        <v>46339</v>
      </c>
      <c r="E4301" s="11">
        <v>108</v>
      </c>
      <c r="F4301" s="11" t="s">
        <v>6815</v>
      </c>
      <c r="G4301">
        <v>20211001</v>
      </c>
      <c r="I4301" s="11" t="s">
        <v>32</v>
      </c>
      <c r="J4301" s="72">
        <v>80455082</v>
      </c>
      <c r="K4301" s="99">
        <f>_xlfn.XLOOKUP(_2__ROI_Daily_Update[[#This Row],[CSM id]],SHP!F:F,SHP!EE:EE,"-")</f>
        <v>0</v>
      </c>
    </row>
    <row r="4302" spans="1:11" x14ac:dyDescent="0.45">
      <c r="A4302" s="57">
        <v>1815</v>
      </c>
      <c r="B4302" t="s">
        <v>3494</v>
      </c>
      <c r="C4302" t="s">
        <v>3495</v>
      </c>
      <c r="D4302" s="12">
        <v>46339</v>
      </c>
      <c r="E4302" s="11">
        <v>384</v>
      </c>
      <c r="F4302" s="11" t="s">
        <v>6815</v>
      </c>
      <c r="G4302">
        <v>20140801</v>
      </c>
      <c r="I4302" s="11" t="s">
        <v>32</v>
      </c>
      <c r="J4302" s="72">
        <v>90180940</v>
      </c>
      <c r="K4302" s="99">
        <f>_xlfn.XLOOKUP(_2__ROI_Daily_Update[[#This Row],[CSM id]],SHP!F:F,SHP!EE:EE,"-")</f>
        <v>0</v>
      </c>
    </row>
    <row r="4303" spans="1:11" x14ac:dyDescent="0.45">
      <c r="A4303" s="57">
        <v>972</v>
      </c>
      <c r="B4303" t="s">
        <v>887</v>
      </c>
      <c r="C4303" t="s">
        <v>888</v>
      </c>
      <c r="D4303" s="12">
        <v>46339</v>
      </c>
      <c r="E4303" s="11">
        <v>96</v>
      </c>
      <c r="F4303" s="11" t="s">
        <v>0</v>
      </c>
      <c r="G4303">
        <v>20240401</v>
      </c>
      <c r="I4303" s="11" t="s">
        <v>32</v>
      </c>
      <c r="J4303" s="72">
        <v>60572001</v>
      </c>
      <c r="K4303" s="99" t="str">
        <f>_xlfn.XLOOKUP(_2__ROI_Daily_Update[[#This Row],[CSM id]],SHP!F:F,SHP!EE:EE,"-")</f>
        <v>-</v>
      </c>
    </row>
    <row r="4304" spans="1:11" x14ac:dyDescent="0.45">
      <c r="A4304" s="57">
        <v>1815</v>
      </c>
      <c r="B4304" t="s">
        <v>3472</v>
      </c>
      <c r="C4304" t="s">
        <v>3473</v>
      </c>
      <c r="D4304" s="12">
        <v>46339</v>
      </c>
      <c r="E4304" s="11">
        <v>60</v>
      </c>
      <c r="F4304" s="11" t="s">
        <v>6815</v>
      </c>
      <c r="G4304">
        <v>20161001</v>
      </c>
      <c r="I4304" s="11" t="s">
        <v>32</v>
      </c>
      <c r="J4304" s="72">
        <v>50316064</v>
      </c>
      <c r="K4304" s="99">
        <f>_xlfn.XLOOKUP(_2__ROI_Daily_Update[[#This Row],[CSM id]],SHP!F:F,SHP!EE:EE,"-")</f>
        <v>0</v>
      </c>
    </row>
    <row r="4305" spans="1:11" x14ac:dyDescent="0.45">
      <c r="A4305" s="57">
        <v>972</v>
      </c>
      <c r="B4305" t="s">
        <v>877</v>
      </c>
      <c r="C4305" t="s">
        <v>878</v>
      </c>
      <c r="D4305" s="12">
        <v>46339</v>
      </c>
      <c r="E4305" s="11">
        <v>30</v>
      </c>
      <c r="F4305" s="11" t="s">
        <v>0</v>
      </c>
      <c r="G4305">
        <v>20160401</v>
      </c>
      <c r="I4305" s="11" t="s">
        <v>32</v>
      </c>
      <c r="J4305" s="72">
        <v>40319973</v>
      </c>
      <c r="K4305" s="99" t="str">
        <f>_xlfn.XLOOKUP(_2__ROI_Daily_Update[[#This Row],[CSM id]],SHP!F:F,SHP!EE:EE,"-")</f>
        <v>-</v>
      </c>
    </row>
    <row r="4306" spans="1:11" x14ac:dyDescent="0.45">
      <c r="A4306" s="57">
        <v>1815</v>
      </c>
      <c r="B4306" t="s">
        <v>3454</v>
      </c>
      <c r="C4306" t="s">
        <v>3455</v>
      </c>
      <c r="D4306" s="12">
        <v>46339</v>
      </c>
      <c r="E4306" s="11">
        <v>232</v>
      </c>
      <c r="F4306" s="11" t="s">
        <v>6815</v>
      </c>
      <c r="G4306">
        <v>20140801</v>
      </c>
      <c r="I4306" s="11" t="s">
        <v>32</v>
      </c>
      <c r="J4306" s="72">
        <v>10180939</v>
      </c>
      <c r="K4306" s="99">
        <f>_xlfn.XLOOKUP(_2__ROI_Daily_Update[[#This Row],[CSM id]],SHP!F:F,SHP!EE:EE,"-")</f>
        <v>0</v>
      </c>
    </row>
    <row r="4307" spans="1:11" x14ac:dyDescent="0.45">
      <c r="A4307" s="57">
        <v>1852</v>
      </c>
      <c r="B4307" t="s">
        <v>3680</v>
      </c>
      <c r="C4307" t="s">
        <v>3681</v>
      </c>
      <c r="D4307" s="12">
        <v>46339</v>
      </c>
      <c r="E4307" s="11">
        <v>144</v>
      </c>
      <c r="F4307" s="11" t="s">
        <v>6815</v>
      </c>
      <c r="G4307">
        <v>20200201</v>
      </c>
      <c r="I4307" s="11" t="s">
        <v>32</v>
      </c>
      <c r="J4307" s="72">
        <v>30420207</v>
      </c>
      <c r="K4307" s="99">
        <f>_xlfn.XLOOKUP(_2__ROI_Daily_Update[[#This Row],[CSM id]],SHP!F:F,SHP!EE:EE,"-")</f>
        <v>0</v>
      </c>
    </row>
    <row r="4308" spans="1:11" x14ac:dyDescent="0.45">
      <c r="A4308" s="57">
        <v>1815</v>
      </c>
      <c r="B4308" t="s">
        <v>3456</v>
      </c>
      <c r="C4308" t="s">
        <v>3457</v>
      </c>
      <c r="D4308" s="12">
        <v>46339</v>
      </c>
      <c r="E4308" s="11">
        <v>24</v>
      </c>
      <c r="F4308" s="11" t="s">
        <v>6815</v>
      </c>
      <c r="G4308">
        <v>20140801</v>
      </c>
      <c r="I4308" s="11" t="s">
        <v>32</v>
      </c>
      <c r="J4308" s="72">
        <v>10180944</v>
      </c>
      <c r="K4308" s="99">
        <f>_xlfn.XLOOKUP(_2__ROI_Daily_Update[[#This Row],[CSM id]],SHP!F:F,SHP!EE:EE,"-")</f>
        <v>0</v>
      </c>
    </row>
    <row r="4309" spans="1:11" x14ac:dyDescent="0.45">
      <c r="A4309" s="57">
        <v>1622</v>
      </c>
      <c r="B4309" t="s">
        <v>7785</v>
      </c>
      <c r="C4309" t="s">
        <v>7786</v>
      </c>
      <c r="D4309" s="12">
        <v>46339</v>
      </c>
      <c r="E4309" s="11">
        <v>20</v>
      </c>
      <c r="F4309" s="11" t="s">
        <v>0</v>
      </c>
      <c r="G4309">
        <v>20261001</v>
      </c>
      <c r="H4309" s="12">
        <v>46388</v>
      </c>
      <c r="I4309" s="11" t="s">
        <v>32</v>
      </c>
      <c r="J4309" s="72">
        <v>40640402</v>
      </c>
      <c r="K4309" s="99" t="str">
        <f>_xlfn.XLOOKUP(_2__ROI_Daily_Update[[#This Row],[CSM id]],SHP!F:F,SHP!EE:EE,"-")</f>
        <v>-</v>
      </c>
    </row>
    <row r="4310" spans="1:11" x14ac:dyDescent="0.45">
      <c r="A4310" s="57">
        <v>1811</v>
      </c>
      <c r="B4310" t="s">
        <v>3307</v>
      </c>
      <c r="C4310" t="s">
        <v>3308</v>
      </c>
      <c r="D4310" s="12">
        <v>46339</v>
      </c>
      <c r="E4310" s="11">
        <v>144</v>
      </c>
      <c r="F4310" s="11" t="s">
        <v>6815</v>
      </c>
      <c r="G4310">
        <v>20240401</v>
      </c>
      <c r="I4310" s="11" t="s">
        <v>32</v>
      </c>
      <c r="J4310" s="72">
        <v>568530</v>
      </c>
      <c r="K4310" s="99">
        <f>_xlfn.XLOOKUP(_2__ROI_Daily_Update[[#This Row],[CSM id]],SHP!F:F,SHP!EE:EE,"-")</f>
        <v>0</v>
      </c>
    </row>
    <row r="4311" spans="1:11" x14ac:dyDescent="0.45">
      <c r="A4311" s="57">
        <v>761</v>
      </c>
      <c r="B4311" t="s">
        <v>571</v>
      </c>
      <c r="C4311" t="s">
        <v>572</v>
      </c>
      <c r="D4311" s="12">
        <v>46339</v>
      </c>
      <c r="E4311" s="11">
        <v>176</v>
      </c>
      <c r="F4311" s="11" t="s">
        <v>5651</v>
      </c>
      <c r="G4311">
        <v>20211001</v>
      </c>
      <c r="I4311" s="11" t="s">
        <v>32</v>
      </c>
      <c r="J4311" s="72">
        <v>60486414</v>
      </c>
      <c r="K4311" s="99">
        <f>_xlfn.XLOOKUP(_2__ROI_Daily_Update[[#This Row],[CSM id]],SHP!F:F,SHP!EE:EE,"-")</f>
        <v>0</v>
      </c>
    </row>
    <row r="4312" spans="1:11" x14ac:dyDescent="0.45">
      <c r="A4312" s="57">
        <v>1622</v>
      </c>
      <c r="B4312" t="s">
        <v>7783</v>
      </c>
      <c r="C4312" t="s">
        <v>7784</v>
      </c>
      <c r="D4312" s="12">
        <v>46339</v>
      </c>
      <c r="E4312" s="11">
        <v>40</v>
      </c>
      <c r="F4312" s="11" t="s">
        <v>0</v>
      </c>
      <c r="G4312">
        <v>20261001</v>
      </c>
      <c r="H4312" s="12">
        <v>46388</v>
      </c>
      <c r="I4312" s="11" t="s">
        <v>32</v>
      </c>
      <c r="J4312" s="72">
        <v>80640400</v>
      </c>
      <c r="K4312" s="99" t="str">
        <f>_xlfn.XLOOKUP(_2__ROI_Daily_Update[[#This Row],[CSM id]],SHP!F:F,SHP!EE:EE,"-")</f>
        <v>-</v>
      </c>
    </row>
    <row r="4313" spans="1:11" x14ac:dyDescent="0.45">
      <c r="A4313" s="57">
        <v>921</v>
      </c>
      <c r="B4313" t="s">
        <v>702</v>
      </c>
      <c r="C4313" t="s">
        <v>703</v>
      </c>
      <c r="D4313" s="12">
        <v>46339</v>
      </c>
      <c r="E4313" s="11">
        <v>108</v>
      </c>
      <c r="F4313" s="11" t="s">
        <v>6815</v>
      </c>
      <c r="G4313">
        <v>20250101</v>
      </c>
      <c r="I4313" s="11" t="s">
        <v>32</v>
      </c>
      <c r="J4313" s="72">
        <v>80582099</v>
      </c>
      <c r="K4313" s="99">
        <f>_xlfn.XLOOKUP(_2__ROI_Daily_Update[[#This Row],[CSM id]],SHP!F:F,SHP!EE:EE,"-")</f>
        <v>0</v>
      </c>
    </row>
    <row r="4314" spans="1:11" x14ac:dyDescent="0.45">
      <c r="A4314" s="57">
        <v>1622</v>
      </c>
      <c r="B4314" t="s">
        <v>7787</v>
      </c>
      <c r="C4314" t="s">
        <v>7788</v>
      </c>
      <c r="D4314" s="12">
        <v>46339</v>
      </c>
      <c r="E4314" s="11">
        <v>12</v>
      </c>
      <c r="F4314" s="11" t="s">
        <v>0</v>
      </c>
      <c r="G4314">
        <v>20261001</v>
      </c>
      <c r="H4314" s="12">
        <v>46388</v>
      </c>
      <c r="I4314" s="11" t="s">
        <v>32</v>
      </c>
      <c r="J4314" s="72">
        <v>20640399</v>
      </c>
      <c r="K4314" s="99" t="str">
        <f>_xlfn.XLOOKUP(_2__ROI_Daily_Update[[#This Row],[CSM id]],SHP!F:F,SHP!EE:EE,"-")</f>
        <v>-</v>
      </c>
    </row>
    <row r="4315" spans="1:11" x14ac:dyDescent="0.45">
      <c r="A4315" s="57">
        <v>361</v>
      </c>
      <c r="B4315" t="s">
        <v>422</v>
      </c>
      <c r="C4315" t="s">
        <v>423</v>
      </c>
      <c r="D4315" s="12">
        <v>46339</v>
      </c>
      <c r="E4315" s="11">
        <v>18</v>
      </c>
      <c r="F4315" s="11" t="s">
        <v>7790</v>
      </c>
      <c r="G4315">
        <v>20240701</v>
      </c>
      <c r="H4315" s="12">
        <v>46569</v>
      </c>
      <c r="I4315" s="11" t="s">
        <v>32</v>
      </c>
      <c r="J4315" s="72">
        <v>90588109</v>
      </c>
      <c r="K4315" s="99" t="str">
        <f>_xlfn.XLOOKUP(_2__ROI_Daily_Update[[#This Row],[CSM id]],SHP!F:F,SHP!EE:EE,"-")</f>
        <v>-</v>
      </c>
    </row>
    <row r="4316" spans="1:11" x14ac:dyDescent="0.45">
      <c r="A4316" s="57">
        <v>361</v>
      </c>
      <c r="B4316" t="s">
        <v>422</v>
      </c>
      <c r="C4316" t="s">
        <v>423</v>
      </c>
      <c r="D4316" s="12">
        <v>46339</v>
      </c>
      <c r="E4316" s="11">
        <v>18</v>
      </c>
      <c r="F4316" s="11" t="s">
        <v>7789</v>
      </c>
      <c r="G4316">
        <v>20240701</v>
      </c>
      <c r="H4316" s="12">
        <v>46569</v>
      </c>
      <c r="I4316" s="11" t="s">
        <v>32</v>
      </c>
      <c r="J4316" s="72">
        <v>90588109</v>
      </c>
      <c r="K4316" s="99" t="str">
        <f>_xlfn.XLOOKUP(_2__ROI_Daily_Update[[#This Row],[CSM id]],SHP!F:F,SHP!EE:EE,"-")</f>
        <v>-</v>
      </c>
    </row>
    <row r="4317" spans="1:11" x14ac:dyDescent="0.45">
      <c r="A4317" s="57">
        <v>612</v>
      </c>
      <c r="B4317" t="s">
        <v>343</v>
      </c>
      <c r="C4317" t="s">
        <v>344</v>
      </c>
      <c r="D4317" s="12">
        <v>46339</v>
      </c>
      <c r="E4317" s="11">
        <v>56</v>
      </c>
      <c r="F4317" s="11" t="s">
        <v>6815</v>
      </c>
      <c r="G4317">
        <v>20200401</v>
      </c>
      <c r="I4317" s="11" t="s">
        <v>32</v>
      </c>
      <c r="J4317" s="72">
        <v>10453883</v>
      </c>
      <c r="K4317" s="99">
        <f>_xlfn.XLOOKUP(_2__ROI_Daily_Update[[#This Row],[CSM id]],SHP!F:F,SHP!EE:EE,"-")</f>
        <v>0</v>
      </c>
    </row>
    <row r="4318" spans="1:11" x14ac:dyDescent="0.45">
      <c r="A4318" s="57">
        <v>1641</v>
      </c>
      <c r="B4318" t="s">
        <v>3135</v>
      </c>
      <c r="C4318" t="s">
        <v>3136</v>
      </c>
      <c r="D4318" s="12">
        <v>46339</v>
      </c>
      <c r="E4318" s="11">
        <v>30</v>
      </c>
      <c r="F4318" s="11" t="s">
        <v>6815</v>
      </c>
      <c r="G4318">
        <v>20140801</v>
      </c>
      <c r="I4318" s="11" t="s">
        <v>32</v>
      </c>
      <c r="J4318" s="72">
        <v>20256622</v>
      </c>
      <c r="K4318" s="99">
        <f>_xlfn.XLOOKUP(_2__ROI_Daily_Update[[#This Row],[CSM id]],SHP!F:F,SHP!EE:EE,"-")</f>
        <v>0</v>
      </c>
    </row>
    <row r="4319" spans="1:11" x14ac:dyDescent="0.45">
      <c r="A4319" s="57">
        <v>352</v>
      </c>
      <c r="B4319" t="s">
        <v>396</v>
      </c>
      <c r="C4319" t="s">
        <v>397</v>
      </c>
      <c r="D4319" s="12">
        <v>46339</v>
      </c>
      <c r="E4319" s="11">
        <v>10</v>
      </c>
      <c r="F4319" s="11" t="s">
        <v>7789</v>
      </c>
      <c r="G4319">
        <v>20210701</v>
      </c>
      <c r="I4319" s="11" t="s">
        <v>32</v>
      </c>
      <c r="J4319" s="72">
        <v>50492203</v>
      </c>
      <c r="K4319" s="99" t="str">
        <f>_xlfn.XLOOKUP(_2__ROI_Daily_Update[[#This Row],[CSM id]],SHP!F:F,SHP!EE:EE,"-")</f>
        <v>-</v>
      </c>
    </row>
    <row r="4320" spans="1:11" x14ac:dyDescent="0.45">
      <c r="A4320" s="57">
        <v>1852</v>
      </c>
      <c r="B4320" t="s">
        <v>3707</v>
      </c>
      <c r="C4320" t="s">
        <v>3708</v>
      </c>
      <c r="D4320" s="12">
        <v>46339</v>
      </c>
      <c r="E4320" s="11">
        <v>128</v>
      </c>
      <c r="F4320" s="11" t="s">
        <v>6815</v>
      </c>
      <c r="G4320">
        <v>20200201</v>
      </c>
      <c r="I4320" s="11" t="s">
        <v>32</v>
      </c>
      <c r="J4320" s="72">
        <v>80417523</v>
      </c>
      <c r="K4320" s="99">
        <f>_xlfn.XLOOKUP(_2__ROI_Daily_Update[[#This Row],[CSM id]],SHP!F:F,SHP!EE:EE,"-")</f>
        <v>0</v>
      </c>
    </row>
    <row r="4321" spans="1:11" x14ac:dyDescent="0.45">
      <c r="A4321" s="57">
        <v>922</v>
      </c>
      <c r="B4321" t="s">
        <v>728</v>
      </c>
      <c r="C4321" t="s">
        <v>729</v>
      </c>
      <c r="D4321" s="12">
        <v>46339</v>
      </c>
      <c r="E4321" s="11">
        <v>108</v>
      </c>
      <c r="F4321" s="11" t="s">
        <v>6815</v>
      </c>
      <c r="G4321">
        <v>20140801</v>
      </c>
      <c r="I4321" s="11" t="s">
        <v>32</v>
      </c>
      <c r="J4321" s="72">
        <v>70104462</v>
      </c>
      <c r="K4321" s="99">
        <f>_xlfn.XLOOKUP(_2__ROI_Daily_Update[[#This Row],[CSM id]],SHP!F:F,SHP!EE:EE,"-")</f>
        <v>0</v>
      </c>
    </row>
    <row r="4322" spans="1:11" x14ac:dyDescent="0.45">
      <c r="A4322" s="57">
        <v>1852</v>
      </c>
      <c r="B4322" t="s">
        <v>3703</v>
      </c>
      <c r="C4322" t="s">
        <v>3704</v>
      </c>
      <c r="D4322" s="12">
        <v>46339</v>
      </c>
      <c r="E4322" s="11">
        <v>120</v>
      </c>
      <c r="F4322" s="11" t="s">
        <v>6815</v>
      </c>
      <c r="G4322">
        <v>20200201</v>
      </c>
      <c r="I4322" s="11" t="s">
        <v>32</v>
      </c>
      <c r="J4322" s="72">
        <v>70420205</v>
      </c>
      <c r="K4322" s="99">
        <f>_xlfn.XLOOKUP(_2__ROI_Daily_Update[[#This Row],[CSM id]],SHP!F:F,SHP!EE:EE,"-")</f>
        <v>0</v>
      </c>
    </row>
    <row r="4323" spans="1:11" x14ac:dyDescent="0.45">
      <c r="A4323" s="57">
        <v>423</v>
      </c>
      <c r="B4323" t="s">
        <v>435</v>
      </c>
      <c r="C4323" t="s">
        <v>436</v>
      </c>
      <c r="D4323" s="12">
        <v>46339</v>
      </c>
      <c r="E4323" s="11">
        <v>5</v>
      </c>
      <c r="F4323" s="11" t="s">
        <v>0</v>
      </c>
      <c r="G4323">
        <v>20191001</v>
      </c>
      <c r="I4323" s="11" t="s">
        <v>32</v>
      </c>
      <c r="J4323" s="72">
        <v>80441759</v>
      </c>
      <c r="K4323" s="99" t="str">
        <f>_xlfn.XLOOKUP(_2__ROI_Daily_Update[[#This Row],[CSM id]],SHP!F:F,SHP!EE:EE,"-")</f>
        <v>-</v>
      </c>
    </row>
    <row r="4324" spans="1:11" x14ac:dyDescent="0.45">
      <c r="A4324" s="57">
        <v>1811</v>
      </c>
      <c r="B4324" t="s">
        <v>7173</v>
      </c>
      <c r="C4324" t="s">
        <v>7174</v>
      </c>
      <c r="D4324" s="12">
        <v>46340</v>
      </c>
      <c r="E4324" s="11">
        <v>32</v>
      </c>
      <c r="F4324" s="11" t="s">
        <v>0</v>
      </c>
      <c r="G4324">
        <v>20261001</v>
      </c>
      <c r="I4324" s="11" t="s">
        <v>63</v>
      </c>
      <c r="J4324" s="72">
        <v>70632028</v>
      </c>
      <c r="K4324" s="99" t="str">
        <f>_xlfn.XLOOKUP(_2__ROI_Daily_Update[[#This Row],[CSM id]],SHP!F:F,SHP!EE:EE,"-")</f>
        <v>-</v>
      </c>
    </row>
    <row r="4325" spans="1:11" x14ac:dyDescent="0.45">
      <c r="A4325" s="57">
        <v>1641</v>
      </c>
      <c r="B4325" t="s">
        <v>7209</v>
      </c>
      <c r="C4325" t="s">
        <v>7210</v>
      </c>
      <c r="D4325" s="12">
        <v>46340</v>
      </c>
      <c r="E4325" s="11">
        <v>20</v>
      </c>
      <c r="F4325" s="11" t="s">
        <v>0</v>
      </c>
      <c r="G4325">
        <v>20240401</v>
      </c>
      <c r="I4325" s="11" t="s">
        <v>63</v>
      </c>
      <c r="J4325" s="72">
        <v>90550026</v>
      </c>
      <c r="K4325" s="99" t="str">
        <f>_xlfn.XLOOKUP(_2__ROI_Daily_Update[[#This Row],[CSM id]],SHP!F:F,SHP!EE:EE,"-")</f>
        <v>-</v>
      </c>
    </row>
    <row r="4326" spans="1:11" x14ac:dyDescent="0.45">
      <c r="A4326" s="57">
        <v>241</v>
      </c>
      <c r="B4326" t="s">
        <v>337</v>
      </c>
      <c r="C4326" t="s">
        <v>338</v>
      </c>
      <c r="D4326" s="12">
        <v>46340</v>
      </c>
      <c r="E4326" s="11">
        <v>9</v>
      </c>
      <c r="F4326" s="11" t="s">
        <v>0</v>
      </c>
      <c r="G4326">
        <v>20170201</v>
      </c>
      <c r="I4326" s="11" t="s">
        <v>63</v>
      </c>
      <c r="J4326" s="72">
        <v>20334663</v>
      </c>
      <c r="K4326" s="99" t="str">
        <f>_xlfn.XLOOKUP(_2__ROI_Daily_Update[[#This Row],[CSM id]],SHP!F:F,SHP!EE:EE,"-")</f>
        <v>-</v>
      </c>
    </row>
    <row r="4327" spans="1:11" x14ac:dyDescent="0.45">
      <c r="A4327" s="57">
        <v>371</v>
      </c>
      <c r="B4327" t="s">
        <v>6803</v>
      </c>
      <c r="C4327" t="s">
        <v>6804</v>
      </c>
      <c r="D4327" s="12">
        <v>46340</v>
      </c>
      <c r="E4327" s="11">
        <v>288</v>
      </c>
      <c r="F4327" s="11" t="s">
        <v>0</v>
      </c>
      <c r="G4327">
        <v>20231001</v>
      </c>
      <c r="I4327" s="11" t="s">
        <v>63</v>
      </c>
      <c r="J4327" s="72">
        <v>10571527</v>
      </c>
      <c r="K4327" s="99" t="str">
        <f>_xlfn.XLOOKUP(_2__ROI_Daily_Update[[#This Row],[CSM id]],SHP!F:F,SHP!EE:EE,"-")</f>
        <v>-</v>
      </c>
    </row>
    <row r="4328" spans="1:11" x14ac:dyDescent="0.45">
      <c r="A4328" s="57">
        <v>1541</v>
      </c>
      <c r="B4328" t="s">
        <v>5921</v>
      </c>
      <c r="C4328" t="s">
        <v>5922</v>
      </c>
      <c r="D4328" s="12">
        <v>46340</v>
      </c>
      <c r="E4328" s="11">
        <v>132</v>
      </c>
      <c r="F4328" s="11" t="s">
        <v>0</v>
      </c>
      <c r="G4328">
        <v>20160401</v>
      </c>
      <c r="I4328" s="11" t="s">
        <v>63</v>
      </c>
      <c r="J4328" s="72">
        <v>90334438</v>
      </c>
      <c r="K4328" s="99" t="str">
        <f>_xlfn.XLOOKUP(_2__ROI_Daily_Update[[#This Row],[CSM id]],SHP!F:F,SHP!EE:EE,"-")</f>
        <v>-</v>
      </c>
    </row>
    <row r="4329" spans="1:11" x14ac:dyDescent="0.45">
      <c r="A4329" s="57">
        <v>1821</v>
      </c>
      <c r="B4329" t="s">
        <v>3548</v>
      </c>
      <c r="C4329" t="s">
        <v>3549</v>
      </c>
      <c r="D4329" s="12">
        <v>46340</v>
      </c>
      <c r="E4329" s="11">
        <v>84</v>
      </c>
      <c r="F4329" s="11" t="s">
        <v>0</v>
      </c>
      <c r="G4329">
        <v>20180401</v>
      </c>
      <c r="I4329" s="11" t="s">
        <v>63</v>
      </c>
      <c r="J4329" s="72">
        <v>70334929</v>
      </c>
      <c r="K4329" s="99" t="str">
        <f>_xlfn.XLOOKUP(_2__ROI_Daily_Update[[#This Row],[CSM id]],SHP!F:F,SHP!EE:EE,"-")</f>
        <v>-</v>
      </c>
    </row>
    <row r="4330" spans="1:11" x14ac:dyDescent="0.45">
      <c r="A4330" s="57">
        <v>1431</v>
      </c>
      <c r="B4330" t="s">
        <v>2366</v>
      </c>
      <c r="C4330" t="s">
        <v>2367</v>
      </c>
      <c r="D4330" s="12">
        <v>46341</v>
      </c>
      <c r="E4330" s="11">
        <v>1080</v>
      </c>
      <c r="F4330" s="11" t="s">
        <v>0</v>
      </c>
      <c r="G4330">
        <v>20261001</v>
      </c>
      <c r="H4330" s="12">
        <v>46478</v>
      </c>
      <c r="I4330" s="11" t="s">
        <v>63</v>
      </c>
      <c r="J4330" s="72">
        <v>20649069</v>
      </c>
      <c r="K4330" s="99" t="str">
        <f>_xlfn.XLOOKUP(_2__ROI_Daily_Update[[#This Row],[CSM id]],SHP!F:F,SHP!EE:EE,"-")</f>
        <v>-</v>
      </c>
    </row>
    <row r="4331" spans="1:11" x14ac:dyDescent="0.45">
      <c r="A4331" s="57">
        <v>1412</v>
      </c>
      <c r="B4331" t="s">
        <v>2122</v>
      </c>
      <c r="C4331" t="s">
        <v>2123</v>
      </c>
      <c r="D4331" s="12">
        <v>46341</v>
      </c>
      <c r="E4331" s="11">
        <v>20</v>
      </c>
      <c r="F4331" s="11" t="s">
        <v>0</v>
      </c>
      <c r="G4331">
        <v>20250701</v>
      </c>
      <c r="I4331" s="11" t="s">
        <v>63</v>
      </c>
      <c r="J4331" s="72">
        <v>20602514</v>
      </c>
      <c r="K4331" s="99" t="str">
        <f>_xlfn.XLOOKUP(_2__ROI_Daily_Update[[#This Row],[CSM id]],SHP!F:F,SHP!EE:EE,"-")</f>
        <v>-</v>
      </c>
    </row>
    <row r="4332" spans="1:11" x14ac:dyDescent="0.45">
      <c r="A4332" s="57">
        <v>1412</v>
      </c>
      <c r="B4332" t="s">
        <v>2132</v>
      </c>
      <c r="C4332" t="s">
        <v>2133</v>
      </c>
      <c r="D4332" s="12">
        <v>46341</v>
      </c>
      <c r="E4332" s="11">
        <v>24</v>
      </c>
      <c r="F4332" s="11" t="s">
        <v>0</v>
      </c>
      <c r="G4332">
        <v>20240401</v>
      </c>
      <c r="H4332" s="12">
        <v>46569</v>
      </c>
      <c r="I4332" s="11" t="s">
        <v>63</v>
      </c>
      <c r="J4332" s="72">
        <v>60580096</v>
      </c>
      <c r="K4332" s="99" t="str">
        <f>_xlfn.XLOOKUP(_2__ROI_Daily_Update[[#This Row],[CSM id]],SHP!F:F,SHP!EE:EE,"-")</f>
        <v>-</v>
      </c>
    </row>
    <row r="4333" spans="1:11" x14ac:dyDescent="0.45">
      <c r="A4333" s="57">
        <v>1412</v>
      </c>
      <c r="B4333" t="s">
        <v>2134</v>
      </c>
      <c r="C4333" t="s">
        <v>2135</v>
      </c>
      <c r="D4333" s="12">
        <v>46341</v>
      </c>
      <c r="E4333" s="11">
        <v>182</v>
      </c>
      <c r="F4333" s="11" t="s">
        <v>0</v>
      </c>
      <c r="G4333">
        <v>20260701</v>
      </c>
      <c r="I4333" s="11" t="s">
        <v>63</v>
      </c>
      <c r="J4333" s="72">
        <v>60609472</v>
      </c>
      <c r="K4333" s="99" t="str">
        <f>_xlfn.XLOOKUP(_2__ROI_Daily_Update[[#This Row],[CSM id]],SHP!F:F,SHP!EE:EE,"-")</f>
        <v>-</v>
      </c>
    </row>
    <row r="4334" spans="1:11" x14ac:dyDescent="0.45">
      <c r="A4334" s="57">
        <v>1412</v>
      </c>
      <c r="B4334" t="s">
        <v>2140</v>
      </c>
      <c r="C4334" t="s">
        <v>2141</v>
      </c>
      <c r="D4334" s="12">
        <v>46341</v>
      </c>
      <c r="E4334" s="11">
        <v>72</v>
      </c>
      <c r="F4334" s="11" t="s">
        <v>0</v>
      </c>
      <c r="G4334">
        <v>20250101</v>
      </c>
      <c r="I4334" s="11" t="s">
        <v>63</v>
      </c>
      <c r="J4334" s="72">
        <v>70587177</v>
      </c>
      <c r="K4334" s="99" t="str">
        <f>_xlfn.XLOOKUP(_2__ROI_Daily_Update[[#This Row],[CSM id]],SHP!F:F,SHP!EE:EE,"-")</f>
        <v>-</v>
      </c>
    </row>
    <row r="4335" spans="1:11" x14ac:dyDescent="0.45">
      <c r="A4335" s="57">
        <v>1412</v>
      </c>
      <c r="B4335" t="s">
        <v>2118</v>
      </c>
      <c r="C4335" t="s">
        <v>2119</v>
      </c>
      <c r="D4335" s="12">
        <v>46341</v>
      </c>
      <c r="E4335" s="11">
        <v>120</v>
      </c>
      <c r="F4335" s="11" t="s">
        <v>0</v>
      </c>
      <c r="G4335">
        <v>20250101</v>
      </c>
      <c r="I4335" s="11" t="s">
        <v>63</v>
      </c>
      <c r="J4335" s="72">
        <v>10587175</v>
      </c>
      <c r="K4335" s="99" t="str">
        <f>_xlfn.XLOOKUP(_2__ROI_Daily_Update[[#This Row],[CSM id]],SHP!F:F,SHP!EE:EE,"-")</f>
        <v>-</v>
      </c>
    </row>
    <row r="4336" spans="1:11" x14ac:dyDescent="0.45">
      <c r="A4336" s="57">
        <v>1633</v>
      </c>
      <c r="B4336" t="s">
        <v>2988</v>
      </c>
      <c r="C4336" t="s">
        <v>2989</v>
      </c>
      <c r="D4336" s="12">
        <v>46341</v>
      </c>
      <c r="E4336" s="11">
        <v>30</v>
      </c>
      <c r="F4336" s="11" t="s">
        <v>0</v>
      </c>
      <c r="G4336">
        <v>20261001</v>
      </c>
      <c r="H4336" s="12">
        <v>46388</v>
      </c>
      <c r="I4336" s="11" t="s">
        <v>63</v>
      </c>
      <c r="J4336" s="72">
        <v>20636694</v>
      </c>
      <c r="K4336" s="99" t="str">
        <f>_xlfn.XLOOKUP(_2__ROI_Daily_Update[[#This Row],[CSM id]],SHP!F:F,SHP!EE:EE,"-")</f>
        <v>-</v>
      </c>
    </row>
    <row r="4337" spans="1:11" x14ac:dyDescent="0.45">
      <c r="A4337" s="57">
        <v>1511</v>
      </c>
      <c r="B4337" t="s">
        <v>2594</v>
      </c>
      <c r="C4337" t="s">
        <v>2595</v>
      </c>
      <c r="D4337" s="12">
        <v>46341</v>
      </c>
      <c r="E4337" s="11">
        <v>1664</v>
      </c>
      <c r="F4337" s="11" t="s">
        <v>0</v>
      </c>
      <c r="G4337">
        <v>20260201</v>
      </c>
      <c r="I4337" s="11" t="s">
        <v>63</v>
      </c>
      <c r="J4337" s="72">
        <v>60613775</v>
      </c>
      <c r="K4337" s="99" t="str">
        <f>_xlfn.XLOOKUP(_2__ROI_Daily_Update[[#This Row],[CSM id]],SHP!F:F,SHP!EE:EE,"-")</f>
        <v>-</v>
      </c>
    </row>
    <row r="4338" spans="1:11" x14ac:dyDescent="0.45">
      <c r="A4338" s="57">
        <v>1431</v>
      </c>
      <c r="B4338" t="s">
        <v>2376</v>
      </c>
      <c r="C4338" t="s">
        <v>2377</v>
      </c>
      <c r="D4338" s="12">
        <v>46341</v>
      </c>
      <c r="E4338" s="11">
        <v>40</v>
      </c>
      <c r="F4338" s="11" t="s">
        <v>0</v>
      </c>
      <c r="G4338">
        <v>20231001</v>
      </c>
      <c r="I4338" s="11" t="s">
        <v>63</v>
      </c>
      <c r="J4338" s="72">
        <v>30553216</v>
      </c>
      <c r="K4338" s="99" t="str">
        <f>_xlfn.XLOOKUP(_2__ROI_Daily_Update[[#This Row],[CSM id]],SHP!F:F,SHP!EE:EE,"-")</f>
        <v>-</v>
      </c>
    </row>
    <row r="4339" spans="1:11" x14ac:dyDescent="0.45">
      <c r="A4339" s="57">
        <v>1633</v>
      </c>
      <c r="B4339" t="s">
        <v>2978</v>
      </c>
      <c r="C4339" t="s">
        <v>2979</v>
      </c>
      <c r="D4339" s="12">
        <v>46341</v>
      </c>
      <c r="E4339" s="11">
        <v>12</v>
      </c>
      <c r="F4339" s="11" t="s">
        <v>0</v>
      </c>
      <c r="G4339">
        <v>20261001</v>
      </c>
      <c r="H4339" s="12">
        <v>46388</v>
      </c>
      <c r="I4339" s="11" t="s">
        <v>63</v>
      </c>
      <c r="J4339" s="72">
        <v>10638896</v>
      </c>
      <c r="K4339" s="99" t="str">
        <f>_xlfn.XLOOKUP(_2__ROI_Daily_Update[[#This Row],[CSM id]],SHP!F:F,SHP!EE:EE,"-")</f>
        <v>-</v>
      </c>
    </row>
    <row r="4340" spans="1:11" x14ac:dyDescent="0.45">
      <c r="A4340" s="57">
        <v>1633</v>
      </c>
      <c r="B4340" t="s">
        <v>2976</v>
      </c>
      <c r="C4340" t="s">
        <v>2977</v>
      </c>
      <c r="D4340" s="12">
        <v>46341</v>
      </c>
      <c r="E4340" s="11">
        <v>24</v>
      </c>
      <c r="F4340" s="11" t="s">
        <v>0</v>
      </c>
      <c r="G4340">
        <v>20260801</v>
      </c>
      <c r="H4340" s="12">
        <v>46388</v>
      </c>
      <c r="I4340" s="11" t="s">
        <v>63</v>
      </c>
      <c r="J4340" s="72">
        <v>10632936</v>
      </c>
      <c r="K4340" s="99" t="str">
        <f>_xlfn.XLOOKUP(_2__ROI_Daily_Update[[#This Row],[CSM id]],SHP!F:F,SHP!EE:EE,"-")</f>
        <v>-</v>
      </c>
    </row>
    <row r="4341" spans="1:11" x14ac:dyDescent="0.45">
      <c r="A4341" s="57">
        <v>1431</v>
      </c>
      <c r="B4341" t="s">
        <v>2372</v>
      </c>
      <c r="C4341" t="s">
        <v>2373</v>
      </c>
      <c r="D4341" s="12">
        <v>46341</v>
      </c>
      <c r="E4341" s="11">
        <v>144</v>
      </c>
      <c r="F4341" s="11" t="s">
        <v>0</v>
      </c>
      <c r="G4341">
        <v>20180401</v>
      </c>
      <c r="I4341" s="11" t="s">
        <v>63</v>
      </c>
      <c r="J4341" s="72">
        <v>30381908</v>
      </c>
      <c r="K4341" s="99" t="str">
        <f>_xlfn.XLOOKUP(_2__ROI_Daily_Update[[#This Row],[CSM id]],SHP!F:F,SHP!EE:EE,"-")</f>
        <v>-</v>
      </c>
    </row>
    <row r="4342" spans="1:11" x14ac:dyDescent="0.45">
      <c r="A4342" s="57">
        <v>1813</v>
      </c>
      <c r="B4342" t="s">
        <v>3404</v>
      </c>
      <c r="C4342" t="s">
        <v>3405</v>
      </c>
      <c r="D4342" s="12">
        <v>46341</v>
      </c>
      <c r="E4342" s="11">
        <v>576</v>
      </c>
      <c r="F4342" s="11" t="s">
        <v>7791</v>
      </c>
      <c r="G4342">
        <v>20260701</v>
      </c>
      <c r="I4342" s="11" t="s">
        <v>32</v>
      </c>
      <c r="J4342" s="72">
        <v>50534397</v>
      </c>
      <c r="K4342" s="99" t="str">
        <f>_xlfn.XLOOKUP(_2__ROI_Daily_Update[[#This Row],[CSM id]],SHP!F:F,SHP!EE:EE,"-")</f>
        <v>-</v>
      </c>
    </row>
    <row r="4343" spans="1:11" x14ac:dyDescent="0.45">
      <c r="A4343" s="57">
        <v>215</v>
      </c>
      <c r="B4343" t="s">
        <v>273</v>
      </c>
      <c r="C4343" t="s">
        <v>274</v>
      </c>
      <c r="D4343" s="12">
        <v>46341</v>
      </c>
      <c r="E4343" s="11">
        <v>14</v>
      </c>
      <c r="F4343" s="11" t="s">
        <v>7694</v>
      </c>
      <c r="G4343">
        <v>20170401</v>
      </c>
      <c r="I4343" s="11" t="s">
        <v>32</v>
      </c>
      <c r="J4343" s="72">
        <v>40351883</v>
      </c>
      <c r="K4343" s="99" t="str">
        <f>_xlfn.XLOOKUP(_2__ROI_Daily_Update[[#This Row],[CSM id]],SHP!F:F,SHP!EE:EE,"-")</f>
        <v>-</v>
      </c>
    </row>
    <row r="4344" spans="1:11" x14ac:dyDescent="0.45">
      <c r="A4344" s="57">
        <v>215</v>
      </c>
      <c r="B4344" t="s">
        <v>265</v>
      </c>
      <c r="C4344" t="s">
        <v>266</v>
      </c>
      <c r="D4344" s="12">
        <v>46341</v>
      </c>
      <c r="E4344" s="11">
        <v>10</v>
      </c>
      <c r="F4344" s="11" t="s">
        <v>7694</v>
      </c>
      <c r="G4344">
        <v>20170401</v>
      </c>
      <c r="I4344" s="11" t="s">
        <v>32</v>
      </c>
      <c r="J4344" s="72">
        <v>20351884</v>
      </c>
      <c r="K4344" s="99" t="str">
        <f>_xlfn.XLOOKUP(_2__ROI_Daily_Update[[#This Row],[CSM id]],SHP!F:F,SHP!EE:EE,"-")</f>
        <v>-</v>
      </c>
    </row>
    <row r="4345" spans="1:11" x14ac:dyDescent="0.45">
      <c r="A4345" s="57">
        <v>215</v>
      </c>
      <c r="B4345" t="s">
        <v>289</v>
      </c>
      <c r="C4345" t="s">
        <v>290</v>
      </c>
      <c r="D4345" s="12">
        <v>46341</v>
      </c>
      <c r="E4345" s="11">
        <v>12</v>
      </c>
      <c r="F4345" s="11" t="s">
        <v>7694</v>
      </c>
      <c r="G4345">
        <v>20170401</v>
      </c>
      <c r="I4345" s="11" t="s">
        <v>32</v>
      </c>
      <c r="J4345" s="72">
        <v>70351886</v>
      </c>
      <c r="K4345" s="99" t="str">
        <f>_xlfn.XLOOKUP(_2__ROI_Daily_Update[[#This Row],[CSM id]],SHP!F:F,SHP!EE:EE,"-")</f>
        <v>-</v>
      </c>
    </row>
    <row r="4346" spans="1:11" x14ac:dyDescent="0.45">
      <c r="A4346" s="57">
        <v>1431</v>
      </c>
      <c r="B4346" t="s">
        <v>2382</v>
      </c>
      <c r="C4346" t="s">
        <v>2383</v>
      </c>
      <c r="D4346" s="12">
        <v>46341</v>
      </c>
      <c r="E4346" s="11">
        <v>20</v>
      </c>
      <c r="F4346" s="11" t="s">
        <v>0</v>
      </c>
      <c r="G4346">
        <v>20260401</v>
      </c>
      <c r="I4346" s="11" t="s">
        <v>63</v>
      </c>
      <c r="J4346" s="72">
        <v>30624228</v>
      </c>
      <c r="K4346" s="99" t="str">
        <f>_xlfn.XLOOKUP(_2__ROI_Daily_Update[[#This Row],[CSM id]],SHP!F:F,SHP!EE:EE,"-")</f>
        <v>-</v>
      </c>
    </row>
    <row r="4347" spans="1:11" x14ac:dyDescent="0.45">
      <c r="A4347" s="57">
        <v>1431</v>
      </c>
      <c r="B4347" t="s">
        <v>2400</v>
      </c>
      <c r="C4347" t="s">
        <v>2401</v>
      </c>
      <c r="D4347" s="12">
        <v>46341</v>
      </c>
      <c r="E4347" s="11">
        <v>414</v>
      </c>
      <c r="F4347" s="11" t="s">
        <v>0</v>
      </c>
      <c r="G4347">
        <v>20210201</v>
      </c>
      <c r="I4347" s="11" t="s">
        <v>63</v>
      </c>
      <c r="J4347" s="72">
        <v>50485009</v>
      </c>
      <c r="K4347" s="99" t="str">
        <f>_xlfn.XLOOKUP(_2__ROI_Daily_Update[[#This Row],[CSM id]],SHP!F:F,SHP!EE:EE,"-")</f>
        <v>-</v>
      </c>
    </row>
    <row r="4348" spans="1:11" x14ac:dyDescent="0.45">
      <c r="A4348" s="57">
        <v>1621</v>
      </c>
      <c r="B4348" t="s">
        <v>2875</v>
      </c>
      <c r="C4348" t="s">
        <v>2876</v>
      </c>
      <c r="D4348" s="12">
        <v>46341</v>
      </c>
      <c r="E4348" s="11">
        <v>80</v>
      </c>
      <c r="F4348" s="11" t="s">
        <v>0</v>
      </c>
      <c r="G4348">
        <v>20260101</v>
      </c>
      <c r="I4348" s="11" t="s">
        <v>63</v>
      </c>
      <c r="J4348" s="72">
        <v>60611936</v>
      </c>
      <c r="K4348" s="99" t="str">
        <f>_xlfn.XLOOKUP(_2__ROI_Daily_Update[[#This Row],[CSM id]],SHP!F:F,SHP!EE:EE,"-")</f>
        <v>-</v>
      </c>
    </row>
    <row r="4349" spans="1:11" x14ac:dyDescent="0.45">
      <c r="A4349" s="57">
        <v>1552</v>
      </c>
      <c r="B4349" t="s">
        <v>6068</v>
      </c>
      <c r="C4349" t="s">
        <v>6069</v>
      </c>
      <c r="D4349" s="12">
        <v>46341</v>
      </c>
      <c r="E4349" s="11">
        <v>216</v>
      </c>
      <c r="F4349" s="11" t="s">
        <v>0</v>
      </c>
      <c r="G4349">
        <v>20150401</v>
      </c>
      <c r="I4349" s="11" t="s">
        <v>63</v>
      </c>
      <c r="J4349" s="72">
        <v>70301165</v>
      </c>
      <c r="K4349" s="99" t="str">
        <f>_xlfn.XLOOKUP(_2__ROI_Daily_Update[[#This Row],[CSM id]],SHP!F:F,SHP!EE:EE,"-")</f>
        <v>-</v>
      </c>
    </row>
    <row r="4350" spans="1:11" x14ac:dyDescent="0.45">
      <c r="A4350" s="57">
        <v>1551</v>
      </c>
      <c r="B4350" t="s">
        <v>2833</v>
      </c>
      <c r="C4350" t="s">
        <v>2834</v>
      </c>
      <c r="D4350" s="12">
        <v>46341</v>
      </c>
      <c r="E4350" s="11">
        <v>120</v>
      </c>
      <c r="F4350" s="11" t="s">
        <v>0</v>
      </c>
      <c r="G4350">
        <v>20251001</v>
      </c>
      <c r="I4350" s="11" t="s">
        <v>63</v>
      </c>
      <c r="J4350" s="72">
        <v>90603690</v>
      </c>
      <c r="K4350" s="99" t="str">
        <f>_xlfn.XLOOKUP(_2__ROI_Daily_Update[[#This Row],[CSM id]],SHP!F:F,SHP!EE:EE,"-")</f>
        <v>-</v>
      </c>
    </row>
    <row r="4351" spans="1:11" x14ac:dyDescent="0.45">
      <c r="A4351" s="57">
        <v>1551</v>
      </c>
      <c r="B4351" t="s">
        <v>2827</v>
      </c>
      <c r="C4351" t="s">
        <v>2828</v>
      </c>
      <c r="D4351" s="12">
        <v>46341</v>
      </c>
      <c r="E4351" s="11">
        <v>120</v>
      </c>
      <c r="F4351" s="11" t="s">
        <v>0</v>
      </c>
      <c r="G4351">
        <v>20260801</v>
      </c>
      <c r="H4351" s="12">
        <v>46388</v>
      </c>
      <c r="I4351" s="11" t="s">
        <v>63</v>
      </c>
      <c r="J4351" s="72">
        <v>70633018</v>
      </c>
      <c r="K4351" s="99" t="str">
        <f>_xlfn.XLOOKUP(_2__ROI_Daily_Update[[#This Row],[CSM id]],SHP!F:F,SHP!EE:EE,"-")</f>
        <v>-</v>
      </c>
    </row>
    <row r="4352" spans="1:11" x14ac:dyDescent="0.45">
      <c r="A4352" s="57">
        <v>1411</v>
      </c>
      <c r="B4352" t="s">
        <v>5783</v>
      </c>
      <c r="C4352" t="s">
        <v>5784</v>
      </c>
      <c r="D4352" s="12">
        <v>46341</v>
      </c>
      <c r="E4352" s="11">
        <v>60</v>
      </c>
      <c r="F4352" s="11" t="s">
        <v>0</v>
      </c>
      <c r="G4352">
        <v>20260701</v>
      </c>
      <c r="I4352" s="11" t="s">
        <v>63</v>
      </c>
      <c r="J4352" s="72">
        <v>80625329</v>
      </c>
      <c r="K4352" s="99" t="str">
        <f>_xlfn.XLOOKUP(_2__ROI_Daily_Update[[#This Row],[CSM id]],SHP!F:F,SHP!EE:EE,"-")</f>
        <v>-</v>
      </c>
    </row>
    <row r="4353" spans="1:11" x14ac:dyDescent="0.45">
      <c r="A4353" s="57">
        <v>1412</v>
      </c>
      <c r="B4353" t="s">
        <v>2144</v>
      </c>
      <c r="C4353" t="s">
        <v>2145</v>
      </c>
      <c r="D4353" s="12">
        <v>46341</v>
      </c>
      <c r="E4353" s="11">
        <v>6</v>
      </c>
      <c r="F4353" s="11" t="s">
        <v>0</v>
      </c>
      <c r="G4353">
        <v>20220101</v>
      </c>
      <c r="I4353" s="11" t="s">
        <v>63</v>
      </c>
      <c r="J4353" s="72">
        <v>80484254</v>
      </c>
      <c r="K4353" s="99" t="str">
        <f>_xlfn.XLOOKUP(_2__ROI_Daily_Update[[#This Row],[CSM id]],SHP!F:F,SHP!EE:EE,"-")</f>
        <v>-</v>
      </c>
    </row>
    <row r="4354" spans="1:11" x14ac:dyDescent="0.45">
      <c r="A4354" s="57">
        <v>1412</v>
      </c>
      <c r="B4354" t="s">
        <v>2150</v>
      </c>
      <c r="C4354" t="s">
        <v>2151</v>
      </c>
      <c r="D4354" s="12">
        <v>46341</v>
      </c>
      <c r="E4354" s="11">
        <v>120</v>
      </c>
      <c r="F4354" s="11" t="s">
        <v>0</v>
      </c>
      <c r="G4354">
        <v>20250101</v>
      </c>
      <c r="I4354" s="11" t="s">
        <v>63</v>
      </c>
      <c r="J4354" s="72">
        <v>90587176</v>
      </c>
      <c r="K4354" s="99" t="str">
        <f>_xlfn.XLOOKUP(_2__ROI_Daily_Update[[#This Row],[CSM id]],SHP!F:F,SHP!EE:EE,"-")</f>
        <v>-</v>
      </c>
    </row>
    <row r="4355" spans="1:11" x14ac:dyDescent="0.45">
      <c r="A4355" s="57">
        <v>1412</v>
      </c>
      <c r="B4355" t="s">
        <v>2146</v>
      </c>
      <c r="C4355" t="s">
        <v>2147</v>
      </c>
      <c r="D4355" s="12">
        <v>46341</v>
      </c>
      <c r="E4355" s="11">
        <v>12</v>
      </c>
      <c r="F4355" s="11" t="s">
        <v>0</v>
      </c>
      <c r="G4355">
        <v>20160801</v>
      </c>
      <c r="I4355" s="11" t="s">
        <v>63</v>
      </c>
      <c r="J4355" s="72">
        <v>90324552</v>
      </c>
      <c r="K4355" s="99" t="str">
        <f>_xlfn.XLOOKUP(_2__ROI_Daily_Update[[#This Row],[CSM id]],SHP!F:F,SHP!EE:EE,"-")</f>
        <v>-</v>
      </c>
    </row>
    <row r="4356" spans="1:11" x14ac:dyDescent="0.45">
      <c r="A4356" s="57">
        <v>1422</v>
      </c>
      <c r="B4356" t="s">
        <v>2208</v>
      </c>
      <c r="C4356" t="s">
        <v>2209</v>
      </c>
      <c r="D4356" s="12">
        <v>46341</v>
      </c>
      <c r="E4356" s="11">
        <v>194</v>
      </c>
      <c r="F4356" s="11" t="s">
        <v>0</v>
      </c>
      <c r="G4356">
        <v>20220701</v>
      </c>
      <c r="H4356" s="12">
        <v>46478</v>
      </c>
      <c r="I4356" s="11" t="s">
        <v>63</v>
      </c>
      <c r="J4356" s="72">
        <v>521953</v>
      </c>
      <c r="K4356" s="99" t="str">
        <f>_xlfn.XLOOKUP(_2__ROI_Daily_Update[[#This Row],[CSM id]],SHP!F:F,SHP!EE:EE,"-")</f>
        <v>-</v>
      </c>
    </row>
    <row r="4357" spans="1:11" x14ac:dyDescent="0.45">
      <c r="A4357" s="57">
        <v>1422</v>
      </c>
      <c r="B4357" t="s">
        <v>2212</v>
      </c>
      <c r="C4357" t="s">
        <v>2213</v>
      </c>
      <c r="D4357" s="12">
        <v>46341</v>
      </c>
      <c r="E4357" s="11">
        <v>40</v>
      </c>
      <c r="F4357" s="11" t="s">
        <v>0</v>
      </c>
      <c r="G4357">
        <v>20141001</v>
      </c>
      <c r="I4357" s="11" t="s">
        <v>63</v>
      </c>
      <c r="J4357" s="72">
        <v>10171303</v>
      </c>
      <c r="K4357" s="99" t="str">
        <f>_xlfn.XLOOKUP(_2__ROI_Daily_Update[[#This Row],[CSM id]],SHP!F:F,SHP!EE:EE,"-")</f>
        <v>-</v>
      </c>
    </row>
    <row r="4358" spans="1:11" x14ac:dyDescent="0.45">
      <c r="A4358" s="57">
        <v>1633</v>
      </c>
      <c r="B4358" t="s">
        <v>3016</v>
      </c>
      <c r="C4358" t="s">
        <v>3017</v>
      </c>
      <c r="D4358" s="12">
        <v>46341</v>
      </c>
      <c r="E4358" s="11">
        <v>36</v>
      </c>
      <c r="F4358" s="11" t="s">
        <v>0</v>
      </c>
      <c r="G4358">
        <v>20261001</v>
      </c>
      <c r="H4358" s="12">
        <v>46388</v>
      </c>
      <c r="I4358" s="11" t="s">
        <v>63</v>
      </c>
      <c r="J4358" s="72">
        <v>70646327</v>
      </c>
      <c r="K4358" s="99" t="str">
        <f>_xlfn.XLOOKUP(_2__ROI_Daily_Update[[#This Row],[CSM id]],SHP!F:F,SHP!EE:EE,"-")</f>
        <v>-</v>
      </c>
    </row>
    <row r="4359" spans="1:11" x14ac:dyDescent="0.45">
      <c r="A4359" s="57">
        <v>1633</v>
      </c>
      <c r="B4359" t="s">
        <v>3018</v>
      </c>
      <c r="C4359" t="s">
        <v>3019</v>
      </c>
      <c r="D4359" s="12">
        <v>46341</v>
      </c>
      <c r="E4359" s="11">
        <v>12</v>
      </c>
      <c r="F4359" s="11" t="s">
        <v>0</v>
      </c>
      <c r="G4359">
        <v>20141201</v>
      </c>
      <c r="I4359" s="11" t="s">
        <v>63</v>
      </c>
      <c r="J4359" s="72">
        <v>90191632</v>
      </c>
      <c r="K4359" s="99" t="str">
        <f>_xlfn.XLOOKUP(_2__ROI_Daily_Update[[#This Row],[CSM id]],SHP!F:F,SHP!EE:EE,"-")</f>
        <v>-</v>
      </c>
    </row>
    <row r="4360" spans="1:11" x14ac:dyDescent="0.45">
      <c r="A4360" s="57">
        <v>1633</v>
      </c>
      <c r="B4360" t="s">
        <v>5785</v>
      </c>
      <c r="C4360" t="s">
        <v>5786</v>
      </c>
      <c r="D4360" s="12">
        <v>46341</v>
      </c>
      <c r="E4360" s="11">
        <v>4</v>
      </c>
      <c r="F4360" s="11" t="s">
        <v>0</v>
      </c>
      <c r="G4360">
        <v>20250401</v>
      </c>
      <c r="I4360" s="11" t="s">
        <v>63</v>
      </c>
      <c r="J4360" s="72">
        <v>90590466</v>
      </c>
      <c r="K4360" s="99" t="str">
        <f>_xlfn.XLOOKUP(_2__ROI_Daily_Update[[#This Row],[CSM id]],SHP!F:F,SHP!EE:EE,"-")</f>
        <v>-</v>
      </c>
    </row>
    <row r="4361" spans="1:11" x14ac:dyDescent="0.45">
      <c r="A4361" s="57">
        <v>1422</v>
      </c>
      <c r="B4361" t="s">
        <v>2225</v>
      </c>
      <c r="C4361" t="s">
        <v>2226</v>
      </c>
      <c r="D4361" s="12">
        <v>46341</v>
      </c>
      <c r="E4361" s="11">
        <v>52</v>
      </c>
      <c r="F4361" s="11" t="s">
        <v>0</v>
      </c>
      <c r="G4361">
        <v>20191001</v>
      </c>
      <c r="I4361" s="11" t="s">
        <v>63</v>
      </c>
      <c r="J4361" s="72">
        <v>40422319</v>
      </c>
      <c r="K4361" s="99" t="str">
        <f>_xlfn.XLOOKUP(_2__ROI_Daily_Update[[#This Row],[CSM id]],SHP!F:F,SHP!EE:EE,"-")</f>
        <v>-</v>
      </c>
    </row>
    <row r="4362" spans="1:11" x14ac:dyDescent="0.45">
      <c r="A4362" s="57">
        <v>1634</v>
      </c>
      <c r="B4362" t="s">
        <v>3039</v>
      </c>
      <c r="C4362" t="s">
        <v>3040</v>
      </c>
      <c r="D4362" s="12">
        <v>46341</v>
      </c>
      <c r="E4362" s="11">
        <v>36</v>
      </c>
      <c r="F4362" s="11" t="s">
        <v>0</v>
      </c>
      <c r="G4362">
        <v>20261001</v>
      </c>
      <c r="I4362" s="11" t="s">
        <v>63</v>
      </c>
      <c r="J4362" s="72">
        <v>30638126</v>
      </c>
      <c r="K4362" s="99" t="str">
        <f>_xlfn.XLOOKUP(_2__ROI_Daily_Update[[#This Row],[CSM id]],SHP!F:F,SHP!EE:EE,"-")</f>
        <v>-</v>
      </c>
    </row>
    <row r="4363" spans="1:11" x14ac:dyDescent="0.45">
      <c r="A4363" s="57">
        <v>1423</v>
      </c>
      <c r="B4363" t="s">
        <v>2292</v>
      </c>
      <c r="C4363" t="s">
        <v>2293</v>
      </c>
      <c r="D4363" s="12">
        <v>46341</v>
      </c>
      <c r="E4363" s="11">
        <v>60</v>
      </c>
      <c r="F4363" s="11" t="s">
        <v>0</v>
      </c>
      <c r="G4363">
        <v>20150401</v>
      </c>
      <c r="I4363" s="11" t="s">
        <v>63</v>
      </c>
      <c r="J4363" s="72">
        <v>90287936</v>
      </c>
      <c r="K4363" s="99" t="str">
        <f>_xlfn.XLOOKUP(_2__ROI_Daily_Update[[#This Row],[CSM id]],SHP!F:F,SHP!EE:EE,"-")</f>
        <v>-</v>
      </c>
    </row>
    <row r="4364" spans="1:11" x14ac:dyDescent="0.45">
      <c r="A4364" s="57">
        <v>1422</v>
      </c>
      <c r="B4364" t="s">
        <v>2237</v>
      </c>
      <c r="C4364" t="s">
        <v>2238</v>
      </c>
      <c r="D4364" s="12">
        <v>46341</v>
      </c>
      <c r="E4364" s="11">
        <v>56</v>
      </c>
      <c r="F4364" s="11" t="s">
        <v>0</v>
      </c>
      <c r="G4364">
        <v>20141201</v>
      </c>
      <c r="I4364" s="11" t="s">
        <v>63</v>
      </c>
      <c r="J4364" s="72">
        <v>50191907</v>
      </c>
      <c r="K4364" s="99" t="str">
        <f>_xlfn.XLOOKUP(_2__ROI_Daily_Update[[#This Row],[CSM id]],SHP!F:F,SHP!EE:EE,"-")</f>
        <v>-</v>
      </c>
    </row>
    <row r="4365" spans="1:11" x14ac:dyDescent="0.45">
      <c r="A4365" s="57">
        <v>1634</v>
      </c>
      <c r="B4365" t="s">
        <v>3045</v>
      </c>
      <c r="C4365" t="s">
        <v>3046</v>
      </c>
      <c r="D4365" s="12">
        <v>46341</v>
      </c>
      <c r="E4365" s="11">
        <v>26</v>
      </c>
      <c r="F4365" s="11" t="s">
        <v>0</v>
      </c>
      <c r="G4365">
        <v>20261001</v>
      </c>
      <c r="I4365" s="11" t="s">
        <v>63</v>
      </c>
      <c r="J4365" s="72">
        <v>40638135</v>
      </c>
      <c r="K4365" s="99" t="str">
        <f>_xlfn.XLOOKUP(_2__ROI_Daily_Update[[#This Row],[CSM id]],SHP!F:F,SHP!EE:EE,"-")</f>
        <v>-</v>
      </c>
    </row>
    <row r="4366" spans="1:11" x14ac:dyDescent="0.45">
      <c r="A4366" s="57">
        <v>1634</v>
      </c>
      <c r="B4366" t="s">
        <v>3049</v>
      </c>
      <c r="C4366" t="s">
        <v>3050</v>
      </c>
      <c r="D4366" s="12">
        <v>46341</v>
      </c>
      <c r="E4366" s="11">
        <v>22</v>
      </c>
      <c r="F4366" s="11" t="s">
        <v>0</v>
      </c>
      <c r="G4366">
        <v>20261001</v>
      </c>
      <c r="I4366" s="11" t="s">
        <v>63</v>
      </c>
      <c r="J4366" s="72">
        <v>50638125</v>
      </c>
      <c r="K4366" s="99" t="str">
        <f>_xlfn.XLOOKUP(_2__ROI_Daily_Update[[#This Row],[CSM id]],SHP!F:F,SHP!EE:EE,"-")</f>
        <v>-</v>
      </c>
    </row>
    <row r="4367" spans="1:11" x14ac:dyDescent="0.45">
      <c r="A4367" s="57">
        <v>1422</v>
      </c>
      <c r="B4367" t="s">
        <v>2239</v>
      </c>
      <c r="C4367" t="s">
        <v>2240</v>
      </c>
      <c r="D4367" s="12">
        <v>46341</v>
      </c>
      <c r="E4367" s="11">
        <v>150</v>
      </c>
      <c r="F4367" s="11" t="s">
        <v>0</v>
      </c>
      <c r="G4367">
        <v>20220701</v>
      </c>
      <c r="I4367" s="11" t="s">
        <v>63</v>
      </c>
      <c r="J4367" s="72">
        <v>50521936</v>
      </c>
      <c r="K4367" s="99" t="str">
        <f>_xlfn.XLOOKUP(_2__ROI_Daily_Update[[#This Row],[CSM id]],SHP!F:F,SHP!EE:EE,"-")</f>
        <v>-</v>
      </c>
    </row>
    <row r="4368" spans="1:11" x14ac:dyDescent="0.45">
      <c r="A4368" s="57">
        <v>1422</v>
      </c>
      <c r="B4368" t="s">
        <v>2254</v>
      </c>
      <c r="C4368" t="s">
        <v>2255</v>
      </c>
      <c r="D4368" s="12">
        <v>46341</v>
      </c>
      <c r="E4368" s="11">
        <v>18</v>
      </c>
      <c r="F4368" s="11" t="s">
        <v>0</v>
      </c>
      <c r="G4368">
        <v>20141201</v>
      </c>
      <c r="I4368" s="11" t="s">
        <v>63</v>
      </c>
      <c r="J4368" s="72">
        <v>80191915</v>
      </c>
      <c r="K4368" s="99" t="str">
        <f>_xlfn.XLOOKUP(_2__ROI_Daily_Update[[#This Row],[CSM id]],SHP!F:F,SHP!EE:EE,"-")</f>
        <v>-</v>
      </c>
    </row>
    <row r="4369" spans="1:11" x14ac:dyDescent="0.45">
      <c r="A4369" s="57">
        <v>1422</v>
      </c>
      <c r="B4369" t="s">
        <v>2256</v>
      </c>
      <c r="C4369" t="s">
        <v>2257</v>
      </c>
      <c r="D4369" s="12">
        <v>46341</v>
      </c>
      <c r="E4369" s="11">
        <v>64</v>
      </c>
      <c r="F4369" s="11" t="s">
        <v>0</v>
      </c>
      <c r="G4369">
        <v>20191001</v>
      </c>
      <c r="I4369" s="11" t="s">
        <v>63</v>
      </c>
      <c r="J4369" s="72">
        <v>80422322</v>
      </c>
      <c r="K4369" s="99" t="str">
        <f>_xlfn.XLOOKUP(_2__ROI_Daily_Update[[#This Row],[CSM id]],SHP!F:F,SHP!EE:EE,"-")</f>
        <v>-</v>
      </c>
    </row>
    <row r="4370" spans="1:11" x14ac:dyDescent="0.45">
      <c r="A4370" s="57">
        <v>1422</v>
      </c>
      <c r="B4370" t="s">
        <v>2264</v>
      </c>
      <c r="C4370" t="s">
        <v>2265</v>
      </c>
      <c r="D4370" s="12">
        <v>46341</v>
      </c>
      <c r="E4370" s="11">
        <v>64</v>
      </c>
      <c r="F4370" s="11" t="s">
        <v>0</v>
      </c>
      <c r="G4370">
        <v>20231001</v>
      </c>
      <c r="I4370" s="11" t="s">
        <v>63</v>
      </c>
      <c r="J4370" s="72">
        <v>90561713</v>
      </c>
      <c r="K4370" s="99" t="str">
        <f>_xlfn.XLOOKUP(_2__ROI_Daily_Update[[#This Row],[CSM id]],SHP!F:F,SHP!EE:EE,"-")</f>
        <v>-</v>
      </c>
    </row>
    <row r="4371" spans="1:11" x14ac:dyDescent="0.45">
      <c r="A4371" s="57">
        <v>1423</v>
      </c>
      <c r="B4371" t="s">
        <v>2270</v>
      </c>
      <c r="C4371" t="s">
        <v>2271</v>
      </c>
      <c r="D4371" s="12">
        <v>46341</v>
      </c>
      <c r="E4371" s="11">
        <v>32</v>
      </c>
      <c r="F4371" s="11" t="s">
        <v>0</v>
      </c>
      <c r="G4371">
        <v>20260701</v>
      </c>
      <c r="I4371" s="11" t="s">
        <v>63</v>
      </c>
      <c r="J4371" s="72">
        <v>631466</v>
      </c>
      <c r="K4371" s="99" t="str">
        <f>_xlfn.XLOOKUP(_2__ROI_Daily_Update[[#This Row],[CSM id]],SHP!F:F,SHP!EE:EE,"-")</f>
        <v>-</v>
      </c>
    </row>
    <row r="4372" spans="1:11" x14ac:dyDescent="0.45">
      <c r="A4372" s="57">
        <v>1634</v>
      </c>
      <c r="B4372" t="s">
        <v>3041</v>
      </c>
      <c r="C4372" t="s">
        <v>3042</v>
      </c>
      <c r="D4372" s="12">
        <v>46341</v>
      </c>
      <c r="E4372" s="11">
        <v>44</v>
      </c>
      <c r="F4372" s="11" t="s">
        <v>0</v>
      </c>
      <c r="G4372">
        <v>20261001</v>
      </c>
      <c r="I4372" s="11" t="s">
        <v>63</v>
      </c>
      <c r="J4372" s="72">
        <v>30638131</v>
      </c>
      <c r="K4372" s="99" t="str">
        <f>_xlfn.XLOOKUP(_2__ROI_Daily_Update[[#This Row],[CSM id]],SHP!F:F,SHP!EE:EE,"-")</f>
        <v>-</v>
      </c>
    </row>
    <row r="4373" spans="1:11" x14ac:dyDescent="0.45">
      <c r="A4373" s="57">
        <v>1431</v>
      </c>
      <c r="B4373" t="s">
        <v>2348</v>
      </c>
      <c r="C4373" t="s">
        <v>2349</v>
      </c>
      <c r="D4373" s="12">
        <v>46341</v>
      </c>
      <c r="E4373" s="11">
        <v>48</v>
      </c>
      <c r="F4373" s="11" t="s">
        <v>0</v>
      </c>
      <c r="G4373">
        <v>20250401</v>
      </c>
      <c r="I4373" s="11" t="s">
        <v>63</v>
      </c>
      <c r="J4373" s="72">
        <v>10595910</v>
      </c>
      <c r="K4373" s="99" t="str">
        <f>_xlfn.XLOOKUP(_2__ROI_Daily_Update[[#This Row],[CSM id]],SHP!F:F,SHP!EE:EE,"-")</f>
        <v>-</v>
      </c>
    </row>
    <row r="4374" spans="1:11" x14ac:dyDescent="0.45">
      <c r="A4374" s="57">
        <v>1633</v>
      </c>
      <c r="B4374" t="s">
        <v>3014</v>
      </c>
      <c r="C4374" t="s">
        <v>3015</v>
      </c>
      <c r="D4374" s="12">
        <v>46341</v>
      </c>
      <c r="E4374" s="11">
        <v>30</v>
      </c>
      <c r="F4374" s="11" t="s">
        <v>0</v>
      </c>
      <c r="G4374">
        <v>20261001</v>
      </c>
      <c r="H4374" s="12">
        <v>46388</v>
      </c>
      <c r="I4374" s="11" t="s">
        <v>63</v>
      </c>
      <c r="J4374" s="72">
        <v>70636762</v>
      </c>
      <c r="K4374" s="99" t="str">
        <f>_xlfn.XLOOKUP(_2__ROI_Daily_Update[[#This Row],[CSM id]],SHP!F:F,SHP!EE:EE,"-")</f>
        <v>-</v>
      </c>
    </row>
    <row r="4375" spans="1:11" x14ac:dyDescent="0.45">
      <c r="A4375" s="57">
        <v>1633</v>
      </c>
      <c r="B4375" t="s">
        <v>3004</v>
      </c>
      <c r="C4375" t="s">
        <v>3005</v>
      </c>
      <c r="D4375" s="12">
        <v>46341</v>
      </c>
      <c r="E4375" s="11">
        <v>64</v>
      </c>
      <c r="F4375" s="11" t="s">
        <v>0</v>
      </c>
      <c r="G4375">
        <v>20261001</v>
      </c>
      <c r="H4375" s="12">
        <v>46388</v>
      </c>
      <c r="I4375" s="11" t="s">
        <v>63</v>
      </c>
      <c r="J4375" s="72">
        <v>50635419</v>
      </c>
      <c r="K4375" s="99" t="str">
        <f>_xlfn.XLOOKUP(_2__ROI_Daily_Update[[#This Row],[CSM id]],SHP!F:F,SHP!EE:EE,"-")</f>
        <v>-</v>
      </c>
    </row>
    <row r="4376" spans="1:11" x14ac:dyDescent="0.45">
      <c r="A4376" s="57">
        <v>1551</v>
      </c>
      <c r="B4376" t="s">
        <v>2825</v>
      </c>
      <c r="C4376" t="s">
        <v>2826</v>
      </c>
      <c r="D4376" s="12">
        <v>46341</v>
      </c>
      <c r="E4376" s="11">
        <v>72</v>
      </c>
      <c r="F4376" s="11" t="s">
        <v>0</v>
      </c>
      <c r="G4376">
        <v>20260101</v>
      </c>
      <c r="I4376" s="11" t="s">
        <v>63</v>
      </c>
      <c r="J4376" s="72">
        <v>70615095</v>
      </c>
      <c r="K4376" s="99" t="str">
        <f>_xlfn.XLOOKUP(_2__ROI_Daily_Update[[#This Row],[CSM id]],SHP!F:F,SHP!EE:EE,"-")</f>
        <v>-</v>
      </c>
    </row>
    <row r="4377" spans="1:11" x14ac:dyDescent="0.45">
      <c r="A4377" s="57">
        <v>1413</v>
      </c>
      <c r="B4377" t="s">
        <v>2152</v>
      </c>
      <c r="C4377" t="s">
        <v>2153</v>
      </c>
      <c r="D4377" s="12">
        <v>46341</v>
      </c>
      <c r="E4377" s="11">
        <v>24</v>
      </c>
      <c r="F4377" s="11" t="s">
        <v>0</v>
      </c>
      <c r="G4377">
        <v>20260801</v>
      </c>
      <c r="H4377" s="12">
        <v>46388</v>
      </c>
      <c r="I4377" s="11" t="s">
        <v>63</v>
      </c>
      <c r="J4377" s="72">
        <v>632927</v>
      </c>
      <c r="K4377" s="99" t="str">
        <f>_xlfn.XLOOKUP(_2__ROI_Daily_Update[[#This Row],[CSM id]],SHP!F:F,SHP!EE:EE,"-")</f>
        <v>-</v>
      </c>
    </row>
    <row r="4378" spans="1:11" x14ac:dyDescent="0.45">
      <c r="A4378" s="57">
        <v>1431</v>
      </c>
      <c r="B4378" t="s">
        <v>2334</v>
      </c>
      <c r="C4378" t="s">
        <v>2335</v>
      </c>
      <c r="D4378" s="12">
        <v>46341</v>
      </c>
      <c r="E4378" s="11">
        <v>2040</v>
      </c>
      <c r="F4378" s="11" t="s">
        <v>0</v>
      </c>
      <c r="G4378">
        <v>20260801</v>
      </c>
      <c r="H4378" s="12">
        <v>46388</v>
      </c>
      <c r="I4378" s="11" t="s">
        <v>63</v>
      </c>
      <c r="J4378" s="72">
        <v>631522</v>
      </c>
      <c r="K4378" s="99" t="str">
        <f>_xlfn.XLOOKUP(_2__ROI_Daily_Update[[#This Row],[CSM id]],SHP!F:F,SHP!EE:EE,"-")</f>
        <v>-</v>
      </c>
    </row>
    <row r="4379" spans="1:11" x14ac:dyDescent="0.45">
      <c r="A4379" s="57">
        <v>1413</v>
      </c>
      <c r="B4379" t="s">
        <v>2155</v>
      </c>
      <c r="C4379" t="s">
        <v>2156</v>
      </c>
      <c r="D4379" s="12">
        <v>46341</v>
      </c>
      <c r="E4379" s="11">
        <v>35</v>
      </c>
      <c r="F4379" s="11" t="s">
        <v>0</v>
      </c>
      <c r="G4379">
        <v>20221001</v>
      </c>
      <c r="H4379" s="12">
        <v>46478</v>
      </c>
      <c r="I4379" s="11" t="s">
        <v>63</v>
      </c>
      <c r="J4379" s="72">
        <v>10513877</v>
      </c>
      <c r="K4379" s="99" t="str">
        <f>_xlfn.XLOOKUP(_2__ROI_Daily_Update[[#This Row],[CSM id]],SHP!F:F,SHP!EE:EE,"-")</f>
        <v>-</v>
      </c>
    </row>
    <row r="4380" spans="1:11" x14ac:dyDescent="0.45">
      <c r="A4380" s="57">
        <v>1414</v>
      </c>
      <c r="B4380" t="s">
        <v>2168</v>
      </c>
      <c r="C4380" t="s">
        <v>2169</v>
      </c>
      <c r="D4380" s="12">
        <v>46341</v>
      </c>
      <c r="E4380" s="11">
        <v>338</v>
      </c>
      <c r="F4380" s="11" t="s">
        <v>0</v>
      </c>
      <c r="G4380">
        <v>20210401</v>
      </c>
      <c r="I4380" s="11" t="s">
        <v>63</v>
      </c>
      <c r="J4380" s="72">
        <v>485549</v>
      </c>
      <c r="K4380" s="99" t="str">
        <f>_xlfn.XLOOKUP(_2__ROI_Daily_Update[[#This Row],[CSM id]],SHP!F:F,SHP!EE:EE,"-")</f>
        <v>-</v>
      </c>
    </row>
    <row r="4381" spans="1:11" x14ac:dyDescent="0.45">
      <c r="A4381" s="57">
        <v>1414</v>
      </c>
      <c r="B4381" t="s">
        <v>5660</v>
      </c>
      <c r="C4381" t="s">
        <v>5661</v>
      </c>
      <c r="D4381" s="12">
        <v>46341</v>
      </c>
      <c r="E4381" s="11">
        <v>36</v>
      </c>
      <c r="F4381" s="11" t="s">
        <v>0</v>
      </c>
      <c r="G4381">
        <v>20260801</v>
      </c>
      <c r="H4381" s="12">
        <v>46478</v>
      </c>
      <c r="I4381" s="11" t="s">
        <v>63</v>
      </c>
      <c r="J4381" s="72">
        <v>633088</v>
      </c>
      <c r="K4381" s="99" t="str">
        <f>_xlfn.XLOOKUP(_2__ROI_Daily_Update[[#This Row],[CSM id]],SHP!F:F,SHP!EE:EE,"-")</f>
        <v>-</v>
      </c>
    </row>
    <row r="4382" spans="1:11" x14ac:dyDescent="0.45">
      <c r="A4382" s="57">
        <v>1414</v>
      </c>
      <c r="B4382" t="s">
        <v>2172</v>
      </c>
      <c r="C4382" t="s">
        <v>2173</v>
      </c>
      <c r="D4382" s="12">
        <v>46341</v>
      </c>
      <c r="E4382" s="11">
        <v>40</v>
      </c>
      <c r="F4382" s="11" t="s">
        <v>0</v>
      </c>
      <c r="G4382">
        <v>20241001</v>
      </c>
      <c r="I4382" s="11" t="s">
        <v>63</v>
      </c>
      <c r="J4382" s="72">
        <v>20586161</v>
      </c>
      <c r="K4382" s="99" t="str">
        <f>_xlfn.XLOOKUP(_2__ROI_Daily_Update[[#This Row],[CSM id]],SHP!F:F,SHP!EE:EE,"-")</f>
        <v>-</v>
      </c>
    </row>
    <row r="4383" spans="1:11" x14ac:dyDescent="0.45">
      <c r="A4383" s="57">
        <v>1423</v>
      </c>
      <c r="B4383" t="s">
        <v>5791</v>
      </c>
      <c r="C4383" t="s">
        <v>5792</v>
      </c>
      <c r="D4383" s="12">
        <v>46341</v>
      </c>
      <c r="E4383" s="11">
        <v>17</v>
      </c>
      <c r="F4383" s="11" t="s">
        <v>0</v>
      </c>
      <c r="G4383">
        <v>20180801</v>
      </c>
      <c r="I4383" s="11" t="s">
        <v>63</v>
      </c>
      <c r="J4383" s="72">
        <v>90346832</v>
      </c>
      <c r="K4383" s="99" t="str">
        <f>_xlfn.XLOOKUP(_2__ROI_Daily_Update[[#This Row],[CSM id]],SHP!F:F,SHP!EE:EE,"-")</f>
        <v>-</v>
      </c>
    </row>
    <row r="4384" spans="1:11" x14ac:dyDescent="0.45">
      <c r="A4384" s="57">
        <v>1414</v>
      </c>
      <c r="B4384" t="s">
        <v>2184</v>
      </c>
      <c r="C4384" t="s">
        <v>2185</v>
      </c>
      <c r="D4384" s="12">
        <v>46341</v>
      </c>
      <c r="E4384" s="11">
        <v>34</v>
      </c>
      <c r="F4384" s="11" t="s">
        <v>0</v>
      </c>
      <c r="G4384">
        <v>20261001</v>
      </c>
      <c r="H4384" s="12">
        <v>46388</v>
      </c>
      <c r="I4384" s="11" t="s">
        <v>63</v>
      </c>
      <c r="J4384" s="72">
        <v>50633745</v>
      </c>
      <c r="K4384" s="99" t="str">
        <f>_xlfn.XLOOKUP(_2__ROI_Daily_Update[[#This Row],[CSM id]],SHP!F:F,SHP!EE:EE,"-")</f>
        <v>-</v>
      </c>
    </row>
    <row r="4385" spans="1:11" x14ac:dyDescent="0.45">
      <c r="A4385" s="57">
        <v>1633</v>
      </c>
      <c r="B4385" t="s">
        <v>6072</v>
      </c>
      <c r="C4385" t="s">
        <v>6073</v>
      </c>
      <c r="D4385" s="12">
        <v>46341</v>
      </c>
      <c r="E4385" s="11">
        <v>48</v>
      </c>
      <c r="F4385" s="11" t="s">
        <v>0</v>
      </c>
      <c r="G4385">
        <v>20260801</v>
      </c>
      <c r="H4385" s="12">
        <v>46388</v>
      </c>
      <c r="I4385" s="11" t="s">
        <v>63</v>
      </c>
      <c r="J4385" s="72">
        <v>30630535</v>
      </c>
      <c r="K4385" s="99" t="str">
        <f>_xlfn.XLOOKUP(_2__ROI_Daily_Update[[#This Row],[CSM id]],SHP!F:F,SHP!EE:EE,"-")</f>
        <v>-</v>
      </c>
    </row>
    <row r="4386" spans="1:11" x14ac:dyDescent="0.45">
      <c r="A4386" s="57">
        <v>1633</v>
      </c>
      <c r="B4386" t="s">
        <v>2994</v>
      </c>
      <c r="C4386" t="s">
        <v>2995</v>
      </c>
      <c r="D4386" s="12">
        <v>46341</v>
      </c>
      <c r="E4386" s="11">
        <v>594</v>
      </c>
      <c r="F4386" s="11" t="s">
        <v>0</v>
      </c>
      <c r="G4386">
        <v>20260801</v>
      </c>
      <c r="H4386" s="12">
        <v>46388</v>
      </c>
      <c r="I4386" s="11" t="s">
        <v>63</v>
      </c>
      <c r="J4386" s="72">
        <v>40630059</v>
      </c>
      <c r="K4386" s="99" t="str">
        <f>_xlfn.XLOOKUP(_2__ROI_Daily_Update[[#This Row],[CSM id]],SHP!F:F,SHP!EE:EE,"-")</f>
        <v>-</v>
      </c>
    </row>
    <row r="4387" spans="1:11" x14ac:dyDescent="0.45">
      <c r="A4387" s="57">
        <v>1633</v>
      </c>
      <c r="B4387" t="s">
        <v>2996</v>
      </c>
      <c r="C4387" t="s">
        <v>2997</v>
      </c>
      <c r="D4387" s="12">
        <v>46341</v>
      </c>
      <c r="E4387" s="11">
        <v>120</v>
      </c>
      <c r="F4387" s="11" t="s">
        <v>0</v>
      </c>
      <c r="G4387">
        <v>20260801</v>
      </c>
      <c r="H4387" s="12">
        <v>46388</v>
      </c>
      <c r="I4387" s="11" t="s">
        <v>63</v>
      </c>
      <c r="J4387" s="72">
        <v>40630605</v>
      </c>
      <c r="K4387" s="99" t="str">
        <f>_xlfn.XLOOKUP(_2__ROI_Daily_Update[[#This Row],[CSM id]],SHP!F:F,SHP!EE:EE,"-")</f>
        <v>-</v>
      </c>
    </row>
    <row r="4388" spans="1:11" x14ac:dyDescent="0.45">
      <c r="A4388" s="57">
        <v>1424</v>
      </c>
      <c r="B4388" t="s">
        <v>2306</v>
      </c>
      <c r="C4388" t="s">
        <v>2307</v>
      </c>
      <c r="D4388" s="12">
        <v>46341</v>
      </c>
      <c r="E4388" s="11">
        <v>30</v>
      </c>
      <c r="F4388" s="11" t="s">
        <v>0</v>
      </c>
      <c r="G4388">
        <v>20210201</v>
      </c>
      <c r="I4388" s="11" t="s">
        <v>63</v>
      </c>
      <c r="J4388" s="72">
        <v>20503364</v>
      </c>
      <c r="K4388" s="99" t="str">
        <f>_xlfn.XLOOKUP(_2__ROI_Daily_Update[[#This Row],[CSM id]],SHP!F:F,SHP!EE:EE,"-")</f>
        <v>-</v>
      </c>
    </row>
    <row r="4389" spans="1:11" x14ac:dyDescent="0.45">
      <c r="A4389" s="57">
        <v>1424</v>
      </c>
      <c r="B4389" t="s">
        <v>2300</v>
      </c>
      <c r="C4389" t="s">
        <v>2301</v>
      </c>
      <c r="D4389" s="12">
        <v>46341</v>
      </c>
      <c r="E4389" s="11">
        <v>63</v>
      </c>
      <c r="F4389" s="11" t="s">
        <v>0</v>
      </c>
      <c r="G4389">
        <v>20250701</v>
      </c>
      <c r="I4389" s="11" t="s">
        <v>63</v>
      </c>
      <c r="J4389" s="72">
        <v>10573319</v>
      </c>
      <c r="K4389" s="99" t="str">
        <f>_xlfn.XLOOKUP(_2__ROI_Daily_Update[[#This Row],[CSM id]],SHP!F:F,SHP!EE:EE,"-")</f>
        <v>-</v>
      </c>
    </row>
    <row r="4390" spans="1:11" x14ac:dyDescent="0.45">
      <c r="A4390" s="57">
        <v>1421</v>
      </c>
      <c r="B4390" t="s">
        <v>2204</v>
      </c>
      <c r="C4390" t="s">
        <v>2205</v>
      </c>
      <c r="D4390" s="12">
        <v>46341</v>
      </c>
      <c r="E4390" s="11">
        <v>24</v>
      </c>
      <c r="F4390" s="11" t="s">
        <v>0</v>
      </c>
      <c r="G4390">
        <v>20230701</v>
      </c>
      <c r="I4390" s="11" t="s">
        <v>63</v>
      </c>
      <c r="J4390" s="72">
        <v>60555191</v>
      </c>
      <c r="K4390" s="99" t="str">
        <f>_xlfn.XLOOKUP(_2__ROI_Daily_Update[[#This Row],[CSM id]],SHP!F:F,SHP!EE:EE,"-")</f>
        <v>-</v>
      </c>
    </row>
    <row r="4391" spans="1:11" x14ac:dyDescent="0.45">
      <c r="A4391" s="57">
        <v>1424</v>
      </c>
      <c r="B4391" t="s">
        <v>5666</v>
      </c>
      <c r="C4391" t="s">
        <v>5667</v>
      </c>
      <c r="D4391" s="12">
        <v>46341</v>
      </c>
      <c r="E4391" s="11">
        <v>50</v>
      </c>
      <c r="F4391" s="11" t="s">
        <v>0</v>
      </c>
      <c r="G4391">
        <v>20211001</v>
      </c>
      <c r="I4391" s="11" t="s">
        <v>63</v>
      </c>
      <c r="J4391" s="72">
        <v>10305500</v>
      </c>
      <c r="K4391" s="99" t="str">
        <f>_xlfn.XLOOKUP(_2__ROI_Daily_Update[[#This Row],[CSM id]],SHP!F:F,SHP!EE:EE,"-")</f>
        <v>-</v>
      </c>
    </row>
    <row r="4392" spans="1:11" x14ac:dyDescent="0.45">
      <c r="A4392" s="57">
        <v>1414</v>
      </c>
      <c r="B4392" t="s">
        <v>5656</v>
      </c>
      <c r="C4392" t="s">
        <v>5657</v>
      </c>
      <c r="D4392" s="12">
        <v>46341</v>
      </c>
      <c r="E4392" s="11">
        <v>144</v>
      </c>
      <c r="F4392" s="11" t="s">
        <v>0</v>
      </c>
      <c r="G4392">
        <v>20240101</v>
      </c>
      <c r="I4392" s="11" t="s">
        <v>63</v>
      </c>
      <c r="J4392" s="72">
        <v>60561352</v>
      </c>
      <c r="K4392" s="99" t="str">
        <f>_xlfn.XLOOKUP(_2__ROI_Daily_Update[[#This Row],[CSM id]],SHP!F:F,SHP!EE:EE,"-")</f>
        <v>-</v>
      </c>
    </row>
    <row r="4393" spans="1:11" x14ac:dyDescent="0.45">
      <c r="A4393" s="57">
        <v>1551</v>
      </c>
      <c r="B4393" t="s">
        <v>2817</v>
      </c>
      <c r="C4393" t="s">
        <v>2818</v>
      </c>
      <c r="D4393" s="12">
        <v>46341</v>
      </c>
      <c r="E4393" s="11">
        <v>120</v>
      </c>
      <c r="F4393" s="11" t="s">
        <v>0</v>
      </c>
      <c r="G4393">
        <v>20260801</v>
      </c>
      <c r="H4393" s="12">
        <v>46388</v>
      </c>
      <c r="I4393" s="11" t="s">
        <v>63</v>
      </c>
      <c r="J4393" s="72">
        <v>50633019</v>
      </c>
      <c r="K4393" s="99" t="str">
        <f>_xlfn.XLOOKUP(_2__ROI_Daily_Update[[#This Row],[CSM id]],SHP!F:F,SHP!EE:EE,"-")</f>
        <v>-</v>
      </c>
    </row>
    <row r="4394" spans="1:11" x14ac:dyDescent="0.45">
      <c r="A4394" s="57">
        <v>1551</v>
      </c>
      <c r="B4394" t="s">
        <v>2807</v>
      </c>
      <c r="C4394" t="s">
        <v>2808</v>
      </c>
      <c r="D4394" s="12">
        <v>46341</v>
      </c>
      <c r="E4394" s="11">
        <v>90</v>
      </c>
      <c r="F4394" s="11" t="s">
        <v>0</v>
      </c>
      <c r="G4394">
        <v>20260101</v>
      </c>
      <c r="I4394" s="11" t="s">
        <v>63</v>
      </c>
      <c r="J4394" s="72">
        <v>20603684</v>
      </c>
      <c r="K4394" s="99" t="str">
        <f>_xlfn.XLOOKUP(_2__ROI_Daily_Update[[#This Row],[CSM id]],SHP!F:F,SHP!EE:EE,"-")</f>
        <v>-</v>
      </c>
    </row>
    <row r="4395" spans="1:11" x14ac:dyDescent="0.45">
      <c r="A4395" s="57">
        <v>1551</v>
      </c>
      <c r="B4395" t="s">
        <v>2815</v>
      </c>
      <c r="C4395" t="s">
        <v>2816</v>
      </c>
      <c r="D4395" s="12">
        <v>46341</v>
      </c>
      <c r="E4395" s="11">
        <v>168</v>
      </c>
      <c r="F4395" s="11" t="s">
        <v>0</v>
      </c>
      <c r="G4395">
        <v>20260701</v>
      </c>
      <c r="I4395" s="11" t="s">
        <v>63</v>
      </c>
      <c r="J4395" s="72">
        <v>40635504</v>
      </c>
      <c r="K4395" s="99" t="str">
        <f>_xlfn.XLOOKUP(_2__ROI_Daily_Update[[#This Row],[CSM id]],SHP!F:F,SHP!EE:EE,"-")</f>
        <v>-</v>
      </c>
    </row>
    <row r="4396" spans="1:11" x14ac:dyDescent="0.45">
      <c r="A4396" s="57">
        <v>1521</v>
      </c>
      <c r="B4396" t="s">
        <v>5662</v>
      </c>
      <c r="C4396" t="s">
        <v>5663</v>
      </c>
      <c r="D4396" s="12">
        <v>46341</v>
      </c>
      <c r="E4396" s="11">
        <v>441</v>
      </c>
      <c r="F4396" s="11" t="s">
        <v>0</v>
      </c>
      <c r="G4396">
        <v>20260401</v>
      </c>
      <c r="I4396" s="11" t="s">
        <v>63</v>
      </c>
      <c r="J4396" s="72">
        <v>20623111</v>
      </c>
      <c r="K4396" s="99" t="str">
        <f>_xlfn.XLOOKUP(_2__ROI_Daily_Update[[#This Row],[CSM id]],SHP!F:F,SHP!EE:EE,"-")</f>
        <v>-</v>
      </c>
    </row>
    <row r="4397" spans="1:11" x14ac:dyDescent="0.45">
      <c r="A4397" s="57">
        <v>1521</v>
      </c>
      <c r="B4397" t="s">
        <v>5668</v>
      </c>
      <c r="C4397" t="s">
        <v>5669</v>
      </c>
      <c r="D4397" s="12">
        <v>46341</v>
      </c>
      <c r="E4397" s="11">
        <v>480</v>
      </c>
      <c r="F4397" s="11" t="s">
        <v>0</v>
      </c>
      <c r="G4397">
        <v>20260101</v>
      </c>
      <c r="I4397" s="11" t="s">
        <v>63</v>
      </c>
      <c r="J4397" s="72">
        <v>20618336</v>
      </c>
      <c r="K4397" s="99" t="str">
        <f>_xlfn.XLOOKUP(_2__ROI_Daily_Update[[#This Row],[CSM id]],SHP!F:F,SHP!EE:EE,"-")</f>
        <v>-</v>
      </c>
    </row>
    <row r="4398" spans="1:11" x14ac:dyDescent="0.45">
      <c r="A4398" s="57">
        <v>1512</v>
      </c>
      <c r="B4398" t="s">
        <v>5654</v>
      </c>
      <c r="C4398" t="s">
        <v>5655</v>
      </c>
      <c r="D4398" s="12">
        <v>46341</v>
      </c>
      <c r="E4398" s="11">
        <v>14</v>
      </c>
      <c r="F4398" s="11" t="s">
        <v>0</v>
      </c>
      <c r="G4398">
        <v>20250401</v>
      </c>
      <c r="I4398" s="11" t="s">
        <v>63</v>
      </c>
      <c r="J4398" s="72">
        <v>90592427</v>
      </c>
      <c r="K4398" s="99" t="str">
        <f>_xlfn.XLOOKUP(_2__ROI_Daily_Update[[#This Row],[CSM id]],SHP!F:F,SHP!EE:EE,"-")</f>
        <v>-</v>
      </c>
    </row>
    <row r="4399" spans="1:11" x14ac:dyDescent="0.45">
      <c r="A4399" s="57">
        <v>1512</v>
      </c>
      <c r="B4399" t="s">
        <v>2664</v>
      </c>
      <c r="C4399" t="s">
        <v>2665</v>
      </c>
      <c r="D4399" s="12">
        <v>46341</v>
      </c>
      <c r="E4399" s="11">
        <v>240</v>
      </c>
      <c r="F4399" s="11" t="s">
        <v>0</v>
      </c>
      <c r="G4399">
        <v>20260401</v>
      </c>
      <c r="I4399" s="11" t="s">
        <v>63</v>
      </c>
      <c r="J4399" s="72">
        <v>80620218</v>
      </c>
      <c r="K4399" s="99" t="str">
        <f>_xlfn.XLOOKUP(_2__ROI_Daily_Update[[#This Row],[CSM id]],SHP!F:F,SHP!EE:EE,"-")</f>
        <v>-</v>
      </c>
    </row>
    <row r="4400" spans="1:11" x14ac:dyDescent="0.45">
      <c r="A4400" s="57">
        <v>1512</v>
      </c>
      <c r="B4400" t="s">
        <v>2660</v>
      </c>
      <c r="C4400" t="s">
        <v>2661</v>
      </c>
      <c r="D4400" s="12">
        <v>46341</v>
      </c>
      <c r="E4400" s="11">
        <v>36</v>
      </c>
      <c r="F4400" s="11" t="s">
        <v>0</v>
      </c>
      <c r="G4400">
        <v>20141201</v>
      </c>
      <c r="I4400" s="11" t="s">
        <v>63</v>
      </c>
      <c r="J4400" s="72">
        <v>80222974</v>
      </c>
      <c r="K4400" s="99" t="str">
        <f>_xlfn.XLOOKUP(_2__ROI_Daily_Update[[#This Row],[CSM id]],SHP!F:F,SHP!EE:EE,"-")</f>
        <v>-</v>
      </c>
    </row>
    <row r="4401" spans="1:11" x14ac:dyDescent="0.45">
      <c r="A4401" s="57">
        <v>1431</v>
      </c>
      <c r="B4401" t="s">
        <v>5787</v>
      </c>
      <c r="C4401" t="s">
        <v>5788</v>
      </c>
      <c r="D4401" s="12">
        <v>46341</v>
      </c>
      <c r="E4401" s="11">
        <v>450</v>
      </c>
      <c r="F4401" s="11" t="s">
        <v>0</v>
      </c>
      <c r="G4401">
        <v>20260701</v>
      </c>
      <c r="I4401" s="11" t="s">
        <v>63</v>
      </c>
      <c r="J4401" s="72">
        <v>50616915</v>
      </c>
      <c r="K4401" s="99" t="str">
        <f>_xlfn.XLOOKUP(_2__ROI_Daily_Update[[#This Row],[CSM id]],SHP!F:F,SHP!EE:EE,"-")</f>
        <v>-</v>
      </c>
    </row>
    <row r="4402" spans="1:11" x14ac:dyDescent="0.45">
      <c r="A4402" s="57">
        <v>921</v>
      </c>
      <c r="B4402" t="s">
        <v>686</v>
      </c>
      <c r="C4402" t="s">
        <v>687</v>
      </c>
      <c r="D4402" s="12">
        <v>46341</v>
      </c>
      <c r="E4402" s="11">
        <v>28</v>
      </c>
      <c r="F4402" s="11" t="s">
        <v>7694</v>
      </c>
      <c r="G4402">
        <v>20210201</v>
      </c>
      <c r="I4402" s="11" t="s">
        <v>32</v>
      </c>
      <c r="J4402" s="72">
        <v>40433544</v>
      </c>
      <c r="K4402" s="99" t="str">
        <f>_xlfn.XLOOKUP(_2__ROI_Daily_Update[[#This Row],[CSM id]],SHP!F:F,SHP!EE:EE,"-")</f>
        <v>-</v>
      </c>
    </row>
    <row r="4403" spans="1:11" x14ac:dyDescent="0.45">
      <c r="A4403" s="57">
        <v>1811</v>
      </c>
      <c r="B4403" t="s">
        <v>3351</v>
      </c>
      <c r="C4403" t="s">
        <v>3352</v>
      </c>
      <c r="D4403" s="12">
        <v>46341</v>
      </c>
      <c r="E4403" s="11">
        <v>24</v>
      </c>
      <c r="F4403" s="11" t="s">
        <v>7791</v>
      </c>
      <c r="G4403">
        <v>20200801</v>
      </c>
      <c r="I4403" s="11" t="s">
        <v>32</v>
      </c>
      <c r="J4403" s="72">
        <v>80376481</v>
      </c>
      <c r="K4403" s="99" t="str">
        <f>_xlfn.XLOOKUP(_2__ROI_Daily_Update[[#This Row],[CSM id]],SHP!F:F,SHP!EE:EE,"-")</f>
        <v>-</v>
      </c>
    </row>
    <row r="4404" spans="1:11" x14ac:dyDescent="0.45">
      <c r="A4404" s="57">
        <v>1511</v>
      </c>
      <c r="B4404" t="s">
        <v>2546</v>
      </c>
      <c r="C4404" t="s">
        <v>2547</v>
      </c>
      <c r="D4404" s="12">
        <v>46341</v>
      </c>
      <c r="E4404" s="11">
        <v>192</v>
      </c>
      <c r="F4404" s="11" t="s">
        <v>0</v>
      </c>
      <c r="G4404">
        <v>20251001</v>
      </c>
      <c r="I4404" s="11" t="s">
        <v>63</v>
      </c>
      <c r="J4404" s="72">
        <v>30607380</v>
      </c>
      <c r="K4404" s="99" t="str">
        <f>_xlfn.XLOOKUP(_2__ROI_Daily_Update[[#This Row],[CSM id]],SHP!F:F,SHP!EE:EE,"-")</f>
        <v>-</v>
      </c>
    </row>
    <row r="4405" spans="1:11" x14ac:dyDescent="0.45">
      <c r="A4405" s="57">
        <v>1511</v>
      </c>
      <c r="B4405" t="s">
        <v>2548</v>
      </c>
      <c r="C4405" t="s">
        <v>2549</v>
      </c>
      <c r="D4405" s="12">
        <v>46341</v>
      </c>
      <c r="E4405" s="11">
        <v>234</v>
      </c>
      <c r="F4405" s="11" t="s">
        <v>0</v>
      </c>
      <c r="G4405">
        <v>20251001</v>
      </c>
      <c r="I4405" s="11" t="s">
        <v>63</v>
      </c>
      <c r="J4405" s="72">
        <v>30607403</v>
      </c>
      <c r="K4405" s="99" t="str">
        <f>_xlfn.XLOOKUP(_2__ROI_Daily_Update[[#This Row],[CSM id]],SHP!F:F,SHP!EE:EE,"-")</f>
        <v>-</v>
      </c>
    </row>
    <row r="4406" spans="1:11" x14ac:dyDescent="0.45">
      <c r="A4406" s="57">
        <v>1512</v>
      </c>
      <c r="B4406" t="s">
        <v>5664</v>
      </c>
      <c r="C4406" t="s">
        <v>5665</v>
      </c>
      <c r="D4406" s="12">
        <v>46341</v>
      </c>
      <c r="E4406" s="11">
        <v>18</v>
      </c>
      <c r="F4406" s="11" t="s">
        <v>0</v>
      </c>
      <c r="G4406">
        <v>20210201</v>
      </c>
      <c r="H4406" s="12">
        <v>46388</v>
      </c>
      <c r="I4406" s="11" t="s">
        <v>63</v>
      </c>
      <c r="J4406" s="72">
        <v>20484110</v>
      </c>
      <c r="K4406" s="99" t="str">
        <f>_xlfn.XLOOKUP(_2__ROI_Daily_Update[[#This Row],[CSM id]],SHP!F:F,SHP!EE:EE,"-")</f>
        <v>-</v>
      </c>
    </row>
    <row r="4407" spans="1:11" x14ac:dyDescent="0.45">
      <c r="A4407" s="57">
        <v>1512</v>
      </c>
      <c r="B4407" t="s">
        <v>2646</v>
      </c>
      <c r="C4407" t="s">
        <v>2647</v>
      </c>
      <c r="D4407" s="12">
        <v>46341</v>
      </c>
      <c r="E4407" s="11">
        <v>60</v>
      </c>
      <c r="F4407" s="11" t="s">
        <v>0</v>
      </c>
      <c r="G4407">
        <v>20260701</v>
      </c>
      <c r="I4407" s="11" t="s">
        <v>63</v>
      </c>
      <c r="J4407" s="72">
        <v>603091</v>
      </c>
      <c r="K4407" s="99" t="str">
        <f>_xlfn.XLOOKUP(_2__ROI_Daily_Update[[#This Row],[CSM id]],SHP!F:F,SHP!EE:EE,"-")</f>
        <v>-</v>
      </c>
    </row>
    <row r="4408" spans="1:11" x14ac:dyDescent="0.45">
      <c r="A4408" s="57">
        <v>1511</v>
      </c>
      <c r="B4408" t="s">
        <v>2640</v>
      </c>
      <c r="C4408" t="s">
        <v>2641</v>
      </c>
      <c r="D4408" s="12">
        <v>46341</v>
      </c>
      <c r="E4408" s="11">
        <v>48</v>
      </c>
      <c r="F4408" s="11" t="s">
        <v>0</v>
      </c>
      <c r="G4408">
        <v>20261001</v>
      </c>
      <c r="I4408" s="11" t="s">
        <v>63</v>
      </c>
      <c r="J4408" s="72">
        <v>90636558</v>
      </c>
      <c r="K4408" s="99" t="str">
        <f>_xlfn.XLOOKUP(_2__ROI_Daily_Update[[#This Row],[CSM id]],SHP!F:F,SHP!EE:EE,"-")</f>
        <v>-</v>
      </c>
    </row>
    <row r="4409" spans="1:11" x14ac:dyDescent="0.45">
      <c r="A4409" s="57">
        <v>1511</v>
      </c>
      <c r="B4409" t="s">
        <v>2562</v>
      </c>
      <c r="C4409" t="s">
        <v>2563</v>
      </c>
      <c r="D4409" s="12">
        <v>46341</v>
      </c>
      <c r="E4409" s="11">
        <v>168</v>
      </c>
      <c r="F4409" s="11" t="s">
        <v>0</v>
      </c>
      <c r="G4409">
        <v>20251001</v>
      </c>
      <c r="I4409" s="11" t="s">
        <v>63</v>
      </c>
      <c r="J4409" s="72">
        <v>40609736</v>
      </c>
      <c r="K4409" s="99" t="str">
        <f>_xlfn.XLOOKUP(_2__ROI_Daily_Update[[#This Row],[CSM id]],SHP!F:F,SHP!EE:EE,"-")</f>
        <v>-</v>
      </c>
    </row>
    <row r="4410" spans="1:11" x14ac:dyDescent="0.45">
      <c r="A4410" s="57">
        <v>1511</v>
      </c>
      <c r="B4410" t="s">
        <v>2564</v>
      </c>
      <c r="C4410" t="s">
        <v>2565</v>
      </c>
      <c r="D4410" s="12">
        <v>46341</v>
      </c>
      <c r="E4410" s="11">
        <v>96</v>
      </c>
      <c r="F4410" s="11" t="s">
        <v>0</v>
      </c>
      <c r="G4410">
        <v>20260701</v>
      </c>
      <c r="I4410" s="11" t="s">
        <v>63</v>
      </c>
      <c r="J4410" s="72">
        <v>40631488</v>
      </c>
      <c r="K4410" s="99" t="str">
        <f>_xlfn.XLOOKUP(_2__ROI_Daily_Update[[#This Row],[CSM id]],SHP!F:F,SHP!EE:EE,"-")</f>
        <v>-</v>
      </c>
    </row>
    <row r="4411" spans="1:11" x14ac:dyDescent="0.45">
      <c r="A4411" s="57">
        <v>1511</v>
      </c>
      <c r="B4411" t="s">
        <v>6074</v>
      </c>
      <c r="C4411" t="s">
        <v>6075</v>
      </c>
      <c r="D4411" s="12">
        <v>46341</v>
      </c>
      <c r="E4411" s="11">
        <v>18</v>
      </c>
      <c r="F4411" s="11" t="s">
        <v>0</v>
      </c>
      <c r="G4411">
        <v>20260701</v>
      </c>
      <c r="I4411" s="11" t="s">
        <v>63</v>
      </c>
      <c r="J4411" s="72">
        <v>90621359</v>
      </c>
      <c r="K4411" s="99" t="str">
        <f>_xlfn.XLOOKUP(_2__ROI_Daily_Update[[#This Row],[CSM id]],SHP!F:F,SHP!EE:EE,"-")</f>
        <v>-</v>
      </c>
    </row>
    <row r="4412" spans="1:11" x14ac:dyDescent="0.45">
      <c r="A4412" s="57">
        <v>1511</v>
      </c>
      <c r="B4412" t="s">
        <v>2570</v>
      </c>
      <c r="C4412" t="s">
        <v>2571</v>
      </c>
      <c r="D4412" s="12">
        <v>46341</v>
      </c>
      <c r="E4412" s="11">
        <v>189</v>
      </c>
      <c r="F4412" s="11" t="s">
        <v>0</v>
      </c>
      <c r="G4412">
        <v>20250701</v>
      </c>
      <c r="I4412" s="11" t="s">
        <v>63</v>
      </c>
      <c r="J4412" s="72">
        <v>50600759</v>
      </c>
      <c r="K4412" s="99" t="str">
        <f>_xlfn.XLOOKUP(_2__ROI_Daily_Update[[#This Row],[CSM id]],SHP!F:F,SHP!EE:EE,"-")</f>
        <v>-</v>
      </c>
    </row>
    <row r="4413" spans="1:11" x14ac:dyDescent="0.45">
      <c r="A4413" s="57">
        <v>1511</v>
      </c>
      <c r="B4413" t="s">
        <v>6076</v>
      </c>
      <c r="C4413" t="s">
        <v>6077</v>
      </c>
      <c r="D4413" s="12">
        <v>46341</v>
      </c>
      <c r="E4413" s="11">
        <v>234</v>
      </c>
      <c r="F4413" s="11" t="s">
        <v>0</v>
      </c>
      <c r="G4413">
        <v>20251001</v>
      </c>
      <c r="I4413" s="11" t="s">
        <v>63</v>
      </c>
      <c r="J4413" s="72">
        <v>80607405</v>
      </c>
      <c r="K4413" s="99" t="str">
        <f>_xlfn.XLOOKUP(_2__ROI_Daily_Update[[#This Row],[CSM id]],SHP!F:F,SHP!EE:EE,"-")</f>
        <v>-</v>
      </c>
    </row>
    <row r="4414" spans="1:11" x14ac:dyDescent="0.45">
      <c r="A4414" s="57">
        <v>1511</v>
      </c>
      <c r="B4414" t="s">
        <v>2576</v>
      </c>
      <c r="C4414" t="s">
        <v>2577</v>
      </c>
      <c r="D4414" s="12">
        <v>46341</v>
      </c>
      <c r="E4414" s="11">
        <v>48</v>
      </c>
      <c r="F4414" s="11" t="s">
        <v>0</v>
      </c>
      <c r="G4414">
        <v>20261001</v>
      </c>
      <c r="I4414" s="11" t="s">
        <v>63</v>
      </c>
      <c r="J4414" s="72">
        <v>50636555</v>
      </c>
      <c r="K4414" s="99" t="str">
        <f>_xlfn.XLOOKUP(_2__ROI_Daily_Update[[#This Row],[CSM id]],SHP!F:F,SHP!EE:EE,"-")</f>
        <v>-</v>
      </c>
    </row>
    <row r="4415" spans="1:11" x14ac:dyDescent="0.45">
      <c r="A4415" s="57">
        <v>1511</v>
      </c>
      <c r="B4415" t="s">
        <v>2616</v>
      </c>
      <c r="C4415" t="s">
        <v>2617</v>
      </c>
      <c r="D4415" s="12">
        <v>46341</v>
      </c>
      <c r="E4415" s="11">
        <v>12</v>
      </c>
      <c r="F4415" s="11" t="s">
        <v>0</v>
      </c>
      <c r="G4415">
        <v>20260401</v>
      </c>
      <c r="H4415" s="12">
        <v>46478</v>
      </c>
      <c r="I4415" s="11" t="s">
        <v>63</v>
      </c>
      <c r="J4415" s="72">
        <v>70614294</v>
      </c>
      <c r="K4415" s="99" t="str">
        <f>_xlfn.XLOOKUP(_2__ROI_Daily_Update[[#This Row],[CSM id]],SHP!F:F,SHP!EE:EE,"-")</f>
        <v>-</v>
      </c>
    </row>
    <row r="4416" spans="1:11" x14ac:dyDescent="0.45">
      <c r="A4416" s="57">
        <v>1511</v>
      </c>
      <c r="B4416" t="s">
        <v>5224</v>
      </c>
      <c r="C4416" t="s">
        <v>5225</v>
      </c>
      <c r="D4416" s="12">
        <v>46341</v>
      </c>
      <c r="E4416" s="11">
        <v>108</v>
      </c>
      <c r="F4416" s="11" t="s">
        <v>0</v>
      </c>
      <c r="G4416">
        <v>20250701</v>
      </c>
      <c r="I4416" s="11" t="s">
        <v>63</v>
      </c>
      <c r="J4416" s="72">
        <v>60600749</v>
      </c>
      <c r="K4416" s="99" t="str">
        <f>_xlfn.XLOOKUP(_2__ROI_Daily_Update[[#This Row],[CSM id]],SHP!F:F,SHP!EE:EE,"-")</f>
        <v>-</v>
      </c>
    </row>
    <row r="4417" spans="1:11" x14ac:dyDescent="0.45">
      <c r="A4417" s="57">
        <v>1511</v>
      </c>
      <c r="B4417" t="s">
        <v>2608</v>
      </c>
      <c r="C4417" t="s">
        <v>2609</v>
      </c>
      <c r="D4417" s="12">
        <v>46341</v>
      </c>
      <c r="E4417" s="11">
        <v>187</v>
      </c>
      <c r="F4417" s="11" t="s">
        <v>0</v>
      </c>
      <c r="G4417">
        <v>20251001</v>
      </c>
      <c r="I4417" s="11" t="s">
        <v>63</v>
      </c>
      <c r="J4417" s="72">
        <v>70607806</v>
      </c>
      <c r="K4417" s="99" t="str">
        <f>_xlfn.XLOOKUP(_2__ROI_Daily_Update[[#This Row],[CSM id]],SHP!F:F,SHP!EE:EE,"-")</f>
        <v>-</v>
      </c>
    </row>
    <row r="4418" spans="1:11" x14ac:dyDescent="0.45">
      <c r="A4418" s="57">
        <v>1511</v>
      </c>
      <c r="B4418" t="s">
        <v>2590</v>
      </c>
      <c r="C4418" t="s">
        <v>2591</v>
      </c>
      <c r="D4418" s="12">
        <v>46341</v>
      </c>
      <c r="E4418" s="11">
        <v>324</v>
      </c>
      <c r="F4418" s="11" t="s">
        <v>0</v>
      </c>
      <c r="G4418">
        <v>20260701</v>
      </c>
      <c r="I4418" s="11" t="s">
        <v>63</v>
      </c>
      <c r="J4418" s="72">
        <v>60609778</v>
      </c>
      <c r="K4418" s="99" t="str">
        <f>_xlfn.XLOOKUP(_2__ROI_Daily_Update[[#This Row],[CSM id]],SHP!F:F,SHP!EE:EE,"-")</f>
        <v>-</v>
      </c>
    </row>
    <row r="4419" spans="1:11" x14ac:dyDescent="0.45">
      <c r="A4419" s="57">
        <v>1511</v>
      </c>
      <c r="B4419" t="s">
        <v>2606</v>
      </c>
      <c r="C4419" t="s">
        <v>2607</v>
      </c>
      <c r="D4419" s="12">
        <v>46341</v>
      </c>
      <c r="E4419" s="11">
        <v>72</v>
      </c>
      <c r="F4419" s="11" t="s">
        <v>0</v>
      </c>
      <c r="G4419">
        <v>20251001</v>
      </c>
      <c r="H4419" s="12">
        <v>46478</v>
      </c>
      <c r="I4419" s="11" t="s">
        <v>63</v>
      </c>
      <c r="J4419" s="72">
        <v>70607731</v>
      </c>
      <c r="K4419" s="99" t="str">
        <f>_xlfn.XLOOKUP(_2__ROI_Daily_Update[[#This Row],[CSM id]],SHP!F:F,SHP!EE:EE,"-")</f>
        <v>-</v>
      </c>
    </row>
    <row r="4420" spans="1:11" x14ac:dyDescent="0.45">
      <c r="A4420" s="57">
        <v>1511</v>
      </c>
      <c r="B4420" t="s">
        <v>2600</v>
      </c>
      <c r="C4420" t="s">
        <v>2601</v>
      </c>
      <c r="D4420" s="12">
        <v>46341</v>
      </c>
      <c r="E4420" s="11">
        <v>238</v>
      </c>
      <c r="F4420" s="11" t="s">
        <v>0</v>
      </c>
      <c r="G4420">
        <v>20241001</v>
      </c>
      <c r="I4420" s="11" t="s">
        <v>63</v>
      </c>
      <c r="J4420" s="72">
        <v>70581496</v>
      </c>
      <c r="K4420" s="99" t="str">
        <f>_xlfn.XLOOKUP(_2__ROI_Daily_Update[[#This Row],[CSM id]],SHP!F:F,SHP!EE:EE,"-")</f>
        <v>-</v>
      </c>
    </row>
    <row r="4421" spans="1:11" x14ac:dyDescent="0.45">
      <c r="A4421" s="57">
        <v>1521</v>
      </c>
      <c r="B4421" t="s">
        <v>6070</v>
      </c>
      <c r="C4421" t="s">
        <v>6071</v>
      </c>
      <c r="D4421" s="12">
        <v>46341</v>
      </c>
      <c r="E4421" s="11">
        <v>384</v>
      </c>
      <c r="F4421" s="11" t="s">
        <v>0</v>
      </c>
      <c r="G4421">
        <v>20260701</v>
      </c>
      <c r="I4421" s="11" t="s">
        <v>63</v>
      </c>
      <c r="J4421" s="72">
        <v>20627623</v>
      </c>
      <c r="K4421" s="99" t="str">
        <f>_xlfn.XLOOKUP(_2__ROI_Daily_Update[[#This Row],[CSM id]],SHP!F:F,SHP!EE:EE,"-")</f>
        <v>-</v>
      </c>
    </row>
    <row r="4422" spans="1:11" x14ac:dyDescent="0.45">
      <c r="A4422" s="57">
        <v>1511</v>
      </c>
      <c r="B4422" t="s">
        <v>6078</v>
      </c>
      <c r="C4422" t="s">
        <v>6079</v>
      </c>
      <c r="D4422" s="12">
        <v>46341</v>
      </c>
      <c r="E4422" s="11">
        <v>512</v>
      </c>
      <c r="F4422" s="11" t="s">
        <v>0</v>
      </c>
      <c r="G4422">
        <v>20260201</v>
      </c>
      <c r="I4422" s="11" t="s">
        <v>63</v>
      </c>
      <c r="J4422" s="72">
        <v>10613792</v>
      </c>
      <c r="K4422" s="99" t="str">
        <f>_xlfn.XLOOKUP(_2__ROI_Daily_Update[[#This Row],[CSM id]],SHP!F:F,SHP!EE:EE,"-")</f>
        <v>-</v>
      </c>
    </row>
    <row r="4423" spans="1:11" x14ac:dyDescent="0.45">
      <c r="A4423" s="57">
        <v>1511</v>
      </c>
      <c r="B4423" t="s">
        <v>2540</v>
      </c>
      <c r="C4423" t="s">
        <v>2541</v>
      </c>
      <c r="D4423" s="12">
        <v>46341</v>
      </c>
      <c r="E4423" s="11">
        <v>29</v>
      </c>
      <c r="F4423" s="11" t="s">
        <v>0</v>
      </c>
      <c r="G4423">
        <v>20261001</v>
      </c>
      <c r="H4423" s="12">
        <v>46388</v>
      </c>
      <c r="I4423" s="11" t="s">
        <v>63</v>
      </c>
      <c r="J4423" s="72">
        <v>20633723</v>
      </c>
      <c r="K4423" s="99" t="str">
        <f>_xlfn.XLOOKUP(_2__ROI_Daily_Update[[#This Row],[CSM id]],SHP!F:F,SHP!EE:EE,"-")</f>
        <v>-</v>
      </c>
    </row>
    <row r="4424" spans="1:11" x14ac:dyDescent="0.45">
      <c r="A4424" s="57">
        <v>1531</v>
      </c>
      <c r="B4424" t="s">
        <v>2742</v>
      </c>
      <c r="C4424" t="s">
        <v>2743</v>
      </c>
      <c r="D4424" s="12">
        <v>46341</v>
      </c>
      <c r="E4424" s="11">
        <v>1040</v>
      </c>
      <c r="F4424" s="11" t="s">
        <v>0</v>
      </c>
      <c r="G4424">
        <v>20240401</v>
      </c>
      <c r="I4424" s="11" t="s">
        <v>63</v>
      </c>
      <c r="J4424" s="72">
        <v>50573322</v>
      </c>
      <c r="K4424" s="99" t="str">
        <f>_xlfn.XLOOKUP(_2__ROI_Daily_Update[[#This Row],[CSM id]],SHP!F:F,SHP!EE:EE,"-")</f>
        <v>-</v>
      </c>
    </row>
    <row r="4425" spans="1:11" x14ac:dyDescent="0.45">
      <c r="A4425" s="57">
        <v>1541</v>
      </c>
      <c r="B4425" t="s">
        <v>2767</v>
      </c>
      <c r="C4425" t="s">
        <v>2768</v>
      </c>
      <c r="D4425" s="12">
        <v>46341</v>
      </c>
      <c r="E4425" s="11">
        <v>136</v>
      </c>
      <c r="F4425" s="11" t="s">
        <v>0</v>
      </c>
      <c r="G4425">
        <v>20261001</v>
      </c>
      <c r="H4425" s="12">
        <v>46388</v>
      </c>
      <c r="I4425" s="11" t="s">
        <v>63</v>
      </c>
      <c r="J4425" s="72">
        <v>30633831</v>
      </c>
      <c r="K4425" s="99" t="str">
        <f>_xlfn.XLOOKUP(_2__ROI_Daily_Update[[#This Row],[CSM id]],SHP!F:F,SHP!EE:EE,"-")</f>
        <v>-</v>
      </c>
    </row>
    <row r="4426" spans="1:11" x14ac:dyDescent="0.45">
      <c r="A4426" s="57">
        <v>1541</v>
      </c>
      <c r="B4426" t="s">
        <v>2777</v>
      </c>
      <c r="C4426" t="s">
        <v>2778</v>
      </c>
      <c r="D4426" s="12">
        <v>46341</v>
      </c>
      <c r="E4426" s="11">
        <v>264</v>
      </c>
      <c r="F4426" s="11" t="s">
        <v>0</v>
      </c>
      <c r="G4426">
        <v>20261001</v>
      </c>
      <c r="H4426" s="12">
        <v>46388</v>
      </c>
      <c r="I4426" s="11" t="s">
        <v>63</v>
      </c>
      <c r="J4426" s="72">
        <v>70633283</v>
      </c>
      <c r="K4426" s="99" t="str">
        <f>_xlfn.XLOOKUP(_2__ROI_Daily_Update[[#This Row],[CSM id]],SHP!F:F,SHP!EE:EE,"-")</f>
        <v>-</v>
      </c>
    </row>
    <row r="4427" spans="1:11" x14ac:dyDescent="0.45">
      <c r="A4427" s="57">
        <v>1511</v>
      </c>
      <c r="B4427" t="s">
        <v>2522</v>
      </c>
      <c r="C4427" t="s">
        <v>2523</v>
      </c>
      <c r="D4427" s="12">
        <v>46341</v>
      </c>
      <c r="E4427" s="11">
        <v>44</v>
      </c>
      <c r="F4427" s="11" t="s">
        <v>0</v>
      </c>
      <c r="G4427">
        <v>20251001</v>
      </c>
      <c r="H4427" s="12">
        <v>46478</v>
      </c>
      <c r="I4427" s="11" t="s">
        <v>63</v>
      </c>
      <c r="J4427" s="72">
        <v>10607734</v>
      </c>
      <c r="K4427" s="99" t="str">
        <f>_xlfn.XLOOKUP(_2__ROI_Daily_Update[[#This Row],[CSM id]],SHP!F:F,SHP!EE:EE,"-")</f>
        <v>-</v>
      </c>
    </row>
    <row r="4428" spans="1:11" x14ac:dyDescent="0.45">
      <c r="A4428" s="57">
        <v>1531</v>
      </c>
      <c r="B4428" t="s">
        <v>2758</v>
      </c>
      <c r="C4428" t="s">
        <v>2759</v>
      </c>
      <c r="D4428" s="12">
        <v>46341</v>
      </c>
      <c r="E4428" s="11">
        <v>48</v>
      </c>
      <c r="F4428" s="11" t="s">
        <v>0</v>
      </c>
      <c r="G4428">
        <v>20220401</v>
      </c>
      <c r="H4428" s="12">
        <v>46478</v>
      </c>
      <c r="I4428" s="11" t="s">
        <v>63</v>
      </c>
      <c r="J4428" s="72">
        <v>90521034</v>
      </c>
      <c r="K4428" s="99" t="str">
        <f>_xlfn.XLOOKUP(_2__ROI_Daily_Update[[#This Row],[CSM id]],SHP!F:F,SHP!EE:EE,"-")</f>
        <v>-</v>
      </c>
    </row>
    <row r="4429" spans="1:11" x14ac:dyDescent="0.45">
      <c r="A4429" s="57">
        <v>1431</v>
      </c>
      <c r="B4429" t="s">
        <v>5789</v>
      </c>
      <c r="C4429" t="s">
        <v>5790</v>
      </c>
      <c r="D4429" s="12">
        <v>46341</v>
      </c>
      <c r="E4429" s="11">
        <v>56</v>
      </c>
      <c r="F4429" s="11" t="s">
        <v>0</v>
      </c>
      <c r="G4429">
        <v>20230401</v>
      </c>
      <c r="I4429" s="11" t="s">
        <v>63</v>
      </c>
      <c r="J4429" s="72">
        <v>80523463</v>
      </c>
      <c r="K4429" s="99" t="str">
        <f>_xlfn.XLOOKUP(_2__ROI_Daily_Update[[#This Row],[CSM id]],SHP!F:F,SHP!EE:EE,"-")</f>
        <v>-</v>
      </c>
    </row>
    <row r="4430" spans="1:11" x14ac:dyDescent="0.45">
      <c r="A4430" s="57">
        <v>1531</v>
      </c>
      <c r="B4430" t="s">
        <v>2754</v>
      </c>
      <c r="C4430" t="s">
        <v>2755</v>
      </c>
      <c r="D4430" s="12">
        <v>46341</v>
      </c>
      <c r="E4430" s="11">
        <v>75</v>
      </c>
      <c r="F4430" s="11" t="s">
        <v>0</v>
      </c>
      <c r="G4430">
        <v>20190801</v>
      </c>
      <c r="I4430" s="11" t="s">
        <v>63</v>
      </c>
      <c r="J4430" s="72">
        <v>80428480</v>
      </c>
      <c r="K4430" s="99" t="str">
        <f>_xlfn.XLOOKUP(_2__ROI_Daily_Update[[#This Row],[CSM id]],SHP!F:F,SHP!EE:EE,"-")</f>
        <v>-</v>
      </c>
    </row>
    <row r="4431" spans="1:11" x14ac:dyDescent="0.45">
      <c r="A4431" s="57">
        <v>1531</v>
      </c>
      <c r="B4431" t="s">
        <v>5658</v>
      </c>
      <c r="C4431" t="s">
        <v>5659</v>
      </c>
      <c r="D4431" s="12">
        <v>46341</v>
      </c>
      <c r="E4431" s="11">
        <v>84</v>
      </c>
      <c r="F4431" s="11" t="s">
        <v>0</v>
      </c>
      <c r="G4431">
        <v>20141201</v>
      </c>
      <c r="I4431" s="11" t="s">
        <v>63</v>
      </c>
      <c r="J4431" s="72">
        <v>60177661</v>
      </c>
      <c r="K4431" s="99" t="str">
        <f>_xlfn.XLOOKUP(_2__ROI_Daily_Update[[#This Row],[CSM id]],SHP!F:F,SHP!EE:EE,"-")</f>
        <v>-</v>
      </c>
    </row>
    <row r="4432" spans="1:11" x14ac:dyDescent="0.45">
      <c r="A4432" s="57">
        <v>1531</v>
      </c>
      <c r="B4432" t="s">
        <v>2746</v>
      </c>
      <c r="C4432" t="s">
        <v>2747</v>
      </c>
      <c r="D4432" s="12">
        <v>46341</v>
      </c>
      <c r="E4432" s="11">
        <v>984</v>
      </c>
      <c r="F4432" s="11" t="s">
        <v>0</v>
      </c>
      <c r="G4432">
        <v>20260101</v>
      </c>
      <c r="I4432" s="11" t="s">
        <v>63</v>
      </c>
      <c r="J4432" s="72">
        <v>50610070</v>
      </c>
      <c r="K4432" s="99" t="str">
        <f>_xlfn.XLOOKUP(_2__ROI_Daily_Update[[#This Row],[CSM id]],SHP!F:F,SHP!EE:EE,"-")</f>
        <v>-</v>
      </c>
    </row>
    <row r="4433" spans="1:11" x14ac:dyDescent="0.45">
      <c r="A4433" s="57">
        <v>1541</v>
      </c>
      <c r="B4433" t="s">
        <v>2781</v>
      </c>
      <c r="C4433" t="s">
        <v>2782</v>
      </c>
      <c r="D4433" s="12">
        <v>46341</v>
      </c>
      <c r="E4433" s="11">
        <v>300</v>
      </c>
      <c r="F4433" s="11" t="s">
        <v>0</v>
      </c>
      <c r="G4433">
        <v>20261001</v>
      </c>
      <c r="H4433" s="12">
        <v>46388</v>
      </c>
      <c r="I4433" s="11" t="s">
        <v>63</v>
      </c>
      <c r="J4433" s="72">
        <v>90633833</v>
      </c>
      <c r="K4433" s="99" t="str">
        <f>_xlfn.XLOOKUP(_2__ROI_Daily_Update[[#This Row],[CSM id]],SHP!F:F,SHP!EE:EE,"-")</f>
        <v>-</v>
      </c>
    </row>
    <row r="4434" spans="1:11" x14ac:dyDescent="0.45">
      <c r="A4434" s="57">
        <v>1551</v>
      </c>
      <c r="B4434" t="s">
        <v>5481</v>
      </c>
      <c r="C4434" t="s">
        <v>5482</v>
      </c>
      <c r="D4434" s="12">
        <v>46341</v>
      </c>
      <c r="E4434" s="11">
        <v>40</v>
      </c>
      <c r="F4434" s="11" t="s">
        <v>0</v>
      </c>
      <c r="G4434">
        <v>20250101</v>
      </c>
      <c r="I4434" s="11" t="s">
        <v>63</v>
      </c>
      <c r="J4434" s="72">
        <v>597523</v>
      </c>
      <c r="K4434" s="99" t="str">
        <f>_xlfn.XLOOKUP(_2__ROI_Daily_Update[[#This Row],[CSM id]],SHP!F:F,SHP!EE:EE,"-")</f>
        <v>-</v>
      </c>
    </row>
    <row r="4435" spans="1:11" x14ac:dyDescent="0.45">
      <c r="A4435" s="57">
        <v>1541</v>
      </c>
      <c r="B4435" t="s">
        <v>2771</v>
      </c>
      <c r="C4435" t="s">
        <v>2772</v>
      </c>
      <c r="D4435" s="12">
        <v>46341</v>
      </c>
      <c r="E4435" s="11">
        <v>70</v>
      </c>
      <c r="F4435" s="11" t="s">
        <v>0</v>
      </c>
      <c r="G4435">
        <v>20261001</v>
      </c>
      <c r="H4435" s="12">
        <v>46388</v>
      </c>
      <c r="I4435" s="11" t="s">
        <v>63</v>
      </c>
      <c r="J4435" s="72">
        <v>40642707</v>
      </c>
      <c r="K4435" s="99" t="str">
        <f>_xlfn.XLOOKUP(_2__ROI_Daily_Update[[#This Row],[CSM id]],SHP!F:F,SHP!EE:EE,"-")</f>
        <v>-</v>
      </c>
    </row>
    <row r="4436" spans="1:11" x14ac:dyDescent="0.45">
      <c r="A4436" s="57">
        <v>1551</v>
      </c>
      <c r="B4436" t="s">
        <v>2813</v>
      </c>
      <c r="C4436" t="s">
        <v>2814</v>
      </c>
      <c r="D4436" s="12">
        <v>46341</v>
      </c>
      <c r="E4436" s="11">
        <v>36</v>
      </c>
      <c r="F4436" s="11" t="s">
        <v>0</v>
      </c>
      <c r="G4436">
        <v>20261001</v>
      </c>
      <c r="H4436" s="12">
        <v>46388</v>
      </c>
      <c r="I4436" s="11" t="s">
        <v>63</v>
      </c>
      <c r="J4436" s="72">
        <v>40633835</v>
      </c>
      <c r="K4436" s="99" t="str">
        <f>_xlfn.XLOOKUP(_2__ROI_Daily_Update[[#This Row],[CSM id]],SHP!F:F,SHP!EE:EE,"-")</f>
        <v>-</v>
      </c>
    </row>
    <row r="4437" spans="1:11" x14ac:dyDescent="0.45">
      <c r="A4437" s="57">
        <v>1531</v>
      </c>
      <c r="B4437" t="s">
        <v>2738</v>
      </c>
      <c r="C4437" t="s">
        <v>2739</v>
      </c>
      <c r="D4437" s="12">
        <v>46341</v>
      </c>
      <c r="E4437" s="11">
        <v>42</v>
      </c>
      <c r="F4437" s="11" t="s">
        <v>0</v>
      </c>
      <c r="G4437">
        <v>20190801</v>
      </c>
      <c r="I4437" s="11" t="s">
        <v>63</v>
      </c>
      <c r="J4437" s="72">
        <v>50428486</v>
      </c>
      <c r="K4437" s="99" t="str">
        <f>_xlfn.XLOOKUP(_2__ROI_Daily_Update[[#This Row],[CSM id]],SHP!F:F,SHP!EE:EE,"-")</f>
        <v>-</v>
      </c>
    </row>
    <row r="4438" spans="1:11" x14ac:dyDescent="0.45">
      <c r="A4438" s="57">
        <v>1531</v>
      </c>
      <c r="B4438" t="s">
        <v>2736</v>
      </c>
      <c r="C4438" t="s">
        <v>2737</v>
      </c>
      <c r="D4438" s="12">
        <v>46341</v>
      </c>
      <c r="E4438" s="11">
        <v>11</v>
      </c>
      <c r="F4438" s="11" t="s">
        <v>0</v>
      </c>
      <c r="G4438">
        <v>20241001</v>
      </c>
      <c r="H4438" s="12">
        <v>46388</v>
      </c>
      <c r="I4438" s="11" t="s">
        <v>63</v>
      </c>
      <c r="J4438" s="72">
        <v>40565921</v>
      </c>
      <c r="K4438" s="99" t="str">
        <f>_xlfn.XLOOKUP(_2__ROI_Daily_Update[[#This Row],[CSM id]],SHP!F:F,SHP!EE:EE,"-")</f>
        <v>-</v>
      </c>
    </row>
    <row r="4439" spans="1:11" x14ac:dyDescent="0.45">
      <c r="A4439" s="57">
        <v>1531</v>
      </c>
      <c r="B4439" t="s">
        <v>2734</v>
      </c>
      <c r="C4439" t="s">
        <v>2735</v>
      </c>
      <c r="D4439" s="12">
        <v>46341</v>
      </c>
      <c r="E4439" s="11">
        <v>40</v>
      </c>
      <c r="F4439" s="11" t="s">
        <v>0</v>
      </c>
      <c r="G4439">
        <v>20220401</v>
      </c>
      <c r="H4439" s="12">
        <v>46478</v>
      </c>
      <c r="I4439" s="11" t="s">
        <v>63</v>
      </c>
      <c r="J4439" s="72">
        <v>40521041</v>
      </c>
      <c r="K4439" s="99" t="str">
        <f>_xlfn.XLOOKUP(_2__ROI_Daily_Update[[#This Row],[CSM id]],SHP!F:F,SHP!EE:EE,"-")</f>
        <v>-</v>
      </c>
    </row>
    <row r="4440" spans="1:11" x14ac:dyDescent="0.45">
      <c r="A4440" s="57">
        <v>1531</v>
      </c>
      <c r="B4440" t="s">
        <v>2732</v>
      </c>
      <c r="C4440" t="s">
        <v>2733</v>
      </c>
      <c r="D4440" s="12">
        <v>46341</v>
      </c>
      <c r="E4440" s="11">
        <v>480</v>
      </c>
      <c r="F4440" s="11" t="s">
        <v>0</v>
      </c>
      <c r="G4440">
        <v>20180601</v>
      </c>
      <c r="I4440" s="11" t="s">
        <v>63</v>
      </c>
      <c r="J4440" s="72">
        <v>40293874</v>
      </c>
      <c r="K4440" s="99" t="str">
        <f>_xlfn.XLOOKUP(_2__ROI_Daily_Update[[#This Row],[CSM id]],SHP!F:F,SHP!EE:EE,"-")</f>
        <v>-</v>
      </c>
    </row>
    <row r="4441" spans="1:11" x14ac:dyDescent="0.45">
      <c r="A4441" s="57">
        <v>1531</v>
      </c>
      <c r="B4441" t="s">
        <v>2722</v>
      </c>
      <c r="C4441" t="s">
        <v>2723</v>
      </c>
      <c r="D4441" s="12">
        <v>46341</v>
      </c>
      <c r="E4441" s="11">
        <v>24</v>
      </c>
      <c r="F4441" s="11" t="s">
        <v>0</v>
      </c>
      <c r="G4441">
        <v>20141201</v>
      </c>
      <c r="H4441" s="12">
        <v>46661</v>
      </c>
      <c r="I4441" s="11" t="s">
        <v>63</v>
      </c>
      <c r="J4441" s="72">
        <v>237875</v>
      </c>
      <c r="K4441" s="99" t="str">
        <f>_xlfn.XLOOKUP(_2__ROI_Daily_Update[[#This Row],[CSM id]],SHP!F:F,SHP!EE:EE,"-")</f>
        <v>-</v>
      </c>
    </row>
    <row r="4442" spans="1:11" x14ac:dyDescent="0.45">
      <c r="A4442" s="57">
        <v>1511</v>
      </c>
      <c r="B4442" t="s">
        <v>2510</v>
      </c>
      <c r="C4442" t="s">
        <v>2511</v>
      </c>
      <c r="D4442" s="12">
        <v>46341</v>
      </c>
      <c r="E4442" s="11">
        <v>126</v>
      </c>
      <c r="F4442" s="11" t="s">
        <v>0</v>
      </c>
      <c r="G4442">
        <v>20260701</v>
      </c>
      <c r="I4442" s="11" t="s">
        <v>63</v>
      </c>
      <c r="J4442" s="72">
        <v>631490</v>
      </c>
      <c r="K4442" s="99" t="str">
        <f>_xlfn.XLOOKUP(_2__ROI_Daily_Update[[#This Row],[CSM id]],SHP!F:F,SHP!EE:EE,"-")</f>
        <v>-</v>
      </c>
    </row>
    <row r="4443" spans="1:11" x14ac:dyDescent="0.45">
      <c r="A4443" s="57">
        <v>1521</v>
      </c>
      <c r="B4443" t="s">
        <v>2704</v>
      </c>
      <c r="C4443" t="s">
        <v>2705</v>
      </c>
      <c r="D4443" s="12">
        <v>46341</v>
      </c>
      <c r="E4443" s="11">
        <v>720</v>
      </c>
      <c r="F4443" s="11" t="s">
        <v>0</v>
      </c>
      <c r="G4443">
        <v>20250701</v>
      </c>
      <c r="I4443" s="11" t="s">
        <v>63</v>
      </c>
      <c r="J4443" s="72">
        <v>90596722</v>
      </c>
      <c r="K4443" s="99" t="str">
        <f>_xlfn.XLOOKUP(_2__ROI_Daily_Update[[#This Row],[CSM id]],SHP!F:F,SHP!EE:EE,"-")</f>
        <v>-</v>
      </c>
    </row>
    <row r="4444" spans="1:11" x14ac:dyDescent="0.45">
      <c r="A4444" s="57">
        <v>1511</v>
      </c>
      <c r="B4444" t="s">
        <v>2596</v>
      </c>
      <c r="C4444" t="s">
        <v>2597</v>
      </c>
      <c r="D4444" s="12">
        <v>46341</v>
      </c>
      <c r="E4444" s="11">
        <v>24</v>
      </c>
      <c r="F4444" s="11" t="s">
        <v>0</v>
      </c>
      <c r="G4444">
        <v>20261001</v>
      </c>
      <c r="H4444" s="12">
        <v>46388</v>
      </c>
      <c r="I4444" s="11" t="s">
        <v>63</v>
      </c>
      <c r="J4444" s="72">
        <v>60633721</v>
      </c>
      <c r="K4444" s="99" t="str">
        <f>_xlfn.XLOOKUP(_2__ROI_Daily_Update[[#This Row],[CSM id]],SHP!F:F,SHP!EE:EE,"-")</f>
        <v>-</v>
      </c>
    </row>
    <row r="4445" spans="1:11" x14ac:dyDescent="0.45">
      <c r="A4445" s="57">
        <v>971</v>
      </c>
      <c r="B4445" t="s">
        <v>847</v>
      </c>
      <c r="C4445" t="s">
        <v>848</v>
      </c>
      <c r="D4445" s="12">
        <v>46342</v>
      </c>
      <c r="E4445" s="11">
        <v>32</v>
      </c>
      <c r="F4445" s="11" t="s">
        <v>7798</v>
      </c>
      <c r="G4445">
        <v>20260201</v>
      </c>
      <c r="I4445" s="11" t="s">
        <v>32</v>
      </c>
      <c r="J4445" s="72">
        <v>60602084</v>
      </c>
      <c r="K4445" s="99" t="str">
        <f>_xlfn.XLOOKUP(_2__ROI_Daily_Update[[#This Row],[CSM id]],SHP!F:F,SHP!EE:EE,"-")</f>
        <v>-</v>
      </c>
    </row>
    <row r="4446" spans="1:11" x14ac:dyDescent="0.45">
      <c r="A4446" s="57">
        <v>971</v>
      </c>
      <c r="B4446" t="s">
        <v>831</v>
      </c>
      <c r="C4446" t="s">
        <v>832</v>
      </c>
      <c r="D4446" s="12">
        <v>46342</v>
      </c>
      <c r="E4446" s="11">
        <v>224</v>
      </c>
      <c r="F4446" s="11" t="s">
        <v>7798</v>
      </c>
      <c r="G4446">
        <v>20140801</v>
      </c>
      <c r="I4446" s="11" t="s">
        <v>32</v>
      </c>
      <c r="J4446" s="72">
        <v>30169342</v>
      </c>
      <c r="K4446" s="99" t="str">
        <f>_xlfn.XLOOKUP(_2__ROI_Daily_Update[[#This Row],[CSM id]],SHP!F:F,SHP!EE:EE,"-")</f>
        <v>-</v>
      </c>
    </row>
    <row r="4447" spans="1:11" x14ac:dyDescent="0.45">
      <c r="A4447" s="57">
        <v>971</v>
      </c>
      <c r="B4447" t="s">
        <v>843</v>
      </c>
      <c r="C4447" t="s">
        <v>844</v>
      </c>
      <c r="D4447" s="12">
        <v>46342</v>
      </c>
      <c r="E4447" s="11">
        <v>168</v>
      </c>
      <c r="F4447" s="11" t="s">
        <v>7798</v>
      </c>
      <c r="G4447">
        <v>20151201</v>
      </c>
      <c r="I4447" s="11" t="s">
        <v>32</v>
      </c>
      <c r="J4447" s="72">
        <v>50298102</v>
      </c>
      <c r="K4447" s="99" t="str">
        <f>_xlfn.XLOOKUP(_2__ROI_Daily_Update[[#This Row],[CSM id]],SHP!F:F,SHP!EE:EE,"-")</f>
        <v>-</v>
      </c>
    </row>
    <row r="4448" spans="1:11" x14ac:dyDescent="0.45">
      <c r="A4448" s="57">
        <v>972</v>
      </c>
      <c r="B4448" t="s">
        <v>869</v>
      </c>
      <c r="C4448" t="s">
        <v>870</v>
      </c>
      <c r="D4448" s="12">
        <v>46342</v>
      </c>
      <c r="E4448" s="11">
        <v>272</v>
      </c>
      <c r="F4448" s="11" t="s">
        <v>7798</v>
      </c>
      <c r="G4448">
        <v>20140801</v>
      </c>
      <c r="I4448" s="11" t="s">
        <v>32</v>
      </c>
      <c r="J4448" s="72">
        <v>20262005</v>
      </c>
      <c r="K4448" s="99" t="str">
        <f>_xlfn.XLOOKUP(_2__ROI_Daily_Update[[#This Row],[CSM id]],SHP!F:F,SHP!EE:EE,"-")</f>
        <v>-</v>
      </c>
    </row>
    <row r="4449" spans="1:11" x14ac:dyDescent="0.45">
      <c r="A4449" s="57">
        <v>971</v>
      </c>
      <c r="B4449" t="s">
        <v>835</v>
      </c>
      <c r="C4449" t="s">
        <v>836</v>
      </c>
      <c r="D4449" s="12">
        <v>46342</v>
      </c>
      <c r="E4449" s="11">
        <v>288</v>
      </c>
      <c r="F4449" s="11" t="s">
        <v>7798</v>
      </c>
      <c r="G4449">
        <v>20180401</v>
      </c>
      <c r="I4449" s="11" t="s">
        <v>32</v>
      </c>
      <c r="J4449" s="72">
        <v>30402840</v>
      </c>
      <c r="K4449" s="99" t="str">
        <f>_xlfn.XLOOKUP(_2__ROI_Daily_Update[[#This Row],[CSM id]],SHP!F:F,SHP!EE:EE,"-")</f>
        <v>-</v>
      </c>
    </row>
    <row r="4450" spans="1:11" x14ac:dyDescent="0.45">
      <c r="A4450" s="57">
        <v>971</v>
      </c>
      <c r="B4450" t="s">
        <v>833</v>
      </c>
      <c r="C4450" t="s">
        <v>834</v>
      </c>
      <c r="D4450" s="12">
        <v>46342</v>
      </c>
      <c r="E4450" s="11">
        <v>128</v>
      </c>
      <c r="F4450" s="11" t="s">
        <v>7798</v>
      </c>
      <c r="G4450">
        <v>20151201</v>
      </c>
      <c r="I4450" s="11" t="s">
        <v>32</v>
      </c>
      <c r="J4450" s="72">
        <v>30297995</v>
      </c>
      <c r="K4450" s="99" t="str">
        <f>_xlfn.XLOOKUP(_2__ROI_Daily_Update[[#This Row],[CSM id]],SHP!F:F,SHP!EE:EE,"-")</f>
        <v>-</v>
      </c>
    </row>
    <row r="4451" spans="1:11" x14ac:dyDescent="0.45">
      <c r="A4451" s="57">
        <v>971</v>
      </c>
      <c r="B4451" t="s">
        <v>5670</v>
      </c>
      <c r="C4451" t="s">
        <v>5671</v>
      </c>
      <c r="D4451" s="12">
        <v>46342</v>
      </c>
      <c r="E4451" s="11">
        <v>192</v>
      </c>
      <c r="F4451" s="11" t="s">
        <v>7798</v>
      </c>
      <c r="G4451">
        <v>20260201</v>
      </c>
      <c r="I4451" s="11" t="s">
        <v>32</v>
      </c>
      <c r="J4451" s="72">
        <v>607051</v>
      </c>
      <c r="K4451" s="99" t="str">
        <f>_xlfn.XLOOKUP(_2__ROI_Daily_Update[[#This Row],[CSM id]],SHP!F:F,SHP!EE:EE,"-")</f>
        <v>-</v>
      </c>
    </row>
    <row r="4452" spans="1:11" x14ac:dyDescent="0.45">
      <c r="A4452" s="57">
        <v>971</v>
      </c>
      <c r="B4452" t="s">
        <v>827</v>
      </c>
      <c r="C4452" t="s">
        <v>828</v>
      </c>
      <c r="D4452" s="12">
        <v>46342</v>
      </c>
      <c r="E4452" s="11">
        <v>180</v>
      </c>
      <c r="F4452" s="11" t="s">
        <v>7798</v>
      </c>
      <c r="G4452">
        <v>20180801</v>
      </c>
      <c r="I4452" s="11" t="s">
        <v>32</v>
      </c>
      <c r="J4452" s="72">
        <v>20402831</v>
      </c>
      <c r="K4452" s="99" t="str">
        <f>_xlfn.XLOOKUP(_2__ROI_Daily_Update[[#This Row],[CSM id]],SHP!F:F,SHP!EE:EE,"-")</f>
        <v>-</v>
      </c>
    </row>
    <row r="4453" spans="1:11" x14ac:dyDescent="0.45">
      <c r="A4453" s="57">
        <v>971</v>
      </c>
      <c r="B4453" t="s">
        <v>825</v>
      </c>
      <c r="C4453" t="s">
        <v>826</v>
      </c>
      <c r="D4453" s="12">
        <v>46342</v>
      </c>
      <c r="E4453" s="11">
        <v>64</v>
      </c>
      <c r="F4453" s="11" t="s">
        <v>7798</v>
      </c>
      <c r="G4453">
        <v>20261001</v>
      </c>
      <c r="I4453" s="11" t="s">
        <v>32</v>
      </c>
      <c r="J4453" s="72">
        <v>10620622</v>
      </c>
      <c r="K4453" s="99" t="str">
        <f>_xlfn.XLOOKUP(_2__ROI_Daily_Update[[#This Row],[CSM id]],SHP!F:F,SHP!EE:EE,"-")</f>
        <v>-</v>
      </c>
    </row>
    <row r="4454" spans="1:11" x14ac:dyDescent="0.45">
      <c r="A4454" s="57">
        <v>971</v>
      </c>
      <c r="B4454" t="s">
        <v>6552</v>
      </c>
      <c r="C4454" t="s">
        <v>6553</v>
      </c>
      <c r="D4454" s="12">
        <v>46342</v>
      </c>
      <c r="E4454" s="11">
        <v>160</v>
      </c>
      <c r="F4454" s="11" t="s">
        <v>7798</v>
      </c>
      <c r="G4454">
        <v>20251001</v>
      </c>
      <c r="I4454" s="11" t="s">
        <v>32</v>
      </c>
      <c r="J4454" s="72">
        <v>10603057</v>
      </c>
      <c r="K4454" s="99" t="str">
        <f>_xlfn.XLOOKUP(_2__ROI_Daily_Update[[#This Row],[CSM id]],SHP!F:F,SHP!EE:EE,"-")</f>
        <v>-</v>
      </c>
    </row>
    <row r="4455" spans="1:11" x14ac:dyDescent="0.45">
      <c r="A4455" s="57">
        <v>971</v>
      </c>
      <c r="B4455" t="s">
        <v>823</v>
      </c>
      <c r="C4455" t="s">
        <v>824</v>
      </c>
      <c r="D4455" s="12">
        <v>46342</v>
      </c>
      <c r="E4455" s="11">
        <v>320</v>
      </c>
      <c r="F4455" s="11" t="s">
        <v>7798</v>
      </c>
      <c r="G4455">
        <v>20231201</v>
      </c>
      <c r="I4455" s="11" t="s">
        <v>32</v>
      </c>
      <c r="J4455" s="72">
        <v>10578538</v>
      </c>
      <c r="K4455" s="99" t="str">
        <f>_xlfn.XLOOKUP(_2__ROI_Daily_Update[[#This Row],[CSM id]],SHP!F:F,SHP!EE:EE,"-")</f>
        <v>-</v>
      </c>
    </row>
    <row r="4456" spans="1:11" x14ac:dyDescent="0.45">
      <c r="A4456" s="57">
        <v>971</v>
      </c>
      <c r="B4456" t="s">
        <v>819</v>
      </c>
      <c r="C4456" t="s">
        <v>820</v>
      </c>
      <c r="D4456" s="12">
        <v>46342</v>
      </c>
      <c r="E4456" s="11">
        <v>264</v>
      </c>
      <c r="F4456" s="11" t="s">
        <v>7798</v>
      </c>
      <c r="G4456">
        <v>20140801</v>
      </c>
      <c r="I4456" s="11" t="s">
        <v>32</v>
      </c>
      <c r="J4456" s="72">
        <v>10221317</v>
      </c>
      <c r="K4456" s="99" t="str">
        <f>_xlfn.XLOOKUP(_2__ROI_Daily_Update[[#This Row],[CSM id]],SHP!F:F,SHP!EE:EE,"-")</f>
        <v>-</v>
      </c>
    </row>
    <row r="4457" spans="1:11" x14ac:dyDescent="0.45">
      <c r="A4457" s="57">
        <v>965</v>
      </c>
      <c r="B4457" t="s">
        <v>767</v>
      </c>
      <c r="C4457" t="s">
        <v>768</v>
      </c>
      <c r="D4457" s="12">
        <v>46342</v>
      </c>
      <c r="E4457" s="11">
        <v>64</v>
      </c>
      <c r="F4457" s="11" t="s">
        <v>7798</v>
      </c>
      <c r="G4457">
        <v>20260401</v>
      </c>
      <c r="I4457" s="11" t="s">
        <v>32</v>
      </c>
      <c r="J4457" s="72">
        <v>50622879</v>
      </c>
      <c r="K4457" s="99" t="str">
        <f>_xlfn.XLOOKUP(_2__ROI_Daily_Update[[#This Row],[CSM id]],SHP!F:F,SHP!EE:EE,"-")</f>
        <v>-</v>
      </c>
    </row>
    <row r="4458" spans="1:11" x14ac:dyDescent="0.45">
      <c r="A4458" s="57">
        <v>131</v>
      </c>
      <c r="B4458" t="s">
        <v>179</v>
      </c>
      <c r="C4458" t="s">
        <v>180</v>
      </c>
      <c r="D4458" s="12">
        <v>46342</v>
      </c>
      <c r="E4458" s="11">
        <v>44</v>
      </c>
      <c r="F4458" s="11" t="s">
        <v>6600</v>
      </c>
      <c r="G4458">
        <v>20161001</v>
      </c>
      <c r="I4458" s="11" t="s">
        <v>32</v>
      </c>
      <c r="J4458" s="72">
        <v>50337820</v>
      </c>
      <c r="K4458" s="99" t="str">
        <f>_xlfn.XLOOKUP(_2__ROI_Daily_Update[[#This Row],[CSM id]],SHP!F:F,SHP!EE:EE,"-")</f>
        <v>-</v>
      </c>
    </row>
    <row r="4459" spans="1:11" x14ac:dyDescent="0.45">
      <c r="A4459" s="57">
        <v>1811</v>
      </c>
      <c r="B4459" t="s">
        <v>7169</v>
      </c>
      <c r="C4459" t="s">
        <v>7170</v>
      </c>
      <c r="D4459" s="12">
        <v>46343</v>
      </c>
      <c r="E4459" s="11">
        <v>63</v>
      </c>
      <c r="F4459" s="11" t="s">
        <v>0</v>
      </c>
      <c r="G4459">
        <v>20261001</v>
      </c>
      <c r="I4459" s="11" t="s">
        <v>63</v>
      </c>
      <c r="J4459" s="72">
        <v>20632035</v>
      </c>
      <c r="K4459" s="99" t="str">
        <f>_xlfn.XLOOKUP(_2__ROI_Daily_Update[[#This Row],[CSM id]],SHP!F:F,SHP!EE:EE,"-")</f>
        <v>-</v>
      </c>
    </row>
    <row r="4460" spans="1:11" x14ac:dyDescent="0.45">
      <c r="A4460" s="57">
        <v>1022</v>
      </c>
      <c r="B4460" t="s">
        <v>1240</v>
      </c>
      <c r="C4460" t="s">
        <v>1241</v>
      </c>
      <c r="D4460" s="12">
        <v>46343</v>
      </c>
      <c r="E4460" s="11">
        <v>40</v>
      </c>
      <c r="F4460" s="11" t="s">
        <v>0</v>
      </c>
      <c r="G4460">
        <v>20261001</v>
      </c>
      <c r="I4460" s="11" t="s">
        <v>63</v>
      </c>
      <c r="J4460" s="72">
        <v>30605178</v>
      </c>
      <c r="K4460" s="99" t="str">
        <f>_xlfn.XLOOKUP(_2__ROI_Daily_Update[[#This Row],[CSM id]],SHP!F:F,SHP!EE:EE,"-")</f>
        <v>-</v>
      </c>
    </row>
    <row r="4461" spans="1:11" x14ac:dyDescent="0.45">
      <c r="A4461" s="57">
        <v>511</v>
      </c>
      <c r="B4461" t="s">
        <v>410</v>
      </c>
      <c r="C4461" t="s">
        <v>411</v>
      </c>
      <c r="D4461" s="12">
        <v>46343</v>
      </c>
      <c r="E4461" s="11">
        <v>12</v>
      </c>
      <c r="F4461" s="11" t="s">
        <v>0</v>
      </c>
      <c r="G4461">
        <v>20231001</v>
      </c>
      <c r="I4461" s="11" t="s">
        <v>32</v>
      </c>
      <c r="J4461" s="72">
        <v>70568635</v>
      </c>
      <c r="K4461" s="99" t="str">
        <f>_xlfn.XLOOKUP(_2__ROI_Daily_Update[[#This Row],[CSM id]],SHP!F:F,SHP!EE:EE,"-")</f>
        <v>-</v>
      </c>
    </row>
    <row r="4462" spans="1:11" x14ac:dyDescent="0.45">
      <c r="A4462" s="57">
        <v>965</v>
      </c>
      <c r="B4462" t="s">
        <v>765</v>
      </c>
      <c r="C4462" t="s">
        <v>766</v>
      </c>
      <c r="D4462" s="12">
        <v>46343</v>
      </c>
      <c r="E4462" s="11">
        <v>18</v>
      </c>
      <c r="F4462" s="11" t="s">
        <v>0</v>
      </c>
      <c r="G4462">
        <v>20240101</v>
      </c>
      <c r="I4462" s="11" t="s">
        <v>32</v>
      </c>
      <c r="J4462" s="72">
        <v>30569514</v>
      </c>
      <c r="K4462" s="99" t="str">
        <f>_xlfn.XLOOKUP(_2__ROI_Daily_Update[[#This Row],[CSM id]],SHP!F:F,SHP!EE:EE,"-")</f>
        <v>-</v>
      </c>
    </row>
    <row r="4463" spans="1:11" x14ac:dyDescent="0.45">
      <c r="A4463" s="57">
        <v>1231</v>
      </c>
      <c r="B4463" t="s">
        <v>7151</v>
      </c>
      <c r="C4463" t="s">
        <v>7152</v>
      </c>
      <c r="D4463" s="12">
        <v>46343</v>
      </c>
      <c r="E4463" s="11">
        <v>12</v>
      </c>
      <c r="F4463" s="11" t="s">
        <v>0</v>
      </c>
      <c r="G4463">
        <v>20260101</v>
      </c>
      <c r="I4463" s="11" t="s">
        <v>63</v>
      </c>
      <c r="J4463" s="72">
        <v>30625652</v>
      </c>
      <c r="K4463" s="99" t="str">
        <f>_xlfn.XLOOKUP(_2__ROI_Daily_Update[[#This Row],[CSM id]],SHP!F:F,SHP!EE:EE,"-")</f>
        <v>-</v>
      </c>
    </row>
    <row r="4464" spans="1:11" x14ac:dyDescent="0.45">
      <c r="A4464" s="57">
        <v>1821</v>
      </c>
      <c r="B4464" t="s">
        <v>7205</v>
      </c>
      <c r="C4464" t="s">
        <v>7206</v>
      </c>
      <c r="D4464" s="12">
        <v>46343</v>
      </c>
      <c r="E4464" s="11">
        <v>168</v>
      </c>
      <c r="F4464" s="11" t="s">
        <v>0</v>
      </c>
      <c r="G4464">
        <v>20180201</v>
      </c>
      <c r="I4464" s="11" t="s">
        <v>63</v>
      </c>
      <c r="J4464" s="72">
        <v>70321615</v>
      </c>
      <c r="K4464" s="99" t="str">
        <f>_xlfn.XLOOKUP(_2__ROI_Daily_Update[[#This Row],[CSM id]],SHP!F:F,SHP!EE:EE,"-")</f>
        <v>-</v>
      </c>
    </row>
    <row r="4465" spans="1:11" x14ac:dyDescent="0.45">
      <c r="A4465" s="57">
        <v>824</v>
      </c>
      <c r="B4465" t="s">
        <v>670</v>
      </c>
      <c r="C4465" t="s">
        <v>671</v>
      </c>
      <c r="D4465" s="12">
        <v>46344</v>
      </c>
      <c r="E4465" s="11">
        <v>20</v>
      </c>
      <c r="F4465" s="11" t="s">
        <v>0</v>
      </c>
      <c r="G4465">
        <v>20251001</v>
      </c>
      <c r="I4465" s="11" t="s">
        <v>32</v>
      </c>
      <c r="J4465" s="72">
        <v>70621176</v>
      </c>
      <c r="K4465" s="99" t="str">
        <f>_xlfn.XLOOKUP(_2__ROI_Daily_Update[[#This Row],[CSM id]],SHP!F:F,SHP!EE:EE,"-")</f>
        <v>-</v>
      </c>
    </row>
    <row r="4466" spans="1:11" x14ac:dyDescent="0.45">
      <c r="A4466" s="57">
        <v>1852</v>
      </c>
      <c r="B4466" t="s">
        <v>3686</v>
      </c>
      <c r="C4466" t="s">
        <v>3687</v>
      </c>
      <c r="D4466" s="12">
        <v>46345</v>
      </c>
      <c r="E4466" s="11">
        <v>36</v>
      </c>
      <c r="F4466" s="11" t="s">
        <v>0</v>
      </c>
      <c r="G4466">
        <v>20180401</v>
      </c>
      <c r="I4466" s="11" t="s">
        <v>32</v>
      </c>
      <c r="J4466" s="72">
        <v>40339933</v>
      </c>
      <c r="K4466" s="99" t="str">
        <f>_xlfn.XLOOKUP(_2__ROI_Daily_Update[[#This Row],[CSM id]],SHP!F:F,SHP!EE:EE,"-")</f>
        <v>-</v>
      </c>
    </row>
    <row r="4467" spans="1:11" x14ac:dyDescent="0.45">
      <c r="A4467" s="57">
        <v>361</v>
      </c>
      <c r="B4467" t="s">
        <v>408</v>
      </c>
      <c r="C4467" t="s">
        <v>409</v>
      </c>
      <c r="D4467" s="12">
        <v>46345</v>
      </c>
      <c r="E4467" s="11">
        <v>114</v>
      </c>
      <c r="F4467" s="11" t="s">
        <v>0</v>
      </c>
      <c r="G4467">
        <v>20141201</v>
      </c>
      <c r="I4467" s="11" t="s">
        <v>32</v>
      </c>
      <c r="J4467" s="72">
        <v>20240990</v>
      </c>
      <c r="K4467" s="99" t="str">
        <f>_xlfn.XLOOKUP(_2__ROI_Daily_Update[[#This Row],[CSM id]],SHP!F:F,SHP!EE:EE,"-")</f>
        <v>-</v>
      </c>
    </row>
    <row r="4468" spans="1:11" x14ac:dyDescent="0.45">
      <c r="A4468" s="57">
        <v>1637</v>
      </c>
      <c r="B4468" t="s">
        <v>7887</v>
      </c>
      <c r="C4468" t="s">
        <v>7888</v>
      </c>
      <c r="D4468" s="12">
        <v>46345</v>
      </c>
      <c r="E4468" s="11">
        <v>64</v>
      </c>
      <c r="F4468" s="11" t="s">
        <v>0</v>
      </c>
      <c r="G4468"/>
      <c r="H4468" s="12">
        <v>46388</v>
      </c>
      <c r="I4468" s="11" t="s">
        <v>63</v>
      </c>
      <c r="J4468" s="72">
        <v>637086</v>
      </c>
      <c r="K4468" s="99" t="str">
        <f>_xlfn.XLOOKUP(_2__ROI_Daily_Update[[#This Row],[CSM id]],SHP!F:F,SHP!EE:EE,"-")</f>
        <v>-</v>
      </c>
    </row>
    <row r="4469" spans="1:11" x14ac:dyDescent="0.45">
      <c r="A4469" s="57">
        <v>1813</v>
      </c>
      <c r="B4469" t="s">
        <v>3420</v>
      </c>
      <c r="C4469" t="s">
        <v>3421</v>
      </c>
      <c r="D4469" s="12">
        <v>46345</v>
      </c>
      <c r="E4469" s="11">
        <v>720</v>
      </c>
      <c r="F4469" s="11" t="s">
        <v>0</v>
      </c>
      <c r="G4469">
        <v>20260701</v>
      </c>
      <c r="I4469" s="11" t="s">
        <v>32</v>
      </c>
      <c r="J4469" s="72">
        <v>70534396</v>
      </c>
      <c r="K4469" s="99" t="str">
        <f>_xlfn.XLOOKUP(_2__ROI_Daily_Update[[#This Row],[CSM id]],SHP!F:F,SHP!EE:EE,"-")</f>
        <v>-</v>
      </c>
    </row>
    <row r="4470" spans="1:11" x14ac:dyDescent="0.45">
      <c r="A4470" s="57">
        <v>1633</v>
      </c>
      <c r="B4470" t="s">
        <v>3000</v>
      </c>
      <c r="C4470" t="s">
        <v>3001</v>
      </c>
      <c r="D4470" s="12">
        <v>46345</v>
      </c>
      <c r="E4470" s="11">
        <v>360</v>
      </c>
      <c r="F4470" s="11" t="s">
        <v>0</v>
      </c>
      <c r="G4470">
        <v>20210401</v>
      </c>
      <c r="I4470" s="11" t="s">
        <v>32</v>
      </c>
      <c r="J4470" s="72">
        <v>50470989</v>
      </c>
      <c r="K4470" s="99" t="str">
        <f>_xlfn.XLOOKUP(_2__ROI_Daily_Update[[#This Row],[CSM id]],SHP!F:F,SHP!EE:EE,"-")</f>
        <v>-</v>
      </c>
    </row>
    <row r="4471" spans="1:11" x14ac:dyDescent="0.45">
      <c r="A4471" s="57">
        <v>921</v>
      </c>
      <c r="B4471" t="s">
        <v>686</v>
      </c>
      <c r="C4471" t="s">
        <v>687</v>
      </c>
      <c r="D4471" s="12">
        <v>46346</v>
      </c>
      <c r="E4471" s="11">
        <v>28</v>
      </c>
      <c r="F4471" s="11" t="s">
        <v>0</v>
      </c>
      <c r="G4471">
        <v>20210201</v>
      </c>
      <c r="I4471" s="11" t="s">
        <v>32</v>
      </c>
      <c r="J4471" s="72">
        <v>40433544</v>
      </c>
      <c r="K4471" s="99" t="str">
        <f>_xlfn.XLOOKUP(_2__ROI_Daily_Update[[#This Row],[CSM id]],SHP!F:F,SHP!EE:EE,"-")</f>
        <v>-</v>
      </c>
    </row>
    <row r="4472" spans="1:11" x14ac:dyDescent="0.45">
      <c r="A4472" s="57">
        <v>1622</v>
      </c>
      <c r="B4472" t="s">
        <v>7787</v>
      </c>
      <c r="C4472" t="s">
        <v>7788</v>
      </c>
      <c r="D4472" s="12">
        <v>46346</v>
      </c>
      <c r="E4472" s="11">
        <v>24</v>
      </c>
      <c r="F4472" s="11" t="s">
        <v>0</v>
      </c>
      <c r="G4472">
        <v>20261001</v>
      </c>
      <c r="H4472" s="12">
        <v>46388</v>
      </c>
      <c r="I4472" s="11" t="s">
        <v>32</v>
      </c>
      <c r="J4472" s="72">
        <v>20640399</v>
      </c>
      <c r="K4472" s="99" t="str">
        <f>_xlfn.XLOOKUP(_2__ROI_Daily_Update[[#This Row],[CSM id]],SHP!F:F,SHP!EE:EE,"-")</f>
        <v>-</v>
      </c>
    </row>
    <row r="4473" spans="1:11" x14ac:dyDescent="0.45">
      <c r="A4473" s="57">
        <v>1622</v>
      </c>
      <c r="B4473" t="s">
        <v>7785</v>
      </c>
      <c r="C4473" t="s">
        <v>7786</v>
      </c>
      <c r="D4473" s="12">
        <v>46346</v>
      </c>
      <c r="E4473" s="11">
        <v>20</v>
      </c>
      <c r="F4473" s="11" t="s">
        <v>0</v>
      </c>
      <c r="G4473">
        <v>20261001</v>
      </c>
      <c r="H4473" s="12">
        <v>46388</v>
      </c>
      <c r="I4473" s="11" t="s">
        <v>32</v>
      </c>
      <c r="J4473" s="72">
        <v>40640402</v>
      </c>
      <c r="K4473" s="99" t="str">
        <f>_xlfn.XLOOKUP(_2__ROI_Daily_Update[[#This Row],[CSM id]],SHP!F:F,SHP!EE:EE,"-")</f>
        <v>-</v>
      </c>
    </row>
    <row r="4474" spans="1:11" x14ac:dyDescent="0.45">
      <c r="A4474" s="57">
        <v>215</v>
      </c>
      <c r="B4474" t="s">
        <v>289</v>
      </c>
      <c r="C4474" t="s">
        <v>290</v>
      </c>
      <c r="D4474" s="12">
        <v>46346</v>
      </c>
      <c r="E4474" s="11">
        <v>12</v>
      </c>
      <c r="F4474" s="11" t="s">
        <v>0</v>
      </c>
      <c r="G4474">
        <v>20170401</v>
      </c>
      <c r="I4474" s="11" t="s">
        <v>32</v>
      </c>
      <c r="J4474" s="72">
        <v>70351886</v>
      </c>
      <c r="K4474" s="99" t="str">
        <f>_xlfn.XLOOKUP(_2__ROI_Daily_Update[[#This Row],[CSM id]],SHP!F:F,SHP!EE:EE,"-")</f>
        <v>-</v>
      </c>
    </row>
    <row r="4475" spans="1:11" x14ac:dyDescent="0.45">
      <c r="A4475" s="57">
        <v>973</v>
      </c>
      <c r="B4475" t="s">
        <v>901</v>
      </c>
      <c r="C4475" t="s">
        <v>902</v>
      </c>
      <c r="D4475" s="12">
        <v>46346</v>
      </c>
      <c r="E4475" s="11">
        <v>30</v>
      </c>
      <c r="F4475" s="11" t="s">
        <v>0</v>
      </c>
      <c r="G4475">
        <v>20210701</v>
      </c>
      <c r="I4475" s="11" t="s">
        <v>32</v>
      </c>
      <c r="J4475" s="72">
        <v>10488967</v>
      </c>
      <c r="K4475" s="99" t="str">
        <f>_xlfn.XLOOKUP(_2__ROI_Daily_Update[[#This Row],[CSM id]],SHP!F:F,SHP!EE:EE,"-")</f>
        <v>-</v>
      </c>
    </row>
    <row r="4476" spans="1:11" x14ac:dyDescent="0.45">
      <c r="A4476" s="57">
        <v>972</v>
      </c>
      <c r="B4476" t="s">
        <v>859</v>
      </c>
      <c r="C4476" t="s">
        <v>860</v>
      </c>
      <c r="D4476" s="12">
        <v>46346</v>
      </c>
      <c r="E4476" s="11">
        <v>90</v>
      </c>
      <c r="F4476" s="11" t="s">
        <v>0</v>
      </c>
      <c r="G4476">
        <v>20171001</v>
      </c>
      <c r="I4476" s="11" t="s">
        <v>32</v>
      </c>
      <c r="J4476" s="72">
        <v>330067</v>
      </c>
      <c r="K4476" s="99" t="str">
        <f>_xlfn.XLOOKUP(_2__ROI_Daily_Update[[#This Row],[CSM id]],SHP!F:F,SHP!EE:EE,"-")</f>
        <v>-</v>
      </c>
    </row>
    <row r="4477" spans="1:11" x14ac:dyDescent="0.45">
      <c r="A4477" s="57">
        <v>1622</v>
      </c>
      <c r="B4477" t="s">
        <v>7783</v>
      </c>
      <c r="C4477" t="s">
        <v>7784</v>
      </c>
      <c r="D4477" s="12">
        <v>46346</v>
      </c>
      <c r="E4477" s="11">
        <v>40</v>
      </c>
      <c r="F4477" s="11" t="s">
        <v>0</v>
      </c>
      <c r="G4477">
        <v>20261001</v>
      </c>
      <c r="H4477" s="12">
        <v>46388</v>
      </c>
      <c r="I4477" s="11" t="s">
        <v>32</v>
      </c>
      <c r="J4477" s="72">
        <v>80640400</v>
      </c>
      <c r="K4477" s="99" t="str">
        <f>_xlfn.XLOOKUP(_2__ROI_Daily_Update[[#This Row],[CSM id]],SHP!F:F,SHP!EE:EE,"-")</f>
        <v>-</v>
      </c>
    </row>
    <row r="4478" spans="1:11" x14ac:dyDescent="0.45">
      <c r="A4478" s="57">
        <v>973</v>
      </c>
      <c r="B4478" t="s">
        <v>7227</v>
      </c>
      <c r="C4478" t="s">
        <v>7228</v>
      </c>
      <c r="D4478" s="12">
        <v>46346</v>
      </c>
      <c r="E4478" s="11">
        <v>240</v>
      </c>
      <c r="F4478" s="11" t="s">
        <v>0</v>
      </c>
      <c r="G4478">
        <v>20210701</v>
      </c>
      <c r="I4478" s="11" t="s">
        <v>32</v>
      </c>
      <c r="J4478" s="72">
        <v>50488970</v>
      </c>
      <c r="K4478" s="99" t="str">
        <f>_xlfn.XLOOKUP(_2__ROI_Daily_Update[[#This Row],[CSM id]],SHP!F:F,SHP!EE:EE,"-")</f>
        <v>-</v>
      </c>
    </row>
    <row r="4479" spans="1:11" x14ac:dyDescent="0.45">
      <c r="A4479" s="57">
        <v>1621</v>
      </c>
      <c r="B4479" t="s">
        <v>5450</v>
      </c>
      <c r="C4479" t="s">
        <v>5451</v>
      </c>
      <c r="D4479" s="12">
        <v>46347</v>
      </c>
      <c r="E4479" s="11">
        <v>10</v>
      </c>
      <c r="F4479" s="11" t="s">
        <v>0</v>
      </c>
      <c r="G4479">
        <v>20251001</v>
      </c>
      <c r="I4479" s="11" t="s">
        <v>63</v>
      </c>
      <c r="J4479" s="72">
        <v>70621826</v>
      </c>
      <c r="K4479" s="99" t="str">
        <f>_xlfn.XLOOKUP(_2__ROI_Daily_Update[[#This Row],[CSM id]],SHP!F:F,SHP!EE:EE,"-")</f>
        <v>-</v>
      </c>
    </row>
    <row r="4480" spans="1:11" x14ac:dyDescent="0.45">
      <c r="A4480" s="57">
        <v>982</v>
      </c>
      <c r="B4480" t="s">
        <v>955</v>
      </c>
      <c r="C4480" t="s">
        <v>956</v>
      </c>
      <c r="D4480" s="12">
        <v>46347</v>
      </c>
      <c r="E4480" s="11">
        <v>40</v>
      </c>
      <c r="F4480" s="11" t="s">
        <v>0</v>
      </c>
      <c r="G4480">
        <v>20221001</v>
      </c>
      <c r="H4480" s="12">
        <v>46569</v>
      </c>
      <c r="I4480" s="11" t="s">
        <v>63</v>
      </c>
      <c r="J4480" s="72">
        <v>50528508</v>
      </c>
      <c r="K4480" s="99" t="str">
        <f>_xlfn.XLOOKUP(_2__ROI_Daily_Update[[#This Row],[CSM id]],SHP!F:F,SHP!EE:EE,"-")</f>
        <v>-</v>
      </c>
    </row>
    <row r="4481" spans="1:11" x14ac:dyDescent="0.45">
      <c r="A4481" s="57">
        <v>1024</v>
      </c>
      <c r="B4481" t="s">
        <v>5600</v>
      </c>
      <c r="C4481" t="s">
        <v>5601</v>
      </c>
      <c r="D4481" s="12">
        <v>46347</v>
      </c>
      <c r="E4481" s="11">
        <v>154</v>
      </c>
      <c r="F4481" s="11" t="s">
        <v>0</v>
      </c>
      <c r="G4481">
        <v>20260401</v>
      </c>
      <c r="I4481" s="11" t="s">
        <v>63</v>
      </c>
      <c r="J4481" s="72">
        <v>10641525</v>
      </c>
      <c r="K4481" s="99" t="str">
        <f>_xlfn.XLOOKUP(_2__ROI_Daily_Update[[#This Row],[CSM id]],SHP!F:F,SHP!EE:EE,"-")</f>
        <v>-</v>
      </c>
    </row>
    <row r="4482" spans="1:11" x14ac:dyDescent="0.45">
      <c r="A4482" s="57">
        <v>215</v>
      </c>
      <c r="B4482" t="s">
        <v>265</v>
      </c>
      <c r="C4482" t="s">
        <v>266</v>
      </c>
      <c r="D4482" s="12">
        <v>46347</v>
      </c>
      <c r="E4482" s="11">
        <v>10</v>
      </c>
      <c r="F4482" s="11" t="s">
        <v>0</v>
      </c>
      <c r="G4482">
        <v>20170401</v>
      </c>
      <c r="I4482" s="11" t="s">
        <v>32</v>
      </c>
      <c r="J4482" s="72">
        <v>20351884</v>
      </c>
      <c r="K4482" s="99" t="str">
        <f>_xlfn.XLOOKUP(_2__ROI_Daily_Update[[#This Row],[CSM id]],SHP!F:F,SHP!EE:EE,"-")</f>
        <v>-</v>
      </c>
    </row>
    <row r="4483" spans="1:11" x14ac:dyDescent="0.45">
      <c r="A4483" s="57">
        <v>1081</v>
      </c>
      <c r="B4483" t="s">
        <v>7889</v>
      </c>
      <c r="C4483" t="s">
        <v>7890</v>
      </c>
      <c r="D4483" s="12">
        <v>46347</v>
      </c>
      <c r="E4483" s="11">
        <v>44</v>
      </c>
      <c r="F4483" s="11" t="s">
        <v>0</v>
      </c>
      <c r="G4483">
        <v>20261001</v>
      </c>
      <c r="H4483" s="12">
        <v>46388</v>
      </c>
      <c r="I4483" s="11" t="s">
        <v>63</v>
      </c>
      <c r="J4483" s="72">
        <v>80633560</v>
      </c>
      <c r="K4483" s="99" t="str">
        <f>_xlfn.XLOOKUP(_2__ROI_Daily_Update[[#This Row],[CSM id]],SHP!F:F,SHP!EE:EE,"-")</f>
        <v>-</v>
      </c>
    </row>
    <row r="4484" spans="1:11" x14ac:dyDescent="0.45">
      <c r="A4484" s="57">
        <v>1411</v>
      </c>
      <c r="B4484" t="s">
        <v>6818</v>
      </c>
      <c r="C4484" t="s">
        <v>6819</v>
      </c>
      <c r="D4484" s="12">
        <v>46348</v>
      </c>
      <c r="E4484" s="11">
        <v>90</v>
      </c>
      <c r="F4484" s="11" t="s">
        <v>0</v>
      </c>
      <c r="G4484">
        <v>20231001</v>
      </c>
      <c r="H4484" s="12">
        <v>46388</v>
      </c>
      <c r="I4484" s="11" t="s">
        <v>18</v>
      </c>
      <c r="J4484" s="72">
        <v>80463708</v>
      </c>
      <c r="K4484" s="99" t="str">
        <f>_xlfn.XLOOKUP(_2__ROI_Daily_Update[[#This Row],[CSM id]],SHP!F:F,SHP!EE:EE,"-")</f>
        <v>-</v>
      </c>
    </row>
    <row r="4485" spans="1:11" x14ac:dyDescent="0.45">
      <c r="A4485" s="57">
        <v>823</v>
      </c>
      <c r="B4485" t="s">
        <v>659</v>
      </c>
      <c r="C4485" t="s">
        <v>660</v>
      </c>
      <c r="D4485" s="12">
        <v>46348</v>
      </c>
      <c r="E4485" s="11">
        <v>40</v>
      </c>
      <c r="F4485" s="11" t="s">
        <v>0</v>
      </c>
      <c r="G4485">
        <v>20180401</v>
      </c>
      <c r="I4485" s="11" t="s">
        <v>32</v>
      </c>
      <c r="J4485" s="72">
        <v>10404878</v>
      </c>
      <c r="K4485" s="99" t="str">
        <f>_xlfn.XLOOKUP(_2__ROI_Daily_Update[[#This Row],[CSM id]],SHP!F:F,SHP!EE:EE,"-")</f>
        <v>-</v>
      </c>
    </row>
    <row r="4486" spans="1:11" x14ac:dyDescent="0.45">
      <c r="A4486" s="57">
        <v>1431</v>
      </c>
      <c r="B4486" t="s">
        <v>2442</v>
      </c>
      <c r="C4486" t="s">
        <v>2443</v>
      </c>
      <c r="D4486" s="12">
        <v>46349</v>
      </c>
      <c r="E4486" s="11">
        <v>96</v>
      </c>
      <c r="F4486" s="11" t="s">
        <v>0</v>
      </c>
      <c r="G4486">
        <v>20231001</v>
      </c>
      <c r="I4486" s="11" t="s">
        <v>63</v>
      </c>
      <c r="J4486" s="72">
        <v>90553204</v>
      </c>
      <c r="K4486" s="99" t="str">
        <f>_xlfn.XLOOKUP(_2__ROI_Daily_Update[[#This Row],[CSM id]],SHP!F:F,SHP!EE:EE,"-")</f>
        <v>-</v>
      </c>
    </row>
    <row r="4487" spans="1:11" x14ac:dyDescent="0.45">
      <c r="A4487" s="57">
        <v>1511</v>
      </c>
      <c r="B4487" t="s">
        <v>2514</v>
      </c>
      <c r="C4487" t="s">
        <v>2515</v>
      </c>
      <c r="D4487" s="12">
        <v>46349</v>
      </c>
      <c r="E4487" s="11">
        <v>96</v>
      </c>
      <c r="F4487" s="11" t="s">
        <v>0</v>
      </c>
      <c r="G4487">
        <v>20240701</v>
      </c>
      <c r="I4487" s="11" t="s">
        <v>63</v>
      </c>
      <c r="J4487" s="72">
        <v>10588721</v>
      </c>
      <c r="K4487" s="99" t="str">
        <f>_xlfn.XLOOKUP(_2__ROI_Daily_Update[[#This Row],[CSM id]],SHP!F:F,SHP!EE:EE,"-")</f>
        <v>-</v>
      </c>
    </row>
    <row r="4488" spans="1:11" x14ac:dyDescent="0.45">
      <c r="A4488" s="57">
        <v>1511</v>
      </c>
      <c r="B4488" t="s">
        <v>6078</v>
      </c>
      <c r="C4488" t="s">
        <v>6079</v>
      </c>
      <c r="D4488" s="12">
        <v>46349</v>
      </c>
      <c r="E4488" s="11">
        <v>350</v>
      </c>
      <c r="F4488" s="11" t="s">
        <v>0</v>
      </c>
      <c r="G4488">
        <v>20260201</v>
      </c>
      <c r="I4488" s="11" t="s">
        <v>63</v>
      </c>
      <c r="J4488" s="72">
        <v>10613792</v>
      </c>
      <c r="K4488" s="99" t="str">
        <f>_xlfn.XLOOKUP(_2__ROI_Daily_Update[[#This Row],[CSM id]],SHP!F:F,SHP!EE:EE,"-")</f>
        <v>-</v>
      </c>
    </row>
    <row r="4489" spans="1:11" x14ac:dyDescent="0.45">
      <c r="A4489" s="57">
        <v>1511</v>
      </c>
      <c r="B4489" t="s">
        <v>2538</v>
      </c>
      <c r="C4489" t="s">
        <v>2539</v>
      </c>
      <c r="D4489" s="12">
        <v>46349</v>
      </c>
      <c r="E4489" s="11">
        <v>10</v>
      </c>
      <c r="F4489" s="11" t="s">
        <v>0</v>
      </c>
      <c r="G4489">
        <v>20260401</v>
      </c>
      <c r="H4489" s="12">
        <v>46478</v>
      </c>
      <c r="I4489" s="11" t="s">
        <v>63</v>
      </c>
      <c r="J4489" s="72">
        <v>20614296</v>
      </c>
      <c r="K4489" s="99" t="str">
        <f>_xlfn.XLOOKUP(_2__ROI_Daily_Update[[#This Row],[CSM id]],SHP!F:F,SHP!EE:EE,"-")</f>
        <v>-</v>
      </c>
    </row>
    <row r="4490" spans="1:11" x14ac:dyDescent="0.45">
      <c r="A4490" s="57">
        <v>1511</v>
      </c>
      <c r="B4490" t="s">
        <v>2572</v>
      </c>
      <c r="C4490" t="s">
        <v>2573</v>
      </c>
      <c r="D4490" s="12">
        <v>46349</v>
      </c>
      <c r="E4490" s="11">
        <v>240</v>
      </c>
      <c r="F4490" s="11" t="s">
        <v>0</v>
      </c>
      <c r="G4490">
        <v>20251001</v>
      </c>
      <c r="I4490" s="11" t="s">
        <v>63</v>
      </c>
      <c r="J4490" s="72">
        <v>50607807</v>
      </c>
      <c r="K4490" s="99" t="str">
        <f>_xlfn.XLOOKUP(_2__ROI_Daily_Update[[#This Row],[CSM id]],SHP!F:F,SHP!EE:EE,"-")</f>
        <v>-</v>
      </c>
    </row>
    <row r="4491" spans="1:11" x14ac:dyDescent="0.45">
      <c r="A4491" s="57">
        <v>983</v>
      </c>
      <c r="B4491" t="s">
        <v>1000</v>
      </c>
      <c r="C4491" t="s">
        <v>1001</v>
      </c>
      <c r="D4491" s="12">
        <v>46349</v>
      </c>
      <c r="E4491" s="11">
        <v>48</v>
      </c>
      <c r="F4491" s="11" t="s">
        <v>0</v>
      </c>
      <c r="G4491">
        <v>20211001</v>
      </c>
      <c r="I4491" s="11" t="s">
        <v>63</v>
      </c>
      <c r="J4491" s="72">
        <v>80517909</v>
      </c>
      <c r="K4491" s="99" t="str">
        <f>_xlfn.XLOOKUP(_2__ROI_Daily_Update[[#This Row],[CSM id]],SHP!F:F,SHP!EE:EE,"-")</f>
        <v>-</v>
      </c>
    </row>
    <row r="4492" spans="1:11" x14ac:dyDescent="0.45">
      <c r="A4492" s="57">
        <v>1431</v>
      </c>
      <c r="B4492" t="s">
        <v>6550</v>
      </c>
      <c r="C4492" t="s">
        <v>6551</v>
      </c>
      <c r="D4492" s="12">
        <v>46349</v>
      </c>
      <c r="E4492" s="11">
        <v>20</v>
      </c>
      <c r="F4492" s="11" t="s">
        <v>0</v>
      </c>
      <c r="G4492">
        <v>20230401</v>
      </c>
      <c r="H4492" s="12">
        <v>46478</v>
      </c>
      <c r="I4492" s="11" t="s">
        <v>63</v>
      </c>
      <c r="J4492" s="72">
        <v>80523444</v>
      </c>
      <c r="K4492" s="99" t="str">
        <f>_xlfn.XLOOKUP(_2__ROI_Daily_Update[[#This Row],[CSM id]],SHP!F:F,SHP!EE:EE,"-")</f>
        <v>-</v>
      </c>
    </row>
    <row r="4493" spans="1:11" x14ac:dyDescent="0.45">
      <c r="A4493" s="57">
        <v>1511</v>
      </c>
      <c r="B4493" t="s">
        <v>2582</v>
      </c>
      <c r="C4493" t="s">
        <v>2583</v>
      </c>
      <c r="D4493" s="12">
        <v>46349</v>
      </c>
      <c r="E4493" s="11">
        <v>126</v>
      </c>
      <c r="F4493" s="11" t="s">
        <v>0</v>
      </c>
      <c r="G4493">
        <v>20200601</v>
      </c>
      <c r="H4493" s="12">
        <v>46388</v>
      </c>
      <c r="I4493" s="11" t="s">
        <v>63</v>
      </c>
      <c r="J4493" s="72">
        <v>60321079</v>
      </c>
      <c r="K4493" s="99" t="str">
        <f>_xlfn.XLOOKUP(_2__ROI_Daily_Update[[#This Row],[CSM id]],SHP!F:F,SHP!EE:EE,"-")</f>
        <v>-</v>
      </c>
    </row>
    <row r="4494" spans="1:11" x14ac:dyDescent="0.45">
      <c r="A4494" s="57">
        <v>983</v>
      </c>
      <c r="B4494" t="s">
        <v>996</v>
      </c>
      <c r="C4494" t="s">
        <v>997</v>
      </c>
      <c r="D4494" s="12">
        <v>46349</v>
      </c>
      <c r="E4494" s="11">
        <v>136</v>
      </c>
      <c r="F4494" s="11" t="s">
        <v>0</v>
      </c>
      <c r="G4494">
        <v>20250701</v>
      </c>
      <c r="I4494" s="11" t="s">
        <v>63</v>
      </c>
      <c r="J4494" s="72">
        <v>70596940</v>
      </c>
      <c r="K4494" s="99" t="str">
        <f>_xlfn.XLOOKUP(_2__ROI_Daily_Update[[#This Row],[CSM id]],SHP!F:F,SHP!EE:EE,"-")</f>
        <v>-</v>
      </c>
    </row>
    <row r="4495" spans="1:11" x14ac:dyDescent="0.45">
      <c r="A4495" s="57">
        <v>1511</v>
      </c>
      <c r="B4495" t="s">
        <v>6546</v>
      </c>
      <c r="C4495" t="s">
        <v>6547</v>
      </c>
      <c r="D4495" s="12">
        <v>46349</v>
      </c>
      <c r="E4495" s="11">
        <v>108</v>
      </c>
      <c r="F4495" s="11" t="s">
        <v>0</v>
      </c>
      <c r="G4495">
        <v>20231001</v>
      </c>
      <c r="H4495" s="12">
        <v>46388</v>
      </c>
      <c r="I4495" s="11" t="s">
        <v>63</v>
      </c>
      <c r="J4495" s="72">
        <v>60565699</v>
      </c>
      <c r="K4495" s="99" t="str">
        <f>_xlfn.XLOOKUP(_2__ROI_Daily_Update[[#This Row],[CSM id]],SHP!F:F,SHP!EE:EE,"-")</f>
        <v>-</v>
      </c>
    </row>
    <row r="4496" spans="1:11" x14ac:dyDescent="0.45">
      <c r="A4496" s="57">
        <v>1431</v>
      </c>
      <c r="B4496" t="s">
        <v>2424</v>
      </c>
      <c r="C4496" t="s">
        <v>2425</v>
      </c>
      <c r="D4496" s="12">
        <v>46349</v>
      </c>
      <c r="E4496" s="11">
        <v>6120</v>
      </c>
      <c r="F4496" s="11" t="s">
        <v>0</v>
      </c>
      <c r="G4496">
        <v>20230401</v>
      </c>
      <c r="I4496" s="11" t="s">
        <v>63</v>
      </c>
      <c r="J4496" s="72">
        <v>70525655</v>
      </c>
      <c r="K4496" s="99" t="str">
        <f>_xlfn.XLOOKUP(_2__ROI_Daily_Update[[#This Row],[CSM id]],SHP!F:F,SHP!EE:EE,"-")</f>
        <v>-</v>
      </c>
    </row>
    <row r="4497" spans="1:11" x14ac:dyDescent="0.45">
      <c r="A4497" s="57">
        <v>1431</v>
      </c>
      <c r="B4497" t="s">
        <v>6190</v>
      </c>
      <c r="C4497" t="s">
        <v>6191</v>
      </c>
      <c r="D4497" s="12">
        <v>46349</v>
      </c>
      <c r="E4497" s="11">
        <v>15</v>
      </c>
      <c r="F4497" s="11" t="s">
        <v>0</v>
      </c>
      <c r="G4497">
        <v>20170801</v>
      </c>
      <c r="I4497" s="11" t="s">
        <v>63</v>
      </c>
      <c r="J4497" s="72">
        <v>30301898</v>
      </c>
      <c r="K4497" s="99" t="str">
        <f>_xlfn.XLOOKUP(_2__ROI_Daily_Update[[#This Row],[CSM id]],SHP!F:F,SHP!EE:EE,"-")</f>
        <v>-</v>
      </c>
    </row>
    <row r="4498" spans="1:11" x14ac:dyDescent="0.45">
      <c r="A4498" s="57">
        <v>1431</v>
      </c>
      <c r="B4498" t="s">
        <v>2394</v>
      </c>
      <c r="C4498" t="s">
        <v>2395</v>
      </c>
      <c r="D4498" s="12">
        <v>46349</v>
      </c>
      <c r="E4498" s="11">
        <v>18</v>
      </c>
      <c r="F4498" s="11" t="s">
        <v>0</v>
      </c>
      <c r="G4498">
        <v>20260401</v>
      </c>
      <c r="I4498" s="11" t="s">
        <v>63</v>
      </c>
      <c r="J4498" s="72">
        <v>40623737</v>
      </c>
      <c r="K4498" s="99" t="str">
        <f>_xlfn.XLOOKUP(_2__ROI_Daily_Update[[#This Row],[CSM id]],SHP!F:F,SHP!EE:EE,"-")</f>
        <v>-</v>
      </c>
    </row>
    <row r="4499" spans="1:11" x14ac:dyDescent="0.45">
      <c r="A4499" s="57">
        <v>1421</v>
      </c>
      <c r="B4499" t="s">
        <v>6532</v>
      </c>
      <c r="C4499" t="s">
        <v>6533</v>
      </c>
      <c r="D4499" s="12">
        <v>46349</v>
      </c>
      <c r="E4499" s="11">
        <v>104</v>
      </c>
      <c r="F4499" s="11" t="s">
        <v>0</v>
      </c>
      <c r="G4499">
        <v>20261001</v>
      </c>
      <c r="I4499" s="11" t="s">
        <v>63</v>
      </c>
      <c r="J4499" s="72">
        <v>10641002</v>
      </c>
      <c r="K4499" s="99" t="str">
        <f>_xlfn.XLOOKUP(_2__ROI_Daily_Update[[#This Row],[CSM id]],SHP!F:F,SHP!EE:EE,"-")</f>
        <v>-</v>
      </c>
    </row>
    <row r="4500" spans="1:11" x14ac:dyDescent="0.45">
      <c r="A4500" s="57">
        <v>1421</v>
      </c>
      <c r="B4500" t="s">
        <v>6548</v>
      </c>
      <c r="C4500" t="s">
        <v>6549</v>
      </c>
      <c r="D4500" s="12">
        <v>46349</v>
      </c>
      <c r="E4500" s="11">
        <v>120</v>
      </c>
      <c r="F4500" s="11" t="s">
        <v>0</v>
      </c>
      <c r="G4500">
        <v>20250401</v>
      </c>
      <c r="H4500" s="12">
        <v>46388</v>
      </c>
      <c r="I4500" s="11" t="s">
        <v>63</v>
      </c>
      <c r="J4500" s="72">
        <v>10581499</v>
      </c>
      <c r="K4500" s="99" t="str">
        <f>_xlfn.XLOOKUP(_2__ROI_Daily_Update[[#This Row],[CSM id]],SHP!F:F,SHP!EE:EE,"-")</f>
        <v>-</v>
      </c>
    </row>
    <row r="4501" spans="1:11" x14ac:dyDescent="0.45">
      <c r="A4501" s="57">
        <v>1424</v>
      </c>
      <c r="B4501" t="s">
        <v>2310</v>
      </c>
      <c r="C4501" t="s">
        <v>2311</v>
      </c>
      <c r="D4501" s="12">
        <v>46349</v>
      </c>
      <c r="E4501" s="11">
        <v>60</v>
      </c>
      <c r="F4501" s="11" t="s">
        <v>0</v>
      </c>
      <c r="G4501">
        <v>20141201</v>
      </c>
      <c r="I4501" s="11" t="s">
        <v>63</v>
      </c>
      <c r="J4501" s="72">
        <v>40233427</v>
      </c>
      <c r="K4501" s="99" t="str">
        <f>_xlfn.XLOOKUP(_2__ROI_Daily_Update[[#This Row],[CSM id]],SHP!F:F,SHP!EE:EE,"-")</f>
        <v>-</v>
      </c>
    </row>
    <row r="4502" spans="1:11" x14ac:dyDescent="0.45">
      <c r="A4502" s="57">
        <v>1414</v>
      </c>
      <c r="B4502" t="s">
        <v>2182</v>
      </c>
      <c r="C4502" t="s">
        <v>2183</v>
      </c>
      <c r="D4502" s="12">
        <v>46349</v>
      </c>
      <c r="E4502" s="11">
        <v>30</v>
      </c>
      <c r="F4502" s="11" t="s">
        <v>0</v>
      </c>
      <c r="G4502">
        <v>20160401</v>
      </c>
      <c r="I4502" s="11" t="s">
        <v>63</v>
      </c>
      <c r="J4502" s="72">
        <v>50289249</v>
      </c>
      <c r="K4502" s="99" t="str">
        <f>_xlfn.XLOOKUP(_2__ROI_Daily_Update[[#This Row],[CSM id]],SHP!F:F,SHP!EE:EE,"-")</f>
        <v>-</v>
      </c>
    </row>
    <row r="4503" spans="1:11" x14ac:dyDescent="0.45">
      <c r="A4503" s="57">
        <v>1414</v>
      </c>
      <c r="B4503" t="s">
        <v>2176</v>
      </c>
      <c r="C4503" t="s">
        <v>2177</v>
      </c>
      <c r="D4503" s="12">
        <v>46349</v>
      </c>
      <c r="E4503" s="11">
        <v>32</v>
      </c>
      <c r="F4503" s="11" t="s">
        <v>0</v>
      </c>
      <c r="G4503">
        <v>20161001</v>
      </c>
      <c r="I4503" s="11" t="s">
        <v>63</v>
      </c>
      <c r="J4503" s="72">
        <v>40324724</v>
      </c>
      <c r="K4503" s="99" t="str">
        <f>_xlfn.XLOOKUP(_2__ROI_Daily_Update[[#This Row],[CSM id]],SHP!F:F,SHP!EE:EE,"-")</f>
        <v>-</v>
      </c>
    </row>
    <row r="4504" spans="1:11" x14ac:dyDescent="0.45">
      <c r="A4504" s="57">
        <v>1414</v>
      </c>
      <c r="B4504" t="s">
        <v>5226</v>
      </c>
      <c r="C4504" t="s">
        <v>5227</v>
      </c>
      <c r="D4504" s="12">
        <v>46349</v>
      </c>
      <c r="E4504" s="11">
        <v>210</v>
      </c>
      <c r="F4504" s="11" t="s">
        <v>0</v>
      </c>
      <c r="G4504">
        <v>20161001</v>
      </c>
      <c r="I4504" s="11" t="s">
        <v>63</v>
      </c>
      <c r="J4504" s="72">
        <v>30323305</v>
      </c>
      <c r="K4504" s="99" t="str">
        <f>_xlfn.XLOOKUP(_2__ROI_Daily_Update[[#This Row],[CSM id]],SHP!F:F,SHP!EE:EE,"-")</f>
        <v>-</v>
      </c>
    </row>
    <row r="4505" spans="1:11" x14ac:dyDescent="0.45">
      <c r="A4505" s="57">
        <v>1424</v>
      </c>
      <c r="B4505" t="s">
        <v>2312</v>
      </c>
      <c r="C4505" t="s">
        <v>2313</v>
      </c>
      <c r="D4505" s="12">
        <v>46349</v>
      </c>
      <c r="E4505" s="11">
        <v>360</v>
      </c>
      <c r="F4505" s="11" t="s">
        <v>0</v>
      </c>
      <c r="G4505">
        <v>20260101</v>
      </c>
      <c r="I4505" s="11" t="s">
        <v>63</v>
      </c>
      <c r="J4505" s="72">
        <v>40613007</v>
      </c>
      <c r="K4505" s="99" t="str">
        <f>_xlfn.XLOOKUP(_2__ROI_Daily_Update[[#This Row],[CSM id]],SHP!F:F,SHP!EE:EE,"-")</f>
        <v>-</v>
      </c>
    </row>
    <row r="4506" spans="1:11" x14ac:dyDescent="0.45">
      <c r="A4506" s="57">
        <v>1431</v>
      </c>
      <c r="B4506" t="s">
        <v>2400</v>
      </c>
      <c r="C4506" t="s">
        <v>2401</v>
      </c>
      <c r="D4506" s="12">
        <v>46349</v>
      </c>
      <c r="E4506" s="11">
        <v>828</v>
      </c>
      <c r="F4506" s="11" t="s">
        <v>0</v>
      </c>
      <c r="G4506">
        <v>20210201</v>
      </c>
      <c r="I4506" s="11" t="s">
        <v>63</v>
      </c>
      <c r="J4506" s="72">
        <v>50485009</v>
      </c>
      <c r="K4506" s="99" t="str">
        <f>_xlfn.XLOOKUP(_2__ROI_Daily_Update[[#This Row],[CSM id]],SHP!F:F,SHP!EE:EE,"-")</f>
        <v>-</v>
      </c>
    </row>
    <row r="4507" spans="1:11" x14ac:dyDescent="0.45">
      <c r="A4507" s="57">
        <v>1414</v>
      </c>
      <c r="B4507" t="s">
        <v>6080</v>
      </c>
      <c r="C4507" t="s">
        <v>6081</v>
      </c>
      <c r="D4507" s="12">
        <v>46349</v>
      </c>
      <c r="E4507" s="11">
        <v>100</v>
      </c>
      <c r="F4507" s="11" t="s">
        <v>0</v>
      </c>
      <c r="G4507">
        <v>20161001</v>
      </c>
      <c r="I4507" s="11" t="s">
        <v>63</v>
      </c>
      <c r="J4507" s="72">
        <v>10323306</v>
      </c>
      <c r="K4507" s="99" t="str">
        <f>_xlfn.XLOOKUP(_2__ROI_Daily_Update[[#This Row],[CSM id]],SHP!F:F,SHP!EE:EE,"-")</f>
        <v>-</v>
      </c>
    </row>
    <row r="4508" spans="1:11" x14ac:dyDescent="0.45">
      <c r="A4508" s="57">
        <v>1412</v>
      </c>
      <c r="B4508" t="s">
        <v>2146</v>
      </c>
      <c r="C4508" t="s">
        <v>2147</v>
      </c>
      <c r="D4508" s="12">
        <v>46349</v>
      </c>
      <c r="E4508" s="11">
        <v>30</v>
      </c>
      <c r="F4508" s="11" t="s">
        <v>0</v>
      </c>
      <c r="G4508">
        <v>20160801</v>
      </c>
      <c r="I4508" s="11" t="s">
        <v>63</v>
      </c>
      <c r="J4508" s="72">
        <v>90324552</v>
      </c>
      <c r="K4508" s="99" t="str">
        <f>_xlfn.XLOOKUP(_2__ROI_Daily_Update[[#This Row],[CSM id]],SHP!F:F,SHP!EE:EE,"-")</f>
        <v>-</v>
      </c>
    </row>
    <row r="4509" spans="1:11" x14ac:dyDescent="0.45">
      <c r="A4509" s="57">
        <v>1431</v>
      </c>
      <c r="B4509" t="s">
        <v>2346</v>
      </c>
      <c r="C4509" t="s">
        <v>2347</v>
      </c>
      <c r="D4509" s="12">
        <v>46349</v>
      </c>
      <c r="E4509" s="11">
        <v>1248</v>
      </c>
      <c r="F4509" s="11" t="s">
        <v>0</v>
      </c>
      <c r="G4509">
        <v>20240701</v>
      </c>
      <c r="I4509" s="11" t="s">
        <v>63</v>
      </c>
      <c r="J4509" s="72">
        <v>10586294</v>
      </c>
      <c r="K4509" s="99" t="str">
        <f>_xlfn.XLOOKUP(_2__ROI_Daily_Update[[#This Row],[CSM id]],SHP!F:F,SHP!EE:EE,"-")</f>
        <v>-</v>
      </c>
    </row>
    <row r="4510" spans="1:11" x14ac:dyDescent="0.45">
      <c r="A4510" s="57">
        <v>1431</v>
      </c>
      <c r="B4510" t="s">
        <v>2358</v>
      </c>
      <c r="C4510" t="s">
        <v>2359</v>
      </c>
      <c r="D4510" s="12">
        <v>46349</v>
      </c>
      <c r="E4510" s="11">
        <v>720</v>
      </c>
      <c r="F4510" s="11" t="s">
        <v>0</v>
      </c>
      <c r="G4510">
        <v>20250701</v>
      </c>
      <c r="I4510" s="11" t="s">
        <v>63</v>
      </c>
      <c r="J4510" s="72">
        <v>20596711</v>
      </c>
      <c r="K4510" s="99" t="str">
        <f>_xlfn.XLOOKUP(_2__ROI_Daily_Update[[#This Row],[CSM id]],SHP!F:F,SHP!EE:EE,"-")</f>
        <v>-</v>
      </c>
    </row>
    <row r="4511" spans="1:11" x14ac:dyDescent="0.45">
      <c r="A4511" s="57">
        <v>1431</v>
      </c>
      <c r="B4511" t="s">
        <v>2360</v>
      </c>
      <c r="C4511" t="s">
        <v>2361</v>
      </c>
      <c r="D4511" s="12">
        <v>46349</v>
      </c>
      <c r="E4511" s="11">
        <v>72</v>
      </c>
      <c r="F4511" s="11" t="s">
        <v>0</v>
      </c>
      <c r="G4511">
        <v>20251001</v>
      </c>
      <c r="I4511" s="11" t="s">
        <v>63</v>
      </c>
      <c r="J4511" s="72">
        <v>20605697</v>
      </c>
      <c r="K4511" s="99" t="str">
        <f>_xlfn.XLOOKUP(_2__ROI_Daily_Update[[#This Row],[CSM id]],SHP!F:F,SHP!EE:EE,"-")</f>
        <v>-</v>
      </c>
    </row>
    <row r="4512" spans="1:11" x14ac:dyDescent="0.45">
      <c r="A4512" s="57">
        <v>1412</v>
      </c>
      <c r="B4512" t="s">
        <v>2126</v>
      </c>
      <c r="C4512" t="s">
        <v>2127</v>
      </c>
      <c r="D4512" s="12">
        <v>46349</v>
      </c>
      <c r="E4512" s="11">
        <v>8</v>
      </c>
      <c r="F4512" s="11" t="s">
        <v>0</v>
      </c>
      <c r="G4512">
        <v>20230701</v>
      </c>
      <c r="I4512" s="11" t="s">
        <v>63</v>
      </c>
      <c r="J4512" s="72">
        <v>30555710</v>
      </c>
      <c r="K4512" s="99" t="str">
        <f>_xlfn.XLOOKUP(_2__ROI_Daily_Update[[#This Row],[CSM id]],SHP!F:F,SHP!EE:EE,"-")</f>
        <v>-</v>
      </c>
    </row>
    <row r="4513" spans="1:11" x14ac:dyDescent="0.45">
      <c r="A4513" s="57">
        <v>1431</v>
      </c>
      <c r="B4513" t="s">
        <v>2370</v>
      </c>
      <c r="C4513" t="s">
        <v>2371</v>
      </c>
      <c r="D4513" s="12">
        <v>46349</v>
      </c>
      <c r="E4513" s="11">
        <v>468</v>
      </c>
      <c r="F4513" s="11" t="s">
        <v>0</v>
      </c>
      <c r="G4513">
        <v>20180401</v>
      </c>
      <c r="I4513" s="11" t="s">
        <v>18</v>
      </c>
      <c r="J4513" s="72">
        <v>30361793</v>
      </c>
      <c r="K4513" s="99" t="str">
        <f>_xlfn.XLOOKUP(_2__ROI_Daily_Update[[#This Row],[CSM id]],SHP!F:F,SHP!EE:EE,"-")</f>
        <v>-</v>
      </c>
    </row>
    <row r="4514" spans="1:11" x14ac:dyDescent="0.45">
      <c r="A4514" s="57">
        <v>1431</v>
      </c>
      <c r="B4514" t="s">
        <v>2380</v>
      </c>
      <c r="C4514" t="s">
        <v>2381</v>
      </c>
      <c r="D4514" s="12">
        <v>46349</v>
      </c>
      <c r="E4514" s="11">
        <v>120</v>
      </c>
      <c r="F4514" s="11" t="s">
        <v>0</v>
      </c>
      <c r="G4514">
        <v>20260401</v>
      </c>
      <c r="I4514" s="11" t="s">
        <v>63</v>
      </c>
      <c r="J4514" s="72">
        <v>30623832</v>
      </c>
      <c r="K4514" s="99" t="str">
        <f>_xlfn.XLOOKUP(_2__ROI_Daily_Update[[#This Row],[CSM id]],SHP!F:F,SHP!EE:EE,"-")</f>
        <v>-</v>
      </c>
    </row>
    <row r="4515" spans="1:11" x14ac:dyDescent="0.45">
      <c r="A4515" s="57">
        <v>1424</v>
      </c>
      <c r="B4515" t="s">
        <v>2316</v>
      </c>
      <c r="C4515" t="s">
        <v>2317</v>
      </c>
      <c r="D4515" s="12">
        <v>46349</v>
      </c>
      <c r="E4515" s="11">
        <v>69</v>
      </c>
      <c r="F4515" s="11" t="s">
        <v>0</v>
      </c>
      <c r="G4515">
        <v>20160701</v>
      </c>
      <c r="I4515" s="11" t="s">
        <v>63</v>
      </c>
      <c r="J4515" s="72">
        <v>80313323</v>
      </c>
      <c r="K4515" s="99" t="str">
        <f>_xlfn.XLOOKUP(_2__ROI_Daily_Update[[#This Row],[CSM id]],SHP!F:F,SHP!EE:EE,"-")</f>
        <v>-</v>
      </c>
    </row>
    <row r="4516" spans="1:11" x14ac:dyDescent="0.45">
      <c r="A4516" s="57">
        <v>983</v>
      </c>
      <c r="B4516" t="s">
        <v>968</v>
      </c>
      <c r="C4516" t="s">
        <v>969</v>
      </c>
      <c r="D4516" s="12">
        <v>46349</v>
      </c>
      <c r="E4516" s="11">
        <v>84</v>
      </c>
      <c r="F4516" s="11" t="s">
        <v>0</v>
      </c>
      <c r="G4516">
        <v>20141201</v>
      </c>
      <c r="I4516" s="11" t="s">
        <v>63</v>
      </c>
      <c r="J4516" s="72">
        <v>10158189</v>
      </c>
      <c r="K4516" s="99" t="str">
        <f>_xlfn.XLOOKUP(_2__ROI_Daily_Update[[#This Row],[CSM id]],SHP!F:F,SHP!EE:EE,"-")</f>
        <v>-</v>
      </c>
    </row>
    <row r="4517" spans="1:11" x14ac:dyDescent="0.45">
      <c r="A4517" s="57">
        <v>1511</v>
      </c>
      <c r="B4517" t="s">
        <v>2608</v>
      </c>
      <c r="C4517" t="s">
        <v>2609</v>
      </c>
      <c r="D4517" s="12">
        <v>46349</v>
      </c>
      <c r="E4517" s="11">
        <v>255</v>
      </c>
      <c r="F4517" s="11" t="s">
        <v>0</v>
      </c>
      <c r="G4517">
        <v>20251001</v>
      </c>
      <c r="I4517" s="11" t="s">
        <v>63</v>
      </c>
      <c r="J4517" s="72">
        <v>70607806</v>
      </c>
      <c r="K4517" s="99" t="str">
        <f>_xlfn.XLOOKUP(_2__ROI_Daily_Update[[#This Row],[CSM id]],SHP!F:F,SHP!EE:EE,"-")</f>
        <v>-</v>
      </c>
    </row>
    <row r="4518" spans="1:11" x14ac:dyDescent="0.45">
      <c r="A4518" s="57">
        <v>1511</v>
      </c>
      <c r="B4518" t="s">
        <v>5224</v>
      </c>
      <c r="C4518" t="s">
        <v>5225</v>
      </c>
      <c r="D4518" s="12">
        <v>46349</v>
      </c>
      <c r="E4518" s="11">
        <v>216</v>
      </c>
      <c r="F4518" s="11" t="s">
        <v>0</v>
      </c>
      <c r="G4518">
        <v>20250701</v>
      </c>
      <c r="I4518" s="11" t="s">
        <v>63</v>
      </c>
      <c r="J4518" s="72">
        <v>60600749</v>
      </c>
      <c r="K4518" s="99" t="str">
        <f>_xlfn.XLOOKUP(_2__ROI_Daily_Update[[#This Row],[CSM id]],SHP!F:F,SHP!EE:EE,"-")</f>
        <v>-</v>
      </c>
    </row>
    <row r="4519" spans="1:11" x14ac:dyDescent="0.45">
      <c r="A4519" s="57">
        <v>1531</v>
      </c>
      <c r="B4519" t="s">
        <v>6184</v>
      </c>
      <c r="C4519" t="s">
        <v>6185</v>
      </c>
      <c r="D4519" s="12">
        <v>46349</v>
      </c>
      <c r="E4519" s="11">
        <v>126</v>
      </c>
      <c r="F4519" s="11" t="s">
        <v>0</v>
      </c>
      <c r="G4519">
        <v>20190801</v>
      </c>
      <c r="I4519" s="11" t="s">
        <v>63</v>
      </c>
      <c r="J4519" s="72">
        <v>50428491</v>
      </c>
      <c r="K4519" s="99" t="str">
        <f>_xlfn.XLOOKUP(_2__ROI_Daily_Update[[#This Row],[CSM id]],SHP!F:F,SHP!EE:EE,"-")</f>
        <v>-</v>
      </c>
    </row>
    <row r="4520" spans="1:11" x14ac:dyDescent="0.45">
      <c r="A4520" s="57">
        <v>1531</v>
      </c>
      <c r="B4520" t="s">
        <v>2756</v>
      </c>
      <c r="C4520" t="s">
        <v>2757</v>
      </c>
      <c r="D4520" s="12">
        <v>46349</v>
      </c>
      <c r="E4520" s="11">
        <v>108</v>
      </c>
      <c r="F4520" s="11" t="s">
        <v>0</v>
      </c>
      <c r="G4520">
        <v>20141201</v>
      </c>
      <c r="H4520" s="12">
        <v>46569</v>
      </c>
      <c r="I4520" s="11" t="s">
        <v>63</v>
      </c>
      <c r="J4520" s="72">
        <v>90177589</v>
      </c>
      <c r="K4520" s="99" t="str">
        <f>_xlfn.XLOOKUP(_2__ROI_Daily_Update[[#This Row],[CSM id]],SHP!F:F,SHP!EE:EE,"-")</f>
        <v>-</v>
      </c>
    </row>
    <row r="4521" spans="1:11" x14ac:dyDescent="0.45">
      <c r="A4521" s="57">
        <v>1531</v>
      </c>
      <c r="B4521" t="s">
        <v>6538</v>
      </c>
      <c r="C4521" t="s">
        <v>6539</v>
      </c>
      <c r="D4521" s="12">
        <v>46349</v>
      </c>
      <c r="E4521" s="11">
        <v>10</v>
      </c>
      <c r="F4521" s="11" t="s">
        <v>0</v>
      </c>
      <c r="G4521">
        <v>20260401</v>
      </c>
      <c r="I4521" s="11" t="s">
        <v>63</v>
      </c>
      <c r="J4521" s="72">
        <v>90623891</v>
      </c>
      <c r="K4521" s="99" t="str">
        <f>_xlfn.XLOOKUP(_2__ROI_Daily_Update[[#This Row],[CSM id]],SHP!F:F,SHP!EE:EE,"-")</f>
        <v>-</v>
      </c>
    </row>
    <row r="4522" spans="1:11" x14ac:dyDescent="0.45">
      <c r="A4522" s="57">
        <v>1541</v>
      </c>
      <c r="B4522" t="s">
        <v>2762</v>
      </c>
      <c r="C4522" t="s">
        <v>2763</v>
      </c>
      <c r="D4522" s="12">
        <v>46349</v>
      </c>
      <c r="E4522" s="11">
        <v>240</v>
      </c>
      <c r="F4522" s="11" t="s">
        <v>0</v>
      </c>
      <c r="G4522">
        <v>20250701</v>
      </c>
      <c r="I4522" s="11" t="s">
        <v>63</v>
      </c>
      <c r="J4522" s="72">
        <v>10459168</v>
      </c>
      <c r="K4522" s="99" t="str">
        <f>_xlfn.XLOOKUP(_2__ROI_Daily_Update[[#This Row],[CSM id]],SHP!F:F,SHP!EE:EE,"-")</f>
        <v>-</v>
      </c>
    </row>
    <row r="4523" spans="1:11" x14ac:dyDescent="0.45">
      <c r="A4523" s="57">
        <v>1541</v>
      </c>
      <c r="B4523" t="s">
        <v>2769</v>
      </c>
      <c r="C4523" t="s">
        <v>2770</v>
      </c>
      <c r="D4523" s="12">
        <v>46349</v>
      </c>
      <c r="E4523" s="11">
        <v>1020</v>
      </c>
      <c r="F4523" s="11" t="s">
        <v>0</v>
      </c>
      <c r="G4523">
        <v>20261001</v>
      </c>
      <c r="H4523" s="12">
        <v>46478</v>
      </c>
      <c r="I4523" s="11" t="s">
        <v>63</v>
      </c>
      <c r="J4523" s="72">
        <v>30636655</v>
      </c>
      <c r="K4523" s="99" t="str">
        <f>_xlfn.XLOOKUP(_2__ROI_Daily_Update[[#This Row],[CSM id]],SHP!F:F,SHP!EE:EE,"-")</f>
        <v>-</v>
      </c>
    </row>
    <row r="4524" spans="1:11" x14ac:dyDescent="0.45">
      <c r="A4524" s="57">
        <v>1551</v>
      </c>
      <c r="B4524" t="s">
        <v>2799</v>
      </c>
      <c r="C4524" t="s">
        <v>2800</v>
      </c>
      <c r="D4524" s="12">
        <v>46349</v>
      </c>
      <c r="E4524" s="11">
        <v>210</v>
      </c>
      <c r="F4524" s="11" t="s">
        <v>0</v>
      </c>
      <c r="G4524">
        <v>20250401</v>
      </c>
      <c r="I4524" s="11" t="s">
        <v>63</v>
      </c>
      <c r="J4524" s="72">
        <v>601799</v>
      </c>
      <c r="K4524" s="99" t="str">
        <f>_xlfn.XLOOKUP(_2__ROI_Daily_Update[[#This Row],[CSM id]],SHP!F:F,SHP!EE:EE,"-")</f>
        <v>-</v>
      </c>
    </row>
    <row r="4525" spans="1:11" x14ac:dyDescent="0.45">
      <c r="A4525" s="57">
        <v>1531</v>
      </c>
      <c r="B4525" t="s">
        <v>2736</v>
      </c>
      <c r="C4525" t="s">
        <v>2737</v>
      </c>
      <c r="D4525" s="12">
        <v>46349</v>
      </c>
      <c r="E4525" s="11">
        <v>22</v>
      </c>
      <c r="F4525" s="11" t="s">
        <v>0</v>
      </c>
      <c r="G4525">
        <v>20241001</v>
      </c>
      <c r="H4525" s="12">
        <v>46388</v>
      </c>
      <c r="I4525" s="11" t="s">
        <v>63</v>
      </c>
      <c r="J4525" s="72">
        <v>40565921</v>
      </c>
      <c r="K4525" s="99" t="str">
        <f>_xlfn.XLOOKUP(_2__ROI_Daily_Update[[#This Row],[CSM id]],SHP!F:F,SHP!EE:EE,"-")</f>
        <v>-</v>
      </c>
    </row>
    <row r="4526" spans="1:11" x14ac:dyDescent="0.45">
      <c r="A4526" s="57">
        <v>1551</v>
      </c>
      <c r="B4526" t="s">
        <v>2803</v>
      </c>
      <c r="C4526" t="s">
        <v>2804</v>
      </c>
      <c r="D4526" s="12">
        <v>46349</v>
      </c>
      <c r="E4526" s="11">
        <v>180</v>
      </c>
      <c r="F4526" s="11" t="s">
        <v>0</v>
      </c>
      <c r="G4526">
        <v>20251001</v>
      </c>
      <c r="I4526" s="11" t="s">
        <v>63</v>
      </c>
      <c r="J4526" s="72">
        <v>10607814</v>
      </c>
      <c r="K4526" s="99" t="str">
        <f>_xlfn.XLOOKUP(_2__ROI_Daily_Update[[#This Row],[CSM id]],SHP!F:F,SHP!EE:EE,"-")</f>
        <v>-</v>
      </c>
    </row>
    <row r="4527" spans="1:11" x14ac:dyDescent="0.45">
      <c r="A4527" s="57">
        <v>1551</v>
      </c>
      <c r="B4527" t="s">
        <v>2835</v>
      </c>
      <c r="C4527" t="s">
        <v>2836</v>
      </c>
      <c r="D4527" s="12">
        <v>46349</v>
      </c>
      <c r="E4527" s="11">
        <v>40</v>
      </c>
      <c r="F4527" s="11" t="s">
        <v>0</v>
      </c>
      <c r="G4527">
        <v>20260101</v>
      </c>
      <c r="H4527" s="12">
        <v>46753</v>
      </c>
      <c r="I4527" s="11" t="s">
        <v>63</v>
      </c>
      <c r="J4527" s="72">
        <v>90615103</v>
      </c>
      <c r="K4527" s="99" t="str">
        <f>_xlfn.XLOOKUP(_2__ROI_Daily_Update[[#This Row],[CSM id]],SHP!F:F,SHP!EE:EE,"-")</f>
        <v>-</v>
      </c>
    </row>
    <row r="4528" spans="1:11" x14ac:dyDescent="0.45">
      <c r="A4528" s="57">
        <v>215</v>
      </c>
      <c r="B4528" t="s">
        <v>289</v>
      </c>
      <c r="C4528" t="s">
        <v>290</v>
      </c>
      <c r="D4528" s="12">
        <v>46349</v>
      </c>
      <c r="E4528" s="11">
        <v>24</v>
      </c>
      <c r="F4528" s="11" t="s">
        <v>0</v>
      </c>
      <c r="G4528">
        <v>20170401</v>
      </c>
      <c r="I4528" s="11" t="s">
        <v>32</v>
      </c>
      <c r="J4528" s="72">
        <v>70351886</v>
      </c>
      <c r="K4528" s="99" t="str">
        <f>_xlfn.XLOOKUP(_2__ROI_Daily_Update[[#This Row],[CSM id]],SHP!F:F,SHP!EE:EE,"-")</f>
        <v>-</v>
      </c>
    </row>
    <row r="4529" spans="1:11" x14ac:dyDescent="0.45">
      <c r="A4529" s="57">
        <v>215</v>
      </c>
      <c r="B4529" t="s">
        <v>265</v>
      </c>
      <c r="C4529" t="s">
        <v>266</v>
      </c>
      <c r="D4529" s="12">
        <v>46349</v>
      </c>
      <c r="E4529" s="11">
        <v>40</v>
      </c>
      <c r="F4529" s="11" t="s">
        <v>0</v>
      </c>
      <c r="G4529">
        <v>20170401</v>
      </c>
      <c r="I4529" s="11" t="s">
        <v>32</v>
      </c>
      <c r="J4529" s="72">
        <v>20351884</v>
      </c>
      <c r="K4529" s="99" t="str">
        <f>_xlfn.XLOOKUP(_2__ROI_Daily_Update[[#This Row],[CSM id]],SHP!F:F,SHP!EE:EE,"-")</f>
        <v>-</v>
      </c>
    </row>
    <row r="4530" spans="1:11" x14ac:dyDescent="0.45">
      <c r="A4530" s="57">
        <v>215</v>
      </c>
      <c r="B4530" t="s">
        <v>273</v>
      </c>
      <c r="C4530" t="s">
        <v>274</v>
      </c>
      <c r="D4530" s="12">
        <v>46349</v>
      </c>
      <c r="E4530" s="11">
        <v>14</v>
      </c>
      <c r="F4530" s="11" t="s">
        <v>0</v>
      </c>
      <c r="G4530">
        <v>20170401</v>
      </c>
      <c r="I4530" s="11" t="s">
        <v>32</v>
      </c>
      <c r="J4530" s="72">
        <v>40351883</v>
      </c>
      <c r="K4530" s="99" t="str">
        <f>_xlfn.XLOOKUP(_2__ROI_Daily_Update[[#This Row],[CSM id]],SHP!F:F,SHP!EE:EE,"-")</f>
        <v>-</v>
      </c>
    </row>
    <row r="4531" spans="1:11" x14ac:dyDescent="0.45">
      <c r="A4531" s="57">
        <v>1633</v>
      </c>
      <c r="B4531" t="s">
        <v>2994</v>
      </c>
      <c r="C4531" t="s">
        <v>2995</v>
      </c>
      <c r="D4531" s="12">
        <v>46349</v>
      </c>
      <c r="E4531" s="11">
        <v>240</v>
      </c>
      <c r="F4531" s="11" t="s">
        <v>0</v>
      </c>
      <c r="G4531">
        <v>20260801</v>
      </c>
      <c r="H4531" s="12">
        <v>46388</v>
      </c>
      <c r="I4531" s="11" t="s">
        <v>63</v>
      </c>
      <c r="J4531" s="72">
        <v>40630059</v>
      </c>
      <c r="K4531" s="99" t="str">
        <f>_xlfn.XLOOKUP(_2__ROI_Daily_Update[[#This Row],[CSM id]],SHP!F:F,SHP!EE:EE,"-")</f>
        <v>-</v>
      </c>
    </row>
    <row r="4532" spans="1:11" x14ac:dyDescent="0.45">
      <c r="A4532" s="57">
        <v>1633</v>
      </c>
      <c r="B4532" t="s">
        <v>2996</v>
      </c>
      <c r="C4532" t="s">
        <v>2997</v>
      </c>
      <c r="D4532" s="12">
        <v>46349</v>
      </c>
      <c r="E4532" s="11">
        <v>66</v>
      </c>
      <c r="F4532" s="11" t="s">
        <v>0</v>
      </c>
      <c r="G4532">
        <v>20260801</v>
      </c>
      <c r="H4532" s="12">
        <v>46388</v>
      </c>
      <c r="I4532" s="11" t="s">
        <v>63</v>
      </c>
      <c r="J4532" s="72">
        <v>40630605</v>
      </c>
      <c r="K4532" s="99" t="str">
        <f>_xlfn.XLOOKUP(_2__ROI_Daily_Update[[#This Row],[CSM id]],SHP!F:F,SHP!EE:EE,"-")</f>
        <v>-</v>
      </c>
    </row>
    <row r="4533" spans="1:11" x14ac:dyDescent="0.45">
      <c r="A4533" s="57">
        <v>1551</v>
      </c>
      <c r="B4533" t="s">
        <v>2807</v>
      </c>
      <c r="C4533" t="s">
        <v>2808</v>
      </c>
      <c r="D4533" s="12">
        <v>46349</v>
      </c>
      <c r="E4533" s="11">
        <v>90</v>
      </c>
      <c r="F4533" s="11" t="s">
        <v>0</v>
      </c>
      <c r="G4533">
        <v>20260101</v>
      </c>
      <c r="I4533" s="11" t="s">
        <v>63</v>
      </c>
      <c r="J4533" s="72">
        <v>20603684</v>
      </c>
      <c r="K4533" s="99" t="str">
        <f>_xlfn.XLOOKUP(_2__ROI_Daily_Update[[#This Row],[CSM id]],SHP!F:F,SHP!EE:EE,"-")</f>
        <v>-</v>
      </c>
    </row>
    <row r="4534" spans="1:11" x14ac:dyDescent="0.45">
      <c r="A4534" s="57">
        <v>983</v>
      </c>
      <c r="B4534" t="s">
        <v>961</v>
      </c>
      <c r="C4534" t="s">
        <v>962</v>
      </c>
      <c r="D4534" s="12">
        <v>46349</v>
      </c>
      <c r="E4534" s="11">
        <v>1000</v>
      </c>
      <c r="F4534" s="11" t="s">
        <v>0</v>
      </c>
      <c r="G4534">
        <v>20180601</v>
      </c>
      <c r="I4534" s="11" t="s">
        <v>18</v>
      </c>
      <c r="J4534" s="72">
        <v>378672</v>
      </c>
      <c r="K4534" s="99" t="str">
        <f>_xlfn.XLOOKUP(_2__ROI_Daily_Update[[#This Row],[CSM id]],SHP!F:F,SHP!EE:EE,"-")</f>
        <v>-</v>
      </c>
    </row>
    <row r="4535" spans="1:11" x14ac:dyDescent="0.45">
      <c r="A4535" s="57">
        <v>1531</v>
      </c>
      <c r="B4535" t="s">
        <v>6536</v>
      </c>
      <c r="C4535" t="s">
        <v>6537</v>
      </c>
      <c r="D4535" s="12">
        <v>46349</v>
      </c>
      <c r="E4535" s="11">
        <v>10</v>
      </c>
      <c r="F4535" s="11" t="s">
        <v>0</v>
      </c>
      <c r="G4535">
        <v>20260101</v>
      </c>
      <c r="I4535" s="11" t="s">
        <v>63</v>
      </c>
      <c r="J4535" s="72">
        <v>614570</v>
      </c>
      <c r="K4535" s="99" t="str">
        <f>_xlfn.XLOOKUP(_2__ROI_Daily_Update[[#This Row],[CSM id]],SHP!F:F,SHP!EE:EE,"-")</f>
        <v>-</v>
      </c>
    </row>
    <row r="4536" spans="1:11" x14ac:dyDescent="0.45">
      <c r="A4536" s="57">
        <v>1522</v>
      </c>
      <c r="B4536" t="s">
        <v>2712</v>
      </c>
      <c r="C4536" t="s">
        <v>2713</v>
      </c>
      <c r="D4536" s="12">
        <v>46349</v>
      </c>
      <c r="E4536" s="11">
        <v>48</v>
      </c>
      <c r="F4536" s="11" t="s">
        <v>0</v>
      </c>
      <c r="G4536">
        <v>20261001</v>
      </c>
      <c r="H4536" s="12">
        <v>46388</v>
      </c>
      <c r="I4536" s="11" t="s">
        <v>63</v>
      </c>
      <c r="J4536" s="72">
        <v>30633727</v>
      </c>
      <c r="K4536" s="99" t="str">
        <f>_xlfn.XLOOKUP(_2__ROI_Daily_Update[[#This Row],[CSM id]],SHP!F:F,SHP!EE:EE,"-")</f>
        <v>-</v>
      </c>
    </row>
    <row r="4537" spans="1:11" x14ac:dyDescent="0.45">
      <c r="A4537" s="57">
        <v>1511</v>
      </c>
      <c r="B4537" t="s">
        <v>6544</v>
      </c>
      <c r="C4537" t="s">
        <v>6545</v>
      </c>
      <c r="D4537" s="12">
        <v>46349</v>
      </c>
      <c r="E4537" s="11">
        <v>480</v>
      </c>
      <c r="F4537" s="11" t="s">
        <v>0</v>
      </c>
      <c r="G4537">
        <v>20251001</v>
      </c>
      <c r="I4537" s="11" t="s">
        <v>63</v>
      </c>
      <c r="J4537" s="72">
        <v>60607406</v>
      </c>
      <c r="K4537" s="99" t="str">
        <f>_xlfn.XLOOKUP(_2__ROI_Daily_Update[[#This Row],[CSM id]],SHP!F:F,SHP!EE:EE,"-")</f>
        <v>-</v>
      </c>
    </row>
    <row r="4538" spans="1:11" x14ac:dyDescent="0.45">
      <c r="A4538" s="57">
        <v>1421</v>
      </c>
      <c r="B4538" t="s">
        <v>2200</v>
      </c>
      <c r="C4538" t="s">
        <v>2201</v>
      </c>
      <c r="D4538" s="12">
        <v>46349</v>
      </c>
      <c r="E4538" s="11">
        <v>64</v>
      </c>
      <c r="F4538" s="11" t="s">
        <v>0</v>
      </c>
      <c r="G4538">
        <v>20241001</v>
      </c>
      <c r="I4538" s="11" t="s">
        <v>63</v>
      </c>
      <c r="J4538" s="72">
        <v>30581506</v>
      </c>
      <c r="K4538" s="99" t="str">
        <f>_xlfn.XLOOKUP(_2__ROI_Daily_Update[[#This Row],[CSM id]],SHP!F:F,SHP!EE:EE,"-")</f>
        <v>-</v>
      </c>
    </row>
    <row r="4539" spans="1:11" x14ac:dyDescent="0.45">
      <c r="A4539" s="57">
        <v>1511</v>
      </c>
      <c r="B4539" t="s">
        <v>2610</v>
      </c>
      <c r="C4539" t="s">
        <v>2611</v>
      </c>
      <c r="D4539" s="12">
        <v>46349</v>
      </c>
      <c r="E4539" s="11">
        <v>192</v>
      </c>
      <c r="F4539" s="11" t="s">
        <v>0</v>
      </c>
      <c r="G4539">
        <v>20251001</v>
      </c>
      <c r="I4539" s="11" t="s">
        <v>63</v>
      </c>
      <c r="J4539" s="72">
        <v>70607811</v>
      </c>
      <c r="K4539" s="99" t="str">
        <f>_xlfn.XLOOKUP(_2__ROI_Daily_Update[[#This Row],[CSM id]],SHP!F:F,SHP!EE:EE,"-")</f>
        <v>-</v>
      </c>
    </row>
    <row r="4540" spans="1:11" x14ac:dyDescent="0.45">
      <c r="A4540" s="57">
        <v>1511</v>
      </c>
      <c r="B4540" t="s">
        <v>2618</v>
      </c>
      <c r="C4540" t="s">
        <v>2619</v>
      </c>
      <c r="D4540" s="12">
        <v>46349</v>
      </c>
      <c r="E4540" s="11">
        <v>84</v>
      </c>
      <c r="F4540" s="11" t="s">
        <v>0</v>
      </c>
      <c r="G4540">
        <v>20170401</v>
      </c>
      <c r="I4540" s="11" t="s">
        <v>63</v>
      </c>
      <c r="J4540" s="72">
        <v>80319018</v>
      </c>
      <c r="K4540" s="99" t="str">
        <f>_xlfn.XLOOKUP(_2__ROI_Daily_Update[[#This Row],[CSM id]],SHP!F:F,SHP!EE:EE,"-")</f>
        <v>-</v>
      </c>
    </row>
    <row r="4541" spans="1:11" x14ac:dyDescent="0.45">
      <c r="A4541" s="57">
        <v>1511</v>
      </c>
      <c r="B4541" t="s">
        <v>2628</v>
      </c>
      <c r="C4541" t="s">
        <v>2629</v>
      </c>
      <c r="D4541" s="12">
        <v>46349</v>
      </c>
      <c r="E4541" s="11">
        <v>66</v>
      </c>
      <c r="F4541" s="11" t="s">
        <v>0</v>
      </c>
      <c r="G4541">
        <v>20260701</v>
      </c>
      <c r="I4541" s="11" t="s">
        <v>63</v>
      </c>
      <c r="J4541" s="72">
        <v>80609796</v>
      </c>
      <c r="K4541" s="99" t="str">
        <f>_xlfn.XLOOKUP(_2__ROI_Daily_Update[[#This Row],[CSM id]],SHP!F:F,SHP!EE:EE,"-")</f>
        <v>-</v>
      </c>
    </row>
    <row r="4542" spans="1:11" x14ac:dyDescent="0.45">
      <c r="A4542" s="57">
        <v>1511</v>
      </c>
      <c r="B4542" t="s">
        <v>6082</v>
      </c>
      <c r="C4542" t="s">
        <v>6083</v>
      </c>
      <c r="D4542" s="12">
        <v>46349</v>
      </c>
      <c r="E4542" s="11">
        <v>720</v>
      </c>
      <c r="F4542" s="11" t="s">
        <v>0</v>
      </c>
      <c r="G4542">
        <v>20260201</v>
      </c>
      <c r="I4542" s="11" t="s">
        <v>63</v>
      </c>
      <c r="J4542" s="72">
        <v>90613788</v>
      </c>
      <c r="K4542" s="99" t="str">
        <f>_xlfn.XLOOKUP(_2__ROI_Daily_Update[[#This Row],[CSM id]],SHP!F:F,SHP!EE:EE,"-")</f>
        <v>-</v>
      </c>
    </row>
    <row r="4543" spans="1:11" x14ac:dyDescent="0.45">
      <c r="A4543" s="57">
        <v>1531</v>
      </c>
      <c r="B4543" t="s">
        <v>2726</v>
      </c>
      <c r="C4543" t="s">
        <v>2727</v>
      </c>
      <c r="D4543" s="12">
        <v>46349</v>
      </c>
      <c r="E4543" s="11">
        <v>80</v>
      </c>
      <c r="F4543" s="11" t="s">
        <v>0</v>
      </c>
      <c r="G4543">
        <v>20251001</v>
      </c>
      <c r="H4543" s="12">
        <v>46388</v>
      </c>
      <c r="I4543" s="11" t="s">
        <v>63</v>
      </c>
      <c r="J4543" s="72">
        <v>610077</v>
      </c>
      <c r="K4543" s="99" t="str">
        <f>_xlfn.XLOOKUP(_2__ROI_Daily_Update[[#This Row],[CSM id]],SHP!F:F,SHP!EE:EE,"-")</f>
        <v>-</v>
      </c>
    </row>
    <row r="4544" spans="1:11" x14ac:dyDescent="0.45">
      <c r="A4544" s="57">
        <v>1512</v>
      </c>
      <c r="B4544" t="s">
        <v>5664</v>
      </c>
      <c r="C4544" t="s">
        <v>5665</v>
      </c>
      <c r="D4544" s="12">
        <v>46349</v>
      </c>
      <c r="E4544" s="11">
        <v>108</v>
      </c>
      <c r="F4544" s="11" t="s">
        <v>0</v>
      </c>
      <c r="G4544">
        <v>20210201</v>
      </c>
      <c r="H4544" s="12">
        <v>46388</v>
      </c>
      <c r="I4544" s="11" t="s">
        <v>63</v>
      </c>
      <c r="J4544" s="72">
        <v>20484110</v>
      </c>
      <c r="K4544" s="99" t="str">
        <f>_xlfn.XLOOKUP(_2__ROI_Daily_Update[[#This Row],[CSM id]],SHP!F:F,SHP!EE:EE,"-")</f>
        <v>-</v>
      </c>
    </row>
    <row r="4545" spans="1:11" x14ac:dyDescent="0.45">
      <c r="A4545" s="57">
        <v>1521</v>
      </c>
      <c r="B4545" t="s">
        <v>2676</v>
      </c>
      <c r="C4545" t="s">
        <v>2677</v>
      </c>
      <c r="D4545" s="12">
        <v>46349</v>
      </c>
      <c r="E4545" s="11">
        <v>600</v>
      </c>
      <c r="F4545" s="11" t="s">
        <v>0</v>
      </c>
      <c r="G4545">
        <v>20140801</v>
      </c>
      <c r="I4545" s="11" t="s">
        <v>18</v>
      </c>
      <c r="J4545" s="72">
        <v>20137851</v>
      </c>
      <c r="K4545" s="99" t="str">
        <f>_xlfn.XLOOKUP(_2__ROI_Daily_Update[[#This Row],[CSM id]],SHP!F:F,SHP!EE:EE,"-")</f>
        <v>-</v>
      </c>
    </row>
    <row r="4546" spans="1:11" x14ac:dyDescent="0.45">
      <c r="A4546" s="57">
        <v>1521</v>
      </c>
      <c r="B4546" t="s">
        <v>2684</v>
      </c>
      <c r="C4546" t="s">
        <v>2685</v>
      </c>
      <c r="D4546" s="12">
        <v>46349</v>
      </c>
      <c r="E4546" s="11">
        <v>6</v>
      </c>
      <c r="F4546" s="11" t="s">
        <v>0</v>
      </c>
      <c r="G4546">
        <v>20250401</v>
      </c>
      <c r="I4546" s="11" t="s">
        <v>63</v>
      </c>
      <c r="J4546" s="72">
        <v>40592444</v>
      </c>
      <c r="K4546" s="99" t="str">
        <f>_xlfn.XLOOKUP(_2__ROI_Daily_Update[[#This Row],[CSM id]],SHP!F:F,SHP!EE:EE,"-")</f>
        <v>-</v>
      </c>
    </row>
    <row r="4547" spans="1:11" x14ac:dyDescent="0.45">
      <c r="A4547" s="57">
        <v>1521</v>
      </c>
      <c r="B4547" t="s">
        <v>2686</v>
      </c>
      <c r="C4547" t="s">
        <v>2687</v>
      </c>
      <c r="D4547" s="12">
        <v>46349</v>
      </c>
      <c r="E4547" s="11">
        <v>72</v>
      </c>
      <c r="F4547" s="11" t="s">
        <v>0</v>
      </c>
      <c r="G4547">
        <v>20261001</v>
      </c>
      <c r="I4547" s="11" t="s">
        <v>63</v>
      </c>
      <c r="J4547" s="72">
        <v>40628725</v>
      </c>
      <c r="K4547" s="99" t="str">
        <f>_xlfn.XLOOKUP(_2__ROI_Daily_Update[[#This Row],[CSM id]],SHP!F:F,SHP!EE:EE,"-")</f>
        <v>-</v>
      </c>
    </row>
    <row r="4548" spans="1:11" x14ac:dyDescent="0.45">
      <c r="A4548" s="57">
        <v>1521</v>
      </c>
      <c r="B4548" t="s">
        <v>2700</v>
      </c>
      <c r="C4548" t="s">
        <v>2701</v>
      </c>
      <c r="D4548" s="12">
        <v>46349</v>
      </c>
      <c r="E4548" s="11">
        <v>105</v>
      </c>
      <c r="F4548" s="11" t="s">
        <v>0</v>
      </c>
      <c r="G4548">
        <v>20231001</v>
      </c>
      <c r="I4548" s="11" t="s">
        <v>63</v>
      </c>
      <c r="J4548" s="72">
        <v>70567594</v>
      </c>
      <c r="K4548" s="99" t="str">
        <f>_xlfn.XLOOKUP(_2__ROI_Daily_Update[[#This Row],[CSM id]],SHP!F:F,SHP!EE:EE,"-")</f>
        <v>-</v>
      </c>
    </row>
    <row r="4549" spans="1:11" x14ac:dyDescent="0.45">
      <c r="A4549" s="57">
        <v>1521</v>
      </c>
      <c r="B4549" t="s">
        <v>6188</v>
      </c>
      <c r="C4549" t="s">
        <v>6189</v>
      </c>
      <c r="D4549" s="12">
        <v>46349</v>
      </c>
      <c r="E4549" s="11">
        <v>960</v>
      </c>
      <c r="F4549" s="11" t="s">
        <v>0</v>
      </c>
      <c r="G4549">
        <v>20251001</v>
      </c>
      <c r="I4549" s="11" t="s">
        <v>63</v>
      </c>
      <c r="J4549" s="72">
        <v>80614298</v>
      </c>
      <c r="K4549" s="99" t="str">
        <f>_xlfn.XLOOKUP(_2__ROI_Daily_Update[[#This Row],[CSM id]],SHP!F:F,SHP!EE:EE,"-")</f>
        <v>-</v>
      </c>
    </row>
    <row r="4550" spans="1:11" x14ac:dyDescent="0.45">
      <c r="A4550" s="57">
        <v>1521</v>
      </c>
      <c r="B4550" t="s">
        <v>6542</v>
      </c>
      <c r="C4550" t="s">
        <v>6543</v>
      </c>
      <c r="D4550" s="12">
        <v>46349</v>
      </c>
      <c r="E4550" s="11">
        <v>288</v>
      </c>
      <c r="F4550" s="11" t="s">
        <v>0</v>
      </c>
      <c r="G4550">
        <v>20260701</v>
      </c>
      <c r="I4550" s="11" t="s">
        <v>63</v>
      </c>
      <c r="J4550" s="72">
        <v>80625414</v>
      </c>
      <c r="K4550" s="99" t="str">
        <f>_xlfn.XLOOKUP(_2__ROI_Daily_Update[[#This Row],[CSM id]],SHP!F:F,SHP!EE:EE,"-")</f>
        <v>-</v>
      </c>
    </row>
    <row r="4551" spans="1:11" x14ac:dyDescent="0.45">
      <c r="A4551" s="57">
        <v>1512</v>
      </c>
      <c r="B4551" t="s">
        <v>6186</v>
      </c>
      <c r="C4551" t="s">
        <v>6187</v>
      </c>
      <c r="D4551" s="12">
        <v>46349</v>
      </c>
      <c r="E4551" s="11">
        <v>144</v>
      </c>
      <c r="F4551" s="11" t="s">
        <v>0</v>
      </c>
      <c r="G4551">
        <v>20141201</v>
      </c>
      <c r="H4551" s="12">
        <v>46569</v>
      </c>
      <c r="I4551" s="11" t="s">
        <v>63</v>
      </c>
      <c r="J4551" s="72">
        <v>50166050</v>
      </c>
      <c r="K4551" s="99" t="str">
        <f>_xlfn.XLOOKUP(_2__ROI_Daily_Update[[#This Row],[CSM id]],SHP!F:F,SHP!EE:EE,"-")</f>
        <v>-</v>
      </c>
    </row>
    <row r="4552" spans="1:11" x14ac:dyDescent="0.45">
      <c r="A4552" s="57">
        <v>1511</v>
      </c>
      <c r="B4552" t="s">
        <v>2542</v>
      </c>
      <c r="C4552" t="s">
        <v>2543</v>
      </c>
      <c r="D4552" s="12">
        <v>46349</v>
      </c>
      <c r="E4552" s="11">
        <v>144</v>
      </c>
      <c r="F4552" s="11" t="s">
        <v>0</v>
      </c>
      <c r="G4552">
        <v>20240701</v>
      </c>
      <c r="I4552" s="11" t="s">
        <v>63</v>
      </c>
      <c r="J4552" s="72">
        <v>30588720</v>
      </c>
      <c r="K4552" s="99" t="str">
        <f>_xlfn.XLOOKUP(_2__ROI_Daily_Update[[#This Row],[CSM id]],SHP!F:F,SHP!EE:EE,"-")</f>
        <v>-</v>
      </c>
    </row>
    <row r="4553" spans="1:11" x14ac:dyDescent="0.45">
      <c r="A4553" s="57">
        <v>1422</v>
      </c>
      <c r="B4553" t="s">
        <v>2245</v>
      </c>
      <c r="C4553" t="s">
        <v>2246</v>
      </c>
      <c r="D4553" s="12">
        <v>46349</v>
      </c>
      <c r="E4553" s="11">
        <v>168</v>
      </c>
      <c r="F4553" s="11" t="s">
        <v>0</v>
      </c>
      <c r="G4553">
        <v>20221001</v>
      </c>
      <c r="H4553" s="12">
        <v>46388</v>
      </c>
      <c r="I4553" s="11" t="s">
        <v>63</v>
      </c>
      <c r="J4553" s="72">
        <v>60529381</v>
      </c>
      <c r="K4553" s="99" t="str">
        <f>_xlfn.XLOOKUP(_2__ROI_Daily_Update[[#This Row],[CSM id]],SHP!F:F,SHP!EE:EE,"-")</f>
        <v>-</v>
      </c>
    </row>
    <row r="4554" spans="1:11" x14ac:dyDescent="0.45">
      <c r="A4554" s="57">
        <v>1423</v>
      </c>
      <c r="B4554" t="s">
        <v>2272</v>
      </c>
      <c r="C4554" t="s">
        <v>2273</v>
      </c>
      <c r="D4554" s="12">
        <v>46349</v>
      </c>
      <c r="E4554" s="11">
        <v>150</v>
      </c>
      <c r="F4554" s="11" t="s">
        <v>0</v>
      </c>
      <c r="G4554">
        <v>20220701</v>
      </c>
      <c r="H4554" s="12">
        <v>46388</v>
      </c>
      <c r="I4554" s="11" t="s">
        <v>63</v>
      </c>
      <c r="J4554" s="72">
        <v>10521943</v>
      </c>
      <c r="K4554" s="99" t="str">
        <f>_xlfn.XLOOKUP(_2__ROI_Daily_Update[[#This Row],[CSM id]],SHP!F:F,SHP!EE:EE,"-")</f>
        <v>-</v>
      </c>
    </row>
    <row r="4555" spans="1:11" x14ac:dyDescent="0.45">
      <c r="A4555" s="57">
        <v>1421</v>
      </c>
      <c r="B4555" t="s">
        <v>2206</v>
      </c>
      <c r="C4555" t="s">
        <v>2207</v>
      </c>
      <c r="D4555" s="12">
        <v>46349</v>
      </c>
      <c r="E4555" s="11">
        <v>36</v>
      </c>
      <c r="F4555" s="11" t="s">
        <v>0</v>
      </c>
      <c r="G4555">
        <v>20230701</v>
      </c>
      <c r="I4555" s="11" t="s">
        <v>63</v>
      </c>
      <c r="J4555" s="72">
        <v>90555199</v>
      </c>
      <c r="K4555" s="99" t="str">
        <f>_xlfn.XLOOKUP(_2__ROI_Daily_Update[[#This Row],[CSM id]],SHP!F:F,SHP!EE:EE,"-")</f>
        <v>-</v>
      </c>
    </row>
    <row r="4556" spans="1:11" x14ac:dyDescent="0.45">
      <c r="A4556" s="57">
        <v>1423</v>
      </c>
      <c r="B4556" t="s">
        <v>5392</v>
      </c>
      <c r="C4556" t="s">
        <v>5393</v>
      </c>
      <c r="D4556" s="12">
        <v>46349</v>
      </c>
      <c r="E4556" s="11">
        <v>32</v>
      </c>
      <c r="F4556" s="11" t="s">
        <v>0</v>
      </c>
      <c r="G4556">
        <v>20250701</v>
      </c>
      <c r="I4556" s="11" t="s">
        <v>63</v>
      </c>
      <c r="J4556" s="72">
        <v>80602479</v>
      </c>
      <c r="K4556" s="99" t="str">
        <f>_xlfn.XLOOKUP(_2__ROI_Daily_Update[[#This Row],[CSM id]],SHP!F:F,SHP!EE:EE,"-")</f>
        <v>-</v>
      </c>
    </row>
    <row r="4557" spans="1:11" x14ac:dyDescent="0.45">
      <c r="A4557" s="57">
        <v>1423</v>
      </c>
      <c r="B4557" t="s">
        <v>2288</v>
      </c>
      <c r="C4557" t="s">
        <v>2289</v>
      </c>
      <c r="D4557" s="12">
        <v>46349</v>
      </c>
      <c r="E4557" s="11">
        <v>32</v>
      </c>
      <c r="F4557" s="11" t="s">
        <v>0</v>
      </c>
      <c r="G4557">
        <v>20260701</v>
      </c>
      <c r="I4557" s="11" t="s">
        <v>63</v>
      </c>
      <c r="J4557" s="72">
        <v>60631468</v>
      </c>
      <c r="K4557" s="99" t="str">
        <f>_xlfn.XLOOKUP(_2__ROI_Daily_Update[[#This Row],[CSM id]],SHP!F:F,SHP!EE:EE,"-")</f>
        <v>-</v>
      </c>
    </row>
    <row r="4558" spans="1:11" x14ac:dyDescent="0.45">
      <c r="A4558" s="57">
        <v>1422</v>
      </c>
      <c r="B4558" t="s">
        <v>2223</v>
      </c>
      <c r="C4558" t="s">
        <v>2224</v>
      </c>
      <c r="D4558" s="12">
        <v>46349</v>
      </c>
      <c r="E4558" s="11">
        <v>134</v>
      </c>
      <c r="F4558" s="11" t="s">
        <v>0</v>
      </c>
      <c r="G4558">
        <v>20260101</v>
      </c>
      <c r="I4558" s="11" t="s">
        <v>63</v>
      </c>
      <c r="J4558" s="72">
        <v>30605630</v>
      </c>
      <c r="K4558" s="99" t="str">
        <f>_xlfn.XLOOKUP(_2__ROI_Daily_Update[[#This Row],[CSM id]],SHP!F:F,SHP!EE:EE,"-")</f>
        <v>-</v>
      </c>
    </row>
    <row r="4559" spans="1:11" x14ac:dyDescent="0.45">
      <c r="A4559" s="57">
        <v>1422</v>
      </c>
      <c r="B4559" t="s">
        <v>5329</v>
      </c>
      <c r="C4559" t="s">
        <v>5330</v>
      </c>
      <c r="D4559" s="12">
        <v>46349</v>
      </c>
      <c r="E4559" s="11">
        <v>1008</v>
      </c>
      <c r="F4559" s="11" t="s">
        <v>0</v>
      </c>
      <c r="G4559">
        <v>20141201</v>
      </c>
      <c r="I4559" s="11" t="s">
        <v>18</v>
      </c>
      <c r="J4559" s="72">
        <v>50186091</v>
      </c>
      <c r="K4559" s="99" t="str">
        <f>_xlfn.XLOOKUP(_2__ROI_Daily_Update[[#This Row],[CSM id]],SHP!F:F,SHP!EE:EE,"-")</f>
        <v>-</v>
      </c>
    </row>
    <row r="4560" spans="1:11" x14ac:dyDescent="0.45">
      <c r="A4560" s="57">
        <v>1423</v>
      </c>
      <c r="B4560" t="s">
        <v>6534</v>
      </c>
      <c r="C4560" t="s">
        <v>6535</v>
      </c>
      <c r="D4560" s="12">
        <v>46349</v>
      </c>
      <c r="E4560" s="11">
        <v>32</v>
      </c>
      <c r="F4560" s="11" t="s">
        <v>0</v>
      </c>
      <c r="G4560">
        <v>20150401</v>
      </c>
      <c r="I4560" s="11" t="s">
        <v>63</v>
      </c>
      <c r="J4560" s="72">
        <v>30289245</v>
      </c>
      <c r="K4560" s="99" t="str">
        <f>_xlfn.XLOOKUP(_2__ROI_Daily_Update[[#This Row],[CSM id]],SHP!F:F,SHP!EE:EE,"-")</f>
        <v>-</v>
      </c>
    </row>
    <row r="4561" spans="1:11" x14ac:dyDescent="0.45">
      <c r="A4561" s="57">
        <v>1423</v>
      </c>
      <c r="B4561" t="s">
        <v>2276</v>
      </c>
      <c r="C4561" t="s">
        <v>2277</v>
      </c>
      <c r="D4561" s="12">
        <v>46349</v>
      </c>
      <c r="E4561" s="11">
        <v>32</v>
      </c>
      <c r="F4561" s="11" t="s">
        <v>0</v>
      </c>
      <c r="G4561">
        <v>20250701</v>
      </c>
      <c r="I4561" s="11" t="s">
        <v>63</v>
      </c>
      <c r="J4561" s="72">
        <v>20602482</v>
      </c>
      <c r="K4561" s="99" t="str">
        <f>_xlfn.XLOOKUP(_2__ROI_Daily_Update[[#This Row],[CSM id]],SHP!F:F,SHP!EE:EE,"-")</f>
        <v>-</v>
      </c>
    </row>
    <row r="4562" spans="1:11" x14ac:dyDescent="0.45">
      <c r="A4562" s="57">
        <v>1423</v>
      </c>
      <c r="B4562" t="s">
        <v>2296</v>
      </c>
      <c r="C4562" t="s">
        <v>2297</v>
      </c>
      <c r="D4562" s="12">
        <v>46349</v>
      </c>
      <c r="E4562" s="11">
        <v>32</v>
      </c>
      <c r="F4562" s="11" t="s">
        <v>0</v>
      </c>
      <c r="G4562">
        <v>20250701</v>
      </c>
      <c r="I4562" s="11" t="s">
        <v>63</v>
      </c>
      <c r="J4562" s="72">
        <v>90602469</v>
      </c>
      <c r="K4562" s="99" t="str">
        <f>_xlfn.XLOOKUP(_2__ROI_Daily_Update[[#This Row],[CSM id]],SHP!F:F,SHP!EE:EE,"-")</f>
        <v>-</v>
      </c>
    </row>
    <row r="4563" spans="1:11" x14ac:dyDescent="0.45">
      <c r="A4563" s="57">
        <v>1422</v>
      </c>
      <c r="B4563" t="s">
        <v>2258</v>
      </c>
      <c r="C4563" t="s">
        <v>2259</v>
      </c>
      <c r="D4563" s="12">
        <v>46349</v>
      </c>
      <c r="E4563" s="11">
        <v>350</v>
      </c>
      <c r="F4563" s="11" t="s">
        <v>0</v>
      </c>
      <c r="G4563">
        <v>20240101</v>
      </c>
      <c r="I4563" s="11" t="s">
        <v>63</v>
      </c>
      <c r="J4563" s="72">
        <v>80562765</v>
      </c>
      <c r="K4563" s="99" t="str">
        <f>_xlfn.XLOOKUP(_2__ROI_Daily_Update[[#This Row],[CSM id]],SHP!F:F,SHP!EE:EE,"-")</f>
        <v>-</v>
      </c>
    </row>
    <row r="4564" spans="1:11" x14ac:dyDescent="0.45">
      <c r="A4564" s="57">
        <v>1424</v>
      </c>
      <c r="B4564" t="s">
        <v>5666</v>
      </c>
      <c r="C4564" t="s">
        <v>5667</v>
      </c>
      <c r="D4564" s="12">
        <v>46349</v>
      </c>
      <c r="E4564" s="11">
        <v>50</v>
      </c>
      <c r="F4564" s="11" t="s">
        <v>0</v>
      </c>
      <c r="G4564">
        <v>20211001</v>
      </c>
      <c r="I4564" s="11" t="s">
        <v>63</v>
      </c>
      <c r="J4564" s="72">
        <v>10305500</v>
      </c>
      <c r="K4564" s="99" t="str">
        <f>_xlfn.XLOOKUP(_2__ROI_Daily_Update[[#This Row],[CSM id]],SHP!F:F,SHP!EE:EE,"-")</f>
        <v>-</v>
      </c>
    </row>
    <row r="4565" spans="1:11" x14ac:dyDescent="0.45">
      <c r="A4565" s="57">
        <v>1422</v>
      </c>
      <c r="B4565" t="s">
        <v>6540</v>
      </c>
      <c r="C4565" t="s">
        <v>6541</v>
      </c>
      <c r="D4565" s="12">
        <v>46349</v>
      </c>
      <c r="E4565" s="11">
        <v>960</v>
      </c>
      <c r="F4565" s="11" t="s">
        <v>0</v>
      </c>
      <c r="G4565">
        <v>20261001</v>
      </c>
      <c r="I4565" s="11" t="s">
        <v>63</v>
      </c>
      <c r="J4565" s="72">
        <v>90634333</v>
      </c>
      <c r="K4565" s="99" t="str">
        <f>_xlfn.XLOOKUP(_2__ROI_Daily_Update[[#This Row],[CSM id]],SHP!F:F,SHP!EE:EE,"-")</f>
        <v>-</v>
      </c>
    </row>
    <row r="4566" spans="1:11" x14ac:dyDescent="0.45">
      <c r="A4566" s="57">
        <v>1423</v>
      </c>
      <c r="B4566" t="s">
        <v>2294</v>
      </c>
      <c r="C4566" t="s">
        <v>2295</v>
      </c>
      <c r="D4566" s="12">
        <v>46349</v>
      </c>
      <c r="E4566" s="11">
        <v>40</v>
      </c>
      <c r="F4566" s="11" t="s">
        <v>0</v>
      </c>
      <c r="G4566">
        <v>20150401</v>
      </c>
      <c r="I4566" s="11" t="s">
        <v>63</v>
      </c>
      <c r="J4566" s="72">
        <v>90289266</v>
      </c>
      <c r="K4566" s="99" t="str">
        <f>_xlfn.XLOOKUP(_2__ROI_Daily_Update[[#This Row],[CSM id]],SHP!F:F,SHP!EE:EE,"-")</f>
        <v>-</v>
      </c>
    </row>
    <row r="4567" spans="1:11" x14ac:dyDescent="0.45">
      <c r="A4567" s="57">
        <v>341</v>
      </c>
      <c r="B4567" t="s">
        <v>349</v>
      </c>
      <c r="C4567" t="s">
        <v>350</v>
      </c>
      <c r="D4567" s="12">
        <v>46350</v>
      </c>
      <c r="E4567" s="11">
        <v>27</v>
      </c>
      <c r="F4567" s="11" t="s">
        <v>0</v>
      </c>
      <c r="G4567">
        <v>20170801</v>
      </c>
      <c r="I4567" s="11" t="s">
        <v>32</v>
      </c>
      <c r="J4567" s="72">
        <v>361756</v>
      </c>
      <c r="K4567" s="99" t="str">
        <f>_xlfn.XLOOKUP(_2__ROI_Daily_Update[[#This Row],[CSM id]],SHP!F:F,SHP!EE:EE,"-")</f>
        <v>-</v>
      </c>
    </row>
    <row r="4568" spans="1:11" x14ac:dyDescent="0.45">
      <c r="A4568" s="57">
        <v>761</v>
      </c>
      <c r="B4568" t="s">
        <v>7891</v>
      </c>
      <c r="C4568" t="s">
        <v>7892</v>
      </c>
      <c r="D4568" s="12">
        <v>46350</v>
      </c>
      <c r="E4568" s="11">
        <v>10</v>
      </c>
      <c r="F4568" s="11" t="s">
        <v>0</v>
      </c>
      <c r="G4568">
        <v>20220101</v>
      </c>
      <c r="I4568" s="11" t="s">
        <v>63</v>
      </c>
      <c r="J4568" s="72">
        <v>70486423</v>
      </c>
      <c r="K4568" s="99" t="str">
        <f>_xlfn.XLOOKUP(_2__ROI_Daily_Update[[#This Row],[CSM id]],SHP!F:F,SHP!EE:EE,"-")</f>
        <v>-</v>
      </c>
    </row>
    <row r="4569" spans="1:11" x14ac:dyDescent="0.45">
      <c r="A4569" s="57">
        <v>1815</v>
      </c>
      <c r="B4569" t="s">
        <v>3454</v>
      </c>
      <c r="C4569" t="s">
        <v>3455</v>
      </c>
      <c r="D4569" s="12">
        <v>46350</v>
      </c>
      <c r="E4569" s="11">
        <v>232</v>
      </c>
      <c r="F4569" s="11" t="s">
        <v>7893</v>
      </c>
      <c r="G4569">
        <v>20140801</v>
      </c>
      <c r="I4569" s="11" t="s">
        <v>32</v>
      </c>
      <c r="J4569" s="72">
        <v>10180939</v>
      </c>
      <c r="K4569" s="99" t="str">
        <f>_xlfn.XLOOKUP(_2__ROI_Daily_Update[[#This Row],[CSM id]],SHP!F:F,SHP!EE:EE,"-")</f>
        <v>-</v>
      </c>
    </row>
    <row r="4570" spans="1:11" x14ac:dyDescent="0.45">
      <c r="A4570" s="57">
        <v>1815</v>
      </c>
      <c r="B4570" t="s">
        <v>3468</v>
      </c>
      <c r="C4570" t="s">
        <v>3469</v>
      </c>
      <c r="D4570" s="12">
        <v>46350</v>
      </c>
      <c r="E4570" s="11">
        <v>42</v>
      </c>
      <c r="F4570" s="11" t="s">
        <v>7893</v>
      </c>
      <c r="G4570">
        <v>20211001</v>
      </c>
      <c r="I4570" s="11" t="s">
        <v>32</v>
      </c>
      <c r="J4570" s="72">
        <v>40455084</v>
      </c>
      <c r="K4570" s="99" t="str">
        <f>_xlfn.XLOOKUP(_2__ROI_Daily_Update[[#This Row],[CSM id]],SHP!F:F,SHP!EE:EE,"-")</f>
        <v>-</v>
      </c>
    </row>
    <row r="4571" spans="1:11" x14ac:dyDescent="0.45">
      <c r="A4571" s="57">
        <v>131</v>
      </c>
      <c r="B4571" t="s">
        <v>173</v>
      </c>
      <c r="C4571" t="s">
        <v>174</v>
      </c>
      <c r="D4571" s="12">
        <v>46350</v>
      </c>
      <c r="E4571" s="11">
        <v>28</v>
      </c>
      <c r="F4571" s="11" t="s">
        <v>7229</v>
      </c>
      <c r="G4571">
        <v>20250701</v>
      </c>
      <c r="I4571" s="11" t="s">
        <v>32</v>
      </c>
      <c r="J4571" s="72">
        <v>30606168</v>
      </c>
      <c r="K4571" s="99" t="str">
        <f>_xlfn.XLOOKUP(_2__ROI_Daily_Update[[#This Row],[CSM id]],SHP!F:F,SHP!EE:EE,"-")</f>
        <v>-</v>
      </c>
    </row>
    <row r="4572" spans="1:11" x14ac:dyDescent="0.45">
      <c r="A4572" s="57">
        <v>1815</v>
      </c>
      <c r="B4572" t="s">
        <v>3488</v>
      </c>
      <c r="C4572" t="s">
        <v>3489</v>
      </c>
      <c r="D4572" s="12">
        <v>46350</v>
      </c>
      <c r="E4572" s="11">
        <v>2925</v>
      </c>
      <c r="F4572" s="11" t="s">
        <v>7893</v>
      </c>
      <c r="G4572">
        <v>20161001</v>
      </c>
      <c r="I4572" s="11" t="s">
        <v>32</v>
      </c>
      <c r="J4572" s="72">
        <v>70316181</v>
      </c>
      <c r="K4572" s="99" t="str">
        <f>_xlfn.XLOOKUP(_2__ROI_Daily_Update[[#This Row],[CSM id]],SHP!F:F,SHP!EE:EE,"-")</f>
        <v>-</v>
      </c>
    </row>
    <row r="4573" spans="1:11" x14ac:dyDescent="0.45">
      <c r="A4573" s="57">
        <v>1815</v>
      </c>
      <c r="B4573" t="s">
        <v>3494</v>
      </c>
      <c r="C4573" t="s">
        <v>3495</v>
      </c>
      <c r="D4573" s="12">
        <v>46350</v>
      </c>
      <c r="E4573" s="11">
        <v>384</v>
      </c>
      <c r="F4573" s="11" t="s">
        <v>7893</v>
      </c>
      <c r="G4573">
        <v>20140801</v>
      </c>
      <c r="I4573" s="11" t="s">
        <v>32</v>
      </c>
      <c r="J4573" s="72">
        <v>90180940</v>
      </c>
      <c r="K4573" s="99" t="str">
        <f>_xlfn.XLOOKUP(_2__ROI_Daily_Update[[#This Row],[CSM id]],SHP!F:F,SHP!EE:EE,"-")</f>
        <v>-</v>
      </c>
    </row>
    <row r="4574" spans="1:11" x14ac:dyDescent="0.45">
      <c r="A4574" s="57">
        <v>131</v>
      </c>
      <c r="B4574" t="s">
        <v>182</v>
      </c>
      <c r="C4574" t="s">
        <v>183</v>
      </c>
      <c r="D4574" s="12">
        <v>46350</v>
      </c>
      <c r="E4574" s="11">
        <v>44</v>
      </c>
      <c r="F4574" s="11" t="s">
        <v>7229</v>
      </c>
      <c r="G4574">
        <v>20241001</v>
      </c>
      <c r="H4574" s="12">
        <v>46478</v>
      </c>
      <c r="I4574" s="11" t="s">
        <v>32</v>
      </c>
      <c r="J4574" s="72">
        <v>50578452</v>
      </c>
      <c r="K4574" s="99" t="str">
        <f>_xlfn.XLOOKUP(_2__ROI_Daily_Update[[#This Row],[CSM id]],SHP!F:F,SHP!EE:EE,"-")</f>
        <v>-</v>
      </c>
    </row>
    <row r="4575" spans="1:11" x14ac:dyDescent="0.45">
      <c r="A4575" s="57">
        <v>1811</v>
      </c>
      <c r="B4575" t="s">
        <v>7753</v>
      </c>
      <c r="C4575" t="s">
        <v>7754</v>
      </c>
      <c r="D4575" s="12">
        <v>46350</v>
      </c>
      <c r="E4575" s="11">
        <v>63</v>
      </c>
      <c r="F4575" s="11" t="s">
        <v>0</v>
      </c>
      <c r="G4575">
        <v>20261001</v>
      </c>
      <c r="I4575" s="11" t="s">
        <v>63</v>
      </c>
      <c r="J4575" s="72">
        <v>632036</v>
      </c>
      <c r="K4575" s="99" t="str">
        <f>_xlfn.XLOOKUP(_2__ROI_Daily_Update[[#This Row],[CSM id]],SHP!F:F,SHP!EE:EE,"-")</f>
        <v>-</v>
      </c>
    </row>
    <row r="4576" spans="1:11" x14ac:dyDescent="0.45">
      <c r="A4576" s="57">
        <v>1815</v>
      </c>
      <c r="B4576" t="s">
        <v>3470</v>
      </c>
      <c r="C4576" t="s">
        <v>3471</v>
      </c>
      <c r="D4576" s="12">
        <v>46350</v>
      </c>
      <c r="E4576" s="11">
        <v>60</v>
      </c>
      <c r="F4576" s="11" t="s">
        <v>7893</v>
      </c>
      <c r="G4576">
        <v>20140801</v>
      </c>
      <c r="I4576" s="11" t="s">
        <v>32</v>
      </c>
      <c r="J4576" s="72">
        <v>50180942</v>
      </c>
      <c r="K4576" s="99" t="str">
        <f>_xlfn.XLOOKUP(_2__ROI_Daily_Update[[#This Row],[CSM id]],SHP!F:F,SHP!EE:EE,"-")</f>
        <v>-</v>
      </c>
    </row>
    <row r="4577" spans="1:11" x14ac:dyDescent="0.45">
      <c r="A4577" s="57">
        <v>1815</v>
      </c>
      <c r="B4577" t="s">
        <v>3472</v>
      </c>
      <c r="C4577" t="s">
        <v>3473</v>
      </c>
      <c r="D4577" s="12">
        <v>46350</v>
      </c>
      <c r="E4577" s="11">
        <v>180</v>
      </c>
      <c r="F4577" s="11" t="s">
        <v>7893</v>
      </c>
      <c r="G4577">
        <v>20161001</v>
      </c>
      <c r="I4577" s="11" t="s">
        <v>32</v>
      </c>
      <c r="J4577" s="72">
        <v>50316064</v>
      </c>
      <c r="K4577" s="99" t="str">
        <f>_xlfn.XLOOKUP(_2__ROI_Daily_Update[[#This Row],[CSM id]],SHP!F:F,SHP!EE:EE,"-")</f>
        <v>-</v>
      </c>
    </row>
    <row r="4578" spans="1:11" x14ac:dyDescent="0.45">
      <c r="A4578" s="57">
        <v>983</v>
      </c>
      <c r="B4578" t="s">
        <v>980</v>
      </c>
      <c r="C4578" t="s">
        <v>981</v>
      </c>
      <c r="D4578" s="12">
        <v>46350</v>
      </c>
      <c r="E4578" s="11">
        <v>32</v>
      </c>
      <c r="F4578" s="11" t="s">
        <v>7893</v>
      </c>
      <c r="G4578">
        <v>20160401</v>
      </c>
      <c r="I4578" s="11" t="s">
        <v>32</v>
      </c>
      <c r="J4578" s="72">
        <v>30279944</v>
      </c>
      <c r="K4578" s="99" t="str">
        <f>_xlfn.XLOOKUP(_2__ROI_Daily_Update[[#This Row],[CSM id]],SHP!F:F,SHP!EE:EE,"-")</f>
        <v>-</v>
      </c>
    </row>
    <row r="4579" spans="1:11" x14ac:dyDescent="0.45">
      <c r="A4579" s="57">
        <v>1815</v>
      </c>
      <c r="B4579" t="s">
        <v>3474</v>
      </c>
      <c r="C4579" t="s">
        <v>3475</v>
      </c>
      <c r="D4579" s="12">
        <v>46350</v>
      </c>
      <c r="E4579" s="11">
        <v>1440</v>
      </c>
      <c r="F4579" s="11" t="s">
        <v>7893</v>
      </c>
      <c r="G4579">
        <v>20140801</v>
      </c>
      <c r="I4579" s="11" t="s">
        <v>32</v>
      </c>
      <c r="J4579" s="72">
        <v>60180885</v>
      </c>
      <c r="K4579" s="99" t="str">
        <f>_xlfn.XLOOKUP(_2__ROI_Daily_Update[[#This Row],[CSM id]],SHP!F:F,SHP!EE:EE,"-")</f>
        <v>-</v>
      </c>
    </row>
    <row r="4580" spans="1:11" x14ac:dyDescent="0.45">
      <c r="A4580" s="57">
        <v>1815</v>
      </c>
      <c r="B4580" t="s">
        <v>3452</v>
      </c>
      <c r="C4580" t="s">
        <v>3453</v>
      </c>
      <c r="D4580" s="12">
        <v>46350</v>
      </c>
      <c r="E4580" s="11">
        <v>832</v>
      </c>
      <c r="F4580" s="11" t="s">
        <v>7893</v>
      </c>
      <c r="G4580">
        <v>20211001</v>
      </c>
      <c r="I4580" s="11" t="s">
        <v>32</v>
      </c>
      <c r="J4580" s="72">
        <v>455081</v>
      </c>
      <c r="K4580" s="99" t="str">
        <f>_xlfn.XLOOKUP(_2__ROI_Daily_Update[[#This Row],[CSM id]],SHP!F:F,SHP!EE:EE,"-")</f>
        <v>-</v>
      </c>
    </row>
    <row r="4581" spans="1:11" x14ac:dyDescent="0.45">
      <c r="A4581" s="57">
        <v>1815</v>
      </c>
      <c r="B4581" t="s">
        <v>3478</v>
      </c>
      <c r="C4581" t="s">
        <v>3479</v>
      </c>
      <c r="D4581" s="12">
        <v>46350</v>
      </c>
      <c r="E4581" s="11">
        <v>832</v>
      </c>
      <c r="F4581" s="11" t="s">
        <v>7893</v>
      </c>
      <c r="G4581">
        <v>20211001</v>
      </c>
      <c r="I4581" s="11" t="s">
        <v>32</v>
      </c>
      <c r="J4581" s="72">
        <v>60455083</v>
      </c>
      <c r="K4581" s="99" t="str">
        <f>_xlfn.XLOOKUP(_2__ROI_Daily_Update[[#This Row],[CSM id]],SHP!F:F,SHP!EE:EE,"-")</f>
        <v>-</v>
      </c>
    </row>
    <row r="4582" spans="1:11" x14ac:dyDescent="0.45">
      <c r="A4582" s="57">
        <v>1231</v>
      </c>
      <c r="B4582" t="s">
        <v>1835</v>
      </c>
      <c r="C4582" t="s">
        <v>1836</v>
      </c>
      <c r="D4582" s="12">
        <v>46350</v>
      </c>
      <c r="E4582" s="11">
        <v>26</v>
      </c>
      <c r="F4582" s="11" t="s">
        <v>0</v>
      </c>
      <c r="G4582">
        <v>20250701</v>
      </c>
      <c r="H4582" s="12">
        <v>46661</v>
      </c>
      <c r="I4582" s="11" t="s">
        <v>63</v>
      </c>
      <c r="J4582" s="72">
        <v>604632</v>
      </c>
      <c r="K4582" s="99" t="str">
        <f>_xlfn.XLOOKUP(_2__ROI_Daily_Update[[#This Row],[CSM id]],SHP!F:F,SHP!EE:EE,"-")</f>
        <v>-</v>
      </c>
    </row>
    <row r="4583" spans="1:11" x14ac:dyDescent="0.45">
      <c r="A4583" s="57">
        <v>1821</v>
      </c>
      <c r="B4583" t="s">
        <v>3514</v>
      </c>
      <c r="C4583" t="s">
        <v>3515</v>
      </c>
      <c r="D4583" s="12">
        <v>46350</v>
      </c>
      <c r="E4583" s="11">
        <v>30</v>
      </c>
      <c r="F4583" s="11" t="s">
        <v>0</v>
      </c>
      <c r="G4583">
        <v>20180201</v>
      </c>
      <c r="I4583" s="11" t="s">
        <v>32</v>
      </c>
      <c r="J4583" s="72">
        <v>30320806</v>
      </c>
      <c r="K4583" s="99" t="str">
        <f>_xlfn.XLOOKUP(_2__ROI_Daily_Update[[#This Row],[CSM id]],SHP!F:F,SHP!EE:EE,"-")</f>
        <v>-</v>
      </c>
    </row>
    <row r="4584" spans="1:11" x14ac:dyDescent="0.45">
      <c r="A4584" s="57">
        <v>352</v>
      </c>
      <c r="B4584" t="s">
        <v>394</v>
      </c>
      <c r="C4584" t="s">
        <v>395</v>
      </c>
      <c r="D4584" s="12">
        <v>46350</v>
      </c>
      <c r="E4584" s="11">
        <v>8</v>
      </c>
      <c r="F4584" s="11" t="s">
        <v>0</v>
      </c>
      <c r="G4584">
        <v>20150201</v>
      </c>
      <c r="I4584" s="11" t="s">
        <v>32</v>
      </c>
      <c r="J4584" s="72">
        <v>50261151</v>
      </c>
      <c r="K4584" s="99" t="str">
        <f>_xlfn.XLOOKUP(_2__ROI_Daily_Update[[#This Row],[CSM id]],SHP!F:F,SHP!EE:EE,"-")</f>
        <v>-</v>
      </c>
    </row>
    <row r="4585" spans="1:11" x14ac:dyDescent="0.45">
      <c r="A4585" s="57">
        <v>1631</v>
      </c>
      <c r="B4585" t="s">
        <v>2948</v>
      </c>
      <c r="C4585" t="s">
        <v>2949</v>
      </c>
      <c r="D4585" s="12">
        <v>46350</v>
      </c>
      <c r="E4585" s="11">
        <v>36</v>
      </c>
      <c r="F4585" s="11" t="s">
        <v>0</v>
      </c>
      <c r="G4585">
        <v>20251001</v>
      </c>
      <c r="H4585" s="12">
        <v>46569</v>
      </c>
      <c r="I4585" s="11" t="s">
        <v>63</v>
      </c>
      <c r="J4585" s="72">
        <v>40608992</v>
      </c>
      <c r="K4585" s="99" t="str">
        <f>_xlfn.XLOOKUP(_2__ROI_Daily_Update[[#This Row],[CSM id]],SHP!F:F,SHP!EE:EE,"-")</f>
        <v>-</v>
      </c>
    </row>
    <row r="4586" spans="1:11" x14ac:dyDescent="0.45">
      <c r="A4586" s="57">
        <v>1815</v>
      </c>
      <c r="B4586" t="s">
        <v>3450</v>
      </c>
      <c r="C4586" t="s">
        <v>3451</v>
      </c>
      <c r="D4586" s="12">
        <v>46350</v>
      </c>
      <c r="E4586" s="11">
        <v>160</v>
      </c>
      <c r="F4586" s="11" t="s">
        <v>7893</v>
      </c>
      <c r="G4586">
        <v>20161001</v>
      </c>
      <c r="I4586" s="11" t="s">
        <v>32</v>
      </c>
      <c r="J4586" s="72">
        <v>316066</v>
      </c>
      <c r="K4586" s="99" t="str">
        <f>_xlfn.XLOOKUP(_2__ROI_Daily_Update[[#This Row],[CSM id]],SHP!F:F,SHP!EE:EE,"-")</f>
        <v>-</v>
      </c>
    </row>
    <row r="4587" spans="1:11" x14ac:dyDescent="0.45">
      <c r="A4587" s="57">
        <v>1815</v>
      </c>
      <c r="B4587" t="s">
        <v>3486</v>
      </c>
      <c r="C4587" t="s">
        <v>3487</v>
      </c>
      <c r="D4587" s="12">
        <v>46350</v>
      </c>
      <c r="E4587" s="11">
        <v>228</v>
      </c>
      <c r="F4587" s="11" t="s">
        <v>7893</v>
      </c>
      <c r="G4587">
        <v>20140801</v>
      </c>
      <c r="I4587" s="11" t="s">
        <v>32</v>
      </c>
      <c r="J4587" s="72">
        <v>70180941</v>
      </c>
      <c r="K4587" s="99" t="str">
        <f>_xlfn.XLOOKUP(_2__ROI_Daily_Update[[#This Row],[CSM id]],SHP!F:F,SHP!EE:EE,"-")</f>
        <v>-</v>
      </c>
    </row>
    <row r="4588" spans="1:11" x14ac:dyDescent="0.45">
      <c r="A4588" s="57">
        <v>1815</v>
      </c>
      <c r="B4588" t="s">
        <v>3456</v>
      </c>
      <c r="C4588" t="s">
        <v>3457</v>
      </c>
      <c r="D4588" s="12">
        <v>46350</v>
      </c>
      <c r="E4588" s="11">
        <v>24</v>
      </c>
      <c r="F4588" s="11" t="s">
        <v>7893</v>
      </c>
      <c r="G4588">
        <v>20140801</v>
      </c>
      <c r="I4588" s="11" t="s">
        <v>32</v>
      </c>
      <c r="J4588" s="72">
        <v>10180944</v>
      </c>
      <c r="K4588" s="99" t="str">
        <f>_xlfn.XLOOKUP(_2__ROI_Daily_Update[[#This Row],[CSM id]],SHP!F:F,SHP!EE:EE,"-")</f>
        <v>-</v>
      </c>
    </row>
    <row r="4589" spans="1:11" x14ac:dyDescent="0.45">
      <c r="A4589" s="57">
        <v>1852</v>
      </c>
      <c r="B4589" t="s">
        <v>3680</v>
      </c>
      <c r="C4589" t="s">
        <v>3681</v>
      </c>
      <c r="D4589" s="12">
        <v>46350</v>
      </c>
      <c r="E4589" s="11">
        <v>24</v>
      </c>
      <c r="F4589" s="11" t="s">
        <v>7893</v>
      </c>
      <c r="G4589">
        <v>20200201</v>
      </c>
      <c r="I4589" s="11" t="s">
        <v>32</v>
      </c>
      <c r="J4589" s="72">
        <v>30420207</v>
      </c>
      <c r="K4589" s="99" t="str">
        <f>_xlfn.XLOOKUP(_2__ROI_Daily_Update[[#This Row],[CSM id]],SHP!F:F,SHP!EE:EE,"-")</f>
        <v>-</v>
      </c>
    </row>
    <row r="4590" spans="1:11" x14ac:dyDescent="0.45">
      <c r="A4590" s="57">
        <v>1815</v>
      </c>
      <c r="B4590" t="s">
        <v>3492</v>
      </c>
      <c r="C4590" t="s">
        <v>3493</v>
      </c>
      <c r="D4590" s="12">
        <v>46350</v>
      </c>
      <c r="E4590" s="11">
        <v>216</v>
      </c>
      <c r="F4590" s="11" t="s">
        <v>7893</v>
      </c>
      <c r="G4590">
        <v>20211001</v>
      </c>
      <c r="I4590" s="11" t="s">
        <v>32</v>
      </c>
      <c r="J4590" s="72">
        <v>80455082</v>
      </c>
      <c r="K4590" s="99" t="str">
        <f>_xlfn.XLOOKUP(_2__ROI_Daily_Update[[#This Row],[CSM id]],SHP!F:F,SHP!EE:EE,"-")</f>
        <v>-</v>
      </c>
    </row>
    <row r="4591" spans="1:11" x14ac:dyDescent="0.45">
      <c r="A4591" s="57">
        <v>1852</v>
      </c>
      <c r="B4591" t="s">
        <v>3703</v>
      </c>
      <c r="C4591" t="s">
        <v>3704</v>
      </c>
      <c r="D4591" s="12">
        <v>46350</v>
      </c>
      <c r="E4591" s="11">
        <v>40</v>
      </c>
      <c r="F4591" s="11" t="s">
        <v>7893</v>
      </c>
      <c r="G4591">
        <v>20200201</v>
      </c>
      <c r="I4591" s="11" t="s">
        <v>32</v>
      </c>
      <c r="J4591" s="72">
        <v>70420205</v>
      </c>
      <c r="K4591" s="99" t="str">
        <f>_xlfn.XLOOKUP(_2__ROI_Daily_Update[[#This Row],[CSM id]],SHP!F:F,SHP!EE:EE,"-")</f>
        <v>-</v>
      </c>
    </row>
    <row r="4592" spans="1:11" x14ac:dyDescent="0.45">
      <c r="A4592" s="57">
        <v>214</v>
      </c>
      <c r="B4592" t="s">
        <v>251</v>
      </c>
      <c r="C4592" t="s">
        <v>252</v>
      </c>
      <c r="D4592" s="12">
        <v>46350</v>
      </c>
      <c r="E4592" s="11">
        <v>70</v>
      </c>
      <c r="F4592" s="11" t="s">
        <v>0</v>
      </c>
      <c r="G4592">
        <v>20140801</v>
      </c>
      <c r="I4592" s="11" t="s">
        <v>32</v>
      </c>
      <c r="J4592" s="72">
        <v>60275685</v>
      </c>
      <c r="K4592" s="99" t="str">
        <f>_xlfn.XLOOKUP(_2__ROI_Daily_Update[[#This Row],[CSM id]],SHP!F:F,SHP!EE:EE,"-")</f>
        <v>-</v>
      </c>
    </row>
    <row r="4593" spans="1:11" x14ac:dyDescent="0.45">
      <c r="A4593" s="57">
        <v>1815</v>
      </c>
      <c r="B4593" t="s">
        <v>3462</v>
      </c>
      <c r="C4593" t="s">
        <v>3463</v>
      </c>
      <c r="D4593" s="12">
        <v>46350</v>
      </c>
      <c r="E4593" s="11">
        <v>60</v>
      </c>
      <c r="F4593" s="11" t="s">
        <v>7893</v>
      </c>
      <c r="G4593">
        <v>20191001</v>
      </c>
      <c r="I4593" s="11" t="s">
        <v>32</v>
      </c>
      <c r="J4593" s="72">
        <v>20444685</v>
      </c>
      <c r="K4593" s="99" t="str">
        <f>_xlfn.XLOOKUP(_2__ROI_Daily_Update[[#This Row],[CSM id]],SHP!F:F,SHP!EE:EE,"-")</f>
        <v>-</v>
      </c>
    </row>
    <row r="4594" spans="1:11" x14ac:dyDescent="0.45">
      <c r="A4594" s="57">
        <v>431</v>
      </c>
      <c r="B4594" t="s">
        <v>330</v>
      </c>
      <c r="C4594" t="s">
        <v>331</v>
      </c>
      <c r="D4594" s="12">
        <v>46350</v>
      </c>
      <c r="E4594" s="11">
        <v>6</v>
      </c>
      <c r="F4594" s="11" t="s">
        <v>0</v>
      </c>
      <c r="G4594">
        <v>20230401</v>
      </c>
      <c r="I4594" s="11" t="s">
        <v>32</v>
      </c>
      <c r="J4594" s="72">
        <v>80483240</v>
      </c>
      <c r="K4594" s="99" t="str">
        <f>_xlfn.XLOOKUP(_2__ROI_Daily_Update[[#This Row],[CSM id]],SHP!F:F,SHP!EE:EE,"-")</f>
        <v>-</v>
      </c>
    </row>
    <row r="4595" spans="1:11" x14ac:dyDescent="0.45">
      <c r="A4595" s="57">
        <v>431</v>
      </c>
      <c r="B4595" t="s">
        <v>457</v>
      </c>
      <c r="C4595" t="s">
        <v>458</v>
      </c>
      <c r="D4595" s="12">
        <v>46350</v>
      </c>
      <c r="E4595" s="11">
        <v>8</v>
      </c>
      <c r="F4595" s="11" t="s">
        <v>0</v>
      </c>
      <c r="G4595">
        <v>20261001</v>
      </c>
      <c r="I4595" s="11" t="s">
        <v>32</v>
      </c>
      <c r="J4595" s="72">
        <v>90559282</v>
      </c>
      <c r="K4595" s="99" t="str">
        <f>_xlfn.XLOOKUP(_2__ROI_Daily_Update[[#This Row],[CSM id]],SHP!F:F,SHP!EE:EE,"-")</f>
        <v>-</v>
      </c>
    </row>
    <row r="4596" spans="1:11" x14ac:dyDescent="0.45">
      <c r="A4596" s="57">
        <v>431</v>
      </c>
      <c r="B4596" t="s">
        <v>453</v>
      </c>
      <c r="C4596" t="s">
        <v>454</v>
      </c>
      <c r="D4596" s="12">
        <v>46350</v>
      </c>
      <c r="E4596" s="11">
        <v>12</v>
      </c>
      <c r="F4596" s="11" t="s">
        <v>0</v>
      </c>
      <c r="G4596">
        <v>20261001</v>
      </c>
      <c r="I4596" s="11" t="s">
        <v>32</v>
      </c>
      <c r="J4596" s="72">
        <v>50561116</v>
      </c>
      <c r="K4596" s="99" t="str">
        <f>_xlfn.XLOOKUP(_2__ROI_Daily_Update[[#This Row],[CSM id]],SHP!F:F,SHP!EE:EE,"-")</f>
        <v>-</v>
      </c>
    </row>
    <row r="4597" spans="1:11" x14ac:dyDescent="0.45">
      <c r="A4597" s="57">
        <v>1431</v>
      </c>
      <c r="B4597" t="s">
        <v>2426</v>
      </c>
      <c r="C4597" t="s">
        <v>2427</v>
      </c>
      <c r="D4597" s="12">
        <v>46351</v>
      </c>
      <c r="E4597" s="11">
        <v>336</v>
      </c>
      <c r="F4597" s="11" t="s">
        <v>0</v>
      </c>
      <c r="G4597">
        <v>20250401</v>
      </c>
      <c r="I4597" s="11" t="s">
        <v>18</v>
      </c>
      <c r="J4597" s="72">
        <v>70597100</v>
      </c>
      <c r="K4597" s="99" t="str">
        <f>_xlfn.XLOOKUP(_2__ROI_Daily_Update[[#This Row],[CSM id]],SHP!F:F,SHP!EE:EE,"-")</f>
        <v>-</v>
      </c>
    </row>
    <row r="4598" spans="1:11" x14ac:dyDescent="0.45">
      <c r="A4598" s="57">
        <v>361</v>
      </c>
      <c r="B4598" t="s">
        <v>422</v>
      </c>
      <c r="C4598" t="s">
        <v>423</v>
      </c>
      <c r="D4598" s="12">
        <v>46351</v>
      </c>
      <c r="E4598" s="11">
        <v>18</v>
      </c>
      <c r="F4598" s="11" t="s">
        <v>0</v>
      </c>
      <c r="G4598">
        <v>20240701</v>
      </c>
      <c r="H4598" s="12">
        <v>46569</v>
      </c>
      <c r="I4598" s="11" t="s">
        <v>32</v>
      </c>
      <c r="J4598" s="72">
        <v>90588109</v>
      </c>
      <c r="K4598" s="99" t="str">
        <f>_xlfn.XLOOKUP(_2__ROI_Daily_Update[[#This Row],[CSM id]],SHP!F:F,SHP!EE:EE,"-")</f>
        <v>-</v>
      </c>
    </row>
    <row r="4599" spans="1:11" x14ac:dyDescent="0.45">
      <c r="A4599" s="57">
        <v>431</v>
      </c>
      <c r="B4599" t="s">
        <v>453</v>
      </c>
      <c r="C4599" t="s">
        <v>454</v>
      </c>
      <c r="D4599" s="12">
        <v>46351</v>
      </c>
      <c r="E4599" s="11">
        <v>12</v>
      </c>
      <c r="F4599" s="11" t="s">
        <v>0</v>
      </c>
      <c r="G4599">
        <v>20261001</v>
      </c>
      <c r="I4599" s="11" t="s">
        <v>32</v>
      </c>
      <c r="J4599" s="72">
        <v>50561116</v>
      </c>
      <c r="K4599" s="99" t="str">
        <f>_xlfn.XLOOKUP(_2__ROI_Daily_Update[[#This Row],[CSM id]],SHP!F:F,SHP!EE:EE,"-")</f>
        <v>-</v>
      </c>
    </row>
    <row r="4600" spans="1:11" x14ac:dyDescent="0.45">
      <c r="A4600" s="57">
        <v>1422</v>
      </c>
      <c r="B4600" t="s">
        <v>2262</v>
      </c>
      <c r="C4600" t="s">
        <v>2263</v>
      </c>
      <c r="D4600" s="12">
        <v>46351</v>
      </c>
      <c r="E4600" s="11">
        <v>208</v>
      </c>
      <c r="F4600" s="11" t="s">
        <v>0</v>
      </c>
      <c r="G4600">
        <v>20141201</v>
      </c>
      <c r="I4600" s="11" t="s">
        <v>18</v>
      </c>
      <c r="J4600" s="72">
        <v>90191934</v>
      </c>
      <c r="K4600" s="99" t="str">
        <f>_xlfn.XLOOKUP(_2__ROI_Daily_Update[[#This Row],[CSM id]],SHP!F:F,SHP!EE:EE,"-")</f>
        <v>-</v>
      </c>
    </row>
    <row r="4601" spans="1:11" x14ac:dyDescent="0.45">
      <c r="A4601" s="57">
        <v>823</v>
      </c>
      <c r="B4601" t="s">
        <v>661</v>
      </c>
      <c r="C4601" t="s">
        <v>662</v>
      </c>
      <c r="D4601" s="12">
        <v>46351</v>
      </c>
      <c r="E4601" s="11">
        <v>40</v>
      </c>
      <c r="F4601" s="11" t="s">
        <v>0</v>
      </c>
      <c r="G4601">
        <v>20180401</v>
      </c>
      <c r="I4601" s="11" t="s">
        <v>32</v>
      </c>
      <c r="J4601" s="72">
        <v>70406742</v>
      </c>
      <c r="K4601" s="99" t="str">
        <f>_xlfn.XLOOKUP(_2__ROI_Daily_Update[[#This Row],[CSM id]],SHP!F:F,SHP!EE:EE,"-")</f>
        <v>-</v>
      </c>
    </row>
    <row r="4602" spans="1:11" x14ac:dyDescent="0.45">
      <c r="A4602" s="57">
        <v>1521</v>
      </c>
      <c r="B4602" t="s">
        <v>2674</v>
      </c>
      <c r="C4602" t="s">
        <v>2675</v>
      </c>
      <c r="D4602" s="12">
        <v>46351</v>
      </c>
      <c r="E4602" s="11">
        <v>55</v>
      </c>
      <c r="F4602" s="11" t="s">
        <v>0</v>
      </c>
      <c r="G4602">
        <v>20140801</v>
      </c>
      <c r="H4602" s="12">
        <v>46569</v>
      </c>
      <c r="I4602" s="11" t="s">
        <v>18</v>
      </c>
      <c r="J4602" s="72">
        <v>20137846</v>
      </c>
      <c r="K4602" s="99" t="str">
        <f>_xlfn.XLOOKUP(_2__ROI_Daily_Update[[#This Row],[CSM id]],SHP!F:F,SHP!EE:EE,"-")</f>
        <v>-</v>
      </c>
    </row>
    <row r="4603" spans="1:11" x14ac:dyDescent="0.45">
      <c r="A4603" s="57">
        <v>811</v>
      </c>
      <c r="B4603" t="s">
        <v>619</v>
      </c>
      <c r="C4603" t="s">
        <v>620</v>
      </c>
      <c r="D4603" s="12">
        <v>46351</v>
      </c>
      <c r="E4603" s="11">
        <v>15</v>
      </c>
      <c r="F4603" s="11" t="s">
        <v>0</v>
      </c>
      <c r="G4603">
        <v>20240701</v>
      </c>
      <c r="I4603" s="11" t="s">
        <v>32</v>
      </c>
      <c r="J4603" s="72">
        <v>70546894</v>
      </c>
      <c r="K4603" s="99" t="str">
        <f>_xlfn.XLOOKUP(_2__ROI_Daily_Update[[#This Row],[CSM id]],SHP!F:F,SHP!EE:EE,"-")</f>
        <v>-</v>
      </c>
    </row>
    <row r="4604" spans="1:11" x14ac:dyDescent="0.45">
      <c r="A4604" s="57">
        <v>214</v>
      </c>
      <c r="B4604" t="s">
        <v>255</v>
      </c>
      <c r="C4604" t="s">
        <v>256</v>
      </c>
      <c r="D4604" s="12">
        <v>46351</v>
      </c>
      <c r="E4604" s="11">
        <v>18</v>
      </c>
      <c r="F4604" s="11" t="s">
        <v>0</v>
      </c>
      <c r="G4604">
        <v>20230701</v>
      </c>
      <c r="I4604" s="11" t="s">
        <v>32</v>
      </c>
      <c r="J4604" s="72">
        <v>70522044</v>
      </c>
      <c r="K4604" s="99" t="str">
        <f>_xlfn.XLOOKUP(_2__ROI_Daily_Update[[#This Row],[CSM id]],SHP!F:F,SHP!EE:EE,"-")</f>
        <v>-</v>
      </c>
    </row>
    <row r="4605" spans="1:11" x14ac:dyDescent="0.45">
      <c r="A4605" s="57">
        <v>215</v>
      </c>
      <c r="B4605" t="s">
        <v>7894</v>
      </c>
      <c r="C4605" t="s">
        <v>7895</v>
      </c>
      <c r="D4605" s="12">
        <v>46351</v>
      </c>
      <c r="E4605" s="11">
        <v>8</v>
      </c>
      <c r="F4605" s="11" t="s">
        <v>0</v>
      </c>
      <c r="G4605">
        <v>20201001</v>
      </c>
      <c r="I4605" s="11" t="s">
        <v>32</v>
      </c>
      <c r="J4605" s="72">
        <v>70448544</v>
      </c>
      <c r="K4605" s="99" t="str">
        <f>_xlfn.XLOOKUP(_2__ROI_Daily_Update[[#This Row],[CSM id]],SHP!F:F,SHP!EE:EE,"-")</f>
        <v>-</v>
      </c>
    </row>
    <row r="4606" spans="1:11" x14ac:dyDescent="0.45">
      <c r="A4606" s="57">
        <v>1521</v>
      </c>
      <c r="B4606" t="s">
        <v>2688</v>
      </c>
      <c r="C4606" t="s">
        <v>2689</v>
      </c>
      <c r="D4606" s="12">
        <v>46351</v>
      </c>
      <c r="E4606" s="11">
        <v>72</v>
      </c>
      <c r="F4606" s="11" t="s">
        <v>0</v>
      </c>
      <c r="G4606">
        <v>20201001</v>
      </c>
      <c r="I4606" s="11" t="s">
        <v>18</v>
      </c>
      <c r="J4606" s="72">
        <v>50473025</v>
      </c>
      <c r="K4606" s="99" t="str">
        <f>_xlfn.XLOOKUP(_2__ROI_Daily_Update[[#This Row],[CSM id]],SHP!F:F,SHP!EE:EE,"-")</f>
        <v>-</v>
      </c>
    </row>
    <row r="4607" spans="1:11" x14ac:dyDescent="0.45">
      <c r="A4607" s="57">
        <v>431</v>
      </c>
      <c r="B4607" t="s">
        <v>453</v>
      </c>
      <c r="C4607" t="s">
        <v>454</v>
      </c>
      <c r="D4607" s="12">
        <v>46352</v>
      </c>
      <c r="E4607" s="11">
        <v>6</v>
      </c>
      <c r="F4607" s="11" t="s">
        <v>0</v>
      </c>
      <c r="G4607">
        <v>20261001</v>
      </c>
      <c r="I4607" s="11" t="s">
        <v>32</v>
      </c>
      <c r="J4607" s="72">
        <v>50561116</v>
      </c>
      <c r="K4607" s="99" t="str">
        <f>_xlfn.XLOOKUP(_2__ROI_Daily_Update[[#This Row],[CSM id]],SHP!F:F,SHP!EE:EE,"-")</f>
        <v>-</v>
      </c>
    </row>
    <row r="4608" spans="1:11" x14ac:dyDescent="0.45">
      <c r="A4608" s="57">
        <v>1633</v>
      </c>
      <c r="B4608" t="s">
        <v>3000</v>
      </c>
      <c r="C4608" t="s">
        <v>3001</v>
      </c>
      <c r="D4608" s="12">
        <v>46352</v>
      </c>
      <c r="E4608" s="11">
        <v>120</v>
      </c>
      <c r="F4608" s="11" t="s">
        <v>0</v>
      </c>
      <c r="G4608">
        <v>20210401</v>
      </c>
      <c r="I4608" s="11" t="s">
        <v>32</v>
      </c>
      <c r="J4608" s="72">
        <v>50470989</v>
      </c>
      <c r="K4608" s="99" t="str">
        <f>_xlfn.XLOOKUP(_2__ROI_Daily_Update[[#This Row],[CSM id]],SHP!F:F,SHP!EE:EE,"-")</f>
        <v>-</v>
      </c>
    </row>
    <row r="4609" spans="1:11" x14ac:dyDescent="0.45">
      <c r="A4609" s="57">
        <v>1811</v>
      </c>
      <c r="B4609" t="s">
        <v>3351</v>
      </c>
      <c r="C4609" t="s">
        <v>3352</v>
      </c>
      <c r="D4609" s="12">
        <v>46352</v>
      </c>
      <c r="E4609" s="11">
        <v>24</v>
      </c>
      <c r="F4609" s="11" t="s">
        <v>0</v>
      </c>
      <c r="G4609">
        <v>20200801</v>
      </c>
      <c r="I4609" s="11" t="s">
        <v>32</v>
      </c>
      <c r="J4609" s="72">
        <v>80376481</v>
      </c>
      <c r="K4609" s="99" t="str">
        <f>_xlfn.XLOOKUP(_2__ROI_Daily_Update[[#This Row],[CSM id]],SHP!F:F,SHP!EE:EE,"-")</f>
        <v>-</v>
      </c>
    </row>
    <row r="4610" spans="1:11" x14ac:dyDescent="0.45">
      <c r="A4610" s="57">
        <v>125</v>
      </c>
      <c r="B4610" t="s">
        <v>98</v>
      </c>
      <c r="C4610" t="s">
        <v>99</v>
      </c>
      <c r="D4610" s="12">
        <v>46352</v>
      </c>
      <c r="E4610" s="11">
        <v>4</v>
      </c>
      <c r="F4610" s="11" t="s">
        <v>0</v>
      </c>
      <c r="G4610">
        <v>20261001</v>
      </c>
      <c r="I4610" s="11" t="s">
        <v>32</v>
      </c>
      <c r="J4610" s="72">
        <v>10624333</v>
      </c>
      <c r="K4610" s="99" t="str">
        <f>_xlfn.XLOOKUP(_2__ROI_Daily_Update[[#This Row],[CSM id]],SHP!F:F,SHP!EE:EE,"-")</f>
        <v>-</v>
      </c>
    </row>
    <row r="4611" spans="1:11" x14ac:dyDescent="0.45">
      <c r="A4611" s="57">
        <v>511</v>
      </c>
      <c r="B4611" t="s">
        <v>325</v>
      </c>
      <c r="C4611" t="s">
        <v>326</v>
      </c>
      <c r="D4611" s="12">
        <v>46352</v>
      </c>
      <c r="E4611" s="11">
        <v>12</v>
      </c>
      <c r="F4611" s="11" t="s">
        <v>0</v>
      </c>
      <c r="G4611">
        <v>20201001</v>
      </c>
      <c r="I4611" s="11" t="s">
        <v>32</v>
      </c>
      <c r="J4611" s="72">
        <v>470072</v>
      </c>
      <c r="K4611" s="99" t="str">
        <f>_xlfn.XLOOKUP(_2__ROI_Daily_Update[[#This Row],[CSM id]],SHP!F:F,SHP!EE:EE,"-")</f>
        <v>-</v>
      </c>
    </row>
    <row r="4612" spans="1:11" x14ac:dyDescent="0.45">
      <c r="A4612" s="57">
        <v>125</v>
      </c>
      <c r="B4612" t="s">
        <v>134</v>
      </c>
      <c r="C4612" t="s">
        <v>135</v>
      </c>
      <c r="D4612" s="12">
        <v>46352</v>
      </c>
      <c r="E4612" s="11">
        <v>2</v>
      </c>
      <c r="F4612" s="11" t="s">
        <v>0</v>
      </c>
      <c r="G4612">
        <v>20261001</v>
      </c>
      <c r="I4612" s="11" t="s">
        <v>32</v>
      </c>
      <c r="J4612" s="72">
        <v>90624348</v>
      </c>
      <c r="K4612" s="99" t="str">
        <f>_xlfn.XLOOKUP(_2__ROI_Daily_Update[[#This Row],[CSM id]],SHP!F:F,SHP!EE:EE,"-")</f>
        <v>-</v>
      </c>
    </row>
    <row r="4613" spans="1:11" x14ac:dyDescent="0.45">
      <c r="A4613" s="57">
        <v>1551</v>
      </c>
      <c r="B4613" t="s">
        <v>7230</v>
      </c>
      <c r="C4613" t="s">
        <v>7231</v>
      </c>
      <c r="D4613" s="12">
        <v>46352</v>
      </c>
      <c r="E4613" s="11">
        <v>81</v>
      </c>
      <c r="F4613" s="11" t="s">
        <v>0</v>
      </c>
      <c r="G4613">
        <v>20150401</v>
      </c>
      <c r="I4613" s="11" t="s">
        <v>18</v>
      </c>
      <c r="J4613" s="72">
        <v>40279726</v>
      </c>
      <c r="K4613" s="99" t="str">
        <f>_xlfn.XLOOKUP(_2__ROI_Daily_Update[[#This Row],[CSM id]],SHP!F:F,SHP!EE:EE,"-")</f>
        <v>-</v>
      </c>
    </row>
    <row r="4614" spans="1:11" x14ac:dyDescent="0.45">
      <c r="A4614" s="57">
        <v>972</v>
      </c>
      <c r="B4614" t="s">
        <v>877</v>
      </c>
      <c r="C4614" t="s">
        <v>878</v>
      </c>
      <c r="D4614" s="12">
        <v>46352</v>
      </c>
      <c r="E4614" s="11">
        <v>15</v>
      </c>
      <c r="F4614" s="11" t="s">
        <v>0</v>
      </c>
      <c r="G4614">
        <v>20160401</v>
      </c>
      <c r="I4614" s="11" t="s">
        <v>32</v>
      </c>
      <c r="J4614" s="72">
        <v>40319973</v>
      </c>
      <c r="K4614" s="99" t="str">
        <f>_xlfn.XLOOKUP(_2__ROI_Daily_Update[[#This Row],[CSM id]],SHP!F:F,SHP!EE:EE,"-")</f>
        <v>-</v>
      </c>
    </row>
    <row r="4615" spans="1:11" x14ac:dyDescent="0.45">
      <c r="A4615" s="57">
        <v>1412</v>
      </c>
      <c r="B4615" t="s">
        <v>2130</v>
      </c>
      <c r="C4615" t="s">
        <v>2131</v>
      </c>
      <c r="D4615" s="12">
        <v>46352</v>
      </c>
      <c r="E4615" s="11">
        <v>450</v>
      </c>
      <c r="F4615" s="11" t="s">
        <v>0</v>
      </c>
      <c r="G4615">
        <v>20250101</v>
      </c>
      <c r="I4615" s="11" t="s">
        <v>18</v>
      </c>
      <c r="J4615" s="72">
        <v>50587178</v>
      </c>
      <c r="K4615" s="99" t="str">
        <f>_xlfn.XLOOKUP(_2__ROI_Daily_Update[[#This Row],[CSM id]],SHP!F:F,SHP!EE:EE,"-")</f>
        <v>-</v>
      </c>
    </row>
    <row r="4616" spans="1:11" x14ac:dyDescent="0.45">
      <c r="A4616" s="57">
        <v>1512</v>
      </c>
      <c r="B4616" t="s">
        <v>2650</v>
      </c>
      <c r="C4616" t="s">
        <v>2651</v>
      </c>
      <c r="D4616" s="12">
        <v>46353</v>
      </c>
      <c r="E4616" s="11">
        <v>315</v>
      </c>
      <c r="F4616" s="11" t="s">
        <v>0</v>
      </c>
      <c r="G4616">
        <v>20141201</v>
      </c>
      <c r="I4616" s="11" t="s">
        <v>18</v>
      </c>
      <c r="J4616" s="72">
        <v>30166051</v>
      </c>
      <c r="K4616" s="99" t="str">
        <f>_xlfn.XLOOKUP(_2__ROI_Daily_Update[[#This Row],[CSM id]],SHP!F:F,SHP!EE:EE,"-")</f>
        <v>-</v>
      </c>
    </row>
    <row r="4617" spans="1:11" x14ac:dyDescent="0.45">
      <c r="A4617" s="57">
        <v>1815</v>
      </c>
      <c r="B4617" t="s">
        <v>3490</v>
      </c>
      <c r="C4617" t="s">
        <v>3491</v>
      </c>
      <c r="D4617" s="12">
        <v>46353</v>
      </c>
      <c r="E4617" s="11">
        <v>225</v>
      </c>
      <c r="F4617" s="11" t="s">
        <v>0</v>
      </c>
      <c r="G4617">
        <v>20191001</v>
      </c>
      <c r="I4617" s="11" t="s">
        <v>32</v>
      </c>
      <c r="J4617" s="72">
        <v>70444678</v>
      </c>
      <c r="K4617" s="99" t="str">
        <f>_xlfn.XLOOKUP(_2__ROI_Daily_Update[[#This Row],[CSM id]],SHP!F:F,SHP!EE:EE,"-")</f>
        <v>-</v>
      </c>
    </row>
    <row r="4618" spans="1:11" x14ac:dyDescent="0.45">
      <c r="A4618" s="57">
        <v>1431</v>
      </c>
      <c r="B4618" t="s">
        <v>2412</v>
      </c>
      <c r="C4618" t="s">
        <v>2413</v>
      </c>
      <c r="D4618" s="12">
        <v>46353</v>
      </c>
      <c r="E4618" s="11">
        <v>540</v>
      </c>
      <c r="F4618" s="11" t="s">
        <v>0</v>
      </c>
      <c r="G4618">
        <v>20250401</v>
      </c>
      <c r="I4618" s="11" t="s">
        <v>18</v>
      </c>
      <c r="J4618" s="72">
        <v>60597105</v>
      </c>
      <c r="K4618" s="99" t="str">
        <f>_xlfn.XLOOKUP(_2__ROI_Daily_Update[[#This Row],[CSM id]],SHP!F:F,SHP!EE:EE,"-")</f>
        <v>-</v>
      </c>
    </row>
    <row r="4619" spans="1:11" x14ac:dyDescent="0.45">
      <c r="A4619" s="57">
        <v>972</v>
      </c>
      <c r="B4619" t="s">
        <v>889</v>
      </c>
      <c r="C4619" t="s">
        <v>890</v>
      </c>
      <c r="D4619" s="12">
        <v>46353</v>
      </c>
      <c r="E4619" s="11">
        <v>108</v>
      </c>
      <c r="F4619" s="11" t="s">
        <v>0</v>
      </c>
      <c r="G4619">
        <v>20170801</v>
      </c>
      <c r="I4619" s="11" t="s">
        <v>32</v>
      </c>
      <c r="J4619" s="72">
        <v>70320055</v>
      </c>
      <c r="K4619" s="99" t="str">
        <f>_xlfn.XLOOKUP(_2__ROI_Daily_Update[[#This Row],[CSM id]],SHP!F:F,SHP!EE:EE,"-")</f>
        <v>-</v>
      </c>
    </row>
    <row r="4620" spans="1:11" x14ac:dyDescent="0.45">
      <c r="A4620" s="57">
        <v>973</v>
      </c>
      <c r="B4620" t="s">
        <v>901</v>
      </c>
      <c r="C4620" t="s">
        <v>902</v>
      </c>
      <c r="D4620" s="12">
        <v>46353</v>
      </c>
      <c r="E4620" s="11">
        <v>30</v>
      </c>
      <c r="F4620" s="11" t="s">
        <v>0</v>
      </c>
      <c r="G4620">
        <v>20210701</v>
      </c>
      <c r="I4620" s="11" t="s">
        <v>32</v>
      </c>
      <c r="J4620" s="72">
        <v>10488967</v>
      </c>
      <c r="K4620" s="99" t="str">
        <f>_xlfn.XLOOKUP(_2__ROI_Daily_Update[[#This Row],[CSM id]],SHP!F:F,SHP!EE:EE,"-")</f>
        <v>-</v>
      </c>
    </row>
    <row r="4621" spans="1:11" x14ac:dyDescent="0.45">
      <c r="A4621" s="57">
        <v>1622</v>
      </c>
      <c r="B4621" t="s">
        <v>7783</v>
      </c>
      <c r="C4621" t="s">
        <v>7784</v>
      </c>
      <c r="D4621" s="12">
        <v>46353</v>
      </c>
      <c r="E4621" s="11">
        <v>20</v>
      </c>
      <c r="F4621" s="11" t="s">
        <v>0</v>
      </c>
      <c r="G4621">
        <v>20261001</v>
      </c>
      <c r="H4621" s="12">
        <v>46388</v>
      </c>
      <c r="I4621" s="11" t="s">
        <v>32</v>
      </c>
      <c r="J4621" s="72">
        <v>80640400</v>
      </c>
      <c r="K4621" s="99" t="str">
        <f>_xlfn.XLOOKUP(_2__ROI_Daily_Update[[#This Row],[CSM id]],SHP!F:F,SHP!EE:EE,"-")</f>
        <v>-</v>
      </c>
    </row>
    <row r="4622" spans="1:11" x14ac:dyDescent="0.45">
      <c r="A4622" s="57">
        <v>1622</v>
      </c>
      <c r="B4622" t="s">
        <v>7785</v>
      </c>
      <c r="C4622" t="s">
        <v>7786</v>
      </c>
      <c r="D4622" s="12">
        <v>46353</v>
      </c>
      <c r="E4622" s="11">
        <v>20</v>
      </c>
      <c r="F4622" s="11" t="s">
        <v>0</v>
      </c>
      <c r="G4622">
        <v>20261001</v>
      </c>
      <c r="H4622" s="12">
        <v>46388</v>
      </c>
      <c r="I4622" s="11" t="s">
        <v>32</v>
      </c>
      <c r="J4622" s="72">
        <v>40640402</v>
      </c>
      <c r="K4622" s="99" t="str">
        <f>_xlfn.XLOOKUP(_2__ROI_Daily_Update[[#This Row],[CSM id]],SHP!F:F,SHP!EE:EE,"-")</f>
        <v>-</v>
      </c>
    </row>
    <row r="4623" spans="1:11" x14ac:dyDescent="0.45">
      <c r="A4623" s="57">
        <v>1815</v>
      </c>
      <c r="B4623" t="s">
        <v>3494</v>
      </c>
      <c r="C4623" t="s">
        <v>3495</v>
      </c>
      <c r="D4623" s="12">
        <v>46353</v>
      </c>
      <c r="E4623" s="11">
        <v>192</v>
      </c>
      <c r="F4623" s="11" t="s">
        <v>0</v>
      </c>
      <c r="G4623">
        <v>20140801</v>
      </c>
      <c r="I4623" s="11" t="s">
        <v>32</v>
      </c>
      <c r="J4623" s="72">
        <v>90180940</v>
      </c>
      <c r="K4623" s="99" t="str">
        <f>_xlfn.XLOOKUP(_2__ROI_Daily_Update[[#This Row],[CSM id]],SHP!F:F,SHP!EE:EE,"-")</f>
        <v>-</v>
      </c>
    </row>
    <row r="4624" spans="1:11" x14ac:dyDescent="0.45">
      <c r="A4624" s="57">
        <v>982</v>
      </c>
      <c r="B4624" t="s">
        <v>5327</v>
      </c>
      <c r="C4624" t="s">
        <v>5328</v>
      </c>
      <c r="D4624" s="12">
        <v>46353</v>
      </c>
      <c r="E4624" s="11">
        <v>8</v>
      </c>
      <c r="F4624" s="11" t="s">
        <v>0</v>
      </c>
      <c r="G4624">
        <v>20230101</v>
      </c>
      <c r="I4624" s="11" t="s">
        <v>32</v>
      </c>
      <c r="J4624" s="72">
        <v>20531654</v>
      </c>
      <c r="K4624" s="99" t="str">
        <f>_xlfn.XLOOKUP(_2__ROI_Daily_Update[[#This Row],[CSM id]],SHP!F:F,SHP!EE:EE,"-")</f>
        <v>-</v>
      </c>
    </row>
    <row r="4625" spans="1:11" x14ac:dyDescent="0.45">
      <c r="A4625" s="57">
        <v>352</v>
      </c>
      <c r="B4625" t="s">
        <v>396</v>
      </c>
      <c r="C4625" t="s">
        <v>397</v>
      </c>
      <c r="D4625" s="12">
        <v>46353</v>
      </c>
      <c r="E4625" s="11">
        <v>10</v>
      </c>
      <c r="F4625" s="11" t="s">
        <v>0</v>
      </c>
      <c r="G4625">
        <v>20210701</v>
      </c>
      <c r="I4625" s="11" t="s">
        <v>32</v>
      </c>
      <c r="J4625" s="72">
        <v>50492203</v>
      </c>
      <c r="K4625" s="99" t="str">
        <f>_xlfn.XLOOKUP(_2__ROI_Daily_Update[[#This Row],[CSM id]],SHP!F:F,SHP!EE:EE,"-")</f>
        <v>-</v>
      </c>
    </row>
    <row r="4626" spans="1:11" x14ac:dyDescent="0.45">
      <c r="A4626" s="57">
        <v>983</v>
      </c>
      <c r="B4626" t="s">
        <v>982</v>
      </c>
      <c r="C4626" t="s">
        <v>983</v>
      </c>
      <c r="D4626" s="12">
        <v>46354</v>
      </c>
      <c r="E4626" s="11">
        <v>510</v>
      </c>
      <c r="F4626" s="11" t="s">
        <v>0</v>
      </c>
      <c r="G4626">
        <v>20180601</v>
      </c>
      <c r="I4626" s="11" t="s">
        <v>18</v>
      </c>
      <c r="J4626" s="72">
        <v>40378670</v>
      </c>
      <c r="K4626" s="99" t="str">
        <f>_xlfn.XLOOKUP(_2__ROI_Daily_Update[[#This Row],[CSM id]],SHP!F:F,SHP!EE:EE,"-")</f>
        <v>-</v>
      </c>
    </row>
    <row r="4627" spans="1:11" x14ac:dyDescent="0.45">
      <c r="A4627" s="57">
        <v>1813</v>
      </c>
      <c r="B4627" t="s">
        <v>3420</v>
      </c>
      <c r="C4627" t="s">
        <v>3421</v>
      </c>
      <c r="D4627" s="12">
        <v>46354</v>
      </c>
      <c r="E4627" s="11">
        <v>720</v>
      </c>
      <c r="F4627" s="11" t="s">
        <v>0</v>
      </c>
      <c r="G4627">
        <v>20260701</v>
      </c>
      <c r="I4627" s="11" t="s">
        <v>32</v>
      </c>
      <c r="J4627" s="72">
        <v>70534396</v>
      </c>
      <c r="K4627" s="99" t="str">
        <f>_xlfn.XLOOKUP(_2__ROI_Daily_Update[[#This Row],[CSM id]],SHP!F:F,SHP!EE:EE,"-")</f>
        <v>-</v>
      </c>
    </row>
    <row r="4628" spans="1:11" x14ac:dyDescent="0.45">
      <c r="A4628" s="57">
        <v>1815</v>
      </c>
      <c r="B4628" t="s">
        <v>3490</v>
      </c>
      <c r="C4628" t="s">
        <v>3491</v>
      </c>
      <c r="D4628" s="12">
        <v>46354</v>
      </c>
      <c r="E4628" s="11">
        <v>225</v>
      </c>
      <c r="F4628" s="11" t="s">
        <v>0</v>
      </c>
      <c r="G4628">
        <v>20191001</v>
      </c>
      <c r="I4628" s="11" t="s">
        <v>32</v>
      </c>
      <c r="J4628" s="72">
        <v>70444678</v>
      </c>
      <c r="K4628" s="99" t="str">
        <f>_xlfn.XLOOKUP(_2__ROI_Daily_Update[[#This Row],[CSM id]],SHP!F:F,SHP!EE:EE,"-")</f>
        <v>-</v>
      </c>
    </row>
    <row r="4629" spans="1:11" x14ac:dyDescent="0.45">
      <c r="A4629" s="57">
        <v>1521</v>
      </c>
      <c r="B4629" t="s">
        <v>2676</v>
      </c>
      <c r="C4629" t="s">
        <v>2677</v>
      </c>
      <c r="D4629" s="12">
        <v>46354</v>
      </c>
      <c r="E4629" s="11">
        <v>200</v>
      </c>
      <c r="F4629" s="11" t="s">
        <v>0</v>
      </c>
      <c r="G4629">
        <v>20140801</v>
      </c>
      <c r="I4629" s="11" t="s">
        <v>18</v>
      </c>
      <c r="J4629" s="72">
        <v>20137851</v>
      </c>
      <c r="K4629" s="99" t="str">
        <f>_xlfn.XLOOKUP(_2__ROI_Daily_Update[[#This Row],[CSM id]],SHP!F:F,SHP!EE:EE,"-")</f>
        <v>-</v>
      </c>
    </row>
    <row r="4630" spans="1:11" x14ac:dyDescent="0.45">
      <c r="A4630" s="57">
        <v>1511</v>
      </c>
      <c r="B4630" t="s">
        <v>2578</v>
      </c>
      <c r="C4630" t="s">
        <v>2579</v>
      </c>
      <c r="D4630" s="12">
        <v>46354</v>
      </c>
      <c r="E4630" s="11">
        <v>1200</v>
      </c>
      <c r="F4630" s="11" t="s">
        <v>0</v>
      </c>
      <c r="G4630">
        <v>20141201</v>
      </c>
      <c r="I4630" s="11" t="s">
        <v>18</v>
      </c>
      <c r="J4630" s="72">
        <v>60258916</v>
      </c>
      <c r="K4630" s="99" t="str">
        <f>_xlfn.XLOOKUP(_2__ROI_Daily_Update[[#This Row],[CSM id]],SHP!F:F,SHP!EE:EE,"-")</f>
        <v>-</v>
      </c>
    </row>
    <row r="4631" spans="1:11" x14ac:dyDescent="0.45">
      <c r="A4631" s="57">
        <v>125</v>
      </c>
      <c r="B4631" t="s">
        <v>7896</v>
      </c>
      <c r="C4631" t="s">
        <v>7897</v>
      </c>
      <c r="D4631" s="12">
        <v>46354</v>
      </c>
      <c r="E4631" s="11">
        <v>2</v>
      </c>
      <c r="F4631" s="11" t="s">
        <v>0</v>
      </c>
      <c r="G4631">
        <v>20261001</v>
      </c>
      <c r="I4631" s="11" t="s">
        <v>32</v>
      </c>
      <c r="J4631" s="72">
        <v>90624372</v>
      </c>
      <c r="K4631" s="99" t="str">
        <f>_xlfn.XLOOKUP(_2__ROI_Daily_Update[[#This Row],[CSM id]],SHP!F:F,SHP!EE:EE,"-")</f>
        <v>-</v>
      </c>
    </row>
    <row r="4632" spans="1:11" x14ac:dyDescent="0.45">
      <c r="A4632" s="57">
        <v>1521</v>
      </c>
      <c r="B4632" t="s">
        <v>7326</v>
      </c>
      <c r="C4632" t="s">
        <v>7327</v>
      </c>
      <c r="D4632" s="12">
        <v>46355</v>
      </c>
      <c r="E4632" s="11">
        <v>90</v>
      </c>
      <c r="F4632" s="11" t="s">
        <v>0</v>
      </c>
      <c r="G4632">
        <v>20140801</v>
      </c>
      <c r="H4632" s="12">
        <v>46569</v>
      </c>
      <c r="I4632" s="11" t="s">
        <v>18</v>
      </c>
      <c r="J4632" s="72">
        <v>40174588</v>
      </c>
      <c r="K4632" s="99" t="str">
        <f>_xlfn.XLOOKUP(_2__ROI_Daily_Update[[#This Row],[CSM id]],SHP!F:F,SHP!EE:EE,"-")</f>
        <v>-</v>
      </c>
    </row>
    <row r="4633" spans="1:11" x14ac:dyDescent="0.45">
      <c r="A4633" s="57">
        <v>341</v>
      </c>
      <c r="B4633" t="s">
        <v>351</v>
      </c>
      <c r="C4633" t="s">
        <v>352</v>
      </c>
      <c r="D4633" s="12">
        <v>46355</v>
      </c>
      <c r="E4633" s="11">
        <v>48</v>
      </c>
      <c r="F4633" s="11" t="s">
        <v>7793</v>
      </c>
      <c r="G4633">
        <v>20210201</v>
      </c>
      <c r="I4633" s="11" t="s">
        <v>32</v>
      </c>
      <c r="J4633" s="72">
        <v>10476479</v>
      </c>
      <c r="K4633" s="99" t="str">
        <f>_xlfn.XLOOKUP(_2__ROI_Daily_Update[[#This Row],[CSM id]],SHP!F:F,SHP!EE:EE,"-")</f>
        <v>-</v>
      </c>
    </row>
    <row r="4634" spans="1:11" x14ac:dyDescent="0.45">
      <c r="A4634" s="57">
        <v>1811</v>
      </c>
      <c r="B4634" t="s">
        <v>6601</v>
      </c>
      <c r="C4634" t="s">
        <v>6602</v>
      </c>
      <c r="D4634" s="12">
        <v>46355</v>
      </c>
      <c r="E4634" s="11">
        <v>48</v>
      </c>
      <c r="F4634" s="11" t="s">
        <v>7792</v>
      </c>
      <c r="G4634">
        <v>20200801</v>
      </c>
      <c r="I4634" s="11" t="s">
        <v>32</v>
      </c>
      <c r="J4634" s="72">
        <v>60376482</v>
      </c>
      <c r="K4634" s="99" t="str">
        <f>_xlfn.XLOOKUP(_2__ROI_Daily_Update[[#This Row],[CSM id]],SHP!F:F,SHP!EE:EE,"-")</f>
        <v>-</v>
      </c>
    </row>
    <row r="4635" spans="1:11" x14ac:dyDescent="0.45">
      <c r="A4635" s="57">
        <v>1815</v>
      </c>
      <c r="B4635" t="s">
        <v>3450</v>
      </c>
      <c r="C4635" t="s">
        <v>3451</v>
      </c>
      <c r="D4635" s="12">
        <v>46355</v>
      </c>
      <c r="E4635" s="11">
        <v>20</v>
      </c>
      <c r="F4635" s="11" t="s">
        <v>0</v>
      </c>
      <c r="G4635">
        <v>20161001</v>
      </c>
      <c r="I4635" s="11" t="s">
        <v>32</v>
      </c>
      <c r="J4635" s="72">
        <v>316066</v>
      </c>
      <c r="K4635" s="99" t="str">
        <f>_xlfn.XLOOKUP(_2__ROI_Daily_Update[[#This Row],[CSM id]],SHP!F:F,SHP!EE:EE,"-")</f>
        <v>-</v>
      </c>
    </row>
    <row r="4636" spans="1:11" x14ac:dyDescent="0.45">
      <c r="A4636" s="57">
        <v>1433</v>
      </c>
      <c r="B4636" t="s">
        <v>2474</v>
      </c>
      <c r="C4636" t="s">
        <v>2475</v>
      </c>
      <c r="D4636" s="12">
        <v>46355</v>
      </c>
      <c r="E4636" s="11">
        <v>128</v>
      </c>
      <c r="F4636" s="11" t="s">
        <v>0</v>
      </c>
      <c r="G4636">
        <v>20191001</v>
      </c>
      <c r="I4636" s="11" t="s">
        <v>32</v>
      </c>
      <c r="J4636" s="72">
        <v>90377687</v>
      </c>
      <c r="K4636" s="99" t="str">
        <f>_xlfn.XLOOKUP(_2__ROI_Daily_Update[[#This Row],[CSM id]],SHP!F:F,SHP!EE:EE,"-")</f>
        <v>-</v>
      </c>
    </row>
    <row r="4637" spans="1:11" x14ac:dyDescent="0.45">
      <c r="A4637" s="57">
        <v>1815</v>
      </c>
      <c r="B4637" t="s">
        <v>3454</v>
      </c>
      <c r="C4637" t="s">
        <v>3455</v>
      </c>
      <c r="D4637" s="12">
        <v>46355</v>
      </c>
      <c r="E4637" s="11">
        <v>232</v>
      </c>
      <c r="F4637" s="11" t="s">
        <v>0</v>
      </c>
      <c r="G4637">
        <v>20140801</v>
      </c>
      <c r="I4637" s="11" t="s">
        <v>32</v>
      </c>
      <c r="J4637" s="72">
        <v>10180939</v>
      </c>
      <c r="K4637" s="99" t="str">
        <f>_xlfn.XLOOKUP(_2__ROI_Daily_Update[[#This Row],[CSM id]],SHP!F:F,SHP!EE:EE,"-")</f>
        <v>-</v>
      </c>
    </row>
    <row r="4638" spans="1:11" x14ac:dyDescent="0.45">
      <c r="A4638" s="57">
        <v>1431</v>
      </c>
      <c r="B4638" t="s">
        <v>2368</v>
      </c>
      <c r="C4638" t="s">
        <v>2369</v>
      </c>
      <c r="D4638" s="12">
        <v>46356</v>
      </c>
      <c r="E4638" s="11">
        <v>350</v>
      </c>
      <c r="F4638" s="11" t="s">
        <v>0</v>
      </c>
      <c r="G4638">
        <v>20141201</v>
      </c>
      <c r="I4638" s="11" t="s">
        <v>18</v>
      </c>
      <c r="J4638" s="72">
        <v>30213547</v>
      </c>
      <c r="K4638" s="99" t="str">
        <f>_xlfn.XLOOKUP(_2__ROI_Daily_Update[[#This Row],[CSM id]],SHP!F:F,SHP!EE:EE,"-")</f>
        <v>-</v>
      </c>
    </row>
    <row r="4639" spans="1:11" x14ac:dyDescent="0.45">
      <c r="A4639" s="57">
        <v>1815</v>
      </c>
      <c r="B4639" t="s">
        <v>3486</v>
      </c>
      <c r="C4639" t="s">
        <v>3487</v>
      </c>
      <c r="D4639" s="12">
        <v>46356</v>
      </c>
      <c r="E4639" s="11">
        <v>76</v>
      </c>
      <c r="F4639" s="11" t="s">
        <v>0</v>
      </c>
      <c r="G4639">
        <v>20140801</v>
      </c>
      <c r="I4639" s="11" t="s">
        <v>32</v>
      </c>
      <c r="J4639" s="72">
        <v>70180941</v>
      </c>
      <c r="K4639" s="99" t="str">
        <f>_xlfn.XLOOKUP(_2__ROI_Daily_Update[[#This Row],[CSM id]],SHP!F:F,SHP!EE:EE,"-")</f>
        <v>-</v>
      </c>
    </row>
    <row r="4640" spans="1:11" x14ac:dyDescent="0.45">
      <c r="A4640" s="57">
        <v>1511</v>
      </c>
      <c r="B4640" t="s">
        <v>2528</v>
      </c>
      <c r="C4640" t="s">
        <v>2529</v>
      </c>
      <c r="D4640" s="12">
        <v>46356</v>
      </c>
      <c r="E4640" s="11">
        <v>1056</v>
      </c>
      <c r="F4640" s="11" t="s">
        <v>0</v>
      </c>
      <c r="G4640">
        <v>20180401</v>
      </c>
      <c r="I4640" s="11" t="s">
        <v>18</v>
      </c>
      <c r="J4640" s="72">
        <v>20318941</v>
      </c>
      <c r="K4640" s="99" t="str">
        <f>_xlfn.XLOOKUP(_2__ROI_Daily_Update[[#This Row],[CSM id]],SHP!F:F,SHP!EE:EE,"-")</f>
        <v>-</v>
      </c>
    </row>
    <row r="4641" spans="1:11" x14ac:dyDescent="0.45">
      <c r="A4641" s="57">
        <v>215</v>
      </c>
      <c r="B4641" t="s">
        <v>265</v>
      </c>
      <c r="C4641" t="s">
        <v>266</v>
      </c>
      <c r="D4641" s="12">
        <v>46356</v>
      </c>
      <c r="E4641" s="11">
        <v>20</v>
      </c>
      <c r="F4641" s="11" t="s">
        <v>0</v>
      </c>
      <c r="G4641">
        <v>20170401</v>
      </c>
      <c r="I4641" s="11" t="s">
        <v>32</v>
      </c>
      <c r="J4641" s="72">
        <v>20351884</v>
      </c>
      <c r="K4641" s="99" t="str">
        <f>_xlfn.XLOOKUP(_2__ROI_Daily_Update[[#This Row],[CSM id]],SHP!F:F,SHP!EE:EE,"-")</f>
        <v>-</v>
      </c>
    </row>
    <row r="4642" spans="1:11" x14ac:dyDescent="0.45">
      <c r="A4642" s="57">
        <v>1422</v>
      </c>
      <c r="B4642" t="s">
        <v>2262</v>
      </c>
      <c r="C4642" t="s">
        <v>2263</v>
      </c>
      <c r="D4642" s="12">
        <v>46356</v>
      </c>
      <c r="E4642" s="11">
        <v>208</v>
      </c>
      <c r="F4642" s="11" t="s">
        <v>0</v>
      </c>
      <c r="G4642">
        <v>20141201</v>
      </c>
      <c r="I4642" s="11" t="s">
        <v>18</v>
      </c>
      <c r="J4642" s="72">
        <v>90191934</v>
      </c>
      <c r="K4642" s="99" t="str">
        <f>_xlfn.XLOOKUP(_2__ROI_Daily_Update[[#This Row],[CSM id]],SHP!F:F,SHP!EE:EE,"-")</f>
        <v>-</v>
      </c>
    </row>
    <row r="4643" spans="1:11" x14ac:dyDescent="0.45">
      <c r="A4643" s="57">
        <v>1815</v>
      </c>
      <c r="B4643" t="s">
        <v>3458</v>
      </c>
      <c r="C4643" t="s">
        <v>3459</v>
      </c>
      <c r="D4643" s="12">
        <v>46356</v>
      </c>
      <c r="E4643" s="11">
        <v>22</v>
      </c>
      <c r="F4643" s="11" t="s">
        <v>0</v>
      </c>
      <c r="G4643">
        <v>20191001</v>
      </c>
      <c r="I4643" s="11" t="s">
        <v>32</v>
      </c>
      <c r="J4643" s="72">
        <v>10411534</v>
      </c>
      <c r="K4643" s="99" t="str">
        <f>_xlfn.XLOOKUP(_2__ROI_Daily_Update[[#This Row],[CSM id]],SHP!F:F,SHP!EE:EE,"-")</f>
        <v>-</v>
      </c>
    </row>
    <row r="4644" spans="1:11" x14ac:dyDescent="0.45">
      <c r="A4644" s="57">
        <v>215</v>
      </c>
      <c r="B4644" t="s">
        <v>273</v>
      </c>
      <c r="C4644" t="s">
        <v>274</v>
      </c>
      <c r="D4644" s="12">
        <v>46357</v>
      </c>
      <c r="E4644" s="11">
        <v>14</v>
      </c>
      <c r="F4644" s="11" t="s">
        <v>0</v>
      </c>
      <c r="G4644">
        <v>20170401</v>
      </c>
      <c r="I4644" s="11" t="s">
        <v>32</v>
      </c>
      <c r="J4644" s="72">
        <v>40351883</v>
      </c>
      <c r="K4644" s="99" t="str">
        <f>_xlfn.XLOOKUP(_2__ROI_Daily_Update[[#This Row],[CSM id]],SHP!F:F,SHP!EE:EE,"-")</f>
        <v>-</v>
      </c>
    </row>
    <row r="4645" spans="1:11" x14ac:dyDescent="0.45">
      <c r="A4645" s="57">
        <v>1815</v>
      </c>
      <c r="B4645" t="s">
        <v>3494</v>
      </c>
      <c r="C4645" t="s">
        <v>3495</v>
      </c>
      <c r="D4645" s="12">
        <v>46357</v>
      </c>
      <c r="E4645" s="11">
        <v>192</v>
      </c>
      <c r="F4645" s="11" t="s">
        <v>0</v>
      </c>
      <c r="G4645">
        <v>20140801</v>
      </c>
      <c r="I4645" s="11" t="s">
        <v>32</v>
      </c>
      <c r="J4645" s="72">
        <v>90180940</v>
      </c>
      <c r="K4645" s="99" t="str">
        <f>_xlfn.XLOOKUP(_2__ROI_Daily_Update[[#This Row],[CSM id]],SHP!F:F,SHP!EE:EE,"-")</f>
        <v>-</v>
      </c>
    </row>
    <row r="4646" spans="1:11" x14ac:dyDescent="0.45">
      <c r="A4646" s="57">
        <v>215</v>
      </c>
      <c r="B4646" t="s">
        <v>265</v>
      </c>
      <c r="C4646" t="s">
        <v>266</v>
      </c>
      <c r="D4646" s="12">
        <v>46357</v>
      </c>
      <c r="E4646" s="11">
        <v>10</v>
      </c>
      <c r="F4646" s="11" t="s">
        <v>0</v>
      </c>
      <c r="G4646">
        <v>20170401</v>
      </c>
      <c r="I4646" s="11" t="s">
        <v>32</v>
      </c>
      <c r="J4646" s="72">
        <v>20351884</v>
      </c>
      <c r="K4646" s="99" t="str">
        <f>_xlfn.XLOOKUP(_2__ROI_Daily_Update[[#This Row],[CSM id]],SHP!F:F,SHP!EE:EE,"-")</f>
        <v>-</v>
      </c>
    </row>
    <row r="4647" spans="1:11" x14ac:dyDescent="0.45">
      <c r="A4647" s="57">
        <v>131</v>
      </c>
      <c r="B4647" t="s">
        <v>179</v>
      </c>
      <c r="C4647" t="s">
        <v>180</v>
      </c>
      <c r="D4647" s="12">
        <v>46357</v>
      </c>
      <c r="E4647" s="11">
        <v>44</v>
      </c>
      <c r="F4647" s="11" t="s">
        <v>7794</v>
      </c>
      <c r="G4647">
        <v>20161001</v>
      </c>
      <c r="I4647" s="11" t="s">
        <v>32</v>
      </c>
      <c r="J4647" s="72">
        <v>50337820</v>
      </c>
      <c r="K4647" s="99" t="str">
        <f>_xlfn.XLOOKUP(_2__ROI_Daily_Update[[#This Row],[CSM id]],SHP!F:F,SHP!EE:EE,"-")</f>
        <v>-</v>
      </c>
    </row>
    <row r="4648" spans="1:11" x14ac:dyDescent="0.45">
      <c r="A4648" s="57">
        <v>341</v>
      </c>
      <c r="B4648" t="s">
        <v>351</v>
      </c>
      <c r="C4648" t="s">
        <v>352</v>
      </c>
      <c r="D4648" s="12">
        <v>46357</v>
      </c>
      <c r="E4648" s="11">
        <v>72</v>
      </c>
      <c r="F4648" s="11" t="s">
        <v>7794</v>
      </c>
      <c r="G4648">
        <v>20210201</v>
      </c>
      <c r="I4648" s="11" t="s">
        <v>32</v>
      </c>
      <c r="J4648" s="72">
        <v>10476479</v>
      </c>
      <c r="K4648" s="99" t="str">
        <f>_xlfn.XLOOKUP(_2__ROI_Daily_Update[[#This Row],[CSM id]],SHP!F:F,SHP!EE:EE,"-")</f>
        <v>-</v>
      </c>
    </row>
    <row r="4649" spans="1:11" x14ac:dyDescent="0.45">
      <c r="A4649" s="57">
        <v>983</v>
      </c>
      <c r="B4649" t="s">
        <v>980</v>
      </c>
      <c r="C4649" t="s">
        <v>981</v>
      </c>
      <c r="D4649" s="12">
        <v>46357</v>
      </c>
      <c r="E4649" s="11">
        <v>32</v>
      </c>
      <c r="F4649" s="11" t="s">
        <v>0</v>
      </c>
      <c r="G4649">
        <v>20160401</v>
      </c>
      <c r="I4649" s="11" t="s">
        <v>32</v>
      </c>
      <c r="J4649" s="72">
        <v>30279944</v>
      </c>
      <c r="K4649" s="99" t="str">
        <f>_xlfn.XLOOKUP(_2__ROI_Daily_Update[[#This Row],[CSM id]],SHP!F:F,SHP!EE:EE,"-")</f>
        <v>-</v>
      </c>
    </row>
    <row r="4650" spans="1:11" x14ac:dyDescent="0.45">
      <c r="A4650" s="57">
        <v>125</v>
      </c>
      <c r="B4650" t="s">
        <v>103</v>
      </c>
      <c r="C4650" t="s">
        <v>104</v>
      </c>
      <c r="D4650" s="12">
        <v>46357</v>
      </c>
      <c r="E4650" s="11">
        <v>4</v>
      </c>
      <c r="F4650" s="11" t="s">
        <v>0</v>
      </c>
      <c r="G4650">
        <v>20261001</v>
      </c>
      <c r="I4650" s="11" t="s">
        <v>32</v>
      </c>
      <c r="J4650" s="72">
        <v>10624347</v>
      </c>
      <c r="K4650" s="99" t="str">
        <f>_xlfn.XLOOKUP(_2__ROI_Daily_Update[[#This Row],[CSM id]],SHP!F:F,SHP!EE:EE,"-")</f>
        <v>-</v>
      </c>
    </row>
    <row r="4651" spans="1:11" x14ac:dyDescent="0.45">
      <c r="A4651" s="57">
        <v>1815</v>
      </c>
      <c r="B4651" t="s">
        <v>3492</v>
      </c>
      <c r="C4651" t="s">
        <v>3493</v>
      </c>
      <c r="D4651" s="12">
        <v>46357</v>
      </c>
      <c r="E4651" s="11">
        <v>108</v>
      </c>
      <c r="F4651" s="11" t="s">
        <v>0</v>
      </c>
      <c r="G4651">
        <v>20211001</v>
      </c>
      <c r="I4651" s="11" t="s">
        <v>32</v>
      </c>
      <c r="J4651" s="72">
        <v>80455082</v>
      </c>
      <c r="K4651" s="99" t="str">
        <f>_xlfn.XLOOKUP(_2__ROI_Daily_Update[[#This Row],[CSM id]],SHP!F:F,SHP!EE:EE,"-")</f>
        <v>-</v>
      </c>
    </row>
    <row r="4652" spans="1:11" x14ac:dyDescent="0.45">
      <c r="A4652" s="57">
        <v>1422</v>
      </c>
      <c r="B4652" t="s">
        <v>2235</v>
      </c>
      <c r="C4652" t="s">
        <v>2236</v>
      </c>
      <c r="D4652" s="12">
        <v>46358</v>
      </c>
      <c r="E4652" s="11">
        <v>216</v>
      </c>
      <c r="F4652" s="11" t="s">
        <v>0</v>
      </c>
      <c r="G4652">
        <v>20261001</v>
      </c>
      <c r="I4652" s="11" t="s">
        <v>63</v>
      </c>
      <c r="J4652" s="72">
        <v>40633760</v>
      </c>
      <c r="K4652" s="99" t="str">
        <f>_xlfn.XLOOKUP(_2__ROI_Daily_Update[[#This Row],[CSM id]],SHP!F:F,SHP!EE:EE,"-")</f>
        <v>-</v>
      </c>
    </row>
    <row r="4653" spans="1:11" x14ac:dyDescent="0.45">
      <c r="A4653" s="57">
        <v>1511</v>
      </c>
      <c r="B4653" t="s">
        <v>2636</v>
      </c>
      <c r="C4653" t="s">
        <v>2637</v>
      </c>
      <c r="D4653" s="12">
        <v>46358</v>
      </c>
      <c r="E4653" s="11">
        <v>48</v>
      </c>
      <c r="F4653" s="11" t="s">
        <v>0</v>
      </c>
      <c r="G4653">
        <v>20260401</v>
      </c>
      <c r="H4653" s="12">
        <v>46478</v>
      </c>
      <c r="I4653" s="11" t="s">
        <v>63</v>
      </c>
      <c r="J4653" s="72">
        <v>90614293</v>
      </c>
      <c r="K4653" s="99" t="str">
        <f>_xlfn.XLOOKUP(_2__ROI_Daily_Update[[#This Row],[CSM id]],SHP!F:F,SHP!EE:EE,"-")</f>
        <v>-</v>
      </c>
    </row>
    <row r="4654" spans="1:11" x14ac:dyDescent="0.45">
      <c r="A4654" s="57">
        <v>1511</v>
      </c>
      <c r="B4654" t="s">
        <v>2634</v>
      </c>
      <c r="C4654" t="s">
        <v>2635</v>
      </c>
      <c r="D4654" s="12">
        <v>46358</v>
      </c>
      <c r="E4654" s="11">
        <v>51</v>
      </c>
      <c r="F4654" s="11" t="s">
        <v>0</v>
      </c>
      <c r="G4654">
        <v>20260701</v>
      </c>
      <c r="I4654" s="11" t="s">
        <v>63</v>
      </c>
      <c r="J4654" s="72">
        <v>90609791</v>
      </c>
      <c r="K4654" s="99" t="str">
        <f>_xlfn.XLOOKUP(_2__ROI_Daily_Update[[#This Row],[CSM id]],SHP!F:F,SHP!EE:EE,"-")</f>
        <v>-</v>
      </c>
    </row>
    <row r="4655" spans="1:11" x14ac:dyDescent="0.45">
      <c r="A4655" s="57">
        <v>1511</v>
      </c>
      <c r="B4655" t="s">
        <v>2630</v>
      </c>
      <c r="C4655" t="s">
        <v>2631</v>
      </c>
      <c r="D4655" s="12">
        <v>46358</v>
      </c>
      <c r="E4655" s="11">
        <v>51</v>
      </c>
      <c r="F4655" s="11" t="s">
        <v>0</v>
      </c>
      <c r="G4655">
        <v>20150401</v>
      </c>
      <c r="H4655" s="12">
        <v>46478</v>
      </c>
      <c r="I4655" s="11" t="s">
        <v>63</v>
      </c>
      <c r="J4655" s="72">
        <v>90258948</v>
      </c>
      <c r="K4655" s="99" t="str">
        <f>_xlfn.XLOOKUP(_2__ROI_Daily_Update[[#This Row],[CSM id]],SHP!F:F,SHP!EE:EE,"-")</f>
        <v>-</v>
      </c>
    </row>
    <row r="4656" spans="1:11" x14ac:dyDescent="0.45">
      <c r="A4656" s="57">
        <v>1423</v>
      </c>
      <c r="B4656" t="s">
        <v>6534</v>
      </c>
      <c r="C4656" t="s">
        <v>6535</v>
      </c>
      <c r="D4656" s="12">
        <v>46358</v>
      </c>
      <c r="E4656" s="11">
        <v>32</v>
      </c>
      <c r="F4656" s="11" t="s">
        <v>0</v>
      </c>
      <c r="G4656">
        <v>20150401</v>
      </c>
      <c r="I4656" s="11" t="s">
        <v>63</v>
      </c>
      <c r="J4656" s="72">
        <v>30289245</v>
      </c>
      <c r="K4656" s="99" t="str">
        <f>_xlfn.XLOOKUP(_2__ROI_Daily_Update[[#This Row],[CSM id]],SHP!F:F,SHP!EE:EE,"-")</f>
        <v>-</v>
      </c>
    </row>
    <row r="4657" spans="1:11" x14ac:dyDescent="0.45">
      <c r="A4657" s="57">
        <v>1511</v>
      </c>
      <c r="B4657" t="s">
        <v>2626</v>
      </c>
      <c r="C4657" t="s">
        <v>2627</v>
      </c>
      <c r="D4657" s="12">
        <v>46358</v>
      </c>
      <c r="E4657" s="11">
        <v>96</v>
      </c>
      <c r="F4657" s="11" t="s">
        <v>0</v>
      </c>
      <c r="G4657">
        <v>20260701</v>
      </c>
      <c r="I4657" s="11" t="s">
        <v>63</v>
      </c>
      <c r="J4657" s="72">
        <v>80609782</v>
      </c>
      <c r="K4657" s="99" t="str">
        <f>_xlfn.XLOOKUP(_2__ROI_Daily_Update[[#This Row],[CSM id]],SHP!F:F,SHP!EE:EE,"-")</f>
        <v>-</v>
      </c>
    </row>
    <row r="4658" spans="1:11" x14ac:dyDescent="0.45">
      <c r="A4658" s="57">
        <v>1511</v>
      </c>
      <c r="B4658" t="s">
        <v>6076</v>
      </c>
      <c r="C4658" t="s">
        <v>6077</v>
      </c>
      <c r="D4658" s="12">
        <v>46358</v>
      </c>
      <c r="E4658" s="11">
        <v>180</v>
      </c>
      <c r="F4658" s="11" t="s">
        <v>0</v>
      </c>
      <c r="G4658">
        <v>20251001</v>
      </c>
      <c r="I4658" s="11" t="s">
        <v>63</v>
      </c>
      <c r="J4658" s="72">
        <v>80607405</v>
      </c>
      <c r="K4658" s="99" t="str">
        <f>_xlfn.XLOOKUP(_2__ROI_Daily_Update[[#This Row],[CSM id]],SHP!F:F,SHP!EE:EE,"-")</f>
        <v>-</v>
      </c>
    </row>
    <row r="4659" spans="1:11" x14ac:dyDescent="0.45">
      <c r="A4659" s="57">
        <v>1421</v>
      </c>
      <c r="B4659" t="s">
        <v>6908</v>
      </c>
      <c r="C4659" t="s">
        <v>6909</v>
      </c>
      <c r="D4659" s="12">
        <v>46358</v>
      </c>
      <c r="E4659" s="11">
        <v>336</v>
      </c>
      <c r="F4659" s="11" t="s">
        <v>0</v>
      </c>
      <c r="G4659">
        <v>20261001</v>
      </c>
      <c r="I4659" s="11" t="s">
        <v>63</v>
      </c>
      <c r="J4659" s="72">
        <v>20615521</v>
      </c>
      <c r="K4659" s="99" t="str">
        <f>_xlfn.XLOOKUP(_2__ROI_Daily_Update[[#This Row],[CSM id]],SHP!F:F,SHP!EE:EE,"-")</f>
        <v>-</v>
      </c>
    </row>
    <row r="4660" spans="1:11" x14ac:dyDescent="0.45">
      <c r="A4660" s="57">
        <v>1511</v>
      </c>
      <c r="B4660" t="s">
        <v>6914</v>
      </c>
      <c r="C4660" t="s">
        <v>6915</v>
      </c>
      <c r="D4660" s="12">
        <v>46358</v>
      </c>
      <c r="E4660" s="11">
        <v>192</v>
      </c>
      <c r="F4660" s="11" t="s">
        <v>0</v>
      </c>
      <c r="G4660">
        <v>20260701</v>
      </c>
      <c r="I4660" s="11" t="s">
        <v>63</v>
      </c>
      <c r="J4660" s="72">
        <v>60609801</v>
      </c>
      <c r="K4660" s="99" t="str">
        <f>_xlfn.XLOOKUP(_2__ROI_Daily_Update[[#This Row],[CSM id]],SHP!F:F,SHP!EE:EE,"-")</f>
        <v>-</v>
      </c>
    </row>
    <row r="4661" spans="1:11" x14ac:dyDescent="0.45">
      <c r="A4661" s="57">
        <v>1511</v>
      </c>
      <c r="B4661" t="s">
        <v>2624</v>
      </c>
      <c r="C4661" t="s">
        <v>2625</v>
      </c>
      <c r="D4661" s="12">
        <v>46358</v>
      </c>
      <c r="E4661" s="11">
        <v>105</v>
      </c>
      <c r="F4661" s="11" t="s">
        <v>0</v>
      </c>
      <c r="G4661">
        <v>20250701</v>
      </c>
      <c r="I4661" s="11" t="s">
        <v>63</v>
      </c>
      <c r="J4661" s="72">
        <v>80600753</v>
      </c>
      <c r="K4661" s="99" t="str">
        <f>_xlfn.XLOOKUP(_2__ROI_Daily_Update[[#This Row],[CSM id]],SHP!F:F,SHP!EE:EE,"-")</f>
        <v>-</v>
      </c>
    </row>
    <row r="4662" spans="1:11" x14ac:dyDescent="0.45">
      <c r="A4662" s="57">
        <v>1511</v>
      </c>
      <c r="B4662" t="s">
        <v>2588</v>
      </c>
      <c r="C4662" t="s">
        <v>2589</v>
      </c>
      <c r="D4662" s="12">
        <v>46358</v>
      </c>
      <c r="E4662" s="11">
        <v>168</v>
      </c>
      <c r="F4662" s="11" t="s">
        <v>0</v>
      </c>
      <c r="G4662">
        <v>20251001</v>
      </c>
      <c r="I4662" s="11" t="s">
        <v>63</v>
      </c>
      <c r="J4662" s="72">
        <v>60608948</v>
      </c>
      <c r="K4662" s="99" t="str">
        <f>_xlfn.XLOOKUP(_2__ROI_Daily_Update[[#This Row],[CSM id]],SHP!F:F,SHP!EE:EE,"-")</f>
        <v>-</v>
      </c>
    </row>
    <row r="4663" spans="1:11" x14ac:dyDescent="0.45">
      <c r="A4663" s="57">
        <v>1422</v>
      </c>
      <c r="B4663" t="s">
        <v>2231</v>
      </c>
      <c r="C4663" t="s">
        <v>2232</v>
      </c>
      <c r="D4663" s="12">
        <v>46358</v>
      </c>
      <c r="E4663" s="11">
        <v>100</v>
      </c>
      <c r="F4663" s="11" t="s">
        <v>0</v>
      </c>
      <c r="G4663">
        <v>20240101</v>
      </c>
      <c r="I4663" s="11" t="s">
        <v>63</v>
      </c>
      <c r="J4663" s="72">
        <v>40563432</v>
      </c>
      <c r="K4663" s="99" t="str">
        <f>_xlfn.XLOOKUP(_2__ROI_Daily_Update[[#This Row],[CSM id]],SHP!F:F,SHP!EE:EE,"-")</f>
        <v>-</v>
      </c>
    </row>
    <row r="4664" spans="1:11" x14ac:dyDescent="0.45">
      <c r="A4664" s="57">
        <v>1511</v>
      </c>
      <c r="B4664" t="s">
        <v>2614</v>
      </c>
      <c r="C4664" t="s">
        <v>2615</v>
      </c>
      <c r="D4664" s="12">
        <v>46358</v>
      </c>
      <c r="E4664" s="11">
        <v>198</v>
      </c>
      <c r="F4664" s="11" t="s">
        <v>0</v>
      </c>
      <c r="G4664">
        <v>20260701</v>
      </c>
      <c r="I4664" s="11" t="s">
        <v>63</v>
      </c>
      <c r="J4664" s="72">
        <v>70609810</v>
      </c>
      <c r="K4664" s="99" t="str">
        <f>_xlfn.XLOOKUP(_2__ROI_Daily_Update[[#This Row],[CSM id]],SHP!F:F,SHP!EE:EE,"-")</f>
        <v>-</v>
      </c>
    </row>
    <row r="4665" spans="1:11" x14ac:dyDescent="0.45">
      <c r="A4665" s="57">
        <v>1511</v>
      </c>
      <c r="B4665" t="s">
        <v>2592</v>
      </c>
      <c r="C4665" t="s">
        <v>2593</v>
      </c>
      <c r="D4665" s="12">
        <v>46358</v>
      </c>
      <c r="E4665" s="11">
        <v>60</v>
      </c>
      <c r="F4665" s="11" t="s">
        <v>0</v>
      </c>
      <c r="G4665">
        <v>20260701</v>
      </c>
      <c r="I4665" s="11" t="s">
        <v>63</v>
      </c>
      <c r="J4665" s="72">
        <v>60609797</v>
      </c>
      <c r="K4665" s="99" t="str">
        <f>_xlfn.XLOOKUP(_2__ROI_Daily_Update[[#This Row],[CSM id]],SHP!F:F,SHP!EE:EE,"-")</f>
        <v>-</v>
      </c>
    </row>
    <row r="4666" spans="1:11" x14ac:dyDescent="0.45">
      <c r="A4666" s="57">
        <v>1423</v>
      </c>
      <c r="B4666" t="s">
        <v>2280</v>
      </c>
      <c r="C4666" t="s">
        <v>2281</v>
      </c>
      <c r="D4666" s="12">
        <v>46358</v>
      </c>
      <c r="E4666" s="11">
        <v>44</v>
      </c>
      <c r="F4666" s="11" t="s">
        <v>0</v>
      </c>
      <c r="G4666">
        <v>20190801</v>
      </c>
      <c r="I4666" s="11" t="s">
        <v>63</v>
      </c>
      <c r="J4666" s="72">
        <v>30454966</v>
      </c>
      <c r="K4666" s="99" t="str">
        <f>_xlfn.XLOOKUP(_2__ROI_Daily_Update[[#This Row],[CSM id]],SHP!F:F,SHP!EE:EE,"-")</f>
        <v>-</v>
      </c>
    </row>
    <row r="4667" spans="1:11" x14ac:dyDescent="0.45">
      <c r="A4667" s="57">
        <v>1815</v>
      </c>
      <c r="B4667" t="s">
        <v>3486</v>
      </c>
      <c r="C4667" t="s">
        <v>3487</v>
      </c>
      <c r="D4667" s="12">
        <v>46358</v>
      </c>
      <c r="E4667" s="11">
        <v>76</v>
      </c>
      <c r="F4667" s="11" t="s">
        <v>0</v>
      </c>
      <c r="G4667">
        <v>20140801</v>
      </c>
      <c r="I4667" s="11" t="s">
        <v>32</v>
      </c>
      <c r="J4667" s="72">
        <v>70180941</v>
      </c>
      <c r="K4667" s="99" t="str">
        <f>_xlfn.XLOOKUP(_2__ROI_Daily_Update[[#This Row],[CSM id]],SHP!F:F,SHP!EE:EE,"-")</f>
        <v>-</v>
      </c>
    </row>
    <row r="4668" spans="1:11" x14ac:dyDescent="0.45">
      <c r="A4668" s="57">
        <v>1511</v>
      </c>
      <c r="B4668" t="s">
        <v>2612</v>
      </c>
      <c r="C4668" t="s">
        <v>2613</v>
      </c>
      <c r="D4668" s="12">
        <v>46358</v>
      </c>
      <c r="E4668" s="11">
        <v>68</v>
      </c>
      <c r="F4668" s="11" t="s">
        <v>0</v>
      </c>
      <c r="G4668">
        <v>20251001</v>
      </c>
      <c r="I4668" s="11" t="s">
        <v>63</v>
      </c>
      <c r="J4668" s="72">
        <v>70608943</v>
      </c>
      <c r="K4668" s="99" t="str">
        <f>_xlfn.XLOOKUP(_2__ROI_Daily_Update[[#This Row],[CSM id]],SHP!F:F,SHP!EE:EE,"-")</f>
        <v>-</v>
      </c>
    </row>
    <row r="4669" spans="1:11" x14ac:dyDescent="0.45">
      <c r="A4669" s="57">
        <v>1521</v>
      </c>
      <c r="B4669" t="s">
        <v>2678</v>
      </c>
      <c r="C4669" t="s">
        <v>2679</v>
      </c>
      <c r="D4669" s="12">
        <v>46358</v>
      </c>
      <c r="E4669" s="11">
        <v>144</v>
      </c>
      <c r="F4669" s="11" t="s">
        <v>0</v>
      </c>
      <c r="G4669">
        <v>20260101</v>
      </c>
      <c r="I4669" s="11" t="s">
        <v>63</v>
      </c>
      <c r="J4669" s="72">
        <v>30619929</v>
      </c>
      <c r="K4669" s="99" t="str">
        <f>_xlfn.XLOOKUP(_2__ROI_Daily_Update[[#This Row],[CSM id]],SHP!F:F,SHP!EE:EE,"-")</f>
        <v>-</v>
      </c>
    </row>
    <row r="4670" spans="1:11" x14ac:dyDescent="0.45">
      <c r="A4670" s="57">
        <v>1512</v>
      </c>
      <c r="B4670" t="s">
        <v>2658</v>
      </c>
      <c r="C4670" t="s">
        <v>2659</v>
      </c>
      <c r="D4670" s="12">
        <v>46358</v>
      </c>
      <c r="E4670" s="11">
        <v>64</v>
      </c>
      <c r="F4670" s="11" t="s">
        <v>0</v>
      </c>
      <c r="G4670">
        <v>20251001</v>
      </c>
      <c r="I4670" s="11" t="s">
        <v>63</v>
      </c>
      <c r="J4670" s="72">
        <v>60603045</v>
      </c>
      <c r="K4670" s="99" t="str">
        <f>_xlfn.XLOOKUP(_2__ROI_Daily_Update[[#This Row],[CSM id]],SHP!F:F,SHP!EE:EE,"-")</f>
        <v>-</v>
      </c>
    </row>
    <row r="4671" spans="1:11" x14ac:dyDescent="0.45">
      <c r="A4671" s="57">
        <v>1815</v>
      </c>
      <c r="B4671" t="s">
        <v>3456</v>
      </c>
      <c r="C4671" t="s">
        <v>3457</v>
      </c>
      <c r="D4671" s="12">
        <v>46358</v>
      </c>
      <c r="E4671" s="11">
        <v>24</v>
      </c>
      <c r="F4671" s="11" t="s">
        <v>0</v>
      </c>
      <c r="G4671">
        <v>20140801</v>
      </c>
      <c r="I4671" s="11" t="s">
        <v>32</v>
      </c>
      <c r="J4671" s="72">
        <v>10180944</v>
      </c>
      <c r="K4671" s="99" t="str">
        <f>_xlfn.XLOOKUP(_2__ROI_Daily_Update[[#This Row],[CSM id]],SHP!F:F,SHP!EE:EE,"-")</f>
        <v>-</v>
      </c>
    </row>
    <row r="4672" spans="1:11" x14ac:dyDescent="0.45">
      <c r="A4672" s="57">
        <v>1424</v>
      </c>
      <c r="B4672" t="s">
        <v>2306</v>
      </c>
      <c r="C4672" t="s">
        <v>2307</v>
      </c>
      <c r="D4672" s="12">
        <v>46358</v>
      </c>
      <c r="E4672" s="11">
        <v>20</v>
      </c>
      <c r="F4672" s="11" t="s">
        <v>0</v>
      </c>
      <c r="G4672">
        <v>20210201</v>
      </c>
      <c r="I4672" s="11" t="s">
        <v>63</v>
      </c>
      <c r="J4672" s="72">
        <v>20503364</v>
      </c>
      <c r="K4672" s="99" t="str">
        <f>_xlfn.XLOOKUP(_2__ROI_Daily_Update[[#This Row],[CSM id]],SHP!F:F,SHP!EE:EE,"-")</f>
        <v>-</v>
      </c>
    </row>
    <row r="4673" spans="1:11" x14ac:dyDescent="0.45">
      <c r="A4673" s="57">
        <v>1551</v>
      </c>
      <c r="B4673" t="s">
        <v>7362</v>
      </c>
      <c r="C4673" t="s">
        <v>7363</v>
      </c>
      <c r="D4673" s="12">
        <v>46358</v>
      </c>
      <c r="E4673" s="11">
        <v>1296</v>
      </c>
      <c r="F4673" s="11" t="s">
        <v>0</v>
      </c>
      <c r="G4673">
        <v>20270101</v>
      </c>
      <c r="I4673" s="11" t="s">
        <v>63</v>
      </c>
      <c r="J4673" s="72">
        <v>20643661</v>
      </c>
      <c r="K4673" s="99" t="str">
        <f>_xlfn.XLOOKUP(_2__ROI_Daily_Update[[#This Row],[CSM id]],SHP!F:F,SHP!EE:EE,"-")</f>
        <v>-</v>
      </c>
    </row>
    <row r="4674" spans="1:11" x14ac:dyDescent="0.45">
      <c r="A4674" s="57">
        <v>1551</v>
      </c>
      <c r="B4674" t="s">
        <v>7368</v>
      </c>
      <c r="C4674" t="s">
        <v>7369</v>
      </c>
      <c r="D4674" s="12">
        <v>46358</v>
      </c>
      <c r="E4674" s="11">
        <v>270</v>
      </c>
      <c r="F4674" s="11" t="s">
        <v>0</v>
      </c>
      <c r="G4674">
        <v>20270101</v>
      </c>
      <c r="I4674" s="11" t="s">
        <v>63</v>
      </c>
      <c r="J4674" s="72">
        <v>10642817</v>
      </c>
      <c r="K4674" s="99" t="str">
        <f>_xlfn.XLOOKUP(_2__ROI_Daily_Update[[#This Row],[CSM id]],SHP!F:F,SHP!EE:EE,"-")</f>
        <v>-</v>
      </c>
    </row>
    <row r="4675" spans="1:11" x14ac:dyDescent="0.45">
      <c r="A4675" s="57">
        <v>1541</v>
      </c>
      <c r="B4675" t="s">
        <v>6906</v>
      </c>
      <c r="C4675" t="s">
        <v>6907</v>
      </c>
      <c r="D4675" s="12">
        <v>46358</v>
      </c>
      <c r="E4675" s="11">
        <v>420</v>
      </c>
      <c r="F4675" s="11" t="s">
        <v>0</v>
      </c>
      <c r="G4675">
        <v>20251001</v>
      </c>
      <c r="I4675" s="11" t="s">
        <v>63</v>
      </c>
      <c r="J4675" s="72">
        <v>30607709</v>
      </c>
      <c r="K4675" s="99" t="str">
        <f>_xlfn.XLOOKUP(_2__ROI_Daily_Update[[#This Row],[CSM id]],SHP!F:F,SHP!EE:EE,"-")</f>
        <v>-</v>
      </c>
    </row>
    <row r="4676" spans="1:11" x14ac:dyDescent="0.45">
      <c r="A4676" s="57">
        <v>1422</v>
      </c>
      <c r="B4676" t="s">
        <v>2264</v>
      </c>
      <c r="C4676" t="s">
        <v>2265</v>
      </c>
      <c r="D4676" s="12">
        <v>46358</v>
      </c>
      <c r="E4676" s="11">
        <v>32</v>
      </c>
      <c r="F4676" s="11" t="s">
        <v>0</v>
      </c>
      <c r="G4676">
        <v>20231001</v>
      </c>
      <c r="I4676" s="11" t="s">
        <v>63</v>
      </c>
      <c r="J4676" s="72">
        <v>90561713</v>
      </c>
      <c r="K4676" s="99" t="str">
        <f>_xlfn.XLOOKUP(_2__ROI_Daily_Update[[#This Row],[CSM id]],SHP!F:F,SHP!EE:EE,"-")</f>
        <v>-</v>
      </c>
    </row>
    <row r="4677" spans="1:11" x14ac:dyDescent="0.45">
      <c r="A4677" s="57">
        <v>1531</v>
      </c>
      <c r="B4677" t="s">
        <v>2748</v>
      </c>
      <c r="C4677" t="s">
        <v>2749</v>
      </c>
      <c r="D4677" s="12">
        <v>46358</v>
      </c>
      <c r="E4677" s="11">
        <v>364</v>
      </c>
      <c r="F4677" s="11" t="s">
        <v>0</v>
      </c>
      <c r="G4677">
        <v>20170801</v>
      </c>
      <c r="I4677" s="11" t="s">
        <v>63</v>
      </c>
      <c r="J4677" s="72">
        <v>70342972</v>
      </c>
      <c r="K4677" s="99" t="str">
        <f>_xlfn.XLOOKUP(_2__ROI_Daily_Update[[#This Row],[CSM id]],SHP!F:F,SHP!EE:EE,"-")</f>
        <v>-</v>
      </c>
    </row>
    <row r="4678" spans="1:11" x14ac:dyDescent="0.45">
      <c r="A4678" s="57">
        <v>1531</v>
      </c>
      <c r="B4678" t="s">
        <v>2742</v>
      </c>
      <c r="C4678" t="s">
        <v>2743</v>
      </c>
      <c r="D4678" s="12">
        <v>46358</v>
      </c>
      <c r="E4678" s="11">
        <v>1440</v>
      </c>
      <c r="F4678" s="11" t="s">
        <v>0</v>
      </c>
      <c r="G4678">
        <v>20240401</v>
      </c>
      <c r="I4678" s="11" t="s">
        <v>63</v>
      </c>
      <c r="J4678" s="72">
        <v>50573322</v>
      </c>
      <c r="K4678" s="99" t="str">
        <f>_xlfn.XLOOKUP(_2__ROI_Daily_Update[[#This Row],[CSM id]],SHP!F:F,SHP!EE:EE,"-")</f>
        <v>-</v>
      </c>
    </row>
    <row r="4679" spans="1:11" x14ac:dyDescent="0.45">
      <c r="A4679" s="57">
        <v>1531</v>
      </c>
      <c r="B4679" t="s">
        <v>7238</v>
      </c>
      <c r="C4679" t="s">
        <v>7239</v>
      </c>
      <c r="D4679" s="12">
        <v>46358</v>
      </c>
      <c r="E4679" s="11">
        <v>720</v>
      </c>
      <c r="F4679" s="11" t="s">
        <v>0</v>
      </c>
      <c r="G4679">
        <v>20210201</v>
      </c>
      <c r="I4679" s="11" t="s">
        <v>63</v>
      </c>
      <c r="J4679" s="72">
        <v>50429438</v>
      </c>
      <c r="K4679" s="99" t="str">
        <f>_xlfn.XLOOKUP(_2__ROI_Daily_Update[[#This Row],[CSM id]],SHP!F:F,SHP!EE:EE,"-")</f>
        <v>-</v>
      </c>
    </row>
    <row r="4680" spans="1:11" x14ac:dyDescent="0.45">
      <c r="A4680" s="57">
        <v>1531</v>
      </c>
      <c r="B4680" t="s">
        <v>2738</v>
      </c>
      <c r="C4680" t="s">
        <v>2739</v>
      </c>
      <c r="D4680" s="12">
        <v>46358</v>
      </c>
      <c r="E4680" s="11">
        <v>42</v>
      </c>
      <c r="F4680" s="11" t="s">
        <v>0</v>
      </c>
      <c r="G4680">
        <v>20190801</v>
      </c>
      <c r="I4680" s="11" t="s">
        <v>63</v>
      </c>
      <c r="J4680" s="72">
        <v>50428486</v>
      </c>
      <c r="K4680" s="99" t="str">
        <f>_xlfn.XLOOKUP(_2__ROI_Daily_Update[[#This Row],[CSM id]],SHP!F:F,SHP!EE:EE,"-")</f>
        <v>-</v>
      </c>
    </row>
    <row r="4681" spans="1:11" x14ac:dyDescent="0.45">
      <c r="A4681" s="57">
        <v>1531</v>
      </c>
      <c r="B4681" t="s">
        <v>2734</v>
      </c>
      <c r="C4681" t="s">
        <v>2735</v>
      </c>
      <c r="D4681" s="12">
        <v>46358</v>
      </c>
      <c r="E4681" s="11">
        <v>40</v>
      </c>
      <c r="F4681" s="11" t="s">
        <v>0</v>
      </c>
      <c r="G4681">
        <v>20220401</v>
      </c>
      <c r="H4681" s="12">
        <v>46478</v>
      </c>
      <c r="I4681" s="11" t="s">
        <v>63</v>
      </c>
      <c r="J4681" s="72">
        <v>40521041</v>
      </c>
      <c r="K4681" s="99" t="str">
        <f>_xlfn.XLOOKUP(_2__ROI_Daily_Update[[#This Row],[CSM id]],SHP!F:F,SHP!EE:EE,"-")</f>
        <v>-</v>
      </c>
    </row>
    <row r="4682" spans="1:11" x14ac:dyDescent="0.45">
      <c r="A4682" s="57">
        <v>1424</v>
      </c>
      <c r="B4682" t="s">
        <v>2318</v>
      </c>
      <c r="C4682" t="s">
        <v>2319</v>
      </c>
      <c r="D4682" s="12">
        <v>46358</v>
      </c>
      <c r="E4682" s="11">
        <v>480</v>
      </c>
      <c r="F4682" s="11" t="s">
        <v>0</v>
      </c>
      <c r="G4682">
        <v>20220701</v>
      </c>
      <c r="I4682" s="11" t="s">
        <v>63</v>
      </c>
      <c r="J4682" s="72">
        <v>90515165</v>
      </c>
      <c r="K4682" s="99" t="str">
        <f>_xlfn.XLOOKUP(_2__ROI_Daily_Update[[#This Row],[CSM id]],SHP!F:F,SHP!EE:EE,"-")</f>
        <v>-</v>
      </c>
    </row>
    <row r="4683" spans="1:11" x14ac:dyDescent="0.45">
      <c r="A4683" s="57">
        <v>1531</v>
      </c>
      <c r="B4683" t="s">
        <v>2724</v>
      </c>
      <c r="C4683" t="s">
        <v>2725</v>
      </c>
      <c r="D4683" s="12">
        <v>46358</v>
      </c>
      <c r="E4683" s="11">
        <v>216</v>
      </c>
      <c r="F4683" s="11" t="s">
        <v>0</v>
      </c>
      <c r="G4683">
        <v>20190801</v>
      </c>
      <c r="I4683" s="11" t="s">
        <v>63</v>
      </c>
      <c r="J4683" s="72">
        <v>428484</v>
      </c>
      <c r="K4683" s="99" t="str">
        <f>_xlfn.XLOOKUP(_2__ROI_Daily_Update[[#This Row],[CSM id]],SHP!F:F,SHP!EE:EE,"-")</f>
        <v>-</v>
      </c>
    </row>
    <row r="4684" spans="1:11" x14ac:dyDescent="0.45">
      <c r="A4684" s="57">
        <v>1815</v>
      </c>
      <c r="B4684" t="s">
        <v>3468</v>
      </c>
      <c r="C4684" t="s">
        <v>3469</v>
      </c>
      <c r="D4684" s="12">
        <v>46358</v>
      </c>
      <c r="E4684" s="11">
        <v>42</v>
      </c>
      <c r="F4684" s="11" t="s">
        <v>0</v>
      </c>
      <c r="G4684">
        <v>20211001</v>
      </c>
      <c r="I4684" s="11" t="s">
        <v>32</v>
      </c>
      <c r="J4684" s="72">
        <v>40455084</v>
      </c>
      <c r="K4684" s="99" t="str">
        <f>_xlfn.XLOOKUP(_2__ROI_Daily_Update[[#This Row],[CSM id]],SHP!F:F,SHP!EE:EE,"-")</f>
        <v>-</v>
      </c>
    </row>
    <row r="4685" spans="1:11" x14ac:dyDescent="0.45">
      <c r="A4685" s="57">
        <v>1531</v>
      </c>
      <c r="B4685" t="s">
        <v>2722</v>
      </c>
      <c r="C4685" t="s">
        <v>2723</v>
      </c>
      <c r="D4685" s="12">
        <v>46358</v>
      </c>
      <c r="E4685" s="11">
        <v>24</v>
      </c>
      <c r="F4685" s="11" t="s">
        <v>0</v>
      </c>
      <c r="G4685">
        <v>20141201</v>
      </c>
      <c r="H4685" s="12">
        <v>46661</v>
      </c>
      <c r="I4685" s="11" t="s">
        <v>63</v>
      </c>
      <c r="J4685" s="72">
        <v>237875</v>
      </c>
      <c r="K4685" s="99" t="str">
        <f>_xlfn.XLOOKUP(_2__ROI_Daily_Update[[#This Row],[CSM id]],SHP!F:F,SHP!EE:EE,"-")</f>
        <v>-</v>
      </c>
    </row>
    <row r="4686" spans="1:11" x14ac:dyDescent="0.45">
      <c r="A4686" s="57">
        <v>1413</v>
      </c>
      <c r="B4686" t="s">
        <v>2160</v>
      </c>
      <c r="C4686" t="s">
        <v>2161</v>
      </c>
      <c r="D4686" s="12">
        <v>46358</v>
      </c>
      <c r="E4686" s="11">
        <v>24</v>
      </c>
      <c r="F4686" s="11" t="s">
        <v>0</v>
      </c>
      <c r="G4686">
        <v>20260801</v>
      </c>
      <c r="I4686" s="11" t="s">
        <v>63</v>
      </c>
      <c r="J4686" s="72">
        <v>30631945</v>
      </c>
      <c r="K4686" s="99" t="str">
        <f>_xlfn.XLOOKUP(_2__ROI_Daily_Update[[#This Row],[CSM id]],SHP!F:F,SHP!EE:EE,"-")</f>
        <v>-</v>
      </c>
    </row>
    <row r="4687" spans="1:11" x14ac:dyDescent="0.45">
      <c r="A4687" s="57">
        <v>1522</v>
      </c>
      <c r="B4687" t="s">
        <v>2710</v>
      </c>
      <c r="C4687" t="s">
        <v>2711</v>
      </c>
      <c r="D4687" s="12">
        <v>46358</v>
      </c>
      <c r="E4687" s="11">
        <v>1296</v>
      </c>
      <c r="F4687" s="11" t="s">
        <v>0</v>
      </c>
      <c r="G4687">
        <v>20200601</v>
      </c>
      <c r="I4687" s="11" t="s">
        <v>63</v>
      </c>
      <c r="J4687" s="72">
        <v>30434737</v>
      </c>
      <c r="K4687" s="99" t="str">
        <f>_xlfn.XLOOKUP(_2__ROI_Daily_Update[[#This Row],[CSM id]],SHP!F:F,SHP!EE:EE,"-")</f>
        <v>-</v>
      </c>
    </row>
    <row r="4688" spans="1:11" x14ac:dyDescent="0.45">
      <c r="A4688" s="57">
        <v>1413</v>
      </c>
      <c r="B4688" t="s">
        <v>2158</v>
      </c>
      <c r="C4688" t="s">
        <v>2159</v>
      </c>
      <c r="D4688" s="12">
        <v>46358</v>
      </c>
      <c r="E4688" s="11">
        <v>135</v>
      </c>
      <c r="F4688" s="11" t="s">
        <v>0</v>
      </c>
      <c r="G4688">
        <v>20141201</v>
      </c>
      <c r="I4688" s="11" t="s">
        <v>63</v>
      </c>
      <c r="J4688" s="72">
        <v>20174645</v>
      </c>
      <c r="K4688" s="99" t="str">
        <f>_xlfn.XLOOKUP(_2__ROI_Daily_Update[[#This Row],[CSM id]],SHP!F:F,SHP!EE:EE,"-")</f>
        <v>-</v>
      </c>
    </row>
    <row r="4689" spans="1:11" x14ac:dyDescent="0.45">
      <c r="A4689" s="57">
        <v>1422</v>
      </c>
      <c r="B4689" t="s">
        <v>2254</v>
      </c>
      <c r="C4689" t="s">
        <v>2255</v>
      </c>
      <c r="D4689" s="12">
        <v>46358</v>
      </c>
      <c r="E4689" s="11">
        <v>18</v>
      </c>
      <c r="F4689" s="11" t="s">
        <v>0</v>
      </c>
      <c r="G4689">
        <v>20141201</v>
      </c>
      <c r="I4689" s="11" t="s">
        <v>63</v>
      </c>
      <c r="J4689" s="72">
        <v>80191915</v>
      </c>
      <c r="K4689" s="99" t="str">
        <f>_xlfn.XLOOKUP(_2__ROI_Daily_Update[[#This Row],[CSM id]],SHP!F:F,SHP!EE:EE,"-")</f>
        <v>-</v>
      </c>
    </row>
    <row r="4690" spans="1:11" x14ac:dyDescent="0.45">
      <c r="A4690" s="57">
        <v>1521</v>
      </c>
      <c r="B4690" t="s">
        <v>7358</v>
      </c>
      <c r="C4690" t="s">
        <v>7359</v>
      </c>
      <c r="D4690" s="12">
        <v>46358</v>
      </c>
      <c r="E4690" s="11">
        <v>672</v>
      </c>
      <c r="F4690" s="11" t="s">
        <v>0</v>
      </c>
      <c r="G4690">
        <v>20270101</v>
      </c>
      <c r="H4690" s="12">
        <v>46753</v>
      </c>
      <c r="I4690" s="11" t="s">
        <v>63</v>
      </c>
      <c r="J4690" s="72">
        <v>70641424</v>
      </c>
      <c r="K4690" s="99" t="str">
        <f>_xlfn.XLOOKUP(_2__ROI_Daily_Update[[#This Row],[CSM id]],SHP!F:F,SHP!EE:EE,"-")</f>
        <v>-</v>
      </c>
    </row>
    <row r="4691" spans="1:11" x14ac:dyDescent="0.45">
      <c r="A4691" s="57">
        <v>1521</v>
      </c>
      <c r="B4691" t="s">
        <v>2690</v>
      </c>
      <c r="C4691" t="s">
        <v>2691</v>
      </c>
      <c r="D4691" s="12">
        <v>46358</v>
      </c>
      <c r="E4691" s="11">
        <v>174</v>
      </c>
      <c r="F4691" s="11" t="s">
        <v>0</v>
      </c>
      <c r="G4691">
        <v>20231001</v>
      </c>
      <c r="I4691" s="11" t="s">
        <v>63</v>
      </c>
      <c r="J4691" s="72">
        <v>50566642</v>
      </c>
      <c r="K4691" s="99" t="str">
        <f>_xlfn.XLOOKUP(_2__ROI_Daily_Update[[#This Row],[CSM id]],SHP!F:F,SHP!EE:EE,"-")</f>
        <v>-</v>
      </c>
    </row>
    <row r="4692" spans="1:11" x14ac:dyDescent="0.45">
      <c r="A4692" s="57">
        <v>1422</v>
      </c>
      <c r="B4692" t="s">
        <v>7346</v>
      </c>
      <c r="C4692" t="s">
        <v>7347</v>
      </c>
      <c r="D4692" s="12">
        <v>46358</v>
      </c>
      <c r="E4692" s="11">
        <v>576</v>
      </c>
      <c r="F4692" s="11" t="s">
        <v>0</v>
      </c>
      <c r="G4692">
        <v>20270101</v>
      </c>
      <c r="I4692" s="11" t="s">
        <v>63</v>
      </c>
      <c r="J4692" s="72">
        <v>60634320</v>
      </c>
      <c r="K4692" s="99" t="str">
        <f>_xlfn.XLOOKUP(_2__ROI_Daily_Update[[#This Row],[CSM id]],SHP!F:F,SHP!EE:EE,"-")</f>
        <v>-</v>
      </c>
    </row>
    <row r="4693" spans="1:11" x14ac:dyDescent="0.45">
      <c r="A4693" s="57">
        <v>1422</v>
      </c>
      <c r="B4693" t="s">
        <v>2241</v>
      </c>
      <c r="C4693" t="s">
        <v>2242</v>
      </c>
      <c r="D4693" s="12">
        <v>46358</v>
      </c>
      <c r="E4693" s="11">
        <v>768</v>
      </c>
      <c r="F4693" s="11" t="s">
        <v>0</v>
      </c>
      <c r="G4693">
        <v>20141201</v>
      </c>
      <c r="I4693" s="11" t="s">
        <v>63</v>
      </c>
      <c r="J4693" s="72">
        <v>60173564</v>
      </c>
      <c r="K4693" s="99" t="str">
        <f>_xlfn.XLOOKUP(_2__ROI_Daily_Update[[#This Row],[CSM id]],SHP!F:F,SHP!EE:EE,"-")</f>
        <v>-</v>
      </c>
    </row>
    <row r="4694" spans="1:11" x14ac:dyDescent="0.45">
      <c r="A4694" s="57">
        <v>1431</v>
      </c>
      <c r="B4694" t="s">
        <v>2356</v>
      </c>
      <c r="C4694" t="s">
        <v>2357</v>
      </c>
      <c r="D4694" s="12">
        <v>46358</v>
      </c>
      <c r="E4694" s="11">
        <v>288</v>
      </c>
      <c r="F4694" s="11" t="s">
        <v>0</v>
      </c>
      <c r="G4694">
        <v>20231001</v>
      </c>
      <c r="I4694" s="11" t="s">
        <v>63</v>
      </c>
      <c r="J4694" s="72">
        <v>20553226</v>
      </c>
      <c r="K4694" s="99" t="str">
        <f>_xlfn.XLOOKUP(_2__ROI_Daily_Update[[#This Row],[CSM id]],SHP!F:F,SHP!EE:EE,"-")</f>
        <v>-</v>
      </c>
    </row>
    <row r="4695" spans="1:11" x14ac:dyDescent="0.45">
      <c r="A4695" s="57">
        <v>1521</v>
      </c>
      <c r="B4695" t="s">
        <v>7344</v>
      </c>
      <c r="C4695" t="s">
        <v>7345</v>
      </c>
      <c r="D4695" s="12">
        <v>46358</v>
      </c>
      <c r="E4695" s="11">
        <v>672</v>
      </c>
      <c r="F4695" s="11" t="s">
        <v>0</v>
      </c>
      <c r="G4695">
        <v>20270101</v>
      </c>
      <c r="H4695" s="12">
        <v>46753</v>
      </c>
      <c r="I4695" s="11" t="s">
        <v>63</v>
      </c>
      <c r="J4695" s="72">
        <v>10641422</v>
      </c>
      <c r="K4695" s="99" t="str">
        <f>_xlfn.XLOOKUP(_2__ROI_Daily_Update[[#This Row],[CSM id]],SHP!F:F,SHP!EE:EE,"-")</f>
        <v>-</v>
      </c>
    </row>
    <row r="4696" spans="1:11" x14ac:dyDescent="0.45">
      <c r="A4696" s="57">
        <v>1512</v>
      </c>
      <c r="B4696" t="s">
        <v>5654</v>
      </c>
      <c r="C4696" t="s">
        <v>5655</v>
      </c>
      <c r="D4696" s="12">
        <v>46358</v>
      </c>
      <c r="E4696" s="11">
        <v>7</v>
      </c>
      <c r="F4696" s="11" t="s">
        <v>0</v>
      </c>
      <c r="G4696">
        <v>20250401</v>
      </c>
      <c r="I4696" s="11" t="s">
        <v>63</v>
      </c>
      <c r="J4696" s="72">
        <v>90592427</v>
      </c>
      <c r="K4696" s="99" t="str">
        <f>_xlfn.XLOOKUP(_2__ROI_Daily_Update[[#This Row],[CSM id]],SHP!F:F,SHP!EE:EE,"-")</f>
        <v>-</v>
      </c>
    </row>
    <row r="4697" spans="1:11" x14ac:dyDescent="0.45">
      <c r="A4697" s="57">
        <v>1412</v>
      </c>
      <c r="B4697" t="s">
        <v>2140</v>
      </c>
      <c r="C4697" t="s">
        <v>2141</v>
      </c>
      <c r="D4697" s="12">
        <v>46358</v>
      </c>
      <c r="E4697" s="11">
        <v>144</v>
      </c>
      <c r="F4697" s="11" t="s">
        <v>0</v>
      </c>
      <c r="G4697">
        <v>20250101</v>
      </c>
      <c r="I4697" s="11" t="s">
        <v>63</v>
      </c>
      <c r="J4697" s="72">
        <v>70587177</v>
      </c>
      <c r="K4697" s="99" t="str">
        <f>_xlfn.XLOOKUP(_2__ROI_Daily_Update[[#This Row],[CSM id]],SHP!F:F,SHP!EE:EE,"-")</f>
        <v>-</v>
      </c>
    </row>
    <row r="4698" spans="1:11" x14ac:dyDescent="0.45">
      <c r="A4698" s="57">
        <v>1421</v>
      </c>
      <c r="B4698" t="s">
        <v>2204</v>
      </c>
      <c r="C4698" t="s">
        <v>2205</v>
      </c>
      <c r="D4698" s="12">
        <v>46358</v>
      </c>
      <c r="E4698" s="11">
        <v>24</v>
      </c>
      <c r="F4698" s="11" t="s">
        <v>0</v>
      </c>
      <c r="G4698">
        <v>20230701</v>
      </c>
      <c r="I4698" s="11" t="s">
        <v>63</v>
      </c>
      <c r="J4698" s="72">
        <v>60555191</v>
      </c>
      <c r="K4698" s="99" t="str">
        <f>_xlfn.XLOOKUP(_2__ROI_Daily_Update[[#This Row],[CSM id]],SHP!F:F,SHP!EE:EE,"-")</f>
        <v>-</v>
      </c>
    </row>
    <row r="4699" spans="1:11" x14ac:dyDescent="0.45">
      <c r="A4699" s="57">
        <v>1522</v>
      </c>
      <c r="B4699" t="s">
        <v>2716</v>
      </c>
      <c r="C4699" t="s">
        <v>2717</v>
      </c>
      <c r="D4699" s="12">
        <v>46358</v>
      </c>
      <c r="E4699" s="11">
        <v>48</v>
      </c>
      <c r="F4699" s="11" t="s">
        <v>0</v>
      </c>
      <c r="G4699">
        <v>20170401</v>
      </c>
      <c r="I4699" s="11" t="s">
        <v>63</v>
      </c>
      <c r="J4699" s="72">
        <v>70351853</v>
      </c>
      <c r="K4699" s="99" t="str">
        <f>_xlfn.XLOOKUP(_2__ROI_Daily_Update[[#This Row],[CSM id]],SHP!F:F,SHP!EE:EE,"-")</f>
        <v>-</v>
      </c>
    </row>
    <row r="4700" spans="1:11" x14ac:dyDescent="0.45">
      <c r="A4700" s="57">
        <v>1423</v>
      </c>
      <c r="B4700" t="s">
        <v>6910</v>
      </c>
      <c r="C4700" t="s">
        <v>6911</v>
      </c>
      <c r="D4700" s="12">
        <v>46358</v>
      </c>
      <c r="E4700" s="11">
        <v>32</v>
      </c>
      <c r="F4700" s="11" t="s">
        <v>0</v>
      </c>
      <c r="G4700">
        <v>20260701</v>
      </c>
      <c r="I4700" s="11" t="s">
        <v>63</v>
      </c>
      <c r="J4700" s="72">
        <v>40631474</v>
      </c>
      <c r="K4700" s="99" t="str">
        <f>_xlfn.XLOOKUP(_2__ROI_Daily_Update[[#This Row],[CSM id]],SHP!F:F,SHP!EE:EE,"-")</f>
        <v>-</v>
      </c>
    </row>
    <row r="4701" spans="1:11" x14ac:dyDescent="0.45">
      <c r="A4701" s="57">
        <v>1552</v>
      </c>
      <c r="B4701" t="s">
        <v>7352</v>
      </c>
      <c r="C4701" t="s">
        <v>7353</v>
      </c>
      <c r="D4701" s="12">
        <v>46358</v>
      </c>
      <c r="E4701" s="11">
        <v>576</v>
      </c>
      <c r="F4701" s="11" t="s">
        <v>0</v>
      </c>
      <c r="G4701">
        <v>20270101</v>
      </c>
      <c r="I4701" s="11" t="s">
        <v>63</v>
      </c>
      <c r="J4701" s="72">
        <v>10643652</v>
      </c>
      <c r="K4701" s="99" t="str">
        <f>_xlfn.XLOOKUP(_2__ROI_Daily_Update[[#This Row],[CSM id]],SHP!F:F,SHP!EE:EE,"-")</f>
        <v>-</v>
      </c>
    </row>
    <row r="4702" spans="1:11" x14ac:dyDescent="0.45">
      <c r="A4702" s="57">
        <v>1511</v>
      </c>
      <c r="B4702" t="s">
        <v>7242</v>
      </c>
      <c r="C4702" t="s">
        <v>7243</v>
      </c>
      <c r="D4702" s="12">
        <v>46358</v>
      </c>
      <c r="E4702" s="11">
        <v>100</v>
      </c>
      <c r="F4702" s="11" t="s">
        <v>0</v>
      </c>
      <c r="G4702">
        <v>20270101</v>
      </c>
      <c r="H4702" s="12">
        <v>46478</v>
      </c>
      <c r="I4702" s="11" t="s">
        <v>63</v>
      </c>
      <c r="J4702" s="72">
        <v>638463</v>
      </c>
      <c r="K4702" s="99" t="str">
        <f>_xlfn.XLOOKUP(_2__ROI_Daily_Update[[#This Row],[CSM id]],SHP!F:F,SHP!EE:EE,"-")</f>
        <v>-</v>
      </c>
    </row>
    <row r="4703" spans="1:11" x14ac:dyDescent="0.45">
      <c r="A4703" s="57">
        <v>1511</v>
      </c>
      <c r="B4703" t="s">
        <v>6912</v>
      </c>
      <c r="C4703" t="s">
        <v>6913</v>
      </c>
      <c r="D4703" s="12">
        <v>46358</v>
      </c>
      <c r="E4703" s="11">
        <v>432</v>
      </c>
      <c r="F4703" s="11" t="s">
        <v>0</v>
      </c>
      <c r="G4703">
        <v>20260701</v>
      </c>
      <c r="I4703" s="11" t="s">
        <v>63</v>
      </c>
      <c r="J4703" s="72">
        <v>30609812</v>
      </c>
      <c r="K4703" s="99" t="str">
        <f>_xlfn.XLOOKUP(_2__ROI_Daily_Update[[#This Row],[CSM id]],SHP!F:F,SHP!EE:EE,"-")</f>
        <v>-</v>
      </c>
    </row>
    <row r="4704" spans="1:11" x14ac:dyDescent="0.45">
      <c r="A4704" s="57">
        <v>1431</v>
      </c>
      <c r="B4704" t="s">
        <v>2412</v>
      </c>
      <c r="C4704" t="s">
        <v>2413</v>
      </c>
      <c r="D4704" s="12">
        <v>46358</v>
      </c>
      <c r="E4704" s="11">
        <v>360</v>
      </c>
      <c r="F4704" s="11" t="s">
        <v>0</v>
      </c>
      <c r="G4704">
        <v>20250401</v>
      </c>
      <c r="I4704" s="11" t="s">
        <v>18</v>
      </c>
      <c r="J4704" s="72">
        <v>60597105</v>
      </c>
      <c r="K4704" s="99" t="str">
        <f>_xlfn.XLOOKUP(_2__ROI_Daily_Update[[#This Row],[CSM id]],SHP!F:F,SHP!EE:EE,"-")</f>
        <v>-</v>
      </c>
    </row>
    <row r="4705" spans="1:11" x14ac:dyDescent="0.45">
      <c r="A4705" s="57">
        <v>1431</v>
      </c>
      <c r="B4705" t="s">
        <v>2424</v>
      </c>
      <c r="C4705" t="s">
        <v>2425</v>
      </c>
      <c r="D4705" s="12">
        <v>46358</v>
      </c>
      <c r="E4705" s="11">
        <v>1632</v>
      </c>
      <c r="F4705" s="11" t="s">
        <v>0</v>
      </c>
      <c r="G4705">
        <v>20230401</v>
      </c>
      <c r="I4705" s="11" t="s">
        <v>63</v>
      </c>
      <c r="J4705" s="72">
        <v>70525655</v>
      </c>
      <c r="K4705" s="99" t="str">
        <f>_xlfn.XLOOKUP(_2__ROI_Daily_Update[[#This Row],[CSM id]],SHP!F:F,SHP!EE:EE,"-")</f>
        <v>-</v>
      </c>
    </row>
    <row r="4706" spans="1:11" x14ac:dyDescent="0.45">
      <c r="A4706" s="57">
        <v>1431</v>
      </c>
      <c r="B4706" t="s">
        <v>2426</v>
      </c>
      <c r="C4706" t="s">
        <v>2427</v>
      </c>
      <c r="D4706" s="12">
        <v>46358</v>
      </c>
      <c r="E4706" s="11">
        <v>144</v>
      </c>
      <c r="F4706" s="11" t="s">
        <v>0</v>
      </c>
      <c r="G4706">
        <v>20250401</v>
      </c>
      <c r="I4706" s="11" t="s">
        <v>18</v>
      </c>
      <c r="J4706" s="72">
        <v>70597100</v>
      </c>
      <c r="K4706" s="99" t="str">
        <f>_xlfn.XLOOKUP(_2__ROI_Daily_Update[[#This Row],[CSM id]],SHP!F:F,SHP!EE:EE,"-")</f>
        <v>-</v>
      </c>
    </row>
    <row r="4707" spans="1:11" x14ac:dyDescent="0.45">
      <c r="A4707" s="57">
        <v>1511</v>
      </c>
      <c r="B4707" t="s">
        <v>7338</v>
      </c>
      <c r="C4707" t="s">
        <v>7339</v>
      </c>
      <c r="D4707" s="12">
        <v>46358</v>
      </c>
      <c r="E4707" s="11">
        <v>544</v>
      </c>
      <c r="F4707" s="11" t="s">
        <v>0</v>
      </c>
      <c r="G4707">
        <v>20270101</v>
      </c>
      <c r="I4707" s="11" t="s">
        <v>63</v>
      </c>
      <c r="J4707" s="72">
        <v>40637763</v>
      </c>
      <c r="K4707" s="99" t="str">
        <f>_xlfn.XLOOKUP(_2__ROI_Daily_Update[[#This Row],[CSM id]],SHP!F:F,SHP!EE:EE,"-")</f>
        <v>-</v>
      </c>
    </row>
    <row r="4708" spans="1:11" x14ac:dyDescent="0.45">
      <c r="A4708" s="57">
        <v>1431</v>
      </c>
      <c r="B4708" t="s">
        <v>5789</v>
      </c>
      <c r="C4708" t="s">
        <v>5790</v>
      </c>
      <c r="D4708" s="12">
        <v>46358</v>
      </c>
      <c r="E4708" s="11">
        <v>84</v>
      </c>
      <c r="F4708" s="11" t="s">
        <v>0</v>
      </c>
      <c r="G4708">
        <v>20230401</v>
      </c>
      <c r="I4708" s="11" t="s">
        <v>63</v>
      </c>
      <c r="J4708" s="72">
        <v>80523463</v>
      </c>
      <c r="K4708" s="99" t="str">
        <f>_xlfn.XLOOKUP(_2__ROI_Daily_Update[[#This Row],[CSM id]],SHP!F:F,SHP!EE:EE,"-")</f>
        <v>-</v>
      </c>
    </row>
    <row r="4709" spans="1:11" x14ac:dyDescent="0.45">
      <c r="A4709" s="57">
        <v>1431</v>
      </c>
      <c r="B4709" t="s">
        <v>2434</v>
      </c>
      <c r="C4709" t="s">
        <v>2435</v>
      </c>
      <c r="D4709" s="12">
        <v>46358</v>
      </c>
      <c r="E4709" s="11">
        <v>12</v>
      </c>
      <c r="F4709" s="11" t="s">
        <v>0</v>
      </c>
      <c r="G4709">
        <v>20260401</v>
      </c>
      <c r="I4709" s="11" t="s">
        <v>63</v>
      </c>
      <c r="J4709" s="72">
        <v>80623735</v>
      </c>
      <c r="K4709" s="99" t="str">
        <f>_xlfn.XLOOKUP(_2__ROI_Daily_Update[[#This Row],[CSM id]],SHP!F:F,SHP!EE:EE,"-")</f>
        <v>-</v>
      </c>
    </row>
    <row r="4710" spans="1:11" x14ac:dyDescent="0.45">
      <c r="A4710" s="57">
        <v>1431</v>
      </c>
      <c r="B4710" t="s">
        <v>7328</v>
      </c>
      <c r="C4710" t="s">
        <v>7329</v>
      </c>
      <c r="D4710" s="12">
        <v>46358</v>
      </c>
      <c r="E4710" s="11">
        <v>552</v>
      </c>
      <c r="F4710" s="11" t="s">
        <v>0</v>
      </c>
      <c r="G4710">
        <v>20270101</v>
      </c>
      <c r="I4710" s="11" t="s">
        <v>63</v>
      </c>
      <c r="J4710" s="72">
        <v>80648444</v>
      </c>
      <c r="K4710" s="99" t="str">
        <f>_xlfn.XLOOKUP(_2__ROI_Daily_Update[[#This Row],[CSM id]],SHP!F:F,SHP!EE:EE,"-")</f>
        <v>-</v>
      </c>
    </row>
    <row r="4711" spans="1:11" x14ac:dyDescent="0.45">
      <c r="A4711" s="57">
        <v>1411</v>
      </c>
      <c r="B4711" t="s">
        <v>5783</v>
      </c>
      <c r="C4711" t="s">
        <v>5784</v>
      </c>
      <c r="D4711" s="12">
        <v>46358</v>
      </c>
      <c r="E4711" s="11">
        <v>48</v>
      </c>
      <c r="F4711" s="11" t="s">
        <v>0</v>
      </c>
      <c r="G4711">
        <v>20260701</v>
      </c>
      <c r="I4711" s="11" t="s">
        <v>63</v>
      </c>
      <c r="J4711" s="72">
        <v>80625329</v>
      </c>
      <c r="K4711" s="99" t="str">
        <f>_xlfn.XLOOKUP(_2__ROI_Daily_Update[[#This Row],[CSM id]],SHP!F:F,SHP!EE:EE,"-")</f>
        <v>-</v>
      </c>
    </row>
    <row r="4712" spans="1:11" x14ac:dyDescent="0.45">
      <c r="A4712" s="57">
        <v>1431</v>
      </c>
      <c r="B4712" t="s">
        <v>2400</v>
      </c>
      <c r="C4712" t="s">
        <v>2401</v>
      </c>
      <c r="D4712" s="12">
        <v>46358</v>
      </c>
      <c r="E4712" s="11">
        <v>828</v>
      </c>
      <c r="F4712" s="11" t="s">
        <v>0</v>
      </c>
      <c r="G4712">
        <v>20210201</v>
      </c>
      <c r="I4712" s="11" t="s">
        <v>63</v>
      </c>
      <c r="J4712" s="72">
        <v>50485009</v>
      </c>
      <c r="K4712" s="99" t="str">
        <f>_xlfn.XLOOKUP(_2__ROI_Daily_Update[[#This Row],[CSM id]],SHP!F:F,SHP!EE:EE,"-")</f>
        <v>-</v>
      </c>
    </row>
    <row r="4713" spans="1:11" x14ac:dyDescent="0.45">
      <c r="A4713" s="57">
        <v>1821</v>
      </c>
      <c r="B4713" t="s">
        <v>7234</v>
      </c>
      <c r="C4713" t="s">
        <v>7235</v>
      </c>
      <c r="D4713" s="12">
        <v>46358</v>
      </c>
      <c r="E4713" s="11">
        <v>56</v>
      </c>
      <c r="F4713" s="11" t="s">
        <v>0</v>
      </c>
      <c r="G4713">
        <v>20180201</v>
      </c>
      <c r="H4713" s="12">
        <v>46478</v>
      </c>
      <c r="I4713" s="11" t="s">
        <v>63</v>
      </c>
      <c r="J4713" s="72">
        <v>40335911</v>
      </c>
      <c r="K4713" s="99" t="str">
        <f>_xlfn.XLOOKUP(_2__ROI_Daily_Update[[#This Row],[CSM id]],SHP!F:F,SHP!EE:EE,"-")</f>
        <v>-</v>
      </c>
    </row>
    <row r="4714" spans="1:11" x14ac:dyDescent="0.45">
      <c r="A4714" s="57">
        <v>1511</v>
      </c>
      <c r="B4714" t="s">
        <v>2574</v>
      </c>
      <c r="C4714" t="s">
        <v>2575</v>
      </c>
      <c r="D4714" s="12">
        <v>46358</v>
      </c>
      <c r="E4714" s="11">
        <v>1458</v>
      </c>
      <c r="F4714" s="11" t="s">
        <v>0</v>
      </c>
      <c r="G4714">
        <v>20260201</v>
      </c>
      <c r="I4714" s="11" t="s">
        <v>63</v>
      </c>
      <c r="J4714" s="72">
        <v>50613790</v>
      </c>
      <c r="K4714" s="99" t="str">
        <f>_xlfn.XLOOKUP(_2__ROI_Daily_Update[[#This Row],[CSM id]],SHP!F:F,SHP!EE:EE,"-")</f>
        <v>-</v>
      </c>
    </row>
    <row r="4715" spans="1:11" x14ac:dyDescent="0.45">
      <c r="A4715" s="57">
        <v>1815</v>
      </c>
      <c r="B4715" t="s">
        <v>3478</v>
      </c>
      <c r="C4715" t="s">
        <v>3479</v>
      </c>
      <c r="D4715" s="12">
        <v>46358</v>
      </c>
      <c r="E4715" s="11">
        <v>832</v>
      </c>
      <c r="F4715" s="11" t="s">
        <v>0</v>
      </c>
      <c r="G4715">
        <v>20211001</v>
      </c>
      <c r="I4715" s="11" t="s">
        <v>32</v>
      </c>
      <c r="J4715" s="72">
        <v>60455083</v>
      </c>
      <c r="K4715" s="99" t="str">
        <f>_xlfn.XLOOKUP(_2__ROI_Daily_Update[[#This Row],[CSM id]],SHP!F:F,SHP!EE:EE,"-")</f>
        <v>-</v>
      </c>
    </row>
    <row r="4716" spans="1:11" x14ac:dyDescent="0.45">
      <c r="A4716" s="57">
        <v>1423</v>
      </c>
      <c r="B4716" t="s">
        <v>2290</v>
      </c>
      <c r="C4716" t="s">
        <v>2291</v>
      </c>
      <c r="D4716" s="12">
        <v>46358</v>
      </c>
      <c r="E4716" s="11">
        <v>18</v>
      </c>
      <c r="F4716" s="11" t="s">
        <v>0</v>
      </c>
      <c r="G4716">
        <v>20150401</v>
      </c>
      <c r="I4716" s="11" t="s">
        <v>63</v>
      </c>
      <c r="J4716" s="72">
        <v>80283528</v>
      </c>
      <c r="K4716" s="99" t="str">
        <f>_xlfn.XLOOKUP(_2__ROI_Daily_Update[[#This Row],[CSM id]],SHP!F:F,SHP!EE:EE,"-")</f>
        <v>-</v>
      </c>
    </row>
    <row r="4717" spans="1:11" x14ac:dyDescent="0.45">
      <c r="A4717" s="57">
        <v>1511</v>
      </c>
      <c r="B4717" t="s">
        <v>7240</v>
      </c>
      <c r="C4717" t="s">
        <v>7241</v>
      </c>
      <c r="D4717" s="12">
        <v>46358</v>
      </c>
      <c r="E4717" s="11">
        <v>28</v>
      </c>
      <c r="F4717" s="11" t="s">
        <v>0</v>
      </c>
      <c r="G4717">
        <v>20260401</v>
      </c>
      <c r="I4717" s="11" t="s">
        <v>63</v>
      </c>
      <c r="J4717" s="72">
        <v>50622643</v>
      </c>
      <c r="K4717" s="99" t="str">
        <f>_xlfn.XLOOKUP(_2__ROI_Daily_Update[[#This Row],[CSM id]],SHP!F:F,SHP!EE:EE,"-")</f>
        <v>-</v>
      </c>
    </row>
    <row r="4718" spans="1:11" x14ac:dyDescent="0.45">
      <c r="A4718" s="57">
        <v>1511</v>
      </c>
      <c r="B4718" t="s">
        <v>2536</v>
      </c>
      <c r="C4718" t="s">
        <v>2537</v>
      </c>
      <c r="D4718" s="12">
        <v>46358</v>
      </c>
      <c r="E4718" s="11">
        <v>68</v>
      </c>
      <c r="F4718" s="11" t="s">
        <v>0</v>
      </c>
      <c r="G4718">
        <v>20251001</v>
      </c>
      <c r="I4718" s="11" t="s">
        <v>63</v>
      </c>
      <c r="J4718" s="72">
        <v>20608945</v>
      </c>
      <c r="K4718" s="99" t="str">
        <f>_xlfn.XLOOKUP(_2__ROI_Daily_Update[[#This Row],[CSM id]],SHP!F:F,SHP!EE:EE,"-")</f>
        <v>-</v>
      </c>
    </row>
    <row r="4719" spans="1:11" x14ac:dyDescent="0.45">
      <c r="A4719" s="57">
        <v>1633</v>
      </c>
      <c r="B4719" t="s">
        <v>7232</v>
      </c>
      <c r="C4719" t="s">
        <v>7233</v>
      </c>
      <c r="D4719" s="12">
        <v>46358</v>
      </c>
      <c r="E4719" s="11">
        <v>120</v>
      </c>
      <c r="F4719" s="11" t="s">
        <v>0</v>
      </c>
      <c r="G4719">
        <v>20270101</v>
      </c>
      <c r="H4719" s="12">
        <v>46478</v>
      </c>
      <c r="I4719" s="11" t="s">
        <v>63</v>
      </c>
      <c r="J4719" s="72">
        <v>90637850</v>
      </c>
      <c r="K4719" s="99" t="str">
        <f>_xlfn.XLOOKUP(_2__ROI_Daily_Update[[#This Row],[CSM id]],SHP!F:F,SHP!EE:EE,"-")</f>
        <v>-</v>
      </c>
    </row>
    <row r="4720" spans="1:11" x14ac:dyDescent="0.45">
      <c r="A4720" s="57">
        <v>1422</v>
      </c>
      <c r="B4720" t="s">
        <v>2214</v>
      </c>
      <c r="C4720" t="s">
        <v>2215</v>
      </c>
      <c r="D4720" s="12">
        <v>46358</v>
      </c>
      <c r="E4720" s="11">
        <v>1080</v>
      </c>
      <c r="F4720" s="11" t="s">
        <v>0</v>
      </c>
      <c r="G4720">
        <v>20170201</v>
      </c>
      <c r="I4720" s="11" t="s">
        <v>63</v>
      </c>
      <c r="J4720" s="72">
        <v>10328554</v>
      </c>
      <c r="K4720" s="99" t="str">
        <f>_xlfn.XLOOKUP(_2__ROI_Daily_Update[[#This Row],[CSM id]],SHP!F:F,SHP!EE:EE,"-")</f>
        <v>-</v>
      </c>
    </row>
    <row r="4721" spans="1:11" x14ac:dyDescent="0.45">
      <c r="A4721" s="57">
        <v>1434</v>
      </c>
      <c r="B4721" t="s">
        <v>6756</v>
      </c>
      <c r="C4721" t="s">
        <v>6757</v>
      </c>
      <c r="D4721" s="12">
        <v>46358</v>
      </c>
      <c r="E4721" s="11">
        <v>12</v>
      </c>
      <c r="F4721" s="11" t="s">
        <v>0</v>
      </c>
      <c r="G4721">
        <v>20250701</v>
      </c>
      <c r="I4721" s="11" t="s">
        <v>63</v>
      </c>
      <c r="J4721" s="72">
        <v>10610996</v>
      </c>
      <c r="K4721" s="99" t="str">
        <f>_xlfn.XLOOKUP(_2__ROI_Daily_Update[[#This Row],[CSM id]],SHP!F:F,SHP!EE:EE,"-")</f>
        <v>-</v>
      </c>
    </row>
    <row r="4722" spans="1:11" x14ac:dyDescent="0.45">
      <c r="A4722" s="57">
        <v>1434</v>
      </c>
      <c r="B4722" t="s">
        <v>2484</v>
      </c>
      <c r="C4722" t="s">
        <v>2485</v>
      </c>
      <c r="D4722" s="12">
        <v>46358</v>
      </c>
      <c r="E4722" s="11">
        <v>60</v>
      </c>
      <c r="F4722" s="11" t="s">
        <v>0</v>
      </c>
      <c r="G4722">
        <v>20250701</v>
      </c>
      <c r="I4722" s="11" t="s">
        <v>63</v>
      </c>
      <c r="J4722" s="72">
        <v>10597527</v>
      </c>
      <c r="K4722" s="99" t="str">
        <f>_xlfn.XLOOKUP(_2__ROI_Daily_Update[[#This Row],[CSM id]],SHP!F:F,SHP!EE:EE,"-")</f>
        <v>-</v>
      </c>
    </row>
    <row r="4723" spans="1:11" x14ac:dyDescent="0.45">
      <c r="A4723" s="57">
        <v>1431</v>
      </c>
      <c r="B4723" t="s">
        <v>7370</v>
      </c>
      <c r="C4723" t="s">
        <v>7371</v>
      </c>
      <c r="D4723" s="12">
        <v>46358</v>
      </c>
      <c r="E4723" s="11">
        <v>1680</v>
      </c>
      <c r="F4723" s="11" t="s">
        <v>0</v>
      </c>
      <c r="G4723">
        <v>20250401</v>
      </c>
      <c r="I4723" s="11" t="s">
        <v>63</v>
      </c>
      <c r="J4723" s="72">
        <v>30597102</v>
      </c>
      <c r="K4723" s="99" t="str">
        <f>_xlfn.XLOOKUP(_2__ROI_Daily_Update[[#This Row],[CSM id]],SHP!F:F,SHP!EE:EE,"-")</f>
        <v>-</v>
      </c>
    </row>
    <row r="4724" spans="1:11" x14ac:dyDescent="0.45">
      <c r="A4724" s="57">
        <v>1422</v>
      </c>
      <c r="B4724" t="s">
        <v>7366</v>
      </c>
      <c r="C4724" t="s">
        <v>7367</v>
      </c>
      <c r="D4724" s="12">
        <v>46358</v>
      </c>
      <c r="E4724" s="11">
        <v>432</v>
      </c>
      <c r="F4724" s="11" t="s">
        <v>0</v>
      </c>
      <c r="G4724">
        <v>20270101</v>
      </c>
      <c r="I4724" s="11" t="s">
        <v>63</v>
      </c>
      <c r="J4724" s="72">
        <v>20634322</v>
      </c>
      <c r="K4724" s="99" t="str">
        <f>_xlfn.XLOOKUP(_2__ROI_Daily_Update[[#This Row],[CSM id]],SHP!F:F,SHP!EE:EE,"-")</f>
        <v>-</v>
      </c>
    </row>
    <row r="4725" spans="1:11" x14ac:dyDescent="0.45">
      <c r="A4725" s="57">
        <v>1422</v>
      </c>
      <c r="B4725" t="s">
        <v>2218</v>
      </c>
      <c r="C4725" t="s">
        <v>2219</v>
      </c>
      <c r="D4725" s="12">
        <v>46358</v>
      </c>
      <c r="E4725" s="11">
        <v>96</v>
      </c>
      <c r="F4725" s="11" t="s">
        <v>0</v>
      </c>
      <c r="G4725">
        <v>20240101</v>
      </c>
      <c r="I4725" s="11" t="s">
        <v>63</v>
      </c>
      <c r="J4725" s="72">
        <v>20566342</v>
      </c>
      <c r="K4725" s="99" t="str">
        <f>_xlfn.XLOOKUP(_2__ROI_Daily_Update[[#This Row],[CSM id]],SHP!F:F,SHP!EE:EE,"-")</f>
        <v>-</v>
      </c>
    </row>
    <row r="4726" spans="1:11" x14ac:dyDescent="0.45">
      <c r="A4726" s="57">
        <v>983</v>
      </c>
      <c r="B4726" t="s">
        <v>7236</v>
      </c>
      <c r="C4726" t="s">
        <v>7237</v>
      </c>
      <c r="D4726" s="12">
        <v>46358</v>
      </c>
      <c r="E4726" s="11">
        <v>70</v>
      </c>
      <c r="F4726" s="11" t="s">
        <v>0</v>
      </c>
      <c r="G4726">
        <v>20250701</v>
      </c>
      <c r="I4726" s="11" t="s">
        <v>63</v>
      </c>
      <c r="J4726" s="72">
        <v>70596817</v>
      </c>
      <c r="K4726" s="99" t="str">
        <f>_xlfn.XLOOKUP(_2__ROI_Daily_Update[[#This Row],[CSM id]],SHP!F:F,SHP!EE:EE,"-")</f>
        <v>-</v>
      </c>
    </row>
    <row r="4727" spans="1:11" x14ac:dyDescent="0.45">
      <c r="A4727" s="57">
        <v>1511</v>
      </c>
      <c r="B4727" t="s">
        <v>6078</v>
      </c>
      <c r="C4727" t="s">
        <v>6079</v>
      </c>
      <c r="D4727" s="12">
        <v>46358</v>
      </c>
      <c r="E4727" s="11">
        <v>32</v>
      </c>
      <c r="F4727" s="11" t="s">
        <v>0</v>
      </c>
      <c r="G4727">
        <v>20260201</v>
      </c>
      <c r="I4727" s="11" t="s">
        <v>63</v>
      </c>
      <c r="J4727" s="72">
        <v>10613792</v>
      </c>
      <c r="K4727" s="99" t="str">
        <f>_xlfn.XLOOKUP(_2__ROI_Daily_Update[[#This Row],[CSM id]],SHP!F:F,SHP!EE:EE,"-")</f>
        <v>-</v>
      </c>
    </row>
    <row r="4728" spans="1:11" x14ac:dyDescent="0.45">
      <c r="A4728" s="57">
        <v>1511</v>
      </c>
      <c r="B4728" t="s">
        <v>2532</v>
      </c>
      <c r="C4728" t="s">
        <v>2533</v>
      </c>
      <c r="D4728" s="12">
        <v>46358</v>
      </c>
      <c r="E4728" s="11">
        <v>32</v>
      </c>
      <c r="F4728" s="11" t="s">
        <v>0</v>
      </c>
      <c r="G4728">
        <v>20250701</v>
      </c>
      <c r="I4728" s="11" t="s">
        <v>63</v>
      </c>
      <c r="J4728" s="72">
        <v>20600421</v>
      </c>
      <c r="K4728" s="99" t="str">
        <f>_xlfn.XLOOKUP(_2__ROI_Daily_Update[[#This Row],[CSM id]],SHP!F:F,SHP!EE:EE,"-")</f>
        <v>-</v>
      </c>
    </row>
    <row r="4729" spans="1:11" x14ac:dyDescent="0.45">
      <c r="A4729" s="57">
        <v>983</v>
      </c>
      <c r="B4729" t="s">
        <v>996</v>
      </c>
      <c r="C4729" t="s">
        <v>997</v>
      </c>
      <c r="D4729" s="12">
        <v>46358</v>
      </c>
      <c r="E4729" s="11">
        <v>136</v>
      </c>
      <c r="F4729" s="11" t="s">
        <v>0</v>
      </c>
      <c r="G4729">
        <v>20250701</v>
      </c>
      <c r="I4729" s="11" t="s">
        <v>63</v>
      </c>
      <c r="J4729" s="72">
        <v>70596940</v>
      </c>
      <c r="K4729" s="99" t="str">
        <f>_xlfn.XLOOKUP(_2__ROI_Daily_Update[[#This Row],[CSM id]],SHP!F:F,SHP!EE:EE,"-")</f>
        <v>-</v>
      </c>
    </row>
    <row r="4730" spans="1:11" x14ac:dyDescent="0.45">
      <c r="A4730" s="57">
        <v>1412</v>
      </c>
      <c r="B4730" t="s">
        <v>2118</v>
      </c>
      <c r="C4730" t="s">
        <v>2119</v>
      </c>
      <c r="D4730" s="12">
        <v>46358</v>
      </c>
      <c r="E4730" s="11">
        <v>240</v>
      </c>
      <c r="F4730" s="11" t="s">
        <v>0</v>
      </c>
      <c r="G4730">
        <v>20250101</v>
      </c>
      <c r="I4730" s="11" t="s">
        <v>63</v>
      </c>
      <c r="J4730" s="72">
        <v>10587175</v>
      </c>
      <c r="K4730" s="99" t="str">
        <f>_xlfn.XLOOKUP(_2__ROI_Daily_Update[[#This Row],[CSM id]],SHP!F:F,SHP!EE:EE,"-")</f>
        <v>-</v>
      </c>
    </row>
    <row r="4731" spans="1:11" x14ac:dyDescent="0.45">
      <c r="A4731" s="57">
        <v>1633</v>
      </c>
      <c r="B4731" t="s">
        <v>5785</v>
      </c>
      <c r="C4731" t="s">
        <v>5786</v>
      </c>
      <c r="D4731" s="12">
        <v>46358</v>
      </c>
      <c r="E4731" s="11">
        <v>4</v>
      </c>
      <c r="F4731" s="11" t="s">
        <v>0</v>
      </c>
      <c r="G4731">
        <v>20250401</v>
      </c>
      <c r="I4731" s="11" t="s">
        <v>63</v>
      </c>
      <c r="J4731" s="72">
        <v>90590466</v>
      </c>
      <c r="K4731" s="99" t="str">
        <f>_xlfn.XLOOKUP(_2__ROI_Daily_Update[[#This Row],[CSM id]],SHP!F:F,SHP!EE:EE,"-")</f>
        <v>-</v>
      </c>
    </row>
    <row r="4732" spans="1:11" x14ac:dyDescent="0.45">
      <c r="A4732" s="57">
        <v>1511</v>
      </c>
      <c r="B4732" t="s">
        <v>2544</v>
      </c>
      <c r="C4732" t="s">
        <v>2545</v>
      </c>
      <c r="D4732" s="12">
        <v>46358</v>
      </c>
      <c r="E4732" s="11">
        <v>60</v>
      </c>
      <c r="F4732" s="11" t="s">
        <v>0</v>
      </c>
      <c r="G4732">
        <v>20260101</v>
      </c>
      <c r="I4732" s="11" t="s">
        <v>63</v>
      </c>
      <c r="J4732" s="72">
        <v>30600430</v>
      </c>
      <c r="K4732" s="99" t="str">
        <f>_xlfn.XLOOKUP(_2__ROI_Daily_Update[[#This Row],[CSM id]],SHP!F:F,SHP!EE:EE,"-")</f>
        <v>-</v>
      </c>
    </row>
    <row r="4733" spans="1:11" x14ac:dyDescent="0.45">
      <c r="A4733" s="57">
        <v>1431</v>
      </c>
      <c r="B4733" t="s">
        <v>2338</v>
      </c>
      <c r="C4733" t="s">
        <v>2339</v>
      </c>
      <c r="D4733" s="12">
        <v>46359</v>
      </c>
      <c r="E4733" s="11">
        <v>105</v>
      </c>
      <c r="F4733" s="11" t="s">
        <v>0</v>
      </c>
      <c r="G4733">
        <v>20160801</v>
      </c>
      <c r="I4733" s="11" t="s">
        <v>18</v>
      </c>
      <c r="J4733" s="72">
        <v>10213548</v>
      </c>
      <c r="K4733" s="99" t="str">
        <f>_xlfn.XLOOKUP(_2__ROI_Daily_Update[[#This Row],[CSM id]],SHP!F:F,SHP!EE:EE,"-")</f>
        <v>-</v>
      </c>
    </row>
    <row r="4734" spans="1:11" x14ac:dyDescent="0.45">
      <c r="A4734" s="57">
        <v>125</v>
      </c>
      <c r="B4734" t="s">
        <v>5793</v>
      </c>
      <c r="C4734" t="s">
        <v>5794</v>
      </c>
      <c r="D4734" s="12">
        <v>46359</v>
      </c>
      <c r="E4734" s="11">
        <v>52</v>
      </c>
      <c r="F4734" s="11" t="s">
        <v>0</v>
      </c>
      <c r="G4734">
        <v>20140801</v>
      </c>
      <c r="I4734" s="11" t="s">
        <v>32</v>
      </c>
      <c r="J4734" s="72">
        <v>30158659</v>
      </c>
      <c r="K4734" s="99" t="str">
        <f>_xlfn.XLOOKUP(_2__ROI_Daily_Update[[#This Row],[CSM id]],SHP!F:F,SHP!EE:EE,"-")</f>
        <v>-</v>
      </c>
    </row>
    <row r="4735" spans="1:11" x14ac:dyDescent="0.45">
      <c r="A4735" s="57">
        <v>1422</v>
      </c>
      <c r="B4735" t="s">
        <v>2262</v>
      </c>
      <c r="C4735" t="s">
        <v>2263</v>
      </c>
      <c r="D4735" s="12">
        <v>46359</v>
      </c>
      <c r="E4735" s="11">
        <v>208</v>
      </c>
      <c r="F4735" s="11" t="s">
        <v>0</v>
      </c>
      <c r="G4735">
        <v>20141201</v>
      </c>
      <c r="I4735" s="11" t="s">
        <v>18</v>
      </c>
      <c r="J4735" s="72">
        <v>90191934</v>
      </c>
      <c r="K4735" s="99" t="str">
        <f>_xlfn.XLOOKUP(_2__ROI_Daily_Update[[#This Row],[CSM id]],SHP!F:F,SHP!EE:EE,"-")</f>
        <v>-</v>
      </c>
    </row>
    <row r="4736" spans="1:11" x14ac:dyDescent="0.45">
      <c r="A4736" s="57">
        <v>1813</v>
      </c>
      <c r="B4736" t="s">
        <v>6820</v>
      </c>
      <c r="C4736" t="s">
        <v>6821</v>
      </c>
      <c r="D4736" s="12">
        <v>46359</v>
      </c>
      <c r="E4736" s="11">
        <v>324</v>
      </c>
      <c r="F4736" s="11" t="s">
        <v>0</v>
      </c>
      <c r="G4736">
        <v>20260701</v>
      </c>
      <c r="I4736" s="11" t="s">
        <v>32</v>
      </c>
      <c r="J4736" s="72">
        <v>30534384</v>
      </c>
      <c r="K4736" s="99" t="str">
        <f>_xlfn.XLOOKUP(_2__ROI_Daily_Update[[#This Row],[CSM id]],SHP!F:F,SHP!EE:EE,"-")</f>
        <v>-</v>
      </c>
    </row>
    <row r="4737" spans="1:11" x14ac:dyDescent="0.45">
      <c r="A4737" s="57">
        <v>341</v>
      </c>
      <c r="B4737" t="s">
        <v>351</v>
      </c>
      <c r="C4737" t="s">
        <v>352</v>
      </c>
      <c r="D4737" s="12">
        <v>46359</v>
      </c>
      <c r="E4737" s="11">
        <v>24</v>
      </c>
      <c r="F4737" s="11" t="s">
        <v>0</v>
      </c>
      <c r="G4737">
        <v>20210201</v>
      </c>
      <c r="I4737" s="11" t="s">
        <v>32</v>
      </c>
      <c r="J4737" s="72">
        <v>10476479</v>
      </c>
      <c r="K4737" s="99" t="str">
        <f>_xlfn.XLOOKUP(_2__ROI_Daily_Update[[#This Row],[CSM id]],SHP!F:F,SHP!EE:EE,"-")</f>
        <v>-</v>
      </c>
    </row>
    <row r="4738" spans="1:11" x14ac:dyDescent="0.45">
      <c r="A4738" s="57">
        <v>131</v>
      </c>
      <c r="B4738" t="s">
        <v>179</v>
      </c>
      <c r="C4738" t="s">
        <v>180</v>
      </c>
      <c r="D4738" s="12">
        <v>46359</v>
      </c>
      <c r="E4738" s="11">
        <v>44</v>
      </c>
      <c r="F4738" s="11" t="s">
        <v>0</v>
      </c>
      <c r="G4738">
        <v>20161001</v>
      </c>
      <c r="I4738" s="11" t="s">
        <v>32</v>
      </c>
      <c r="J4738" s="72">
        <v>50337820</v>
      </c>
      <c r="K4738" s="99" t="str">
        <f>_xlfn.XLOOKUP(_2__ROI_Daily_Update[[#This Row],[CSM id]],SHP!F:F,SHP!EE:EE,"-")</f>
        <v>-</v>
      </c>
    </row>
    <row r="4739" spans="1:11" x14ac:dyDescent="0.45">
      <c r="A4739" s="57">
        <v>1431</v>
      </c>
      <c r="B4739" t="s">
        <v>2408</v>
      </c>
      <c r="C4739" t="s">
        <v>2409</v>
      </c>
      <c r="D4739" s="12">
        <v>46360</v>
      </c>
      <c r="E4739" s="11">
        <v>2352</v>
      </c>
      <c r="F4739" s="11" t="s">
        <v>0</v>
      </c>
      <c r="G4739">
        <v>20250701</v>
      </c>
      <c r="I4739" s="11" t="s">
        <v>63</v>
      </c>
      <c r="J4739" s="72">
        <v>60340412</v>
      </c>
      <c r="K4739" s="99" t="str">
        <f>_xlfn.XLOOKUP(_2__ROI_Daily_Update[[#This Row],[CSM id]],SHP!F:F,SHP!EE:EE,"-")</f>
        <v>-</v>
      </c>
    </row>
    <row r="4740" spans="1:11" x14ac:dyDescent="0.45">
      <c r="A4740" s="57">
        <v>1434</v>
      </c>
      <c r="B4740" t="s">
        <v>7697</v>
      </c>
      <c r="C4740" t="s">
        <v>7698</v>
      </c>
      <c r="D4740" s="12">
        <v>46360</v>
      </c>
      <c r="E4740" s="11">
        <v>180</v>
      </c>
      <c r="F4740" s="11" t="s">
        <v>0</v>
      </c>
      <c r="G4740">
        <v>20250701</v>
      </c>
      <c r="I4740" s="11" t="s">
        <v>63</v>
      </c>
      <c r="J4740" s="72">
        <v>50610999</v>
      </c>
      <c r="K4740" s="99" t="str">
        <f>_xlfn.XLOOKUP(_2__ROI_Daily_Update[[#This Row],[CSM id]],SHP!F:F,SHP!EE:EE,"-")</f>
        <v>-</v>
      </c>
    </row>
    <row r="4741" spans="1:11" x14ac:dyDescent="0.45">
      <c r="A4741" s="57">
        <v>1815</v>
      </c>
      <c r="B4741" t="s">
        <v>3456</v>
      </c>
      <c r="C4741" t="s">
        <v>3457</v>
      </c>
      <c r="D4741" s="12">
        <v>46360</v>
      </c>
      <c r="E4741" s="11">
        <v>24</v>
      </c>
      <c r="F4741" s="11" t="s">
        <v>0</v>
      </c>
      <c r="G4741">
        <v>20140801</v>
      </c>
      <c r="I4741" s="11" t="s">
        <v>32</v>
      </c>
      <c r="J4741" s="72">
        <v>10180944</v>
      </c>
      <c r="K4741" s="99" t="str">
        <f>_xlfn.XLOOKUP(_2__ROI_Daily_Update[[#This Row],[CSM id]],SHP!F:F,SHP!EE:EE,"-")</f>
        <v>-</v>
      </c>
    </row>
    <row r="4742" spans="1:11" x14ac:dyDescent="0.45">
      <c r="A4742" s="57">
        <v>1431</v>
      </c>
      <c r="B4742" t="s">
        <v>7701</v>
      </c>
      <c r="C4742" t="s">
        <v>7702</v>
      </c>
      <c r="D4742" s="12">
        <v>46360</v>
      </c>
      <c r="E4742" s="11">
        <v>2160</v>
      </c>
      <c r="F4742" s="11" t="s">
        <v>0</v>
      </c>
      <c r="G4742">
        <v>20251001</v>
      </c>
      <c r="I4742" s="11" t="s">
        <v>63</v>
      </c>
      <c r="J4742" s="72">
        <v>10543394</v>
      </c>
      <c r="K4742" s="99" t="str">
        <f>_xlfn.XLOOKUP(_2__ROI_Daily_Update[[#This Row],[CSM id]],SHP!F:F,SHP!EE:EE,"-")</f>
        <v>-</v>
      </c>
    </row>
    <row r="4743" spans="1:11" x14ac:dyDescent="0.45">
      <c r="A4743" s="57">
        <v>1552</v>
      </c>
      <c r="B4743" t="s">
        <v>7356</v>
      </c>
      <c r="C4743" t="s">
        <v>7357</v>
      </c>
      <c r="D4743" s="12">
        <v>46360</v>
      </c>
      <c r="E4743" s="11">
        <v>180</v>
      </c>
      <c r="F4743" s="11" t="s">
        <v>0</v>
      </c>
      <c r="G4743">
        <v>20270101</v>
      </c>
      <c r="I4743" s="11" t="s">
        <v>63</v>
      </c>
      <c r="J4743" s="72">
        <v>90630033</v>
      </c>
      <c r="K4743" s="99" t="str">
        <f>_xlfn.XLOOKUP(_2__ROI_Daily_Update[[#This Row],[CSM id]],SHP!F:F,SHP!EE:EE,"-")</f>
        <v>-</v>
      </c>
    </row>
    <row r="4744" spans="1:11" x14ac:dyDescent="0.45">
      <c r="A4744" s="57">
        <v>1411</v>
      </c>
      <c r="B4744" t="s">
        <v>2076</v>
      </c>
      <c r="C4744" t="s">
        <v>2077</v>
      </c>
      <c r="D4744" s="12">
        <v>46360</v>
      </c>
      <c r="E4744" s="11">
        <v>1080</v>
      </c>
      <c r="F4744" s="11" t="s">
        <v>0</v>
      </c>
      <c r="G4744">
        <v>20201001</v>
      </c>
      <c r="I4744" s="11" t="s">
        <v>18</v>
      </c>
      <c r="J4744" s="72">
        <v>20449169</v>
      </c>
      <c r="K4744" s="99" t="str">
        <f>_xlfn.XLOOKUP(_2__ROI_Daily_Update[[#This Row],[CSM id]],SHP!F:F,SHP!EE:EE,"-")</f>
        <v>-</v>
      </c>
    </row>
    <row r="4745" spans="1:11" x14ac:dyDescent="0.45">
      <c r="A4745" s="57">
        <v>1422</v>
      </c>
      <c r="B4745" t="s">
        <v>7372</v>
      </c>
      <c r="C4745" t="s">
        <v>7373</v>
      </c>
      <c r="D4745" s="12">
        <v>46360</v>
      </c>
      <c r="E4745" s="11">
        <v>670</v>
      </c>
      <c r="F4745" s="11" t="s">
        <v>0</v>
      </c>
      <c r="G4745">
        <v>20270101</v>
      </c>
      <c r="I4745" s="11" t="s">
        <v>63</v>
      </c>
      <c r="J4745" s="72">
        <v>90635530</v>
      </c>
      <c r="K4745" s="99" t="str">
        <f>_xlfn.XLOOKUP(_2__ROI_Daily_Update[[#This Row],[CSM id]],SHP!F:F,SHP!EE:EE,"-")</f>
        <v>-</v>
      </c>
    </row>
    <row r="4746" spans="1:11" x14ac:dyDescent="0.45">
      <c r="A4746" s="57">
        <v>1421</v>
      </c>
      <c r="B4746" t="s">
        <v>7334</v>
      </c>
      <c r="C4746" t="s">
        <v>7335</v>
      </c>
      <c r="D4746" s="12">
        <v>46360</v>
      </c>
      <c r="E4746" s="11">
        <v>80</v>
      </c>
      <c r="F4746" s="11" t="s">
        <v>0</v>
      </c>
      <c r="G4746">
        <v>20270101</v>
      </c>
      <c r="H4746" s="12">
        <v>46661</v>
      </c>
      <c r="I4746" s="11" t="s">
        <v>63</v>
      </c>
      <c r="J4746" s="72">
        <v>30642312</v>
      </c>
      <c r="K4746" s="99" t="str">
        <f>_xlfn.XLOOKUP(_2__ROI_Daily_Update[[#This Row],[CSM id]],SHP!F:F,SHP!EE:EE,"-")</f>
        <v>-</v>
      </c>
    </row>
    <row r="4747" spans="1:11" x14ac:dyDescent="0.45">
      <c r="A4747" s="57">
        <v>1414</v>
      </c>
      <c r="B4747" t="s">
        <v>7707</v>
      </c>
      <c r="C4747" t="s">
        <v>7708</v>
      </c>
      <c r="D4747" s="12">
        <v>46360</v>
      </c>
      <c r="E4747" s="11">
        <v>35</v>
      </c>
      <c r="F4747" s="11" t="s">
        <v>0</v>
      </c>
      <c r="G4747">
        <v>20201001</v>
      </c>
      <c r="I4747" s="11" t="s">
        <v>63</v>
      </c>
      <c r="J4747" s="72">
        <v>50480177</v>
      </c>
      <c r="K4747" s="99" t="str">
        <f>_xlfn.XLOOKUP(_2__ROI_Daily_Update[[#This Row],[CSM id]],SHP!F:F,SHP!EE:EE,"-")</f>
        <v>-</v>
      </c>
    </row>
    <row r="4748" spans="1:11" x14ac:dyDescent="0.45">
      <c r="A4748" s="57">
        <v>1412</v>
      </c>
      <c r="B4748" t="s">
        <v>2150</v>
      </c>
      <c r="C4748" t="s">
        <v>2151</v>
      </c>
      <c r="D4748" s="12">
        <v>46360</v>
      </c>
      <c r="E4748" s="11">
        <v>240</v>
      </c>
      <c r="F4748" s="11" t="s">
        <v>0</v>
      </c>
      <c r="G4748">
        <v>20250101</v>
      </c>
      <c r="I4748" s="11" t="s">
        <v>63</v>
      </c>
      <c r="J4748" s="72">
        <v>90587176</v>
      </c>
      <c r="K4748" s="99" t="str">
        <f>_xlfn.XLOOKUP(_2__ROI_Daily_Update[[#This Row],[CSM id]],SHP!F:F,SHP!EE:EE,"-")</f>
        <v>-</v>
      </c>
    </row>
    <row r="4749" spans="1:11" x14ac:dyDescent="0.45">
      <c r="A4749" s="57">
        <v>1815</v>
      </c>
      <c r="B4749" t="s">
        <v>3492</v>
      </c>
      <c r="C4749" t="s">
        <v>3493</v>
      </c>
      <c r="D4749" s="12">
        <v>46360</v>
      </c>
      <c r="E4749" s="11">
        <v>108</v>
      </c>
      <c r="F4749" s="11" t="s">
        <v>0</v>
      </c>
      <c r="G4749">
        <v>20211001</v>
      </c>
      <c r="I4749" s="11" t="s">
        <v>32</v>
      </c>
      <c r="J4749" s="72">
        <v>80455082</v>
      </c>
      <c r="K4749" s="99" t="str">
        <f>_xlfn.XLOOKUP(_2__ROI_Daily_Update[[#This Row],[CSM id]],SHP!F:F,SHP!EE:EE,"-")</f>
        <v>-</v>
      </c>
    </row>
    <row r="4750" spans="1:11" x14ac:dyDescent="0.45">
      <c r="A4750" s="57">
        <v>1521</v>
      </c>
      <c r="B4750" t="s">
        <v>2694</v>
      </c>
      <c r="C4750" t="s">
        <v>2695</v>
      </c>
      <c r="D4750" s="12">
        <v>46360</v>
      </c>
      <c r="E4750" s="11">
        <v>240</v>
      </c>
      <c r="F4750" s="11" t="s">
        <v>0</v>
      </c>
      <c r="G4750">
        <v>20180201</v>
      </c>
      <c r="I4750" s="11" t="s">
        <v>63</v>
      </c>
      <c r="J4750" s="72">
        <v>60309303</v>
      </c>
      <c r="K4750" s="99" t="str">
        <f>_xlfn.XLOOKUP(_2__ROI_Daily_Update[[#This Row],[CSM id]],SHP!F:F,SHP!EE:EE,"-")</f>
        <v>-</v>
      </c>
    </row>
    <row r="4751" spans="1:11" x14ac:dyDescent="0.45">
      <c r="A4751" s="57">
        <v>1521</v>
      </c>
      <c r="B4751" t="s">
        <v>2676</v>
      </c>
      <c r="C4751" t="s">
        <v>2677</v>
      </c>
      <c r="D4751" s="12">
        <v>46360</v>
      </c>
      <c r="E4751" s="11">
        <v>200</v>
      </c>
      <c r="F4751" s="11" t="s">
        <v>0</v>
      </c>
      <c r="G4751">
        <v>20140801</v>
      </c>
      <c r="I4751" s="11" t="s">
        <v>18</v>
      </c>
      <c r="J4751" s="72">
        <v>20137851</v>
      </c>
      <c r="K4751" s="99" t="str">
        <f>_xlfn.XLOOKUP(_2__ROI_Daily_Update[[#This Row],[CSM id]],SHP!F:F,SHP!EE:EE,"-")</f>
        <v>-</v>
      </c>
    </row>
    <row r="4752" spans="1:11" x14ac:dyDescent="0.45">
      <c r="A4752" s="57">
        <v>1421</v>
      </c>
      <c r="B4752" t="s">
        <v>7336</v>
      </c>
      <c r="C4752" t="s">
        <v>7337</v>
      </c>
      <c r="D4752" s="12">
        <v>46360</v>
      </c>
      <c r="E4752" s="11">
        <v>100</v>
      </c>
      <c r="F4752" s="11" t="s">
        <v>0</v>
      </c>
      <c r="G4752">
        <v>20270101</v>
      </c>
      <c r="H4752" s="12">
        <v>46661</v>
      </c>
      <c r="I4752" s="11" t="s">
        <v>63</v>
      </c>
      <c r="J4752" s="72">
        <v>50642288</v>
      </c>
      <c r="K4752" s="99" t="str">
        <f>_xlfn.XLOOKUP(_2__ROI_Daily_Update[[#This Row],[CSM id]],SHP!F:F,SHP!EE:EE,"-")</f>
        <v>-</v>
      </c>
    </row>
    <row r="4753" spans="1:11" x14ac:dyDescent="0.45">
      <c r="A4753" s="57">
        <v>1431</v>
      </c>
      <c r="B4753" t="s">
        <v>7342</v>
      </c>
      <c r="C4753" t="s">
        <v>7343</v>
      </c>
      <c r="D4753" s="12">
        <v>46360</v>
      </c>
      <c r="E4753" s="11">
        <v>240</v>
      </c>
      <c r="F4753" s="11" t="s">
        <v>0</v>
      </c>
      <c r="G4753">
        <v>20270101</v>
      </c>
      <c r="I4753" s="11" t="s">
        <v>63</v>
      </c>
      <c r="J4753" s="72">
        <v>80649740</v>
      </c>
      <c r="K4753" s="99" t="str">
        <f>_xlfn.XLOOKUP(_2__ROI_Daily_Update[[#This Row],[CSM id]],SHP!F:F,SHP!EE:EE,"-")</f>
        <v>-</v>
      </c>
    </row>
    <row r="4754" spans="1:11" x14ac:dyDescent="0.45">
      <c r="A4754" s="57">
        <v>1431</v>
      </c>
      <c r="B4754" t="s">
        <v>7328</v>
      </c>
      <c r="C4754" t="s">
        <v>7329</v>
      </c>
      <c r="D4754" s="12">
        <v>46360</v>
      </c>
      <c r="E4754" s="11">
        <v>552</v>
      </c>
      <c r="F4754" s="11" t="s">
        <v>0</v>
      </c>
      <c r="G4754">
        <v>20270101</v>
      </c>
      <c r="I4754" s="11" t="s">
        <v>63</v>
      </c>
      <c r="J4754" s="72">
        <v>80648444</v>
      </c>
      <c r="K4754" s="99" t="str">
        <f>_xlfn.XLOOKUP(_2__ROI_Daily_Update[[#This Row],[CSM id]],SHP!F:F,SHP!EE:EE,"-")</f>
        <v>-</v>
      </c>
    </row>
    <row r="4755" spans="1:11" x14ac:dyDescent="0.45">
      <c r="A4755" s="57">
        <v>1431</v>
      </c>
      <c r="B4755" t="s">
        <v>2404</v>
      </c>
      <c r="C4755" t="s">
        <v>2405</v>
      </c>
      <c r="D4755" s="12">
        <v>46360</v>
      </c>
      <c r="E4755" s="11">
        <v>4932</v>
      </c>
      <c r="F4755" s="11" t="s">
        <v>0</v>
      </c>
      <c r="G4755">
        <v>20250401</v>
      </c>
      <c r="I4755" s="11" t="s">
        <v>63</v>
      </c>
      <c r="J4755" s="72">
        <v>50608053</v>
      </c>
      <c r="K4755" s="99" t="str">
        <f>_xlfn.XLOOKUP(_2__ROI_Daily_Update[[#This Row],[CSM id]],SHP!F:F,SHP!EE:EE,"-")</f>
        <v>-</v>
      </c>
    </row>
    <row r="4756" spans="1:11" x14ac:dyDescent="0.45">
      <c r="A4756" s="57">
        <v>1815</v>
      </c>
      <c r="B4756" t="s">
        <v>3452</v>
      </c>
      <c r="C4756" t="s">
        <v>3453</v>
      </c>
      <c r="D4756" s="12">
        <v>46360</v>
      </c>
      <c r="E4756" s="11">
        <v>416</v>
      </c>
      <c r="F4756" s="11" t="s">
        <v>0</v>
      </c>
      <c r="G4756">
        <v>20211001</v>
      </c>
      <c r="I4756" s="11" t="s">
        <v>32</v>
      </c>
      <c r="J4756" s="72">
        <v>455081</v>
      </c>
      <c r="K4756" s="99" t="str">
        <f>_xlfn.XLOOKUP(_2__ROI_Daily_Update[[#This Row],[CSM id]],SHP!F:F,SHP!EE:EE,"-")</f>
        <v>-</v>
      </c>
    </row>
    <row r="4757" spans="1:11" x14ac:dyDescent="0.45">
      <c r="A4757" s="57">
        <v>215</v>
      </c>
      <c r="B4757" t="s">
        <v>265</v>
      </c>
      <c r="C4757" t="s">
        <v>266</v>
      </c>
      <c r="D4757" s="12">
        <v>46360</v>
      </c>
      <c r="E4757" s="11">
        <v>10</v>
      </c>
      <c r="F4757" s="11" t="s">
        <v>0</v>
      </c>
      <c r="G4757">
        <v>20170401</v>
      </c>
      <c r="I4757" s="11" t="s">
        <v>32</v>
      </c>
      <c r="J4757" s="72">
        <v>20351884</v>
      </c>
      <c r="K4757" s="99" t="str">
        <f>_xlfn.XLOOKUP(_2__ROI_Daily_Update[[#This Row],[CSM id]],SHP!F:F,SHP!EE:EE,"-")</f>
        <v>-</v>
      </c>
    </row>
    <row r="4758" spans="1:11" x14ac:dyDescent="0.45">
      <c r="A4758" s="57">
        <v>1431</v>
      </c>
      <c r="B4758" t="s">
        <v>7332</v>
      </c>
      <c r="C4758" t="s">
        <v>7333</v>
      </c>
      <c r="D4758" s="12">
        <v>46360</v>
      </c>
      <c r="E4758" s="11">
        <v>1104</v>
      </c>
      <c r="F4758" s="11" t="s">
        <v>0</v>
      </c>
      <c r="G4758">
        <v>20270101</v>
      </c>
      <c r="I4758" s="11" t="s">
        <v>63</v>
      </c>
      <c r="J4758" s="72">
        <v>50648445</v>
      </c>
      <c r="K4758" s="99" t="str">
        <f>_xlfn.XLOOKUP(_2__ROI_Daily_Update[[#This Row],[CSM id]],SHP!F:F,SHP!EE:EE,"-")</f>
        <v>-</v>
      </c>
    </row>
    <row r="4759" spans="1:11" x14ac:dyDescent="0.45">
      <c r="A4759" s="57">
        <v>1423</v>
      </c>
      <c r="B4759" t="s">
        <v>7695</v>
      </c>
      <c r="C4759" t="s">
        <v>7696</v>
      </c>
      <c r="D4759" s="12">
        <v>46360</v>
      </c>
      <c r="E4759" s="11">
        <v>32</v>
      </c>
      <c r="F4759" s="11" t="s">
        <v>0</v>
      </c>
      <c r="G4759">
        <v>20260701</v>
      </c>
      <c r="I4759" s="11" t="s">
        <v>63</v>
      </c>
      <c r="J4759" s="72">
        <v>631471</v>
      </c>
      <c r="K4759" s="99" t="str">
        <f>_xlfn.XLOOKUP(_2__ROI_Daily_Update[[#This Row],[CSM id]],SHP!F:F,SHP!EE:EE,"-")</f>
        <v>-</v>
      </c>
    </row>
    <row r="4760" spans="1:11" x14ac:dyDescent="0.45">
      <c r="A4760" s="57">
        <v>1411</v>
      </c>
      <c r="B4760" t="s">
        <v>7350</v>
      </c>
      <c r="C4760" t="s">
        <v>7351</v>
      </c>
      <c r="D4760" s="12">
        <v>46360</v>
      </c>
      <c r="E4760" s="11">
        <v>60</v>
      </c>
      <c r="F4760" s="11" t="s">
        <v>0</v>
      </c>
      <c r="G4760">
        <v>20270101</v>
      </c>
      <c r="I4760" s="11" t="s">
        <v>63</v>
      </c>
      <c r="J4760" s="72">
        <v>50637442</v>
      </c>
      <c r="K4760" s="99" t="str">
        <f>_xlfn.XLOOKUP(_2__ROI_Daily_Update[[#This Row],[CSM id]],SHP!F:F,SHP!EE:EE,"-")</f>
        <v>-</v>
      </c>
    </row>
    <row r="4761" spans="1:11" x14ac:dyDescent="0.45">
      <c r="A4761" s="57">
        <v>1431</v>
      </c>
      <c r="B4761" t="s">
        <v>2412</v>
      </c>
      <c r="C4761" t="s">
        <v>2413</v>
      </c>
      <c r="D4761" s="12">
        <v>46360</v>
      </c>
      <c r="E4761" s="11">
        <v>360</v>
      </c>
      <c r="F4761" s="11" t="s">
        <v>0</v>
      </c>
      <c r="G4761">
        <v>20250401</v>
      </c>
      <c r="I4761" s="11" t="s">
        <v>18</v>
      </c>
      <c r="J4761" s="72">
        <v>60597105</v>
      </c>
      <c r="K4761" s="99" t="str">
        <f>_xlfn.XLOOKUP(_2__ROI_Daily_Update[[#This Row],[CSM id]],SHP!F:F,SHP!EE:EE,"-")</f>
        <v>-</v>
      </c>
    </row>
    <row r="4762" spans="1:11" x14ac:dyDescent="0.45">
      <c r="A4762" s="57">
        <v>215</v>
      </c>
      <c r="B4762" t="s">
        <v>289</v>
      </c>
      <c r="C4762" t="s">
        <v>290</v>
      </c>
      <c r="D4762" s="12">
        <v>46360</v>
      </c>
      <c r="E4762" s="11">
        <v>12</v>
      </c>
      <c r="F4762" s="11" t="s">
        <v>0</v>
      </c>
      <c r="G4762">
        <v>20170401</v>
      </c>
      <c r="I4762" s="11" t="s">
        <v>32</v>
      </c>
      <c r="J4762" s="72">
        <v>70351886</v>
      </c>
      <c r="K4762" s="99" t="str">
        <f>_xlfn.XLOOKUP(_2__ROI_Daily_Update[[#This Row],[CSM id]],SHP!F:F,SHP!EE:EE,"-")</f>
        <v>-</v>
      </c>
    </row>
    <row r="4763" spans="1:11" x14ac:dyDescent="0.45">
      <c r="A4763" s="57">
        <v>1412</v>
      </c>
      <c r="B4763" t="s">
        <v>7364</v>
      </c>
      <c r="C4763" t="s">
        <v>7365</v>
      </c>
      <c r="D4763" s="12">
        <v>46360</v>
      </c>
      <c r="E4763" s="11">
        <v>96</v>
      </c>
      <c r="F4763" s="11" t="s">
        <v>0</v>
      </c>
      <c r="G4763">
        <v>20270101</v>
      </c>
      <c r="I4763" s="11" t="s">
        <v>63</v>
      </c>
      <c r="J4763" s="72">
        <v>20637429</v>
      </c>
      <c r="K4763" s="99" t="str">
        <f>_xlfn.XLOOKUP(_2__ROI_Daily_Update[[#This Row],[CSM id]],SHP!F:F,SHP!EE:EE,"-")</f>
        <v>-</v>
      </c>
    </row>
    <row r="4764" spans="1:11" x14ac:dyDescent="0.45">
      <c r="A4764" s="57">
        <v>1423</v>
      </c>
      <c r="B4764" t="s">
        <v>2274</v>
      </c>
      <c r="C4764" t="s">
        <v>2275</v>
      </c>
      <c r="D4764" s="12">
        <v>46360</v>
      </c>
      <c r="E4764" s="11">
        <v>20</v>
      </c>
      <c r="F4764" s="11" t="s">
        <v>0</v>
      </c>
      <c r="G4764">
        <v>20150401</v>
      </c>
      <c r="I4764" s="11" t="s">
        <v>63</v>
      </c>
      <c r="J4764" s="72">
        <v>20283526</v>
      </c>
      <c r="K4764" s="99" t="str">
        <f>_xlfn.XLOOKUP(_2__ROI_Daily_Update[[#This Row],[CSM id]],SHP!F:F,SHP!EE:EE,"-")</f>
        <v>-</v>
      </c>
    </row>
    <row r="4765" spans="1:11" x14ac:dyDescent="0.45">
      <c r="A4765" s="57">
        <v>1412</v>
      </c>
      <c r="B4765" t="s">
        <v>2144</v>
      </c>
      <c r="C4765" t="s">
        <v>2145</v>
      </c>
      <c r="D4765" s="12">
        <v>46360</v>
      </c>
      <c r="E4765" s="11">
        <v>6</v>
      </c>
      <c r="F4765" s="11" t="s">
        <v>0</v>
      </c>
      <c r="G4765">
        <v>20220101</v>
      </c>
      <c r="I4765" s="11" t="s">
        <v>63</v>
      </c>
      <c r="J4765" s="72">
        <v>80484254</v>
      </c>
      <c r="K4765" s="99" t="str">
        <f>_xlfn.XLOOKUP(_2__ROI_Daily_Update[[#This Row],[CSM id]],SHP!F:F,SHP!EE:EE,"-")</f>
        <v>-</v>
      </c>
    </row>
    <row r="4766" spans="1:11" x14ac:dyDescent="0.45">
      <c r="A4766" s="57">
        <v>1511</v>
      </c>
      <c r="B4766" t="s">
        <v>2548</v>
      </c>
      <c r="C4766" t="s">
        <v>2549</v>
      </c>
      <c r="D4766" s="12">
        <v>46360</v>
      </c>
      <c r="E4766" s="11">
        <v>234</v>
      </c>
      <c r="F4766" s="11" t="s">
        <v>0</v>
      </c>
      <c r="G4766">
        <v>20251001</v>
      </c>
      <c r="I4766" s="11" t="s">
        <v>63</v>
      </c>
      <c r="J4766" s="72">
        <v>30607403</v>
      </c>
      <c r="K4766" s="99" t="str">
        <f>_xlfn.XLOOKUP(_2__ROI_Daily_Update[[#This Row],[CSM id]],SHP!F:F,SHP!EE:EE,"-")</f>
        <v>-</v>
      </c>
    </row>
    <row r="4767" spans="1:11" x14ac:dyDescent="0.45">
      <c r="A4767" s="57">
        <v>1815</v>
      </c>
      <c r="B4767" t="s">
        <v>3454</v>
      </c>
      <c r="C4767" t="s">
        <v>3455</v>
      </c>
      <c r="D4767" s="12">
        <v>46360</v>
      </c>
      <c r="E4767" s="11">
        <v>232</v>
      </c>
      <c r="F4767" s="11" t="s">
        <v>0</v>
      </c>
      <c r="G4767">
        <v>20140801</v>
      </c>
      <c r="I4767" s="11" t="s">
        <v>32</v>
      </c>
      <c r="J4767" s="72">
        <v>10180939</v>
      </c>
      <c r="K4767" s="99" t="str">
        <f>_xlfn.XLOOKUP(_2__ROI_Daily_Update[[#This Row],[CSM id]],SHP!F:F,SHP!EE:EE,"-")</f>
        <v>-</v>
      </c>
    </row>
    <row r="4768" spans="1:11" x14ac:dyDescent="0.45">
      <c r="A4768" s="57">
        <v>1511</v>
      </c>
      <c r="B4768" t="s">
        <v>2632</v>
      </c>
      <c r="C4768" t="s">
        <v>2633</v>
      </c>
      <c r="D4768" s="12">
        <v>46360</v>
      </c>
      <c r="E4768" s="11">
        <v>136</v>
      </c>
      <c r="F4768" s="11" t="s">
        <v>0</v>
      </c>
      <c r="G4768">
        <v>20251001</v>
      </c>
      <c r="I4768" s="11" t="s">
        <v>63</v>
      </c>
      <c r="J4768" s="72">
        <v>90607805</v>
      </c>
      <c r="K4768" s="99" t="str">
        <f>_xlfn.XLOOKUP(_2__ROI_Daily_Update[[#This Row],[CSM id]],SHP!F:F,SHP!EE:EE,"-")</f>
        <v>-</v>
      </c>
    </row>
    <row r="4769" spans="1:11" x14ac:dyDescent="0.45">
      <c r="A4769" s="57">
        <v>1412</v>
      </c>
      <c r="B4769" t="s">
        <v>7374</v>
      </c>
      <c r="C4769" t="s">
        <v>7375</v>
      </c>
      <c r="D4769" s="12">
        <v>46360</v>
      </c>
      <c r="E4769" s="11">
        <v>66</v>
      </c>
      <c r="F4769" s="11" t="s">
        <v>0</v>
      </c>
      <c r="G4769">
        <v>20270101</v>
      </c>
      <c r="I4769" s="11" t="s">
        <v>63</v>
      </c>
      <c r="J4769" s="72">
        <v>50637456</v>
      </c>
      <c r="K4769" s="99" t="str">
        <f>_xlfn.XLOOKUP(_2__ROI_Daily_Update[[#This Row],[CSM id]],SHP!F:F,SHP!EE:EE,"-")</f>
        <v>-</v>
      </c>
    </row>
    <row r="4770" spans="1:11" x14ac:dyDescent="0.45">
      <c r="A4770" s="57">
        <v>1511</v>
      </c>
      <c r="B4770" t="s">
        <v>7703</v>
      </c>
      <c r="C4770" t="s">
        <v>7704</v>
      </c>
      <c r="D4770" s="12">
        <v>46360</v>
      </c>
      <c r="E4770" s="11">
        <v>36</v>
      </c>
      <c r="F4770" s="11" t="s">
        <v>0</v>
      </c>
      <c r="G4770">
        <v>20170401</v>
      </c>
      <c r="I4770" s="11" t="s">
        <v>63</v>
      </c>
      <c r="J4770" s="72">
        <v>30319025</v>
      </c>
      <c r="K4770" s="99" t="str">
        <f>_xlfn.XLOOKUP(_2__ROI_Daily_Update[[#This Row],[CSM id]],SHP!F:F,SHP!EE:EE,"-")</f>
        <v>-</v>
      </c>
    </row>
    <row r="4771" spans="1:11" x14ac:dyDescent="0.45">
      <c r="A4771" s="57">
        <v>1412</v>
      </c>
      <c r="B4771" t="s">
        <v>2118</v>
      </c>
      <c r="C4771" t="s">
        <v>2119</v>
      </c>
      <c r="D4771" s="12">
        <v>46360</v>
      </c>
      <c r="E4771" s="11">
        <v>120</v>
      </c>
      <c r="F4771" s="11" t="s">
        <v>0</v>
      </c>
      <c r="G4771">
        <v>20250101</v>
      </c>
      <c r="I4771" s="11" t="s">
        <v>63</v>
      </c>
      <c r="J4771" s="72">
        <v>10587175</v>
      </c>
      <c r="K4771" s="99" t="str">
        <f>_xlfn.XLOOKUP(_2__ROI_Daily_Update[[#This Row],[CSM id]],SHP!F:F,SHP!EE:EE,"-")</f>
        <v>-</v>
      </c>
    </row>
    <row r="4772" spans="1:11" x14ac:dyDescent="0.45">
      <c r="A4772" s="57">
        <v>1431</v>
      </c>
      <c r="B4772" t="s">
        <v>7354</v>
      </c>
      <c r="C4772" t="s">
        <v>7355</v>
      </c>
      <c r="D4772" s="12">
        <v>46360</v>
      </c>
      <c r="E4772" s="11">
        <v>112</v>
      </c>
      <c r="F4772" s="11" t="s">
        <v>0</v>
      </c>
      <c r="G4772">
        <v>20270101</v>
      </c>
      <c r="I4772" s="11" t="s">
        <v>63</v>
      </c>
      <c r="J4772" s="72">
        <v>20649738</v>
      </c>
      <c r="K4772" s="99" t="str">
        <f>_xlfn.XLOOKUP(_2__ROI_Daily_Update[[#This Row],[CSM id]],SHP!F:F,SHP!EE:EE,"-")</f>
        <v>-</v>
      </c>
    </row>
    <row r="4773" spans="1:11" x14ac:dyDescent="0.45">
      <c r="A4773" s="57">
        <v>1511</v>
      </c>
      <c r="B4773" t="s">
        <v>7240</v>
      </c>
      <c r="C4773" t="s">
        <v>7241</v>
      </c>
      <c r="D4773" s="12">
        <v>46360</v>
      </c>
      <c r="E4773" s="11">
        <v>28</v>
      </c>
      <c r="F4773" s="11" t="s">
        <v>0</v>
      </c>
      <c r="G4773">
        <v>20260401</v>
      </c>
      <c r="I4773" s="11" t="s">
        <v>63</v>
      </c>
      <c r="J4773" s="72">
        <v>50622643</v>
      </c>
      <c r="K4773" s="99" t="str">
        <f>_xlfn.XLOOKUP(_2__ROI_Daily_Update[[#This Row],[CSM id]],SHP!F:F,SHP!EE:EE,"-")</f>
        <v>-</v>
      </c>
    </row>
    <row r="4774" spans="1:11" x14ac:dyDescent="0.45">
      <c r="A4774" s="57">
        <v>1633</v>
      </c>
      <c r="B4774" t="s">
        <v>2970</v>
      </c>
      <c r="C4774" t="s">
        <v>2971</v>
      </c>
      <c r="D4774" s="12">
        <v>46360</v>
      </c>
      <c r="E4774" s="11">
        <v>15</v>
      </c>
      <c r="F4774" s="11" t="s">
        <v>0</v>
      </c>
      <c r="G4774">
        <v>20141201</v>
      </c>
      <c r="I4774" s="11" t="s">
        <v>63</v>
      </c>
      <c r="J4774" s="72">
        <v>10191631</v>
      </c>
      <c r="K4774" s="99" t="str">
        <f>_xlfn.XLOOKUP(_2__ROI_Daily_Update[[#This Row],[CSM id]],SHP!F:F,SHP!EE:EE,"-")</f>
        <v>-</v>
      </c>
    </row>
    <row r="4775" spans="1:11" x14ac:dyDescent="0.45">
      <c r="A4775" s="57">
        <v>1511</v>
      </c>
      <c r="B4775" t="s">
        <v>2570</v>
      </c>
      <c r="C4775" t="s">
        <v>2571</v>
      </c>
      <c r="D4775" s="12">
        <v>46360</v>
      </c>
      <c r="E4775" s="11">
        <v>231</v>
      </c>
      <c r="F4775" s="11" t="s">
        <v>0</v>
      </c>
      <c r="G4775">
        <v>20250701</v>
      </c>
      <c r="I4775" s="11" t="s">
        <v>63</v>
      </c>
      <c r="J4775" s="72">
        <v>50600759</v>
      </c>
      <c r="K4775" s="99" t="str">
        <f>_xlfn.XLOOKUP(_2__ROI_Daily_Update[[#This Row],[CSM id]],SHP!F:F,SHP!EE:EE,"-")</f>
        <v>-</v>
      </c>
    </row>
    <row r="4776" spans="1:11" x14ac:dyDescent="0.45">
      <c r="A4776" s="57">
        <v>1424</v>
      </c>
      <c r="B4776" t="s">
        <v>5666</v>
      </c>
      <c r="C4776" t="s">
        <v>5667</v>
      </c>
      <c r="D4776" s="12">
        <v>46360</v>
      </c>
      <c r="E4776" s="11">
        <v>140</v>
      </c>
      <c r="F4776" s="11" t="s">
        <v>0</v>
      </c>
      <c r="G4776">
        <v>20211001</v>
      </c>
      <c r="I4776" s="11" t="s">
        <v>63</v>
      </c>
      <c r="J4776" s="72">
        <v>10305500</v>
      </c>
      <c r="K4776" s="99" t="str">
        <f>_xlfn.XLOOKUP(_2__ROI_Daily_Update[[#This Row],[CSM id]],SHP!F:F,SHP!EE:EE,"-")</f>
        <v>-</v>
      </c>
    </row>
    <row r="4777" spans="1:11" x14ac:dyDescent="0.45">
      <c r="A4777" s="57">
        <v>1815</v>
      </c>
      <c r="B4777" t="s">
        <v>3450</v>
      </c>
      <c r="C4777" t="s">
        <v>3451</v>
      </c>
      <c r="D4777" s="12">
        <v>46360</v>
      </c>
      <c r="E4777" s="11">
        <v>20</v>
      </c>
      <c r="F4777" s="11" t="s">
        <v>0</v>
      </c>
      <c r="G4777">
        <v>20161001</v>
      </c>
      <c r="I4777" s="11" t="s">
        <v>32</v>
      </c>
      <c r="J4777" s="72">
        <v>316066</v>
      </c>
      <c r="K4777" s="99" t="str">
        <f>_xlfn.XLOOKUP(_2__ROI_Daily_Update[[#This Row],[CSM id]],SHP!F:F,SHP!EE:EE,"-")</f>
        <v>-</v>
      </c>
    </row>
    <row r="4778" spans="1:11" x14ac:dyDescent="0.45">
      <c r="A4778" s="57">
        <v>1421</v>
      </c>
      <c r="B4778" t="s">
        <v>7699</v>
      </c>
      <c r="C4778" t="s">
        <v>7700</v>
      </c>
      <c r="D4778" s="12">
        <v>46360</v>
      </c>
      <c r="E4778" s="11">
        <v>120</v>
      </c>
      <c r="F4778" s="11" t="s">
        <v>0</v>
      </c>
      <c r="G4778">
        <v>20220101</v>
      </c>
      <c r="I4778" s="11" t="s">
        <v>63</v>
      </c>
      <c r="J4778" s="72">
        <v>20486859</v>
      </c>
      <c r="K4778" s="99" t="str">
        <f>_xlfn.XLOOKUP(_2__ROI_Daily_Update[[#This Row],[CSM id]],SHP!F:F,SHP!EE:EE,"-")</f>
        <v>-</v>
      </c>
    </row>
    <row r="4779" spans="1:11" x14ac:dyDescent="0.45">
      <c r="A4779" s="57">
        <v>1511</v>
      </c>
      <c r="B4779" t="s">
        <v>7705</v>
      </c>
      <c r="C4779" t="s">
        <v>7706</v>
      </c>
      <c r="D4779" s="12">
        <v>46360</v>
      </c>
      <c r="E4779" s="11">
        <v>231</v>
      </c>
      <c r="F4779" s="11" t="s">
        <v>0</v>
      </c>
      <c r="G4779">
        <v>20170401</v>
      </c>
      <c r="I4779" s="11" t="s">
        <v>63</v>
      </c>
      <c r="J4779" s="72">
        <v>40319020</v>
      </c>
      <c r="K4779" s="99" t="str">
        <f>_xlfn.XLOOKUP(_2__ROI_Daily_Update[[#This Row],[CSM id]],SHP!F:F,SHP!EE:EE,"-")</f>
        <v>-</v>
      </c>
    </row>
    <row r="4780" spans="1:11" x14ac:dyDescent="0.45">
      <c r="A4780" s="57">
        <v>1811</v>
      </c>
      <c r="B4780" t="s">
        <v>3351</v>
      </c>
      <c r="C4780" t="s">
        <v>3352</v>
      </c>
      <c r="D4780" s="12">
        <v>46360</v>
      </c>
      <c r="E4780" s="11">
        <v>24</v>
      </c>
      <c r="F4780" s="11" t="s">
        <v>0</v>
      </c>
      <c r="G4780">
        <v>20200801</v>
      </c>
      <c r="I4780" s="11" t="s">
        <v>32</v>
      </c>
      <c r="J4780" s="72">
        <v>80376481</v>
      </c>
      <c r="K4780" s="99" t="str">
        <f>_xlfn.XLOOKUP(_2__ROI_Daily_Update[[#This Row],[CSM id]],SHP!F:F,SHP!EE:EE,"-")</f>
        <v>-</v>
      </c>
    </row>
    <row r="4781" spans="1:11" x14ac:dyDescent="0.45">
      <c r="A4781" s="57">
        <v>1411</v>
      </c>
      <c r="B4781" t="s">
        <v>7348</v>
      </c>
      <c r="C4781" t="s">
        <v>7349</v>
      </c>
      <c r="D4781" s="12">
        <v>46360</v>
      </c>
      <c r="E4781" s="11">
        <v>56</v>
      </c>
      <c r="F4781" s="11" t="s">
        <v>0</v>
      </c>
      <c r="G4781">
        <v>20270101</v>
      </c>
      <c r="I4781" s="11" t="s">
        <v>63</v>
      </c>
      <c r="J4781" s="72">
        <v>10637439</v>
      </c>
      <c r="K4781" s="99" t="str">
        <f>_xlfn.XLOOKUP(_2__ROI_Daily_Update[[#This Row],[CSM id]],SHP!F:F,SHP!EE:EE,"-")</f>
        <v>-</v>
      </c>
    </row>
    <row r="4782" spans="1:11" x14ac:dyDescent="0.45">
      <c r="A4782" s="57">
        <v>1512</v>
      </c>
      <c r="B4782" t="s">
        <v>2654</v>
      </c>
      <c r="C4782" t="s">
        <v>2655</v>
      </c>
      <c r="D4782" s="12">
        <v>46360</v>
      </c>
      <c r="E4782" s="11">
        <v>345</v>
      </c>
      <c r="F4782" s="11" t="s">
        <v>0</v>
      </c>
      <c r="G4782">
        <v>20141201</v>
      </c>
      <c r="I4782" s="11" t="s">
        <v>63</v>
      </c>
      <c r="J4782" s="72">
        <v>40179699</v>
      </c>
      <c r="K4782" s="99" t="str">
        <f>_xlfn.XLOOKUP(_2__ROI_Daily_Update[[#This Row],[CSM id]],SHP!F:F,SHP!EE:EE,"-")</f>
        <v>-</v>
      </c>
    </row>
    <row r="4783" spans="1:11" x14ac:dyDescent="0.45">
      <c r="A4783" s="57">
        <v>1622</v>
      </c>
      <c r="B4783" t="s">
        <v>7783</v>
      </c>
      <c r="C4783" t="s">
        <v>7784</v>
      </c>
      <c r="D4783" s="12">
        <v>46360</v>
      </c>
      <c r="E4783" s="11">
        <v>20</v>
      </c>
      <c r="F4783" s="11" t="s">
        <v>0</v>
      </c>
      <c r="G4783">
        <v>20261001</v>
      </c>
      <c r="H4783" s="12">
        <v>46388</v>
      </c>
      <c r="I4783" s="11" t="s">
        <v>32</v>
      </c>
      <c r="J4783" s="72">
        <v>80640400</v>
      </c>
      <c r="K4783" s="99" t="str">
        <f>_xlfn.XLOOKUP(_2__ROI_Daily_Update[[#This Row],[CSM id]],SHP!F:F,SHP!EE:EE,"-")</f>
        <v>-</v>
      </c>
    </row>
    <row r="4784" spans="1:11" x14ac:dyDescent="0.45">
      <c r="A4784" s="57">
        <v>1423</v>
      </c>
      <c r="B4784" t="s">
        <v>7330</v>
      </c>
      <c r="C4784" t="s">
        <v>7331</v>
      </c>
      <c r="D4784" s="12">
        <v>46360</v>
      </c>
      <c r="E4784" s="11">
        <v>1680</v>
      </c>
      <c r="F4784" s="11" t="s">
        <v>0</v>
      </c>
      <c r="G4784">
        <v>20270101</v>
      </c>
      <c r="I4784" s="11" t="s">
        <v>63</v>
      </c>
      <c r="J4784" s="72">
        <v>50634330</v>
      </c>
      <c r="K4784" s="99" t="str">
        <f>_xlfn.XLOOKUP(_2__ROI_Daily_Update[[#This Row],[CSM id]],SHP!F:F,SHP!EE:EE,"-")</f>
        <v>-</v>
      </c>
    </row>
    <row r="4785" spans="1:11" x14ac:dyDescent="0.45">
      <c r="A4785" s="57">
        <v>1512</v>
      </c>
      <c r="B4785" t="s">
        <v>2656</v>
      </c>
      <c r="C4785" t="s">
        <v>2657</v>
      </c>
      <c r="D4785" s="12">
        <v>46360</v>
      </c>
      <c r="E4785" s="11">
        <v>6</v>
      </c>
      <c r="F4785" s="11" t="s">
        <v>0</v>
      </c>
      <c r="G4785">
        <v>20261001</v>
      </c>
      <c r="H4785" s="12">
        <v>46478</v>
      </c>
      <c r="I4785" s="11" t="s">
        <v>63</v>
      </c>
      <c r="J4785" s="72">
        <v>40638282</v>
      </c>
      <c r="K4785" s="99" t="str">
        <f>_xlfn.XLOOKUP(_2__ROI_Daily_Update[[#This Row],[CSM id]],SHP!F:F,SHP!EE:EE,"-")</f>
        <v>-</v>
      </c>
    </row>
    <row r="4786" spans="1:11" x14ac:dyDescent="0.45">
      <c r="A4786" s="57">
        <v>1512</v>
      </c>
      <c r="B4786" t="s">
        <v>7340</v>
      </c>
      <c r="C4786" t="s">
        <v>7341</v>
      </c>
      <c r="D4786" s="12">
        <v>46360</v>
      </c>
      <c r="E4786" s="11">
        <v>2700</v>
      </c>
      <c r="F4786" s="11" t="s">
        <v>0</v>
      </c>
      <c r="G4786">
        <v>20270101</v>
      </c>
      <c r="H4786" s="12">
        <v>46661</v>
      </c>
      <c r="I4786" s="11" t="s">
        <v>63</v>
      </c>
      <c r="J4786" s="72">
        <v>40642284</v>
      </c>
      <c r="K4786" s="99" t="str">
        <f>_xlfn.XLOOKUP(_2__ROI_Daily_Update[[#This Row],[CSM id]],SHP!F:F,SHP!EE:EE,"-")</f>
        <v>-</v>
      </c>
    </row>
    <row r="4787" spans="1:11" x14ac:dyDescent="0.45">
      <c r="A4787" s="57">
        <v>1412</v>
      </c>
      <c r="B4787" t="s">
        <v>7360</v>
      </c>
      <c r="C4787" t="s">
        <v>7361</v>
      </c>
      <c r="D4787" s="12">
        <v>46360</v>
      </c>
      <c r="E4787" s="11">
        <v>96</v>
      </c>
      <c r="F4787" s="11" t="s">
        <v>0</v>
      </c>
      <c r="G4787">
        <v>20270101</v>
      </c>
      <c r="I4787" s="11" t="s">
        <v>63</v>
      </c>
      <c r="J4787" s="72">
        <v>60637432</v>
      </c>
      <c r="K4787" s="99" t="str">
        <f>_xlfn.XLOOKUP(_2__ROI_Daily_Update[[#This Row],[CSM id]],SHP!F:F,SHP!EE:EE,"-")</f>
        <v>-</v>
      </c>
    </row>
    <row r="4788" spans="1:11" x14ac:dyDescent="0.45">
      <c r="A4788" s="57">
        <v>1431</v>
      </c>
      <c r="B4788" t="s">
        <v>2366</v>
      </c>
      <c r="C4788" t="s">
        <v>2367</v>
      </c>
      <c r="D4788" s="12">
        <v>46360</v>
      </c>
      <c r="E4788" s="11">
        <v>1080</v>
      </c>
      <c r="F4788" s="11" t="s">
        <v>0</v>
      </c>
      <c r="G4788">
        <v>20261001</v>
      </c>
      <c r="H4788" s="12">
        <v>46478</v>
      </c>
      <c r="I4788" s="11" t="s">
        <v>63</v>
      </c>
      <c r="J4788" s="72">
        <v>20649069</v>
      </c>
      <c r="K4788" s="99" t="str">
        <f>_xlfn.XLOOKUP(_2__ROI_Daily_Update[[#This Row],[CSM id]],SHP!F:F,SHP!EE:EE,"-")</f>
        <v>-</v>
      </c>
    </row>
    <row r="4789" spans="1:11" x14ac:dyDescent="0.45">
      <c r="A4789" s="57">
        <v>1423</v>
      </c>
      <c r="B4789" t="s">
        <v>2282</v>
      </c>
      <c r="C4789" t="s">
        <v>2283</v>
      </c>
      <c r="D4789" s="12">
        <v>46360</v>
      </c>
      <c r="E4789" s="11">
        <v>120</v>
      </c>
      <c r="F4789" s="11" t="s">
        <v>0</v>
      </c>
      <c r="G4789">
        <v>20150401</v>
      </c>
      <c r="I4789" s="11" t="s">
        <v>63</v>
      </c>
      <c r="J4789" s="72">
        <v>50283520</v>
      </c>
      <c r="K4789" s="99" t="str">
        <f>_xlfn.XLOOKUP(_2__ROI_Daily_Update[[#This Row],[CSM id]],SHP!F:F,SHP!EE:EE,"-")</f>
        <v>-</v>
      </c>
    </row>
    <row r="4790" spans="1:11" x14ac:dyDescent="0.45">
      <c r="A4790" s="57">
        <v>1511</v>
      </c>
      <c r="B4790" t="s">
        <v>2518</v>
      </c>
      <c r="C4790" t="s">
        <v>2519</v>
      </c>
      <c r="D4790" s="12">
        <v>46360</v>
      </c>
      <c r="E4790" s="11">
        <v>21</v>
      </c>
      <c r="F4790" s="11" t="s">
        <v>0</v>
      </c>
      <c r="G4790">
        <v>20250401</v>
      </c>
      <c r="H4790" s="12">
        <v>46661</v>
      </c>
      <c r="I4790" s="11" t="s">
        <v>63</v>
      </c>
      <c r="J4790" s="72">
        <v>10592426</v>
      </c>
      <c r="K4790" s="99" t="str">
        <f>_xlfn.XLOOKUP(_2__ROI_Daily_Update[[#This Row],[CSM id]],SHP!F:F,SHP!EE:EE,"-")</f>
        <v>-</v>
      </c>
    </row>
    <row r="4791" spans="1:11" x14ac:dyDescent="0.45">
      <c r="A4791" s="57">
        <v>811</v>
      </c>
      <c r="B4791" t="s">
        <v>619</v>
      </c>
      <c r="C4791" t="s">
        <v>620</v>
      </c>
      <c r="D4791" s="12">
        <v>46360</v>
      </c>
      <c r="E4791" s="11">
        <v>15</v>
      </c>
      <c r="F4791" s="11" t="s">
        <v>0</v>
      </c>
      <c r="G4791">
        <v>20240701</v>
      </c>
      <c r="I4791" s="11" t="s">
        <v>32</v>
      </c>
      <c r="J4791" s="72">
        <v>70546894</v>
      </c>
      <c r="K4791" s="99" t="str">
        <f>_xlfn.XLOOKUP(_2__ROI_Daily_Update[[#This Row],[CSM id]],SHP!F:F,SHP!EE:EE,"-")</f>
        <v>-</v>
      </c>
    </row>
    <row r="4792" spans="1:11" x14ac:dyDescent="0.45">
      <c r="A4792" s="57">
        <v>1622</v>
      </c>
      <c r="B4792" t="s">
        <v>7785</v>
      </c>
      <c r="C4792" t="s">
        <v>7786</v>
      </c>
      <c r="D4792" s="12">
        <v>46360</v>
      </c>
      <c r="E4792" s="11">
        <v>20</v>
      </c>
      <c r="F4792" s="11" t="s">
        <v>0</v>
      </c>
      <c r="G4792">
        <v>20261001</v>
      </c>
      <c r="H4792" s="12">
        <v>46388</v>
      </c>
      <c r="I4792" s="11" t="s">
        <v>32</v>
      </c>
      <c r="J4792" s="72">
        <v>40640402</v>
      </c>
      <c r="K4792" s="99" t="str">
        <f>_xlfn.XLOOKUP(_2__ROI_Daily_Update[[#This Row],[CSM id]],SHP!F:F,SHP!EE:EE,"-")</f>
        <v>-</v>
      </c>
    </row>
    <row r="4793" spans="1:11" x14ac:dyDescent="0.45">
      <c r="A4793" s="57">
        <v>1511</v>
      </c>
      <c r="B4793" t="s">
        <v>2554</v>
      </c>
      <c r="C4793" t="s">
        <v>2555</v>
      </c>
      <c r="D4793" s="12">
        <v>46360</v>
      </c>
      <c r="E4793" s="11">
        <v>144</v>
      </c>
      <c r="F4793" s="11" t="s">
        <v>0</v>
      </c>
      <c r="G4793">
        <v>20260401</v>
      </c>
      <c r="H4793" s="12">
        <v>46569</v>
      </c>
      <c r="I4793" s="11" t="s">
        <v>63</v>
      </c>
      <c r="J4793" s="72">
        <v>30621220</v>
      </c>
      <c r="K4793" s="99" t="str">
        <f>_xlfn.XLOOKUP(_2__ROI_Daily_Update[[#This Row],[CSM id]],SHP!F:F,SHP!EE:EE,"-")</f>
        <v>-</v>
      </c>
    </row>
    <row r="4794" spans="1:11" x14ac:dyDescent="0.45">
      <c r="A4794" s="57">
        <v>1815</v>
      </c>
      <c r="B4794" t="s">
        <v>3490</v>
      </c>
      <c r="C4794" t="s">
        <v>3491</v>
      </c>
      <c r="D4794" s="12">
        <v>46361</v>
      </c>
      <c r="E4794" s="11">
        <v>225</v>
      </c>
      <c r="F4794" s="11" t="s">
        <v>0</v>
      </c>
      <c r="G4794">
        <v>20191001</v>
      </c>
      <c r="I4794" s="11" t="s">
        <v>32</v>
      </c>
      <c r="J4794" s="72">
        <v>70444678</v>
      </c>
      <c r="K4794" s="99" t="str">
        <f>_xlfn.XLOOKUP(_2__ROI_Daily_Update[[#This Row],[CSM id]],SHP!F:F,SHP!EE:EE,"-")</f>
        <v>-</v>
      </c>
    </row>
    <row r="4795" spans="1:11" x14ac:dyDescent="0.45">
      <c r="A4795" s="57">
        <v>215</v>
      </c>
      <c r="B4795" t="s">
        <v>291</v>
      </c>
      <c r="C4795" t="s">
        <v>292</v>
      </c>
      <c r="D4795" s="12">
        <v>46361</v>
      </c>
      <c r="E4795" s="11">
        <v>10</v>
      </c>
      <c r="F4795" s="11" t="s">
        <v>0</v>
      </c>
      <c r="G4795">
        <v>20170401</v>
      </c>
      <c r="I4795" s="11" t="s">
        <v>32</v>
      </c>
      <c r="J4795" s="72">
        <v>70362917</v>
      </c>
      <c r="K4795" s="99" t="str">
        <f>_xlfn.XLOOKUP(_2__ROI_Daily_Update[[#This Row],[CSM id]],SHP!F:F,SHP!EE:EE,"-")</f>
        <v>-</v>
      </c>
    </row>
    <row r="4796" spans="1:11" x14ac:dyDescent="0.45">
      <c r="A4796" s="57">
        <v>215</v>
      </c>
      <c r="B4796" t="s">
        <v>265</v>
      </c>
      <c r="C4796" t="s">
        <v>266</v>
      </c>
      <c r="D4796" s="12">
        <v>46361</v>
      </c>
      <c r="E4796" s="11">
        <v>10</v>
      </c>
      <c r="F4796" s="11" t="s">
        <v>0</v>
      </c>
      <c r="G4796">
        <v>20170401</v>
      </c>
      <c r="I4796" s="11" t="s">
        <v>32</v>
      </c>
      <c r="J4796" s="72">
        <v>20351884</v>
      </c>
      <c r="K4796" s="99" t="str">
        <f>_xlfn.XLOOKUP(_2__ROI_Daily_Update[[#This Row],[CSM id]],SHP!F:F,SHP!EE:EE,"-")</f>
        <v>-</v>
      </c>
    </row>
    <row r="4797" spans="1:11" x14ac:dyDescent="0.45">
      <c r="A4797" s="57">
        <v>1815</v>
      </c>
      <c r="B4797" t="s">
        <v>3456</v>
      </c>
      <c r="C4797" t="s">
        <v>3457</v>
      </c>
      <c r="D4797" s="12">
        <v>46361</v>
      </c>
      <c r="E4797" s="11">
        <v>24</v>
      </c>
      <c r="F4797" s="11" t="s">
        <v>0</v>
      </c>
      <c r="G4797">
        <v>20140801</v>
      </c>
      <c r="I4797" s="11" t="s">
        <v>32</v>
      </c>
      <c r="J4797" s="72">
        <v>10180944</v>
      </c>
      <c r="K4797" s="99" t="str">
        <f>_xlfn.XLOOKUP(_2__ROI_Daily_Update[[#This Row],[CSM id]],SHP!F:F,SHP!EE:EE,"-")</f>
        <v>-</v>
      </c>
    </row>
    <row r="4798" spans="1:11" x14ac:dyDescent="0.45">
      <c r="A4798" s="57">
        <v>1815</v>
      </c>
      <c r="B4798" t="s">
        <v>3450</v>
      </c>
      <c r="C4798" t="s">
        <v>3451</v>
      </c>
      <c r="D4798" s="12">
        <v>46361</v>
      </c>
      <c r="E4798" s="11">
        <v>20</v>
      </c>
      <c r="F4798" s="11" t="s">
        <v>0</v>
      </c>
      <c r="G4798">
        <v>20161001</v>
      </c>
      <c r="I4798" s="11" t="s">
        <v>32</v>
      </c>
      <c r="J4798" s="72">
        <v>316066</v>
      </c>
      <c r="K4798" s="99" t="str">
        <f>_xlfn.XLOOKUP(_2__ROI_Daily_Update[[#This Row],[CSM id]],SHP!F:F,SHP!EE:EE,"-")</f>
        <v>-</v>
      </c>
    </row>
    <row r="4799" spans="1:11" x14ac:dyDescent="0.45">
      <c r="A4799" s="57">
        <v>1821</v>
      </c>
      <c r="B4799" t="s">
        <v>3533</v>
      </c>
      <c r="C4799" t="s">
        <v>3534</v>
      </c>
      <c r="D4799" s="12">
        <v>46361</v>
      </c>
      <c r="E4799" s="11">
        <v>120</v>
      </c>
      <c r="F4799" s="11" t="s">
        <v>0</v>
      </c>
      <c r="G4799">
        <v>20200201</v>
      </c>
      <c r="I4799" s="11" t="s">
        <v>32</v>
      </c>
      <c r="J4799" s="72">
        <v>50440365</v>
      </c>
      <c r="K4799" s="99" t="str">
        <f>_xlfn.XLOOKUP(_2__ROI_Daily_Update[[#This Row],[CSM id]],SHP!F:F,SHP!EE:EE,"-")</f>
        <v>-</v>
      </c>
    </row>
    <row r="4800" spans="1:11" x14ac:dyDescent="0.45">
      <c r="A4800" s="57">
        <v>1718</v>
      </c>
      <c r="B4800" t="s">
        <v>3301</v>
      </c>
      <c r="C4800" t="s">
        <v>3302</v>
      </c>
      <c r="D4800" s="12">
        <v>46361</v>
      </c>
      <c r="E4800" s="11">
        <v>30</v>
      </c>
      <c r="F4800" s="11" t="s">
        <v>0</v>
      </c>
      <c r="G4800">
        <v>20150201</v>
      </c>
      <c r="I4800" s="11" t="s">
        <v>32</v>
      </c>
      <c r="J4800" s="72">
        <v>30238114</v>
      </c>
      <c r="K4800" s="99" t="str">
        <f>_xlfn.XLOOKUP(_2__ROI_Daily_Update[[#This Row],[CSM id]],SHP!F:F,SHP!EE:EE,"-")</f>
        <v>-</v>
      </c>
    </row>
    <row r="4801" spans="1:11" x14ac:dyDescent="0.45">
      <c r="A4801" s="57">
        <v>1512</v>
      </c>
      <c r="B4801" t="s">
        <v>2644</v>
      </c>
      <c r="C4801" t="s">
        <v>2645</v>
      </c>
      <c r="D4801" s="12">
        <v>46361</v>
      </c>
      <c r="E4801" s="11">
        <v>495</v>
      </c>
      <c r="F4801" s="11" t="s">
        <v>0</v>
      </c>
      <c r="G4801">
        <v>20190401</v>
      </c>
      <c r="I4801" s="11" t="s">
        <v>18</v>
      </c>
      <c r="J4801" s="72">
        <v>439393</v>
      </c>
      <c r="K4801" s="99" t="str">
        <f>_xlfn.XLOOKUP(_2__ROI_Daily_Update[[#This Row],[CSM id]],SHP!F:F,SHP!EE:EE,"-")</f>
        <v>-</v>
      </c>
    </row>
    <row r="4802" spans="1:11" x14ac:dyDescent="0.45">
      <c r="A4802" s="57">
        <v>1551</v>
      </c>
      <c r="B4802" t="s">
        <v>2809</v>
      </c>
      <c r="C4802" t="s">
        <v>2810</v>
      </c>
      <c r="D4802" s="12">
        <v>46361</v>
      </c>
      <c r="E4802" s="11">
        <v>324</v>
      </c>
      <c r="F4802" s="11" t="s">
        <v>0</v>
      </c>
      <c r="G4802">
        <v>20240401</v>
      </c>
      <c r="I4802" s="11" t="s">
        <v>18</v>
      </c>
      <c r="J4802" s="72">
        <v>30561829</v>
      </c>
      <c r="K4802" s="99" t="str">
        <f>_xlfn.XLOOKUP(_2__ROI_Daily_Update[[#This Row],[CSM id]],SHP!F:F,SHP!EE:EE,"-")</f>
        <v>-</v>
      </c>
    </row>
    <row r="4803" spans="1:11" x14ac:dyDescent="0.45">
      <c r="A4803" s="57">
        <v>215</v>
      </c>
      <c r="B4803" t="s">
        <v>289</v>
      </c>
      <c r="C4803" t="s">
        <v>290</v>
      </c>
      <c r="D4803" s="12">
        <v>46361</v>
      </c>
      <c r="E4803" s="11">
        <v>12</v>
      </c>
      <c r="F4803" s="11" t="s">
        <v>0</v>
      </c>
      <c r="G4803">
        <v>20170401</v>
      </c>
      <c r="I4803" s="11" t="s">
        <v>32</v>
      </c>
      <c r="J4803" s="72">
        <v>70351886</v>
      </c>
      <c r="K4803" s="99" t="str">
        <f>_xlfn.XLOOKUP(_2__ROI_Daily_Update[[#This Row],[CSM id]],SHP!F:F,SHP!EE:EE,"-")</f>
        <v>-</v>
      </c>
    </row>
    <row r="4804" spans="1:11" x14ac:dyDescent="0.45">
      <c r="A4804" s="57">
        <v>1815</v>
      </c>
      <c r="B4804" t="s">
        <v>3454</v>
      </c>
      <c r="C4804" t="s">
        <v>3455</v>
      </c>
      <c r="D4804" s="12">
        <v>46362</v>
      </c>
      <c r="E4804" s="11">
        <v>232</v>
      </c>
      <c r="F4804" s="11" t="s">
        <v>0</v>
      </c>
      <c r="G4804">
        <v>20140801</v>
      </c>
      <c r="I4804" s="11" t="s">
        <v>32</v>
      </c>
      <c r="J4804" s="72">
        <v>10180939</v>
      </c>
      <c r="K4804" s="99" t="str">
        <f>_xlfn.XLOOKUP(_2__ROI_Daily_Update[[#This Row],[CSM id]],SHP!F:F,SHP!EE:EE,"-")</f>
        <v>-</v>
      </c>
    </row>
    <row r="4805" spans="1:11" x14ac:dyDescent="0.45">
      <c r="A4805" s="57">
        <v>1815</v>
      </c>
      <c r="B4805" t="s">
        <v>3492</v>
      </c>
      <c r="C4805" t="s">
        <v>3493</v>
      </c>
      <c r="D4805" s="12">
        <v>46362</v>
      </c>
      <c r="E4805" s="11">
        <v>108</v>
      </c>
      <c r="F4805" s="11" t="s">
        <v>0</v>
      </c>
      <c r="G4805">
        <v>20211001</v>
      </c>
      <c r="I4805" s="11" t="s">
        <v>32</v>
      </c>
      <c r="J4805" s="72">
        <v>80455082</v>
      </c>
      <c r="K4805" s="99" t="str">
        <f>_xlfn.XLOOKUP(_2__ROI_Daily_Update[[#This Row],[CSM id]],SHP!F:F,SHP!EE:EE,"-")</f>
        <v>-</v>
      </c>
    </row>
    <row r="4806" spans="1:11" x14ac:dyDescent="0.45">
      <c r="A4806" s="57">
        <v>1431</v>
      </c>
      <c r="B4806" t="s">
        <v>2396</v>
      </c>
      <c r="C4806" t="s">
        <v>2397</v>
      </c>
      <c r="D4806" s="12">
        <v>46362</v>
      </c>
      <c r="E4806" s="11">
        <v>1512</v>
      </c>
      <c r="F4806" s="11" t="s">
        <v>0</v>
      </c>
      <c r="G4806">
        <v>20261001</v>
      </c>
      <c r="I4806" s="11" t="s">
        <v>63</v>
      </c>
      <c r="J4806" s="72">
        <v>40628363</v>
      </c>
      <c r="K4806" s="99" t="str">
        <f>_xlfn.XLOOKUP(_2__ROI_Daily_Update[[#This Row],[CSM id]],SHP!F:F,SHP!EE:EE,"-")</f>
        <v>-</v>
      </c>
    </row>
    <row r="4807" spans="1:11" x14ac:dyDescent="0.45">
      <c r="A4807" s="57">
        <v>983</v>
      </c>
      <c r="B4807" t="s">
        <v>980</v>
      </c>
      <c r="C4807" t="s">
        <v>981</v>
      </c>
      <c r="D4807" s="12">
        <v>46362</v>
      </c>
      <c r="E4807" s="11">
        <v>32</v>
      </c>
      <c r="F4807" s="11" t="s">
        <v>0</v>
      </c>
      <c r="G4807">
        <v>20160401</v>
      </c>
      <c r="I4807" s="11" t="s">
        <v>32</v>
      </c>
      <c r="J4807" s="72">
        <v>30279944</v>
      </c>
      <c r="K4807" s="99" t="str">
        <f>_xlfn.XLOOKUP(_2__ROI_Daily_Update[[#This Row],[CSM id]],SHP!F:F,SHP!EE:EE,"-")</f>
        <v>-</v>
      </c>
    </row>
    <row r="4808" spans="1:11" x14ac:dyDescent="0.45">
      <c r="A4808" s="57">
        <v>1815</v>
      </c>
      <c r="B4808" t="s">
        <v>3472</v>
      </c>
      <c r="C4808" t="s">
        <v>3473</v>
      </c>
      <c r="D4808" s="12">
        <v>46362</v>
      </c>
      <c r="E4808" s="11">
        <v>60</v>
      </c>
      <c r="F4808" s="11" t="s">
        <v>0</v>
      </c>
      <c r="G4808">
        <v>20161001</v>
      </c>
      <c r="I4808" s="11" t="s">
        <v>32</v>
      </c>
      <c r="J4808" s="72">
        <v>50316064</v>
      </c>
      <c r="K4808" s="99" t="str">
        <f>_xlfn.XLOOKUP(_2__ROI_Daily_Update[[#This Row],[CSM id]],SHP!F:F,SHP!EE:EE,"-")</f>
        <v>-</v>
      </c>
    </row>
    <row r="4809" spans="1:11" x14ac:dyDescent="0.45">
      <c r="A4809" s="57">
        <v>1431</v>
      </c>
      <c r="B4809" t="s">
        <v>2404</v>
      </c>
      <c r="C4809" t="s">
        <v>2405</v>
      </c>
      <c r="D4809" s="12">
        <v>46362</v>
      </c>
      <c r="E4809" s="11">
        <v>822</v>
      </c>
      <c r="F4809" s="11" t="s">
        <v>0</v>
      </c>
      <c r="G4809">
        <v>20250401</v>
      </c>
      <c r="I4809" s="11" t="s">
        <v>63</v>
      </c>
      <c r="J4809" s="72">
        <v>50608053</v>
      </c>
      <c r="K4809" s="99" t="str">
        <f>_xlfn.XLOOKUP(_2__ROI_Daily_Update[[#This Row],[CSM id]],SHP!F:F,SHP!EE:EE,"-")</f>
        <v>-</v>
      </c>
    </row>
    <row r="4810" spans="1:11" x14ac:dyDescent="0.45">
      <c r="A4810" s="57">
        <v>1512</v>
      </c>
      <c r="B4810" t="s">
        <v>2652</v>
      </c>
      <c r="C4810" t="s">
        <v>2653</v>
      </c>
      <c r="D4810" s="12">
        <v>46362</v>
      </c>
      <c r="E4810" s="11">
        <v>60</v>
      </c>
      <c r="F4810" s="11" t="s">
        <v>0</v>
      </c>
      <c r="G4810">
        <v>20251001</v>
      </c>
      <c r="H4810" s="12">
        <v>46569</v>
      </c>
      <c r="I4810" s="11" t="s">
        <v>63</v>
      </c>
      <c r="J4810" s="72">
        <v>30610090</v>
      </c>
      <c r="K4810" s="99" t="str">
        <f>_xlfn.XLOOKUP(_2__ROI_Daily_Update[[#This Row],[CSM id]],SHP!F:F,SHP!EE:EE,"-")</f>
        <v>-</v>
      </c>
    </row>
    <row r="4811" spans="1:11" x14ac:dyDescent="0.45">
      <c r="A4811" s="57">
        <v>1414</v>
      </c>
      <c r="B4811" t="s">
        <v>2180</v>
      </c>
      <c r="C4811" t="s">
        <v>2181</v>
      </c>
      <c r="D4811" s="12">
        <v>46362</v>
      </c>
      <c r="E4811" s="11">
        <v>96</v>
      </c>
      <c r="F4811" s="11" t="s">
        <v>0</v>
      </c>
      <c r="G4811">
        <v>20141201</v>
      </c>
      <c r="I4811" s="11" t="s">
        <v>63</v>
      </c>
      <c r="J4811" s="72">
        <v>50174516</v>
      </c>
      <c r="K4811" s="99" t="str">
        <f>_xlfn.XLOOKUP(_2__ROI_Daily_Update[[#This Row],[CSM id]],SHP!F:F,SHP!EE:EE,"-")</f>
        <v>-</v>
      </c>
    </row>
    <row r="4812" spans="1:11" x14ac:dyDescent="0.45">
      <c r="A4812" s="57">
        <v>1511</v>
      </c>
      <c r="B4812" t="s">
        <v>2524</v>
      </c>
      <c r="C4812" t="s">
        <v>2525</v>
      </c>
      <c r="D4812" s="12">
        <v>46362</v>
      </c>
      <c r="E4812" s="11">
        <v>54</v>
      </c>
      <c r="F4812" s="11" t="s">
        <v>0</v>
      </c>
      <c r="G4812">
        <v>20251001</v>
      </c>
      <c r="I4812" s="11" t="s">
        <v>63</v>
      </c>
      <c r="J4812" s="72">
        <v>10609733</v>
      </c>
      <c r="K4812" s="99" t="str">
        <f>_xlfn.XLOOKUP(_2__ROI_Daily_Update[[#This Row],[CSM id]],SHP!F:F,SHP!EE:EE,"-")</f>
        <v>-</v>
      </c>
    </row>
    <row r="4813" spans="1:11" x14ac:dyDescent="0.45">
      <c r="A4813" s="57">
        <v>1433</v>
      </c>
      <c r="B4813" t="s">
        <v>7711</v>
      </c>
      <c r="C4813" t="s">
        <v>7712</v>
      </c>
      <c r="D4813" s="12">
        <v>46362</v>
      </c>
      <c r="E4813" s="11">
        <v>60</v>
      </c>
      <c r="F4813" s="11" t="s">
        <v>0</v>
      </c>
      <c r="G4813">
        <v>20261001</v>
      </c>
      <c r="I4813" s="11" t="s">
        <v>32</v>
      </c>
      <c r="J4813" s="72">
        <v>60561012</v>
      </c>
      <c r="K4813" s="99" t="str">
        <f>_xlfn.XLOOKUP(_2__ROI_Daily_Update[[#This Row],[CSM id]],SHP!F:F,SHP!EE:EE,"-")</f>
        <v>-</v>
      </c>
    </row>
    <row r="4814" spans="1:11" x14ac:dyDescent="0.45">
      <c r="A4814" s="57">
        <v>1512</v>
      </c>
      <c r="B4814" t="s">
        <v>2656</v>
      </c>
      <c r="C4814" t="s">
        <v>2657</v>
      </c>
      <c r="D4814" s="12">
        <v>46362</v>
      </c>
      <c r="E4814" s="11">
        <v>6</v>
      </c>
      <c r="F4814" s="11" t="s">
        <v>0</v>
      </c>
      <c r="G4814">
        <v>20261001</v>
      </c>
      <c r="H4814" s="12">
        <v>46478</v>
      </c>
      <c r="I4814" s="11" t="s">
        <v>63</v>
      </c>
      <c r="J4814" s="72">
        <v>40638282</v>
      </c>
      <c r="K4814" s="99" t="str">
        <f>_xlfn.XLOOKUP(_2__ROI_Daily_Update[[#This Row],[CSM id]],SHP!F:F,SHP!EE:EE,"-")</f>
        <v>-</v>
      </c>
    </row>
    <row r="4815" spans="1:11" x14ac:dyDescent="0.45">
      <c r="A4815" s="57">
        <v>1431</v>
      </c>
      <c r="B4815" t="s">
        <v>2332</v>
      </c>
      <c r="C4815" t="s">
        <v>2333</v>
      </c>
      <c r="D4815" s="12">
        <v>46362</v>
      </c>
      <c r="E4815" s="11">
        <v>3240</v>
      </c>
      <c r="F4815" s="11" t="s">
        <v>0</v>
      </c>
      <c r="G4815">
        <v>20261001</v>
      </c>
      <c r="I4815" s="11" t="s">
        <v>63</v>
      </c>
      <c r="J4815" s="72">
        <v>628355</v>
      </c>
      <c r="K4815" s="99" t="str">
        <f>_xlfn.XLOOKUP(_2__ROI_Daily_Update[[#This Row],[CSM id]],SHP!F:F,SHP!EE:EE,"-")</f>
        <v>-</v>
      </c>
    </row>
    <row r="4816" spans="1:11" x14ac:dyDescent="0.45">
      <c r="A4816" s="57">
        <v>1431</v>
      </c>
      <c r="B4816" t="s">
        <v>2412</v>
      </c>
      <c r="C4816" t="s">
        <v>2413</v>
      </c>
      <c r="D4816" s="12">
        <v>46362</v>
      </c>
      <c r="E4816" s="11">
        <v>540</v>
      </c>
      <c r="F4816" s="11" t="s">
        <v>0</v>
      </c>
      <c r="G4816">
        <v>20250401</v>
      </c>
      <c r="I4816" s="11" t="s">
        <v>18</v>
      </c>
      <c r="J4816" s="72">
        <v>60597105</v>
      </c>
      <c r="K4816" s="99" t="str">
        <f>_xlfn.XLOOKUP(_2__ROI_Daily_Update[[#This Row],[CSM id]],SHP!F:F,SHP!EE:EE,"-")</f>
        <v>-</v>
      </c>
    </row>
    <row r="4817" spans="1:11" x14ac:dyDescent="0.45">
      <c r="A4817" s="57">
        <v>1531</v>
      </c>
      <c r="B4817" t="s">
        <v>2726</v>
      </c>
      <c r="C4817" t="s">
        <v>2727</v>
      </c>
      <c r="D4817" s="12">
        <v>46362</v>
      </c>
      <c r="E4817" s="11">
        <v>120</v>
      </c>
      <c r="F4817" s="11" t="s">
        <v>0</v>
      </c>
      <c r="G4817">
        <v>20251001</v>
      </c>
      <c r="H4817" s="12">
        <v>46388</v>
      </c>
      <c r="I4817" s="11" t="s">
        <v>63</v>
      </c>
      <c r="J4817" s="72">
        <v>610077</v>
      </c>
      <c r="K4817" s="99" t="str">
        <f>_xlfn.XLOOKUP(_2__ROI_Daily_Update[[#This Row],[CSM id]],SHP!F:F,SHP!EE:EE,"-")</f>
        <v>-</v>
      </c>
    </row>
    <row r="4818" spans="1:11" x14ac:dyDescent="0.45">
      <c r="A4818" s="57">
        <v>125</v>
      </c>
      <c r="B4818" t="s">
        <v>7709</v>
      </c>
      <c r="C4818" t="s">
        <v>7710</v>
      </c>
      <c r="D4818" s="12">
        <v>46362</v>
      </c>
      <c r="E4818" s="11">
        <v>14</v>
      </c>
      <c r="F4818" s="11" t="s">
        <v>0</v>
      </c>
      <c r="G4818">
        <v>20260601</v>
      </c>
      <c r="I4818" s="11" t="s">
        <v>32</v>
      </c>
      <c r="J4818" s="72">
        <v>70623203</v>
      </c>
      <c r="K4818" s="99" t="str">
        <f>_xlfn.XLOOKUP(_2__ROI_Daily_Update[[#This Row],[CSM id]],SHP!F:F,SHP!EE:EE,"-")</f>
        <v>-</v>
      </c>
    </row>
    <row r="4819" spans="1:11" x14ac:dyDescent="0.45">
      <c r="A4819" s="57">
        <v>1813</v>
      </c>
      <c r="B4819" t="s">
        <v>5396</v>
      </c>
      <c r="C4819" t="s">
        <v>5397</v>
      </c>
      <c r="D4819" s="12">
        <v>46362</v>
      </c>
      <c r="E4819" s="11">
        <v>576</v>
      </c>
      <c r="F4819" s="11" t="s">
        <v>7795</v>
      </c>
      <c r="G4819">
        <v>20260701</v>
      </c>
      <c r="I4819" s="11" t="s">
        <v>32</v>
      </c>
      <c r="J4819" s="72">
        <v>30534398</v>
      </c>
      <c r="K4819" s="99" t="str">
        <f>_xlfn.XLOOKUP(_2__ROI_Daily_Update[[#This Row],[CSM id]],SHP!F:F,SHP!EE:EE,"-")</f>
        <v>-</v>
      </c>
    </row>
    <row r="4820" spans="1:11" x14ac:dyDescent="0.45">
      <c r="A4820" s="57">
        <v>1414</v>
      </c>
      <c r="B4820" t="s">
        <v>5226</v>
      </c>
      <c r="C4820" t="s">
        <v>5227</v>
      </c>
      <c r="D4820" s="12">
        <v>46362</v>
      </c>
      <c r="E4820" s="11">
        <v>210</v>
      </c>
      <c r="F4820" s="11" t="s">
        <v>0</v>
      </c>
      <c r="G4820">
        <v>20161001</v>
      </c>
      <c r="I4820" s="11" t="s">
        <v>63</v>
      </c>
      <c r="J4820" s="72">
        <v>30323305</v>
      </c>
      <c r="K4820" s="99" t="str">
        <f>_xlfn.XLOOKUP(_2__ROI_Daily_Update[[#This Row],[CSM id]],SHP!F:F,SHP!EE:EE,"-")</f>
        <v>-</v>
      </c>
    </row>
    <row r="4821" spans="1:11" x14ac:dyDescent="0.45">
      <c r="A4821" s="57">
        <v>1815</v>
      </c>
      <c r="B4821" t="s">
        <v>3490</v>
      </c>
      <c r="C4821" t="s">
        <v>3491</v>
      </c>
      <c r="D4821" s="12">
        <v>46362</v>
      </c>
      <c r="E4821" s="11">
        <v>225</v>
      </c>
      <c r="F4821" s="11" t="s">
        <v>0</v>
      </c>
      <c r="G4821">
        <v>20191001</v>
      </c>
      <c r="I4821" s="11" t="s">
        <v>32</v>
      </c>
      <c r="J4821" s="72">
        <v>70444678</v>
      </c>
      <c r="K4821" s="99" t="str">
        <f>_xlfn.XLOOKUP(_2__ROI_Daily_Update[[#This Row],[CSM id]],SHP!F:F,SHP!EE:EE,"-")</f>
        <v>-</v>
      </c>
    </row>
    <row r="4822" spans="1:11" x14ac:dyDescent="0.45">
      <c r="A4822" s="57">
        <v>1431</v>
      </c>
      <c r="B4822" t="s">
        <v>2408</v>
      </c>
      <c r="C4822" t="s">
        <v>2409</v>
      </c>
      <c r="D4822" s="12">
        <v>46362</v>
      </c>
      <c r="E4822" s="11">
        <v>3822</v>
      </c>
      <c r="F4822" s="11" t="s">
        <v>0</v>
      </c>
      <c r="G4822">
        <v>20250701</v>
      </c>
      <c r="I4822" s="11" t="s">
        <v>63</v>
      </c>
      <c r="J4822" s="72">
        <v>60340412</v>
      </c>
      <c r="K4822" s="99" t="str">
        <f>_xlfn.XLOOKUP(_2__ROI_Daily_Update[[#This Row],[CSM id]],SHP!F:F,SHP!EE:EE,"-")</f>
        <v>-</v>
      </c>
    </row>
    <row r="4823" spans="1:11" x14ac:dyDescent="0.45">
      <c r="A4823" s="57">
        <v>1422</v>
      </c>
      <c r="B4823" t="s">
        <v>2266</v>
      </c>
      <c r="C4823" t="s">
        <v>2267</v>
      </c>
      <c r="D4823" s="12">
        <v>46363</v>
      </c>
      <c r="E4823" s="11">
        <v>300</v>
      </c>
      <c r="F4823" s="11" t="s">
        <v>0</v>
      </c>
      <c r="G4823">
        <v>20261001</v>
      </c>
      <c r="I4823" s="11" t="s">
        <v>63</v>
      </c>
      <c r="J4823" s="72">
        <v>90633734</v>
      </c>
      <c r="K4823" s="99" t="str">
        <f>_xlfn.XLOOKUP(_2__ROI_Daily_Update[[#This Row],[CSM id]],SHP!F:F,SHP!EE:EE,"-")</f>
        <v>-</v>
      </c>
    </row>
    <row r="4824" spans="1:11" x14ac:dyDescent="0.45">
      <c r="A4824" s="57">
        <v>1531</v>
      </c>
      <c r="B4824" t="s">
        <v>7715</v>
      </c>
      <c r="C4824" t="s">
        <v>7716</v>
      </c>
      <c r="D4824" s="12">
        <v>46363</v>
      </c>
      <c r="E4824" s="11">
        <v>35</v>
      </c>
      <c r="F4824" s="11" t="s">
        <v>0</v>
      </c>
      <c r="G4824">
        <v>20251001</v>
      </c>
      <c r="I4824" s="11" t="s">
        <v>63</v>
      </c>
      <c r="J4824" s="72">
        <v>90609362</v>
      </c>
      <c r="K4824" s="99" t="str">
        <f>_xlfn.XLOOKUP(_2__ROI_Daily_Update[[#This Row],[CSM id]],SHP!F:F,SHP!EE:EE,"-")</f>
        <v>-</v>
      </c>
    </row>
    <row r="4825" spans="1:11" x14ac:dyDescent="0.45">
      <c r="A4825" s="57">
        <v>1522</v>
      </c>
      <c r="B4825" t="s">
        <v>7717</v>
      </c>
      <c r="C4825" t="s">
        <v>7718</v>
      </c>
      <c r="D4825" s="12">
        <v>46363</v>
      </c>
      <c r="E4825" s="11">
        <v>215</v>
      </c>
      <c r="F4825" s="11" t="s">
        <v>0</v>
      </c>
      <c r="G4825">
        <v>20230701</v>
      </c>
      <c r="I4825" s="11" t="s">
        <v>63</v>
      </c>
      <c r="J4825" s="72">
        <v>30476336</v>
      </c>
      <c r="K4825" s="99" t="str">
        <f>_xlfn.XLOOKUP(_2__ROI_Daily_Update[[#This Row],[CSM id]],SHP!F:F,SHP!EE:EE,"-")</f>
        <v>-</v>
      </c>
    </row>
    <row r="4826" spans="1:11" x14ac:dyDescent="0.45">
      <c r="A4826" s="57">
        <v>1511</v>
      </c>
      <c r="B4826" t="s">
        <v>7719</v>
      </c>
      <c r="C4826" t="s">
        <v>7720</v>
      </c>
      <c r="D4826" s="12">
        <v>46363</v>
      </c>
      <c r="E4826" s="11">
        <v>30</v>
      </c>
      <c r="F4826" s="11" t="s">
        <v>0</v>
      </c>
      <c r="G4826">
        <v>20260401</v>
      </c>
      <c r="I4826" s="11" t="s">
        <v>63</v>
      </c>
      <c r="J4826" s="72">
        <v>70622642</v>
      </c>
      <c r="K4826" s="99" t="str">
        <f>_xlfn.XLOOKUP(_2__ROI_Daily_Update[[#This Row],[CSM id]],SHP!F:F,SHP!EE:EE,"-")</f>
        <v>-</v>
      </c>
    </row>
    <row r="4827" spans="1:11" x14ac:dyDescent="0.45">
      <c r="A4827" s="57">
        <v>983</v>
      </c>
      <c r="B4827" t="s">
        <v>980</v>
      </c>
      <c r="C4827" t="s">
        <v>981</v>
      </c>
      <c r="D4827" s="12">
        <v>46363</v>
      </c>
      <c r="E4827" s="11">
        <v>32</v>
      </c>
      <c r="F4827" s="11" t="s">
        <v>0</v>
      </c>
      <c r="G4827">
        <v>20160401</v>
      </c>
      <c r="I4827" s="11" t="s">
        <v>32</v>
      </c>
      <c r="J4827" s="72">
        <v>30279944</v>
      </c>
      <c r="K4827" s="99" t="str">
        <f>_xlfn.XLOOKUP(_2__ROI_Daily_Update[[#This Row],[CSM id]],SHP!F:F,SHP!EE:EE,"-")</f>
        <v>-</v>
      </c>
    </row>
    <row r="4828" spans="1:11" x14ac:dyDescent="0.45">
      <c r="A4828" s="57">
        <v>1423</v>
      </c>
      <c r="B4828" t="s">
        <v>7713</v>
      </c>
      <c r="C4828" t="s">
        <v>7714</v>
      </c>
      <c r="D4828" s="12">
        <v>46363</v>
      </c>
      <c r="E4828" s="11">
        <v>32</v>
      </c>
      <c r="F4828" s="11" t="s">
        <v>0</v>
      </c>
      <c r="G4828">
        <v>20260701</v>
      </c>
      <c r="I4828" s="11" t="s">
        <v>63</v>
      </c>
      <c r="J4828" s="72">
        <v>10631475</v>
      </c>
      <c r="K4828" s="99" t="str">
        <f>_xlfn.XLOOKUP(_2__ROI_Daily_Update[[#This Row],[CSM id]],SHP!F:F,SHP!EE:EE,"-")</f>
        <v>-</v>
      </c>
    </row>
    <row r="4829" spans="1:11" x14ac:dyDescent="0.45">
      <c r="A4829" s="57">
        <v>1511</v>
      </c>
      <c r="B4829" t="s">
        <v>2584</v>
      </c>
      <c r="C4829" t="s">
        <v>2585</v>
      </c>
      <c r="D4829" s="12">
        <v>46363</v>
      </c>
      <c r="E4829" s="11">
        <v>11</v>
      </c>
      <c r="F4829" s="11" t="s">
        <v>0</v>
      </c>
      <c r="G4829">
        <v>20250401</v>
      </c>
      <c r="I4829" s="11" t="s">
        <v>63</v>
      </c>
      <c r="J4829" s="72">
        <v>60592419</v>
      </c>
      <c r="K4829" s="99" t="str">
        <f>_xlfn.XLOOKUP(_2__ROI_Daily_Update[[#This Row],[CSM id]],SHP!F:F,SHP!EE:EE,"-")</f>
        <v>-</v>
      </c>
    </row>
    <row r="4830" spans="1:11" x14ac:dyDescent="0.45">
      <c r="A4830" s="57">
        <v>1511</v>
      </c>
      <c r="B4830" t="s">
        <v>6914</v>
      </c>
      <c r="C4830" t="s">
        <v>6915</v>
      </c>
      <c r="D4830" s="12">
        <v>46363</v>
      </c>
      <c r="E4830" s="11">
        <v>160</v>
      </c>
      <c r="F4830" s="11" t="s">
        <v>0</v>
      </c>
      <c r="G4830">
        <v>20260701</v>
      </c>
      <c r="I4830" s="11" t="s">
        <v>63</v>
      </c>
      <c r="J4830" s="72">
        <v>60609801</v>
      </c>
      <c r="K4830" s="99" t="str">
        <f>_xlfn.XLOOKUP(_2__ROI_Daily_Update[[#This Row],[CSM id]],SHP!F:F,SHP!EE:EE,"-")</f>
        <v>-</v>
      </c>
    </row>
    <row r="4831" spans="1:11" x14ac:dyDescent="0.45">
      <c r="A4831" s="57">
        <v>983</v>
      </c>
      <c r="B4831" t="s">
        <v>6066</v>
      </c>
      <c r="C4831" t="s">
        <v>6067</v>
      </c>
      <c r="D4831" s="12">
        <v>46363</v>
      </c>
      <c r="E4831" s="11">
        <v>112</v>
      </c>
      <c r="F4831" s="11" t="s">
        <v>0</v>
      </c>
      <c r="G4831">
        <v>20160401</v>
      </c>
      <c r="I4831" s="11" t="s">
        <v>32</v>
      </c>
      <c r="J4831" s="72">
        <v>20169074</v>
      </c>
      <c r="K4831" s="99" t="str">
        <f>_xlfn.XLOOKUP(_2__ROI_Daily_Update[[#This Row],[CSM id]],SHP!F:F,SHP!EE:EE,"-")</f>
        <v>-</v>
      </c>
    </row>
    <row r="4832" spans="1:11" x14ac:dyDescent="0.45">
      <c r="A4832" s="57">
        <v>1531</v>
      </c>
      <c r="B4832" t="s">
        <v>6184</v>
      </c>
      <c r="C4832" t="s">
        <v>6185</v>
      </c>
      <c r="D4832" s="12">
        <v>46363</v>
      </c>
      <c r="E4832" s="11">
        <v>252</v>
      </c>
      <c r="F4832" s="11" t="s">
        <v>0</v>
      </c>
      <c r="G4832">
        <v>20190801</v>
      </c>
      <c r="I4832" s="11" t="s">
        <v>63</v>
      </c>
      <c r="J4832" s="72">
        <v>50428491</v>
      </c>
      <c r="K4832" s="99" t="str">
        <f>_xlfn.XLOOKUP(_2__ROI_Daily_Update[[#This Row],[CSM id]],SHP!F:F,SHP!EE:EE,"-")</f>
        <v>-</v>
      </c>
    </row>
    <row r="4833" spans="1:11" x14ac:dyDescent="0.45">
      <c r="A4833" s="57">
        <v>1815</v>
      </c>
      <c r="B4833" t="s">
        <v>3492</v>
      </c>
      <c r="C4833" t="s">
        <v>3493</v>
      </c>
      <c r="D4833" s="12">
        <v>46364</v>
      </c>
      <c r="E4833" s="11">
        <v>108</v>
      </c>
      <c r="F4833" s="11" t="s">
        <v>0</v>
      </c>
      <c r="G4833">
        <v>20211001</v>
      </c>
      <c r="I4833" s="11" t="s">
        <v>32</v>
      </c>
      <c r="J4833" s="72">
        <v>80455082</v>
      </c>
      <c r="K4833" s="99" t="str">
        <f>_xlfn.XLOOKUP(_2__ROI_Daily_Update[[#This Row],[CSM id]],SHP!F:F,SHP!EE:EE,"-")</f>
        <v>-</v>
      </c>
    </row>
    <row r="4834" spans="1:11" x14ac:dyDescent="0.45">
      <c r="A4834" s="57">
        <v>1414</v>
      </c>
      <c r="B4834" t="s">
        <v>2178</v>
      </c>
      <c r="C4834" t="s">
        <v>2179</v>
      </c>
      <c r="D4834" s="12">
        <v>46364</v>
      </c>
      <c r="E4834" s="11">
        <v>25</v>
      </c>
      <c r="F4834" s="11" t="s">
        <v>0</v>
      </c>
      <c r="G4834">
        <v>20210701</v>
      </c>
      <c r="I4834" s="11" t="s">
        <v>63</v>
      </c>
      <c r="J4834" s="72">
        <v>40480168</v>
      </c>
      <c r="K4834" s="99" t="str">
        <f>_xlfn.XLOOKUP(_2__ROI_Daily_Update[[#This Row],[CSM id]],SHP!F:F,SHP!EE:EE,"-")</f>
        <v>-</v>
      </c>
    </row>
    <row r="4835" spans="1:11" x14ac:dyDescent="0.45">
      <c r="A4835" s="57">
        <v>1422</v>
      </c>
      <c r="B4835" t="s">
        <v>2233</v>
      </c>
      <c r="C4835" t="s">
        <v>2234</v>
      </c>
      <c r="D4835" s="12">
        <v>46364</v>
      </c>
      <c r="E4835" s="11">
        <v>240</v>
      </c>
      <c r="F4835" s="11" t="s">
        <v>0</v>
      </c>
      <c r="G4835">
        <v>20250701</v>
      </c>
      <c r="I4835" s="11" t="s">
        <v>63</v>
      </c>
      <c r="J4835" s="72">
        <v>40605125</v>
      </c>
      <c r="K4835" s="99" t="str">
        <f>_xlfn.XLOOKUP(_2__ROI_Daily_Update[[#This Row],[CSM id]],SHP!F:F,SHP!EE:EE,"-")</f>
        <v>-</v>
      </c>
    </row>
    <row r="4836" spans="1:11" x14ac:dyDescent="0.45">
      <c r="A4836" s="57">
        <v>1815</v>
      </c>
      <c r="B4836" t="s">
        <v>3470</v>
      </c>
      <c r="C4836" t="s">
        <v>3471</v>
      </c>
      <c r="D4836" s="12">
        <v>46364</v>
      </c>
      <c r="E4836" s="11">
        <v>60</v>
      </c>
      <c r="F4836" s="11" t="s">
        <v>0</v>
      </c>
      <c r="G4836">
        <v>20140801</v>
      </c>
      <c r="I4836" s="11" t="s">
        <v>32</v>
      </c>
      <c r="J4836" s="72">
        <v>50180942</v>
      </c>
      <c r="K4836" s="99" t="str">
        <f>_xlfn.XLOOKUP(_2__ROI_Daily_Update[[#This Row],[CSM id]],SHP!F:F,SHP!EE:EE,"-")</f>
        <v>-</v>
      </c>
    </row>
    <row r="4837" spans="1:11" x14ac:dyDescent="0.45">
      <c r="A4837" s="57">
        <v>1521</v>
      </c>
      <c r="B4837" t="s">
        <v>2686</v>
      </c>
      <c r="C4837" t="s">
        <v>2687</v>
      </c>
      <c r="D4837" s="12">
        <v>46364</v>
      </c>
      <c r="E4837" s="11">
        <v>72</v>
      </c>
      <c r="F4837" s="11" t="s">
        <v>0</v>
      </c>
      <c r="G4837">
        <v>20261001</v>
      </c>
      <c r="I4837" s="11" t="s">
        <v>63</v>
      </c>
      <c r="J4837" s="72">
        <v>40628725</v>
      </c>
      <c r="K4837" s="99" t="str">
        <f>_xlfn.XLOOKUP(_2__ROI_Daily_Update[[#This Row],[CSM id]],SHP!F:F,SHP!EE:EE,"-")</f>
        <v>-</v>
      </c>
    </row>
    <row r="4838" spans="1:11" x14ac:dyDescent="0.45">
      <c r="A4838" s="57">
        <v>1511</v>
      </c>
      <c r="B4838" t="s">
        <v>7796</v>
      </c>
      <c r="C4838" t="s">
        <v>7797</v>
      </c>
      <c r="D4838" s="12">
        <v>46364</v>
      </c>
      <c r="E4838" s="11">
        <v>40</v>
      </c>
      <c r="F4838" s="11" t="s">
        <v>0</v>
      </c>
      <c r="G4838">
        <v>20150401</v>
      </c>
      <c r="I4838" s="11" t="s">
        <v>63</v>
      </c>
      <c r="J4838" s="72">
        <v>60279688</v>
      </c>
      <c r="K4838" s="99" t="str">
        <f>_xlfn.XLOOKUP(_2__ROI_Daily_Update[[#This Row],[CSM id]],SHP!F:F,SHP!EE:EE,"-")</f>
        <v>-</v>
      </c>
    </row>
    <row r="4839" spans="1:11" x14ac:dyDescent="0.45">
      <c r="A4839" s="57">
        <v>1431</v>
      </c>
      <c r="B4839" t="s">
        <v>2408</v>
      </c>
      <c r="C4839" t="s">
        <v>2409</v>
      </c>
      <c r="D4839" s="12">
        <v>46364</v>
      </c>
      <c r="E4839" s="11">
        <v>1470</v>
      </c>
      <c r="F4839" s="11" t="s">
        <v>0</v>
      </c>
      <c r="G4839">
        <v>20250701</v>
      </c>
      <c r="I4839" s="11" t="s">
        <v>63</v>
      </c>
      <c r="J4839" s="72">
        <v>60340412</v>
      </c>
      <c r="K4839" s="99" t="str">
        <f>_xlfn.XLOOKUP(_2__ROI_Daily_Update[[#This Row],[CSM id]],SHP!F:F,SHP!EE:EE,"-")</f>
        <v>-</v>
      </c>
    </row>
    <row r="4840" spans="1:11" x14ac:dyDescent="0.45">
      <c r="A4840" s="57">
        <v>1431</v>
      </c>
      <c r="B4840" t="s">
        <v>2404</v>
      </c>
      <c r="C4840" t="s">
        <v>2405</v>
      </c>
      <c r="D4840" s="12">
        <v>46364</v>
      </c>
      <c r="E4840" s="11">
        <v>1644</v>
      </c>
      <c r="F4840" s="11" t="s">
        <v>0</v>
      </c>
      <c r="G4840">
        <v>20250401</v>
      </c>
      <c r="I4840" s="11" t="s">
        <v>63</v>
      </c>
      <c r="J4840" s="72">
        <v>50608053</v>
      </c>
      <c r="K4840" s="99" t="str">
        <f>_xlfn.XLOOKUP(_2__ROI_Daily_Update[[#This Row],[CSM id]],SHP!F:F,SHP!EE:EE,"-")</f>
        <v>-</v>
      </c>
    </row>
    <row r="4841" spans="1:11" x14ac:dyDescent="0.45">
      <c r="A4841" s="57">
        <v>1815</v>
      </c>
      <c r="B4841" t="s">
        <v>3468</v>
      </c>
      <c r="C4841" t="s">
        <v>3469</v>
      </c>
      <c r="D4841" s="12">
        <v>46364</v>
      </c>
      <c r="E4841" s="11">
        <v>42</v>
      </c>
      <c r="F4841" s="11" t="s">
        <v>0</v>
      </c>
      <c r="G4841">
        <v>20211001</v>
      </c>
      <c r="I4841" s="11" t="s">
        <v>32</v>
      </c>
      <c r="J4841" s="72">
        <v>40455084</v>
      </c>
      <c r="K4841" s="99" t="str">
        <f>_xlfn.XLOOKUP(_2__ROI_Daily_Update[[#This Row],[CSM id]],SHP!F:F,SHP!EE:EE,"-")</f>
        <v>-</v>
      </c>
    </row>
    <row r="4842" spans="1:11" x14ac:dyDescent="0.45">
      <c r="A4842" s="57">
        <v>1815</v>
      </c>
      <c r="B4842" t="s">
        <v>3490</v>
      </c>
      <c r="C4842" t="s">
        <v>3491</v>
      </c>
      <c r="D4842" s="12">
        <v>46364</v>
      </c>
      <c r="E4842" s="11">
        <v>225</v>
      </c>
      <c r="F4842" s="11" t="s">
        <v>0</v>
      </c>
      <c r="G4842">
        <v>20191001</v>
      </c>
      <c r="I4842" s="11" t="s">
        <v>32</v>
      </c>
      <c r="J4842" s="72">
        <v>70444678</v>
      </c>
      <c r="K4842" s="99" t="str">
        <f>_xlfn.XLOOKUP(_2__ROI_Daily_Update[[#This Row],[CSM id]],SHP!F:F,SHP!EE:EE,"-")</f>
        <v>-</v>
      </c>
    </row>
    <row r="4843" spans="1:11" x14ac:dyDescent="0.45">
      <c r="A4843" s="57">
        <v>1431</v>
      </c>
      <c r="B4843" t="s">
        <v>2400</v>
      </c>
      <c r="C4843" t="s">
        <v>2401</v>
      </c>
      <c r="D4843" s="12">
        <v>46364</v>
      </c>
      <c r="E4843" s="11">
        <v>414</v>
      </c>
      <c r="F4843" s="11" t="s">
        <v>0</v>
      </c>
      <c r="G4843">
        <v>20210201</v>
      </c>
      <c r="I4843" s="11" t="s">
        <v>63</v>
      </c>
      <c r="J4843" s="72">
        <v>50485009</v>
      </c>
      <c r="K4843" s="99" t="str">
        <f>_xlfn.XLOOKUP(_2__ROI_Daily_Update[[#This Row],[CSM id]],SHP!F:F,SHP!EE:EE,"-")</f>
        <v>-</v>
      </c>
    </row>
    <row r="4844" spans="1:11" x14ac:dyDescent="0.45">
      <c r="A4844" s="57">
        <v>1551</v>
      </c>
      <c r="B4844" t="s">
        <v>7799</v>
      </c>
      <c r="C4844" t="s">
        <v>7800</v>
      </c>
      <c r="D4844" s="12">
        <v>46364</v>
      </c>
      <c r="E4844" s="11">
        <v>45</v>
      </c>
      <c r="F4844" s="11" t="s">
        <v>0</v>
      </c>
      <c r="G4844">
        <v>20270101</v>
      </c>
      <c r="I4844" s="11" t="s">
        <v>63</v>
      </c>
      <c r="J4844" s="72">
        <v>20643656</v>
      </c>
      <c r="K4844" s="99" t="str">
        <f>_xlfn.XLOOKUP(_2__ROI_Daily_Update[[#This Row],[CSM id]],SHP!F:F,SHP!EE:EE,"-")</f>
        <v>-</v>
      </c>
    </row>
    <row r="4845" spans="1:11" x14ac:dyDescent="0.45">
      <c r="A4845" s="57">
        <v>1431</v>
      </c>
      <c r="B4845" t="s">
        <v>2384</v>
      </c>
      <c r="C4845" t="s">
        <v>2385</v>
      </c>
      <c r="D4845" s="12">
        <v>46364</v>
      </c>
      <c r="E4845" s="11">
        <v>66</v>
      </c>
      <c r="F4845" s="11" t="s">
        <v>0</v>
      </c>
      <c r="G4845">
        <v>20261001</v>
      </c>
      <c r="I4845" s="11" t="s">
        <v>63</v>
      </c>
      <c r="J4845" s="72">
        <v>30638584</v>
      </c>
      <c r="K4845" s="99" t="str">
        <f>_xlfn.XLOOKUP(_2__ROI_Daily_Update[[#This Row],[CSM id]],SHP!F:F,SHP!EE:EE,"-")</f>
        <v>-</v>
      </c>
    </row>
    <row r="4846" spans="1:11" x14ac:dyDescent="0.45">
      <c r="A4846" s="57">
        <v>1552</v>
      </c>
      <c r="B4846" t="s">
        <v>2839</v>
      </c>
      <c r="C4846" t="s">
        <v>2840</v>
      </c>
      <c r="D4846" s="12">
        <v>46365</v>
      </c>
      <c r="E4846" s="11">
        <v>30</v>
      </c>
      <c r="F4846" s="11" t="s">
        <v>0</v>
      </c>
      <c r="G4846">
        <v>20150401</v>
      </c>
      <c r="I4846" s="11" t="s">
        <v>63</v>
      </c>
      <c r="J4846" s="72">
        <v>20297849</v>
      </c>
      <c r="K4846" s="99" t="str">
        <f>_xlfn.XLOOKUP(_2__ROI_Daily_Update[[#This Row],[CSM id]],SHP!F:F,SHP!EE:EE,"-")</f>
        <v>-</v>
      </c>
    </row>
    <row r="4847" spans="1:11" x14ac:dyDescent="0.45">
      <c r="A4847" s="57">
        <v>1431</v>
      </c>
      <c r="B4847" t="s">
        <v>2408</v>
      </c>
      <c r="C4847" t="s">
        <v>2409</v>
      </c>
      <c r="D4847" s="12">
        <v>46365</v>
      </c>
      <c r="E4847" s="11">
        <v>882</v>
      </c>
      <c r="F4847" s="11" t="s">
        <v>0</v>
      </c>
      <c r="G4847">
        <v>20250701</v>
      </c>
      <c r="I4847" s="11" t="s">
        <v>63</v>
      </c>
      <c r="J4847" s="72">
        <v>60340412</v>
      </c>
      <c r="K4847" s="99" t="str">
        <f>_xlfn.XLOOKUP(_2__ROI_Daily_Update[[#This Row],[CSM id]],SHP!F:F,SHP!EE:EE,"-")</f>
        <v>-</v>
      </c>
    </row>
    <row r="4848" spans="1:11" x14ac:dyDescent="0.45">
      <c r="A4848" s="57">
        <v>1815</v>
      </c>
      <c r="B4848" t="s">
        <v>3494</v>
      </c>
      <c r="C4848" t="s">
        <v>3495</v>
      </c>
      <c r="D4848" s="12">
        <v>46365</v>
      </c>
      <c r="E4848" s="11">
        <v>192</v>
      </c>
      <c r="F4848" s="11" t="s">
        <v>0</v>
      </c>
      <c r="G4848">
        <v>20140801</v>
      </c>
      <c r="I4848" s="11" t="s">
        <v>32</v>
      </c>
      <c r="J4848" s="72">
        <v>90180940</v>
      </c>
      <c r="K4848" s="99" t="str">
        <f>_xlfn.XLOOKUP(_2__ROI_Daily_Update[[#This Row],[CSM id]],SHP!F:F,SHP!EE:EE,"-")</f>
        <v>-</v>
      </c>
    </row>
    <row r="4849" spans="1:11" x14ac:dyDescent="0.45">
      <c r="A4849" s="57">
        <v>983</v>
      </c>
      <c r="B4849" t="s">
        <v>980</v>
      </c>
      <c r="C4849" t="s">
        <v>981</v>
      </c>
      <c r="D4849" s="12">
        <v>46365</v>
      </c>
      <c r="E4849" s="11">
        <v>32</v>
      </c>
      <c r="F4849" s="11" t="s">
        <v>0</v>
      </c>
      <c r="G4849">
        <v>20160401</v>
      </c>
      <c r="I4849" s="11" t="s">
        <v>32</v>
      </c>
      <c r="J4849" s="72">
        <v>30279944</v>
      </c>
      <c r="K4849" s="99" t="str">
        <f>_xlfn.XLOOKUP(_2__ROI_Daily_Update[[#This Row],[CSM id]],SHP!F:F,SHP!EE:EE,"-")</f>
        <v>-</v>
      </c>
    </row>
    <row r="4850" spans="1:11" x14ac:dyDescent="0.45">
      <c r="A4850" s="57">
        <v>1421</v>
      </c>
      <c r="B4850" t="s">
        <v>7898</v>
      </c>
      <c r="C4850" t="s">
        <v>7899</v>
      </c>
      <c r="D4850" s="12">
        <v>46365</v>
      </c>
      <c r="E4850" s="11">
        <v>49</v>
      </c>
      <c r="F4850" s="11" t="s">
        <v>0</v>
      </c>
      <c r="G4850">
        <v>20270101</v>
      </c>
      <c r="H4850" s="12">
        <v>46661</v>
      </c>
      <c r="I4850" s="11" t="s">
        <v>63</v>
      </c>
      <c r="J4850" s="72">
        <v>80642319</v>
      </c>
      <c r="K4850" s="99" t="str">
        <f>_xlfn.XLOOKUP(_2__ROI_Daily_Update[[#This Row],[CSM id]],SHP!F:F,SHP!EE:EE,"-")</f>
        <v>-</v>
      </c>
    </row>
    <row r="4851" spans="1:11" x14ac:dyDescent="0.45">
      <c r="A4851" s="57">
        <v>1431</v>
      </c>
      <c r="B4851" t="s">
        <v>2400</v>
      </c>
      <c r="C4851" t="s">
        <v>2401</v>
      </c>
      <c r="D4851" s="12">
        <v>46365</v>
      </c>
      <c r="E4851" s="11">
        <v>414</v>
      </c>
      <c r="F4851" s="11" t="s">
        <v>0</v>
      </c>
      <c r="G4851">
        <v>20210201</v>
      </c>
      <c r="I4851" s="11" t="s">
        <v>63</v>
      </c>
      <c r="J4851" s="72">
        <v>50485009</v>
      </c>
      <c r="K4851" s="99" t="str">
        <f>_xlfn.XLOOKUP(_2__ROI_Daily_Update[[#This Row],[CSM id]],SHP!F:F,SHP!EE:EE,"-")</f>
        <v>-</v>
      </c>
    </row>
    <row r="4852" spans="1:11" x14ac:dyDescent="0.45">
      <c r="A4852" s="57">
        <v>1552</v>
      </c>
      <c r="B4852" t="s">
        <v>5228</v>
      </c>
      <c r="C4852" t="s">
        <v>5229</v>
      </c>
      <c r="D4852" s="12">
        <v>46365</v>
      </c>
      <c r="E4852" s="11">
        <v>48</v>
      </c>
      <c r="F4852" s="11" t="s">
        <v>0</v>
      </c>
      <c r="G4852">
        <v>20220401</v>
      </c>
      <c r="I4852" s="11" t="s">
        <v>63</v>
      </c>
      <c r="J4852" s="72">
        <v>40511527</v>
      </c>
      <c r="K4852" s="99" t="str">
        <f>_xlfn.XLOOKUP(_2__ROI_Daily_Update[[#This Row],[CSM id]],SHP!F:F,SHP!EE:EE,"-")</f>
        <v>-</v>
      </c>
    </row>
    <row r="4853" spans="1:11" x14ac:dyDescent="0.45">
      <c r="A4853" s="57">
        <v>1421</v>
      </c>
      <c r="B4853" t="s">
        <v>7900</v>
      </c>
      <c r="C4853" t="s">
        <v>7901</v>
      </c>
      <c r="D4853" s="12">
        <v>46365</v>
      </c>
      <c r="E4853" s="11">
        <v>37</v>
      </c>
      <c r="F4853" s="11" t="s">
        <v>0</v>
      </c>
      <c r="G4853">
        <v>20270101</v>
      </c>
      <c r="H4853" s="12">
        <v>46661</v>
      </c>
      <c r="I4853" s="11" t="s">
        <v>63</v>
      </c>
      <c r="J4853" s="72">
        <v>60642278</v>
      </c>
      <c r="K4853" s="99" t="str">
        <f>_xlfn.XLOOKUP(_2__ROI_Daily_Update[[#This Row],[CSM id]],SHP!F:F,SHP!EE:EE,"-")</f>
        <v>-</v>
      </c>
    </row>
    <row r="4854" spans="1:11" x14ac:dyDescent="0.45">
      <c r="A4854" s="57">
        <v>1531</v>
      </c>
      <c r="B4854" t="s">
        <v>2724</v>
      </c>
      <c r="C4854" t="s">
        <v>2725</v>
      </c>
      <c r="D4854" s="12">
        <v>46365</v>
      </c>
      <c r="E4854" s="11">
        <v>288</v>
      </c>
      <c r="F4854" s="11" t="s">
        <v>0</v>
      </c>
      <c r="G4854">
        <v>20190801</v>
      </c>
      <c r="I4854" s="11" t="s">
        <v>63</v>
      </c>
      <c r="J4854" s="72">
        <v>428484</v>
      </c>
      <c r="K4854" s="99" t="str">
        <f>_xlfn.XLOOKUP(_2__ROI_Daily_Update[[#This Row],[CSM id]],SHP!F:F,SHP!EE:EE,"-")</f>
        <v>-</v>
      </c>
    </row>
    <row r="4855" spans="1:11" x14ac:dyDescent="0.45">
      <c r="A4855" s="57">
        <v>1512</v>
      </c>
      <c r="B4855" t="s">
        <v>7902</v>
      </c>
      <c r="C4855" t="s">
        <v>7903</v>
      </c>
      <c r="D4855" s="12">
        <v>46365</v>
      </c>
      <c r="E4855" s="11">
        <v>16</v>
      </c>
      <c r="F4855" s="11" t="s">
        <v>0</v>
      </c>
      <c r="G4855">
        <v>20261001</v>
      </c>
      <c r="H4855" s="12">
        <v>46478</v>
      </c>
      <c r="I4855" s="11" t="s">
        <v>63</v>
      </c>
      <c r="J4855" s="72">
        <v>20638363</v>
      </c>
      <c r="K4855" s="99" t="str">
        <f>_xlfn.XLOOKUP(_2__ROI_Daily_Update[[#This Row],[CSM id]],SHP!F:F,SHP!EE:EE,"-")</f>
        <v>-</v>
      </c>
    </row>
    <row r="4856" spans="1:11" x14ac:dyDescent="0.45">
      <c r="A4856" s="57">
        <v>1815</v>
      </c>
      <c r="B4856" t="s">
        <v>3488</v>
      </c>
      <c r="C4856" t="s">
        <v>3489</v>
      </c>
      <c r="D4856" s="12">
        <v>46365</v>
      </c>
      <c r="E4856" s="11">
        <v>225</v>
      </c>
      <c r="F4856" s="11" t="s">
        <v>0</v>
      </c>
      <c r="G4856">
        <v>20161001</v>
      </c>
      <c r="I4856" s="11" t="s">
        <v>32</v>
      </c>
      <c r="J4856" s="72">
        <v>70316181</v>
      </c>
      <c r="K4856" s="99" t="str">
        <f>_xlfn.XLOOKUP(_2__ROI_Daily_Update[[#This Row],[CSM id]],SHP!F:F,SHP!EE:EE,"-")</f>
        <v>-</v>
      </c>
    </row>
    <row r="4857" spans="1:11" x14ac:dyDescent="0.45">
      <c r="A4857" s="57">
        <v>1421</v>
      </c>
      <c r="B4857" t="s">
        <v>7904</v>
      </c>
      <c r="C4857" t="s">
        <v>7905</v>
      </c>
      <c r="D4857" s="12">
        <v>46365</v>
      </c>
      <c r="E4857" s="11">
        <v>120</v>
      </c>
      <c r="F4857" s="11" t="s">
        <v>0</v>
      </c>
      <c r="G4857">
        <v>20141201</v>
      </c>
      <c r="I4857" s="11" t="s">
        <v>63</v>
      </c>
      <c r="J4857" s="72">
        <v>10161592</v>
      </c>
      <c r="K4857" s="99" t="str">
        <f>_xlfn.XLOOKUP(_2__ROI_Daily_Update[[#This Row],[CSM id]],SHP!F:F,SHP!EE:EE,"-")</f>
        <v>-</v>
      </c>
    </row>
    <row r="4858" spans="1:11" x14ac:dyDescent="0.45">
      <c r="A4858" s="57">
        <v>1421</v>
      </c>
      <c r="B4858" t="s">
        <v>7906</v>
      </c>
      <c r="C4858" t="s">
        <v>7907</v>
      </c>
      <c r="D4858" s="12">
        <v>46366</v>
      </c>
      <c r="E4858" s="11">
        <v>144</v>
      </c>
      <c r="F4858" s="11" t="s">
        <v>0</v>
      </c>
      <c r="G4858">
        <v>20141201</v>
      </c>
      <c r="I4858" s="11" t="s">
        <v>63</v>
      </c>
      <c r="J4858" s="72">
        <v>90163323</v>
      </c>
      <c r="K4858" s="99" t="str">
        <f>_xlfn.XLOOKUP(_2__ROI_Daily_Update[[#This Row],[CSM id]],SHP!F:F,SHP!EE:EE,"-")</f>
        <v>-</v>
      </c>
    </row>
    <row r="4859" spans="1:11" x14ac:dyDescent="0.45">
      <c r="A4859" s="57">
        <v>1815</v>
      </c>
      <c r="B4859" t="s">
        <v>3458</v>
      </c>
      <c r="C4859" t="s">
        <v>3459</v>
      </c>
      <c r="D4859" s="12">
        <v>46366</v>
      </c>
      <c r="E4859" s="11">
        <v>22</v>
      </c>
      <c r="F4859" s="11" t="s">
        <v>0</v>
      </c>
      <c r="G4859">
        <v>20191001</v>
      </c>
      <c r="I4859" s="11" t="s">
        <v>32</v>
      </c>
      <c r="J4859" s="72">
        <v>10411534</v>
      </c>
      <c r="K4859" s="99" t="str">
        <f>_xlfn.XLOOKUP(_2__ROI_Daily_Update[[#This Row],[CSM id]],SHP!F:F,SHP!EE:EE,"-")</f>
        <v>-</v>
      </c>
    </row>
    <row r="4860" spans="1:11" x14ac:dyDescent="0.45">
      <c r="A4860" s="57">
        <v>1551</v>
      </c>
      <c r="B4860" t="s">
        <v>7908</v>
      </c>
      <c r="C4860" t="s">
        <v>7909</v>
      </c>
      <c r="D4860" s="12">
        <v>46366</v>
      </c>
      <c r="E4860" s="11">
        <v>24</v>
      </c>
      <c r="F4860" s="11" t="s">
        <v>0</v>
      </c>
      <c r="G4860">
        <v>20270101</v>
      </c>
      <c r="I4860" s="11" t="s">
        <v>63</v>
      </c>
      <c r="J4860" s="72">
        <v>50637767</v>
      </c>
      <c r="K4860" s="99" t="str">
        <f>_xlfn.XLOOKUP(_2__ROI_Daily_Update[[#This Row],[CSM id]],SHP!F:F,SHP!EE:EE,"-")</f>
        <v>-</v>
      </c>
    </row>
    <row r="4861" spans="1:11" x14ac:dyDescent="0.45">
      <c r="A4861" s="57">
        <v>1531</v>
      </c>
      <c r="B4861" t="s">
        <v>2738</v>
      </c>
      <c r="C4861" t="s">
        <v>2739</v>
      </c>
      <c r="D4861" s="12">
        <v>46366</v>
      </c>
      <c r="E4861" s="11">
        <v>42</v>
      </c>
      <c r="F4861" s="11" t="s">
        <v>0</v>
      </c>
      <c r="G4861">
        <v>20190801</v>
      </c>
      <c r="I4861" s="11" t="s">
        <v>63</v>
      </c>
      <c r="J4861" s="72">
        <v>50428486</v>
      </c>
      <c r="K4861" s="99" t="str">
        <f>_xlfn.XLOOKUP(_2__ROI_Daily_Update[[#This Row],[CSM id]],SHP!F:F,SHP!EE:EE,"-")</f>
        <v>-</v>
      </c>
    </row>
    <row r="4862" spans="1:11" x14ac:dyDescent="0.45">
      <c r="A4862" s="57">
        <v>1633</v>
      </c>
      <c r="B4862" t="s">
        <v>3018</v>
      </c>
      <c r="C4862" t="s">
        <v>3019</v>
      </c>
      <c r="D4862" s="12">
        <v>46366</v>
      </c>
      <c r="E4862" s="11">
        <v>24</v>
      </c>
      <c r="F4862" s="11" t="s">
        <v>0</v>
      </c>
      <c r="G4862">
        <v>20141201</v>
      </c>
      <c r="I4862" s="11" t="s">
        <v>63</v>
      </c>
      <c r="J4862" s="72">
        <v>90191632</v>
      </c>
      <c r="K4862" s="99" t="str">
        <f>_xlfn.XLOOKUP(_2__ROI_Daily_Update[[#This Row],[CSM id]],SHP!F:F,SHP!EE:EE,"-")</f>
        <v>-</v>
      </c>
    </row>
    <row r="4863" spans="1:11" x14ac:dyDescent="0.45">
      <c r="A4863" s="57">
        <v>1424</v>
      </c>
      <c r="B4863" t="s">
        <v>7910</v>
      </c>
      <c r="C4863" t="s">
        <v>7911</v>
      </c>
      <c r="D4863" s="12">
        <v>46366</v>
      </c>
      <c r="E4863" s="11">
        <v>520</v>
      </c>
      <c r="F4863" s="11" t="s">
        <v>0</v>
      </c>
      <c r="G4863">
        <v>20141201</v>
      </c>
      <c r="I4863" s="11" t="s">
        <v>63</v>
      </c>
      <c r="J4863" s="72">
        <v>30202266</v>
      </c>
      <c r="K4863" s="99" t="str">
        <f>_xlfn.XLOOKUP(_2__ROI_Daily_Update[[#This Row],[CSM id]],SHP!F:F,SHP!EE:EE,"-")</f>
        <v>-</v>
      </c>
    </row>
    <row r="4864" spans="1:11" x14ac:dyDescent="0.45">
      <c r="A4864" s="57">
        <v>1815</v>
      </c>
      <c r="B4864" t="s">
        <v>3470</v>
      </c>
      <c r="C4864" t="s">
        <v>3471</v>
      </c>
      <c r="D4864" s="12">
        <v>46366</v>
      </c>
      <c r="E4864" s="11">
        <v>60</v>
      </c>
      <c r="F4864" s="11" t="s">
        <v>0</v>
      </c>
      <c r="G4864">
        <v>20140801</v>
      </c>
      <c r="I4864" s="11" t="s">
        <v>32</v>
      </c>
      <c r="J4864" s="72">
        <v>50180942</v>
      </c>
      <c r="K4864" s="99" t="str">
        <f>_xlfn.XLOOKUP(_2__ROI_Daily_Update[[#This Row],[CSM id]],SHP!F:F,SHP!EE:EE,"-")</f>
        <v>-</v>
      </c>
    </row>
    <row r="4865" spans="1:11" x14ac:dyDescent="0.45">
      <c r="A4865" s="57">
        <v>1431</v>
      </c>
      <c r="B4865" t="s">
        <v>2360</v>
      </c>
      <c r="C4865" t="s">
        <v>2361</v>
      </c>
      <c r="D4865" s="12">
        <v>46366</v>
      </c>
      <c r="E4865" s="11">
        <v>72</v>
      </c>
      <c r="F4865" s="11" t="s">
        <v>0</v>
      </c>
      <c r="G4865">
        <v>20251001</v>
      </c>
      <c r="I4865" s="11" t="s">
        <v>63</v>
      </c>
      <c r="J4865" s="72">
        <v>20605697</v>
      </c>
      <c r="K4865" s="99" t="str">
        <f>_xlfn.XLOOKUP(_2__ROI_Daily_Update[[#This Row],[CSM id]],SHP!F:F,SHP!EE:EE,"-")</f>
        <v>-</v>
      </c>
    </row>
    <row r="4866" spans="1:11" x14ac:dyDescent="0.45">
      <c r="A4866" s="57">
        <v>1512</v>
      </c>
      <c r="B4866" t="s">
        <v>7912</v>
      </c>
      <c r="C4866" t="s">
        <v>7913</v>
      </c>
      <c r="D4866" s="12">
        <v>46366</v>
      </c>
      <c r="E4866" s="11">
        <v>60</v>
      </c>
      <c r="F4866" s="11" t="s">
        <v>0</v>
      </c>
      <c r="G4866">
        <v>20270101</v>
      </c>
      <c r="H4866" s="12">
        <v>46661</v>
      </c>
      <c r="I4866" s="11" t="s">
        <v>63</v>
      </c>
      <c r="J4866" s="72">
        <v>642281</v>
      </c>
      <c r="K4866" s="99" t="str">
        <f>_xlfn.XLOOKUP(_2__ROI_Daily_Update[[#This Row],[CSM id]],SHP!F:F,SHP!EE:EE,"-")</f>
        <v>-</v>
      </c>
    </row>
    <row r="4867" spans="1:11" x14ac:dyDescent="0.45">
      <c r="A4867" s="57">
        <v>1815</v>
      </c>
      <c r="B4867" t="s">
        <v>3454</v>
      </c>
      <c r="C4867" t="s">
        <v>3455</v>
      </c>
      <c r="D4867" s="12">
        <v>46366</v>
      </c>
      <c r="E4867" s="11">
        <v>696</v>
      </c>
      <c r="F4867" s="11" t="s">
        <v>0</v>
      </c>
      <c r="G4867">
        <v>20140801</v>
      </c>
      <c r="I4867" s="11" t="s">
        <v>32</v>
      </c>
      <c r="J4867" s="72">
        <v>10180939</v>
      </c>
      <c r="K4867" s="99" t="str">
        <f>_xlfn.XLOOKUP(_2__ROI_Daily_Update[[#This Row],[CSM id]],SHP!F:F,SHP!EE:EE,"-")</f>
        <v>-</v>
      </c>
    </row>
    <row r="4868" spans="1:11" x14ac:dyDescent="0.45">
      <c r="A4868" s="57">
        <v>1622</v>
      </c>
      <c r="B4868" t="s">
        <v>7783</v>
      </c>
      <c r="C4868" t="s">
        <v>7784</v>
      </c>
      <c r="D4868" s="12">
        <v>46367</v>
      </c>
      <c r="E4868" s="11">
        <v>20</v>
      </c>
      <c r="F4868" s="11" t="s">
        <v>0</v>
      </c>
      <c r="G4868">
        <v>20261001</v>
      </c>
      <c r="H4868" s="12">
        <v>46388</v>
      </c>
      <c r="I4868" s="11" t="s">
        <v>32</v>
      </c>
      <c r="J4868" s="72">
        <v>80640400</v>
      </c>
      <c r="K4868" s="99" t="str">
        <f>_xlfn.XLOOKUP(_2__ROI_Daily_Update[[#This Row],[CSM id]],SHP!F:F,SHP!EE:EE,"-")</f>
        <v>-</v>
      </c>
    </row>
    <row r="4869" spans="1:11" x14ac:dyDescent="0.45">
      <c r="A4869" s="57">
        <v>1813</v>
      </c>
      <c r="B4869" t="s">
        <v>3404</v>
      </c>
      <c r="C4869" t="s">
        <v>3405</v>
      </c>
      <c r="D4869" s="12">
        <v>46372</v>
      </c>
      <c r="E4869" s="11">
        <v>576</v>
      </c>
      <c r="F4869" s="11" t="s">
        <v>0</v>
      </c>
      <c r="G4869">
        <v>20260701</v>
      </c>
      <c r="I4869" s="11" t="s">
        <v>32</v>
      </c>
      <c r="J4869" s="72">
        <v>50534397</v>
      </c>
      <c r="K4869" s="99" t="str">
        <f>_xlfn.XLOOKUP(_2__ROI_Daily_Update[[#This Row],[CSM id]],SHP!F:F,SHP!EE:EE,"-")</f>
        <v>-</v>
      </c>
    </row>
    <row r="4870" spans="1:11" x14ac:dyDescent="0.45">
      <c r="A4870" s="57">
        <v>971</v>
      </c>
      <c r="B4870" t="s">
        <v>827</v>
      </c>
      <c r="C4870" t="s">
        <v>828</v>
      </c>
      <c r="D4870" s="12">
        <v>46372</v>
      </c>
      <c r="E4870" s="11">
        <v>20</v>
      </c>
      <c r="F4870" s="11" t="s">
        <v>0</v>
      </c>
      <c r="G4870">
        <v>20180801</v>
      </c>
      <c r="I4870" s="11" t="s">
        <v>32</v>
      </c>
      <c r="J4870" s="72">
        <v>20402831</v>
      </c>
      <c r="K4870" s="99" t="str">
        <f>_xlfn.XLOOKUP(_2__ROI_Daily_Update[[#This Row],[CSM id]],SHP!F:F,SHP!EE:EE,"-")</f>
        <v>-</v>
      </c>
    </row>
    <row r="4871" spans="1:11" x14ac:dyDescent="0.45">
      <c r="A4871" s="57">
        <v>971</v>
      </c>
      <c r="B4871" t="s">
        <v>847</v>
      </c>
      <c r="C4871" t="s">
        <v>848</v>
      </c>
      <c r="D4871" s="12">
        <v>46372</v>
      </c>
      <c r="E4871" s="11">
        <v>16</v>
      </c>
      <c r="F4871" s="11" t="s">
        <v>0</v>
      </c>
      <c r="G4871">
        <v>20260201</v>
      </c>
      <c r="I4871" s="11" t="s">
        <v>32</v>
      </c>
      <c r="J4871" s="72">
        <v>60602084</v>
      </c>
      <c r="K4871" s="99" t="str">
        <f>_xlfn.XLOOKUP(_2__ROI_Daily_Update[[#This Row],[CSM id]],SHP!F:F,SHP!EE:EE,"-")</f>
        <v>-</v>
      </c>
    </row>
    <row r="4872" spans="1:11" x14ac:dyDescent="0.45">
      <c r="A4872" s="57">
        <v>1813</v>
      </c>
      <c r="B4872" t="s">
        <v>5396</v>
      </c>
      <c r="C4872" t="s">
        <v>5397</v>
      </c>
      <c r="D4872" s="12">
        <v>46372</v>
      </c>
      <c r="E4872" s="11">
        <v>576</v>
      </c>
      <c r="F4872" s="11" t="s">
        <v>0</v>
      </c>
      <c r="G4872">
        <v>20260701</v>
      </c>
      <c r="I4872" s="11" t="s">
        <v>32</v>
      </c>
      <c r="J4872" s="72">
        <v>30534398</v>
      </c>
      <c r="K4872" s="99" t="str">
        <f>_xlfn.XLOOKUP(_2__ROI_Daily_Update[[#This Row],[CSM id]],SHP!F:F,SHP!EE:EE,"-")</f>
        <v>-</v>
      </c>
    </row>
    <row r="4873" spans="1:11" x14ac:dyDescent="0.45">
      <c r="A4873" s="57">
        <v>971</v>
      </c>
      <c r="B4873" t="s">
        <v>819</v>
      </c>
      <c r="C4873" t="s">
        <v>820</v>
      </c>
      <c r="D4873" s="12">
        <v>46372</v>
      </c>
      <c r="E4873" s="11">
        <v>264</v>
      </c>
      <c r="F4873" s="11" t="s">
        <v>0</v>
      </c>
      <c r="G4873">
        <v>20140801</v>
      </c>
      <c r="I4873" s="11" t="s">
        <v>32</v>
      </c>
      <c r="J4873" s="72">
        <v>10221317</v>
      </c>
      <c r="K4873" s="99" t="str">
        <f>_xlfn.XLOOKUP(_2__ROI_Daily_Update[[#This Row],[CSM id]],SHP!F:F,SHP!EE:EE,"-")</f>
        <v>-</v>
      </c>
    </row>
    <row r="4874" spans="1:11" x14ac:dyDescent="0.45">
      <c r="A4874" s="57">
        <v>1811</v>
      </c>
      <c r="B4874" t="s">
        <v>6601</v>
      </c>
      <c r="C4874" t="s">
        <v>6602</v>
      </c>
      <c r="D4874" s="12">
        <v>46372</v>
      </c>
      <c r="E4874" s="11">
        <v>48</v>
      </c>
      <c r="F4874" s="11" t="s">
        <v>0</v>
      </c>
      <c r="G4874">
        <v>20200801</v>
      </c>
      <c r="I4874" s="11" t="s">
        <v>32</v>
      </c>
      <c r="J4874" s="72">
        <v>60376482</v>
      </c>
      <c r="K4874" s="99" t="str">
        <f>_xlfn.XLOOKUP(_2__ROI_Daily_Update[[#This Row],[CSM id]],SHP!F:F,SHP!EE:EE,"-")</f>
        <v>-</v>
      </c>
    </row>
    <row r="4875" spans="1:11" x14ac:dyDescent="0.45">
      <c r="A4875" s="57">
        <v>971</v>
      </c>
      <c r="B4875" t="s">
        <v>833</v>
      </c>
      <c r="C4875" t="s">
        <v>834</v>
      </c>
      <c r="D4875" s="12">
        <v>46372</v>
      </c>
      <c r="E4875" s="11">
        <v>64</v>
      </c>
      <c r="F4875" s="11" t="s">
        <v>0</v>
      </c>
      <c r="G4875">
        <v>20151201</v>
      </c>
      <c r="I4875" s="11" t="s">
        <v>32</v>
      </c>
      <c r="J4875" s="72">
        <v>30297995</v>
      </c>
      <c r="K4875" s="99" t="str">
        <f>_xlfn.XLOOKUP(_2__ROI_Daily_Update[[#This Row],[CSM id]],SHP!F:F,SHP!EE:EE,"-")</f>
        <v>-</v>
      </c>
    </row>
    <row r="4876" spans="1:11" x14ac:dyDescent="0.45">
      <c r="A4876" s="57">
        <v>1811</v>
      </c>
      <c r="B4876" t="s">
        <v>3351</v>
      </c>
      <c r="C4876" t="s">
        <v>3352</v>
      </c>
      <c r="D4876" s="12">
        <v>46379</v>
      </c>
      <c r="E4876" s="11">
        <v>168</v>
      </c>
      <c r="F4876" s="11" t="s">
        <v>0</v>
      </c>
      <c r="G4876">
        <v>20200801</v>
      </c>
      <c r="I4876" s="11" t="s">
        <v>32</v>
      </c>
      <c r="J4876" s="72">
        <v>80376481</v>
      </c>
      <c r="K4876" s="99" t="str">
        <f>_xlfn.XLOOKUP(_2__ROI_Daily_Update[[#This Row],[CSM id]],SHP!F:F,SHP!EE:EE,"-")</f>
        <v>-</v>
      </c>
    </row>
    <row r="4877" spans="1:11" x14ac:dyDescent="0.45">
      <c r="A4877" s="57">
        <v>1852</v>
      </c>
      <c r="B4877" t="s">
        <v>3699</v>
      </c>
      <c r="C4877" t="s">
        <v>3700</v>
      </c>
      <c r="D4877" s="12">
        <v>46379</v>
      </c>
      <c r="E4877" s="11">
        <v>144</v>
      </c>
      <c r="F4877" s="11" t="s">
        <v>0</v>
      </c>
      <c r="G4877">
        <v>20260401</v>
      </c>
      <c r="I4877" s="11" t="s">
        <v>32</v>
      </c>
      <c r="J4877" s="72">
        <v>60339932</v>
      </c>
      <c r="K4877" s="99" t="str">
        <f>_xlfn.XLOOKUP(_2__ROI_Daily_Update[[#This Row],[CSM id]],SHP!F:F,SHP!EE:EE,"-")</f>
        <v>-</v>
      </c>
    </row>
    <row r="4878" spans="1:11" x14ac:dyDescent="0.45">
      <c r="A4878" s="57">
        <v>1852</v>
      </c>
      <c r="B4878" t="s">
        <v>3686</v>
      </c>
      <c r="C4878" t="s">
        <v>3687</v>
      </c>
      <c r="D4878" s="12">
        <v>46379</v>
      </c>
      <c r="E4878" s="11">
        <v>36</v>
      </c>
      <c r="F4878" s="11" t="s">
        <v>0</v>
      </c>
      <c r="G4878">
        <v>20180401</v>
      </c>
      <c r="I4878" s="11" t="s">
        <v>32</v>
      </c>
      <c r="J4878" s="72">
        <v>40339933</v>
      </c>
      <c r="K4878" s="99" t="str">
        <f>_xlfn.XLOOKUP(_2__ROI_Daily_Update[[#This Row],[CSM id]],SHP!F:F,SHP!EE:EE,"-")</f>
        <v>-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E2DF-DFB1-49C0-B9FF-1F6B15DE23E0}">
  <sheetPr codeName="Sheet2"/>
  <dimension ref="A1:AH297"/>
  <sheetViews>
    <sheetView zoomScale="85" zoomScaleNormal="85" workbookViewId="0">
      <pane ySplit="1" topLeftCell="A2" activePane="bottomLeft" state="frozen"/>
      <selection pane="bottomLeft" activeCell="G18" sqref="G18"/>
    </sheetView>
  </sheetViews>
  <sheetFormatPr defaultRowHeight="17.399999999999999" x14ac:dyDescent="0.45"/>
  <cols>
    <col min="1" max="1" width="4.69921875" style="11" bestFit="1" customWidth="1"/>
    <col min="2" max="2" width="13.09765625" bestFit="1" customWidth="1"/>
    <col min="3" max="3" width="18.8984375" bestFit="1" customWidth="1"/>
    <col min="4" max="4" width="13.09765625" style="11" bestFit="1" customWidth="1"/>
    <col min="5" max="5" width="12.09765625" customWidth="1"/>
    <col min="6" max="6" width="19.296875" style="11" customWidth="1"/>
    <col min="7" max="7" width="31" style="12" customWidth="1"/>
    <col min="8" max="8" width="31.296875" style="13" customWidth="1"/>
    <col min="9" max="9" width="10.09765625" style="12" customWidth="1"/>
    <col min="10" max="10" width="20.8984375" style="11" customWidth="1"/>
    <col min="11" max="11" width="16.59765625" style="12" customWidth="1"/>
    <col min="12" max="12" width="22.09765625" style="11" customWidth="1"/>
    <col min="13" max="13" width="10.8984375" customWidth="1"/>
    <col min="14" max="14" width="19.8984375" customWidth="1"/>
    <col min="17" max="17" width="9.09765625" bestFit="1" customWidth="1"/>
    <col min="18" max="18" width="14.8984375" bestFit="1" customWidth="1"/>
    <col min="19" max="20" width="12.59765625" bestFit="1" customWidth="1"/>
    <col min="21" max="21" width="13.09765625" bestFit="1" customWidth="1"/>
    <col min="22" max="22" width="14" bestFit="1" customWidth="1"/>
    <col min="23" max="23" width="19.09765625" bestFit="1" customWidth="1"/>
    <col min="24" max="24" width="12.09765625" bestFit="1" customWidth="1"/>
    <col min="25" max="25" width="21.8984375" bestFit="1" customWidth="1"/>
    <col min="26" max="26" width="10.59765625" bestFit="1" customWidth="1"/>
    <col min="27" max="27" width="20.09765625" bestFit="1" customWidth="1"/>
    <col min="28" max="28" width="18.8984375" bestFit="1" customWidth="1"/>
    <col min="29" max="29" width="30.8984375" bestFit="1" customWidth="1"/>
    <col min="30" max="30" width="24.59765625" customWidth="1"/>
    <col min="31" max="31" width="31.296875" customWidth="1"/>
    <col min="32" max="32" width="18.8984375" style="28" bestFit="1" customWidth="1"/>
    <col min="33" max="33" width="39.296875" style="28" customWidth="1"/>
    <col min="34" max="34" width="44.59765625" customWidth="1"/>
  </cols>
  <sheetData>
    <row r="1" spans="1:34" s="6" customFormat="1" ht="49.95" customHeight="1" thickBot="1" x14ac:dyDescent="0.5">
      <c r="A1" s="22" t="str" cm="1">
        <f t="array" ref="A1:AH297">_xlfn.LET(
  _xlpm.src, SHP!A:AH,
  _xlpm.lastRow, MAX((SHP!A:AH&lt;&gt;"")*ROW(SHP!A:AH)),
  _xlfn.TAKE(_xlpm.src, _xlpm.lastRow)
)</f>
        <v>TYPE</v>
      </c>
      <c r="B1" s="22" t="str">
        <v>TYPE_1</v>
      </c>
      <c r="C1" s="22" t="str">
        <v>BL</v>
      </c>
      <c r="D1" s="22" t="str">
        <v>Container NO.</v>
      </c>
      <c r="E1" s="22" t="str">
        <v>Lut Code</v>
      </c>
      <c r="F1" s="22" t="str">
        <v>Csm Id</v>
      </c>
      <c r="G1" s="23" t="str">
        <v>Planned Logistics Receiving(Date)</v>
      </c>
      <c r="H1" s="24" t="str">
        <v>Planned Logistics Receiving(Time)</v>
      </c>
      <c r="I1" s="25" t="str">
        <v>Cus. Date</v>
      </c>
      <c r="J1" s="22" t="str">
        <v>Customs Inspection Date</v>
      </c>
      <c r="K1" s="25" t="str">
        <v>Actual
Arrival
Date</v>
      </c>
      <c r="L1" s="22" t="str">
        <v>shipment ID</v>
      </c>
      <c r="M1" s="22" t="str">
        <v>Csm Stat</v>
      </c>
      <c r="N1" s="22" t="str">
        <v>Shp Id</v>
      </c>
      <c r="O1" s="22" t="str">
        <v>Shp Stat</v>
      </c>
      <c r="P1" s="22" t="str">
        <v>Shp CarContact</v>
      </c>
      <c r="Q1" s="22" t="str">
        <v>Shp DayCre</v>
      </c>
      <c r="R1" s="22" t="str">
        <v>Cnee Code</v>
      </c>
      <c r="S1" s="22" t="str">
        <v>Cnee Type</v>
      </c>
      <c r="T1" s="22" t="str">
        <v>Total Art Qty (pcs)</v>
      </c>
      <c r="U1" s="22" t="str">
        <v>Csm VolNetTot</v>
      </c>
      <c r="V1" s="22" t="str">
        <v>Csm VolGroTot</v>
      </c>
      <c r="W1" s="22" t="str">
        <v>Csm WeiGroTot</v>
      </c>
      <c r="X1" s="22" t="str">
        <v>Csm ArrDayPlan</v>
      </c>
      <c r="Y1" s="22" t="str">
        <v>ShpRou RecPldArrDate</v>
      </c>
      <c r="Z1" s="22" t="str">
        <v>LuTrL ActDepDate</v>
      </c>
      <c r="AA1" s="22" t="str">
        <v>Carrier Code</v>
      </c>
      <c r="AB1" s="22" t="str">
        <v>Carrier Name</v>
      </c>
      <c r="AC1" s="22" t="str">
        <v>Seal</v>
      </c>
      <c r="AD1" s="22" t="str">
        <v>Vessel Name</v>
      </c>
      <c r="AE1" s="22" t="str">
        <v>Voyage No</v>
      </c>
      <c r="AF1" s="25" t="str">
        <v>Start Cty</v>
      </c>
      <c r="AG1" s="25" t="str">
        <v>Start Type</v>
      </c>
      <c r="AH1" s="22" t="str">
        <v>Start Code</v>
      </c>
    </row>
    <row r="2" spans="1:34" ht="25.2" customHeight="1" x14ac:dyDescent="0.45">
      <c r="A2" s="18" t="str">
        <v>DD</v>
      </c>
      <c r="B2" s="19" t="str">
        <v/>
      </c>
      <c r="C2" s="19" t="str">
        <v>MAEUIK0223295</v>
      </c>
      <c r="D2" s="18" t="str">
        <v>TCNU5314437</v>
      </c>
      <c r="E2" s="19" t="str">
        <v>C40HC</v>
      </c>
      <c r="F2" s="18" t="str">
        <v>19720SUPECIS214232</v>
      </c>
      <c r="G2" s="20">
        <v>46316</v>
      </c>
      <c r="H2" s="21">
        <v>0.27083333333333326</v>
      </c>
      <c r="I2" s="20">
        <v>46303</v>
      </c>
      <c r="J2" s="18">
        <v>0</v>
      </c>
      <c r="K2" s="20">
        <v>46303</v>
      </c>
      <c r="L2" s="18" t="str">
        <v>373-STO-S10000031673</v>
      </c>
      <c r="M2" s="19" t="str">
        <v>400</v>
      </c>
      <c r="N2" s="19" t="str">
        <v>012TSOS10000407873</v>
      </c>
      <c r="O2" s="19" t="str">
        <v>400</v>
      </c>
      <c r="P2" s="19" t="str">
        <v>HEDXU</v>
      </c>
      <c r="Q2" s="19">
        <v>46279</v>
      </c>
      <c r="R2" s="19">
        <v>726</v>
      </c>
      <c r="S2" s="19" t="str">
        <v>STO</v>
      </c>
      <c r="T2" s="19">
        <v>15061</v>
      </c>
      <c r="U2" s="19" t="str">
        <v>56.914439</v>
      </c>
      <c r="V2" s="19" t="str">
        <v>61.256584</v>
      </c>
      <c r="W2" s="19">
        <v>7562.76</v>
      </c>
      <c r="X2" s="19">
        <v>46304</v>
      </c>
      <c r="Y2" s="19">
        <v>46303</v>
      </c>
      <c r="Z2" s="19">
        <v>46292</v>
      </c>
      <c r="AA2" s="19" t="str">
        <v>31825</v>
      </c>
      <c r="AB2" s="19" t="str">
        <v>MAERSK A/S</v>
      </c>
      <c r="AC2" s="19" t="str">
        <v>CN8689338</v>
      </c>
      <c r="AD2" s="19" t="str">
        <v>MAERSK NANSHA</v>
      </c>
      <c r="AE2" s="19" t="str">
        <v>638N</v>
      </c>
      <c r="AF2" s="26" t="str">
        <v>CN</v>
      </c>
      <c r="AG2" s="26" t="str">
        <v>PRT</v>
      </c>
      <c r="AH2" s="19" t="str">
        <v>CNNSA</v>
      </c>
    </row>
    <row r="3" spans="1:34" ht="25.2" customHeight="1" x14ac:dyDescent="0.45">
      <c r="A3" s="17" t="str">
        <v>DD</v>
      </c>
      <c r="B3" s="14" t="str">
        <v>MILK RUN NOR</v>
      </c>
      <c r="C3" s="14" t="str">
        <v>MAEUIK0222834</v>
      </c>
      <c r="D3" s="17" t="str">
        <v>MIEU4249438</v>
      </c>
      <c r="E3" s="14" t="str">
        <v>C40HC</v>
      </c>
      <c r="F3" s="17" t="str">
        <v>22715SUPECIS75024</v>
      </c>
      <c r="G3" s="15">
        <v>46316</v>
      </c>
      <c r="H3" s="16">
        <v>0.35416666666666674</v>
      </c>
      <c r="I3" s="15">
        <v>46307</v>
      </c>
      <c r="J3" s="17">
        <v>0</v>
      </c>
      <c r="K3" s="15">
        <v>46305</v>
      </c>
      <c r="L3" s="17" t="str">
        <v>373-STO-S10000031661</v>
      </c>
      <c r="M3" s="14" t="str">
        <v>400</v>
      </c>
      <c r="N3" s="14" t="str">
        <v>037TSOS10000702465</v>
      </c>
      <c r="O3" s="14" t="str">
        <v>350</v>
      </c>
      <c r="P3" s="14" t="str">
        <v>JIZHU80</v>
      </c>
      <c r="Q3" s="14">
        <v>46275</v>
      </c>
      <c r="R3" s="14">
        <v>726</v>
      </c>
      <c r="S3" s="14" t="str">
        <v>STO</v>
      </c>
      <c r="T3" s="14">
        <v>164</v>
      </c>
      <c r="U3" s="14" t="str">
        <v>5.067238</v>
      </c>
      <c r="V3" s="14" t="str">
        <v>5.435276</v>
      </c>
      <c r="W3" s="14">
        <v>1983.56</v>
      </c>
      <c r="X3" s="14">
        <v>46311</v>
      </c>
      <c r="Y3" s="14">
        <v>46305</v>
      </c>
      <c r="Z3" s="14">
        <v>0</v>
      </c>
      <c r="AA3" s="14" t="str">
        <v>31825</v>
      </c>
      <c r="AB3" s="14" t="str">
        <v>MAERSK A/S</v>
      </c>
      <c r="AC3" s="14" t="str">
        <v>CN8245167</v>
      </c>
      <c r="AD3" s="14" t="str">
        <v>MERATUS JIMBARAN</v>
      </c>
      <c r="AE3" s="14" t="str">
        <v>638N</v>
      </c>
      <c r="AF3" s="27" t="str">
        <v>CN</v>
      </c>
      <c r="AG3" s="27" t="str">
        <v>PRT</v>
      </c>
      <c r="AH3" s="14" t="str">
        <v>CNSHA</v>
      </c>
    </row>
    <row r="4" spans="1:34" ht="25.2" customHeight="1" x14ac:dyDescent="0.45">
      <c r="A4" s="17" t="str">
        <v>LF</v>
      </c>
      <c r="B4" s="14">
        <v>0</v>
      </c>
      <c r="C4" s="14" t="str">
        <v>MAEUIK0220641</v>
      </c>
      <c r="D4" s="17" t="str">
        <v>MIEU4024977</v>
      </c>
      <c r="E4" s="14" t="str">
        <v>C40HC</v>
      </c>
      <c r="F4" s="17" t="str">
        <v>294DT260826726664</v>
      </c>
      <c r="G4" s="15">
        <v>46315</v>
      </c>
      <c r="H4" s="16">
        <v>0.27083333333333326</v>
      </c>
      <c r="I4" s="15">
        <v>46302</v>
      </c>
      <c r="J4" s="17">
        <v>0</v>
      </c>
      <c r="K4" s="15">
        <v>46300</v>
      </c>
      <c r="L4" s="17" t="str">
        <v>373-STO-S10000031671</v>
      </c>
      <c r="M4" s="14" t="str">
        <v>400</v>
      </c>
      <c r="N4" s="14" t="str">
        <v>258DTS10000201064</v>
      </c>
      <c r="O4" s="14" t="str">
        <v>350</v>
      </c>
      <c r="P4" s="14" t="str">
        <v>LARXU</v>
      </c>
      <c r="Q4" s="14">
        <v>46260</v>
      </c>
      <c r="R4" s="14">
        <v>726</v>
      </c>
      <c r="S4" s="14" t="str">
        <v>STO</v>
      </c>
      <c r="T4" s="14">
        <v>3377</v>
      </c>
      <c r="U4" s="14" t="str">
        <v>7.235952</v>
      </c>
      <c r="V4" s="14" t="str">
        <v>7.84381039</v>
      </c>
      <c r="W4" s="14">
        <v>1509.796</v>
      </c>
      <c r="X4" s="14">
        <v>46299</v>
      </c>
      <c r="Y4" s="14">
        <v>46300</v>
      </c>
      <c r="Z4" s="14">
        <v>0</v>
      </c>
      <c r="AA4" s="14" t="str">
        <v>31825</v>
      </c>
      <c r="AB4" s="14" t="str">
        <v>MAERSK A/S</v>
      </c>
      <c r="AC4" s="14" t="str">
        <v>CN7277998</v>
      </c>
      <c r="AD4" s="14" t="str">
        <v>GSL ELEFTHERIA</v>
      </c>
      <c r="AE4" s="14" t="str">
        <v>637N</v>
      </c>
      <c r="AF4" s="27" t="str">
        <v>CN</v>
      </c>
      <c r="AG4" s="27" t="str">
        <v>PRT</v>
      </c>
      <c r="AH4" s="14" t="str">
        <v>CNSHA</v>
      </c>
    </row>
    <row r="5" spans="1:34" ht="25.2" customHeight="1" x14ac:dyDescent="0.45">
      <c r="A5" s="17" t="str">
        <v>LF</v>
      </c>
      <c r="B5" s="14">
        <v>0</v>
      </c>
      <c r="C5" s="14" t="str">
        <v>MAEUIK0220641</v>
      </c>
      <c r="D5" s="17" t="str">
        <v>MIEU4024977</v>
      </c>
      <c r="E5" s="14" t="str">
        <v>C40HC</v>
      </c>
      <c r="F5" s="17" t="str">
        <v>319DT260826726665</v>
      </c>
      <c r="G5" s="15">
        <v>46315</v>
      </c>
      <c r="H5" s="16">
        <v>0.27083333333333326</v>
      </c>
      <c r="I5" s="15">
        <v>46302</v>
      </c>
      <c r="J5" s="17">
        <v>0</v>
      </c>
      <c r="K5" s="15">
        <v>46300</v>
      </c>
      <c r="L5" s="17" t="str">
        <v>373-STO-S10000031671</v>
      </c>
      <c r="M5" s="14" t="str">
        <v>400</v>
      </c>
      <c r="N5" s="14" t="str">
        <v>258DTS10000201064</v>
      </c>
      <c r="O5" s="14" t="str">
        <v>350</v>
      </c>
      <c r="P5" s="14" t="str">
        <v>LARXU</v>
      </c>
      <c r="Q5" s="14">
        <v>46260</v>
      </c>
      <c r="R5" s="14">
        <v>726</v>
      </c>
      <c r="S5" s="14" t="str">
        <v>STO</v>
      </c>
      <c r="T5" s="14">
        <v>13562</v>
      </c>
      <c r="U5" s="14" t="str">
        <v>40.904855</v>
      </c>
      <c r="V5" s="14" t="str">
        <v>44.13954984</v>
      </c>
      <c r="W5" s="14">
        <v>9133.8790000000008</v>
      </c>
      <c r="X5" s="14">
        <v>46299</v>
      </c>
      <c r="Y5" s="14">
        <v>46300</v>
      </c>
      <c r="Z5" s="14">
        <v>0</v>
      </c>
      <c r="AA5" s="14" t="str">
        <v>31825</v>
      </c>
      <c r="AB5" s="14" t="str">
        <v>MAERSK A/S</v>
      </c>
      <c r="AC5" s="14" t="str">
        <v>CN7277998</v>
      </c>
      <c r="AD5" s="14" t="str">
        <v>GSL ELEFTHERIA</v>
      </c>
      <c r="AE5" s="14" t="str">
        <v>637N</v>
      </c>
      <c r="AF5" s="27" t="str">
        <v>CN</v>
      </c>
      <c r="AG5" s="27" t="str">
        <v>PRT</v>
      </c>
      <c r="AH5" s="14" t="str">
        <v>CNSHA</v>
      </c>
    </row>
    <row r="6" spans="1:34" ht="25.2" customHeight="1" x14ac:dyDescent="0.45">
      <c r="A6" s="17" t="str">
        <v>HF</v>
      </c>
      <c r="B6" s="14">
        <v>0</v>
      </c>
      <c r="C6" s="14" t="str">
        <v>MAEUIK0222603</v>
      </c>
      <c r="D6" s="17" t="str">
        <v>CAJU5753527</v>
      </c>
      <c r="E6" s="14" t="str">
        <v>C40HC</v>
      </c>
      <c r="F6" s="17" t="str">
        <v>258DT260909726619</v>
      </c>
      <c r="G6" s="15">
        <v>46315</v>
      </c>
      <c r="H6" s="16">
        <v>0.625</v>
      </c>
      <c r="I6" s="15">
        <v>46307</v>
      </c>
      <c r="J6" s="17">
        <v>0</v>
      </c>
      <c r="K6" s="15">
        <v>46305</v>
      </c>
      <c r="L6" s="17" t="str">
        <v>373-STO-S10000031672</v>
      </c>
      <c r="M6" s="14" t="str">
        <v>400</v>
      </c>
      <c r="N6" s="14" t="str">
        <v>258DTS10000203144</v>
      </c>
      <c r="O6" s="14" t="str">
        <v>350</v>
      </c>
      <c r="P6" s="14">
        <v>0</v>
      </c>
      <c r="Q6" s="14">
        <v>46274</v>
      </c>
      <c r="R6" s="14">
        <v>726</v>
      </c>
      <c r="S6" s="14" t="str">
        <v>STO</v>
      </c>
      <c r="T6" s="14">
        <v>6927</v>
      </c>
      <c r="U6" s="14" t="str">
        <v>48.972276</v>
      </c>
      <c r="V6" s="14" t="str">
        <v>52.63371671</v>
      </c>
      <c r="W6" s="14">
        <v>6585.3969999999999</v>
      </c>
      <c r="X6" s="14">
        <v>46299</v>
      </c>
      <c r="Y6" s="14">
        <v>46305</v>
      </c>
      <c r="Z6" s="14">
        <v>0</v>
      </c>
      <c r="AA6" s="14" t="str">
        <v>31825</v>
      </c>
      <c r="AB6" s="14" t="str">
        <v>MAERSK A/S</v>
      </c>
      <c r="AC6" s="14" t="str">
        <v>CN8245126</v>
      </c>
      <c r="AD6" s="14" t="str">
        <v>MERATUS JIMBARAN</v>
      </c>
      <c r="AE6" s="14" t="str">
        <v>638N</v>
      </c>
      <c r="AF6" s="27" t="str">
        <v>CN</v>
      </c>
      <c r="AG6" s="27" t="str">
        <v>PRT</v>
      </c>
      <c r="AH6" s="14" t="str">
        <v>CNSHA</v>
      </c>
    </row>
    <row r="7" spans="1:34" ht="25.2" customHeight="1" x14ac:dyDescent="0.45">
      <c r="A7" s="17" t="str">
        <v>HF</v>
      </c>
      <c r="B7" s="14">
        <v>0</v>
      </c>
      <c r="C7" s="14" t="str">
        <v>MAEUIK0222603</v>
      </c>
      <c r="D7" s="17" t="str">
        <v>CAJU5753527</v>
      </c>
      <c r="E7" s="14" t="str">
        <v>C40HC</v>
      </c>
      <c r="F7" s="17" t="str">
        <v>277DT260909726620</v>
      </c>
      <c r="G7" s="15">
        <v>46315</v>
      </c>
      <c r="H7" s="16">
        <v>0.625</v>
      </c>
      <c r="I7" s="15">
        <v>46307</v>
      </c>
      <c r="J7" s="17">
        <v>0</v>
      </c>
      <c r="K7" s="15">
        <v>46305</v>
      </c>
      <c r="L7" s="17" t="str">
        <v>373-STO-S10000031672</v>
      </c>
      <c r="M7" s="14" t="str">
        <v>400</v>
      </c>
      <c r="N7" s="14" t="str">
        <v>258DTS10000203144</v>
      </c>
      <c r="O7" s="14" t="str">
        <v>350</v>
      </c>
      <c r="P7" s="14">
        <v>0</v>
      </c>
      <c r="Q7" s="14">
        <v>46274</v>
      </c>
      <c r="R7" s="14">
        <v>726</v>
      </c>
      <c r="S7" s="14" t="str">
        <v>STO</v>
      </c>
      <c r="T7" s="14">
        <v>2602</v>
      </c>
      <c r="U7" s="14" t="str">
        <v>6.940198</v>
      </c>
      <c r="V7" s="14" t="str">
        <v>7.441753</v>
      </c>
      <c r="W7" s="14">
        <v>1068.502</v>
      </c>
      <c r="X7" s="14">
        <v>46299</v>
      </c>
      <c r="Y7" s="14">
        <v>46305</v>
      </c>
      <c r="Z7" s="14">
        <v>0</v>
      </c>
      <c r="AA7" s="14" t="str">
        <v>31825</v>
      </c>
      <c r="AB7" s="14" t="str">
        <v>MAERSK A/S</v>
      </c>
      <c r="AC7" s="14" t="str">
        <v>CN8245126</v>
      </c>
      <c r="AD7" s="14" t="str">
        <v>MERATUS JIMBARAN</v>
      </c>
      <c r="AE7" s="14" t="str">
        <v>638N</v>
      </c>
      <c r="AF7" s="27" t="str">
        <v>CN</v>
      </c>
      <c r="AG7" s="27" t="str">
        <v>PRT</v>
      </c>
      <c r="AH7" s="14" t="str">
        <v>CNSHA</v>
      </c>
    </row>
    <row r="8" spans="1:34" ht="25.2" customHeight="1" x14ac:dyDescent="0.45">
      <c r="A8" s="17" t="str">
        <v>DD</v>
      </c>
      <c r="B8" s="14" t="str">
        <v>MILK RUN NOR</v>
      </c>
      <c r="C8" s="14" t="str">
        <v>MAEUIK0222136</v>
      </c>
      <c r="D8" s="17" t="str">
        <v>GATU8481853</v>
      </c>
      <c r="E8" s="14" t="str">
        <v>C40HC</v>
      </c>
      <c r="F8" s="17" t="str">
        <v>21072SUPECIS76085</v>
      </c>
      <c r="G8" s="15">
        <v>46314</v>
      </c>
      <c r="H8" s="16">
        <v>0.35416666666666674</v>
      </c>
      <c r="I8" s="15">
        <v>46307</v>
      </c>
      <c r="J8" s="17">
        <v>0</v>
      </c>
      <c r="K8" s="15">
        <v>46304</v>
      </c>
      <c r="L8" s="17" t="str">
        <v>373-STO-S10000031632</v>
      </c>
      <c r="M8" s="14" t="str">
        <v>400</v>
      </c>
      <c r="N8" s="14" t="str">
        <v>037TSOS10000698570</v>
      </c>
      <c r="O8" s="14" t="str">
        <v>350</v>
      </c>
      <c r="P8" s="14" t="str">
        <v>LINLI65</v>
      </c>
      <c r="Q8" s="14">
        <v>46271</v>
      </c>
      <c r="R8" s="14">
        <v>726</v>
      </c>
      <c r="S8" s="14" t="str">
        <v>STO</v>
      </c>
      <c r="T8" s="14">
        <v>156</v>
      </c>
      <c r="U8" s="14" t="str">
        <v>4.539972</v>
      </c>
      <c r="V8" s="14" t="str">
        <v>4.841639</v>
      </c>
      <c r="W8" s="14">
        <v>1999.62</v>
      </c>
      <c r="X8" s="14">
        <v>46293</v>
      </c>
      <c r="Y8" s="14">
        <v>46304</v>
      </c>
      <c r="Z8" s="14">
        <v>0</v>
      </c>
      <c r="AA8" s="14" t="str">
        <v>31825</v>
      </c>
      <c r="AB8" s="14" t="str">
        <v>MAERSK A/S</v>
      </c>
      <c r="AC8" s="14" t="str">
        <v>CN8989674</v>
      </c>
      <c r="AD8" s="14" t="str">
        <v>GJERTRUD MAERSK</v>
      </c>
      <c r="AE8" s="14" t="str">
        <v>638E</v>
      </c>
      <c r="AF8" s="27" t="str">
        <v>CN</v>
      </c>
      <c r="AG8" s="27" t="str">
        <v>PRT</v>
      </c>
      <c r="AH8" s="14" t="str">
        <v>CNNGB</v>
      </c>
    </row>
    <row r="9" spans="1:34" ht="25.2" customHeight="1" x14ac:dyDescent="0.45">
      <c r="A9" s="17" t="str">
        <v>LF</v>
      </c>
      <c r="B9" s="14">
        <v>0</v>
      </c>
      <c r="C9" s="14" t="str">
        <v>MAEUIK0221076</v>
      </c>
      <c r="D9" s="17" t="str">
        <v>MIEU3937673</v>
      </c>
      <c r="E9" s="14" t="str">
        <v>C40HC</v>
      </c>
      <c r="F9" s="17" t="str">
        <v>294DT260828726913</v>
      </c>
      <c r="G9" s="15">
        <v>46314</v>
      </c>
      <c r="H9" s="16">
        <v>0.27083333333333326</v>
      </c>
      <c r="I9" s="15">
        <v>46303</v>
      </c>
      <c r="J9" s="17">
        <v>0</v>
      </c>
      <c r="K9" s="15">
        <v>46300</v>
      </c>
      <c r="L9" s="17" t="str">
        <v>373-STO-S10000031638</v>
      </c>
      <c r="M9" s="14" t="str">
        <v>400</v>
      </c>
      <c r="N9" s="14" t="str">
        <v>258DTS10000201515</v>
      </c>
      <c r="O9" s="14" t="str">
        <v>350</v>
      </c>
      <c r="P9" s="14" t="str">
        <v>LARXU</v>
      </c>
      <c r="Q9" s="14">
        <v>46262</v>
      </c>
      <c r="R9" s="14">
        <v>726</v>
      </c>
      <c r="S9" s="14" t="str">
        <v>STO</v>
      </c>
      <c r="T9" s="14">
        <v>11249</v>
      </c>
      <c r="U9" s="14" t="str">
        <v>15.890792</v>
      </c>
      <c r="V9" s="14" t="str">
        <v>17.13080399</v>
      </c>
      <c r="W9" s="14">
        <v>3153.5070000000001</v>
      </c>
      <c r="X9" s="14">
        <v>46299</v>
      </c>
      <c r="Y9" s="14">
        <v>46300</v>
      </c>
      <c r="Z9" s="14">
        <v>0</v>
      </c>
      <c r="AA9" s="14" t="str">
        <v>31825</v>
      </c>
      <c r="AB9" s="14" t="str">
        <v>MAERSK A/S</v>
      </c>
      <c r="AC9" s="14" t="str">
        <v>CN7277991</v>
      </c>
      <c r="AD9" s="14" t="str">
        <v>GSL ELEFTHERIA</v>
      </c>
      <c r="AE9" s="14" t="str">
        <v>637N</v>
      </c>
      <c r="AF9" s="27" t="str">
        <v>CN</v>
      </c>
      <c r="AG9" s="27" t="str">
        <v>PRT</v>
      </c>
      <c r="AH9" s="14" t="str">
        <v>CNSHA</v>
      </c>
    </row>
    <row r="10" spans="1:34" ht="25.2" customHeight="1" x14ac:dyDescent="0.45">
      <c r="A10" s="17" t="str">
        <v>LF</v>
      </c>
      <c r="B10" s="14">
        <v>0</v>
      </c>
      <c r="C10" s="14" t="str">
        <v>MAEUIK0221076</v>
      </c>
      <c r="D10" s="17" t="str">
        <v>MIEU3937673</v>
      </c>
      <c r="E10" s="14" t="str">
        <v>C40HC</v>
      </c>
      <c r="F10" s="17" t="str">
        <v>319DT260828726914</v>
      </c>
      <c r="G10" s="15">
        <v>46314</v>
      </c>
      <c r="H10" s="16">
        <v>0.27083333333333326</v>
      </c>
      <c r="I10" s="15">
        <v>46303</v>
      </c>
      <c r="J10" s="17">
        <v>0</v>
      </c>
      <c r="K10" s="15">
        <v>46300</v>
      </c>
      <c r="L10" s="17" t="str">
        <v>373-STO-S10000031638</v>
      </c>
      <c r="M10" s="14" t="str">
        <v>400</v>
      </c>
      <c r="N10" s="14" t="str">
        <v>258DTS10000201515</v>
      </c>
      <c r="O10" s="14" t="str">
        <v>350</v>
      </c>
      <c r="P10" s="14" t="str">
        <v>LARXU</v>
      </c>
      <c r="Q10" s="14">
        <v>46262</v>
      </c>
      <c r="R10" s="14">
        <v>726</v>
      </c>
      <c r="S10" s="14" t="str">
        <v>STO</v>
      </c>
      <c r="T10" s="14">
        <v>10034</v>
      </c>
      <c r="U10" s="14" t="str">
        <v>32.237779</v>
      </c>
      <c r="V10" s="14" t="str">
        <v>34.78955881</v>
      </c>
      <c r="W10" s="14">
        <v>7090.924</v>
      </c>
      <c r="X10" s="14">
        <v>46299</v>
      </c>
      <c r="Y10" s="14">
        <v>46300</v>
      </c>
      <c r="Z10" s="14">
        <v>0</v>
      </c>
      <c r="AA10" s="14" t="str">
        <v>31825</v>
      </c>
      <c r="AB10" s="14" t="str">
        <v>MAERSK A/S</v>
      </c>
      <c r="AC10" s="14" t="str">
        <v>CN7277991</v>
      </c>
      <c r="AD10" s="14" t="str">
        <v>GSL ELEFTHERIA</v>
      </c>
      <c r="AE10" s="14" t="str">
        <v>637N</v>
      </c>
      <c r="AF10" s="27" t="str">
        <v>CN</v>
      </c>
      <c r="AG10" s="27" t="str">
        <v>PRT</v>
      </c>
      <c r="AH10" s="14" t="str">
        <v>CNSHA</v>
      </c>
    </row>
    <row r="11" spans="1:34" ht="25.2" customHeight="1" x14ac:dyDescent="0.45">
      <c r="A11" s="17" t="str">
        <v>DD</v>
      </c>
      <c r="B11" s="14" t="str">
        <v>MILK RUN NOR</v>
      </c>
      <c r="C11" s="14" t="str">
        <v>MAEUIK0221730</v>
      </c>
      <c r="D11" s="17" t="str">
        <v>MIEU4055031</v>
      </c>
      <c r="E11" s="14" t="str">
        <v>C40HC</v>
      </c>
      <c r="F11" s="17" t="str">
        <v>21072SUPECIS75985</v>
      </c>
      <c r="G11" s="15">
        <v>46313</v>
      </c>
      <c r="H11" s="16">
        <v>0.35416666666666674</v>
      </c>
      <c r="I11" s="15">
        <v>46307</v>
      </c>
      <c r="J11" s="17">
        <v>0</v>
      </c>
      <c r="K11" s="15">
        <v>46304</v>
      </c>
      <c r="L11" s="17" t="str">
        <v>373-STO-S10000031603</v>
      </c>
      <c r="M11" s="14" t="str">
        <v>400</v>
      </c>
      <c r="N11" s="14" t="str">
        <v>037TSOS10000696475</v>
      </c>
      <c r="O11" s="14" t="str">
        <v>350</v>
      </c>
      <c r="P11" s="14" t="str">
        <v>LINLI65</v>
      </c>
      <c r="Q11" s="14">
        <v>46268</v>
      </c>
      <c r="R11" s="14">
        <v>726</v>
      </c>
      <c r="S11" s="14" t="str">
        <v>STO</v>
      </c>
      <c r="T11" s="14">
        <v>204</v>
      </c>
      <c r="U11" s="14" t="str">
        <v>5.917482</v>
      </c>
      <c r="V11" s="14" t="str">
        <v>6.312573</v>
      </c>
      <c r="W11" s="14">
        <v>2962.82</v>
      </c>
      <c r="X11" s="14">
        <v>46293</v>
      </c>
      <c r="Y11" s="14">
        <v>46304</v>
      </c>
      <c r="Z11" s="14">
        <v>0</v>
      </c>
      <c r="AA11" s="14" t="str">
        <v>31825</v>
      </c>
      <c r="AB11" s="14" t="str">
        <v>MAERSK A/S</v>
      </c>
      <c r="AC11" s="14" t="str">
        <v>CN9083167</v>
      </c>
      <c r="AD11" s="14" t="str">
        <v>GJERTRUD MAERSK</v>
      </c>
      <c r="AE11" s="14" t="str">
        <v>638E</v>
      </c>
      <c r="AF11" s="27" t="str">
        <v>CN</v>
      </c>
      <c r="AG11" s="27" t="str">
        <v>PRT</v>
      </c>
      <c r="AH11" s="14" t="str">
        <v>CNNGB</v>
      </c>
    </row>
    <row r="12" spans="1:34" ht="25.2" customHeight="1" x14ac:dyDescent="0.45">
      <c r="A12" s="17" t="str">
        <v>HF</v>
      </c>
      <c r="B12" s="14">
        <v>0</v>
      </c>
      <c r="C12" s="14" t="str">
        <v>MAEUIK0222031</v>
      </c>
      <c r="D12" s="17" t="str">
        <v>MIEU4248386</v>
      </c>
      <c r="E12" s="14" t="str">
        <v>C40HC</v>
      </c>
      <c r="F12" s="17" t="str">
        <v>258DT260904726418</v>
      </c>
      <c r="G12" s="15">
        <v>46313</v>
      </c>
      <c r="H12" s="16">
        <v>0.26041666666666674</v>
      </c>
      <c r="I12" s="15">
        <v>46307</v>
      </c>
      <c r="J12" s="17">
        <v>0</v>
      </c>
      <c r="K12" s="15">
        <v>46305</v>
      </c>
      <c r="L12" s="17" t="str">
        <v>373-STO-S10000031617</v>
      </c>
      <c r="M12" s="14" t="str">
        <v>400</v>
      </c>
      <c r="N12" s="14" t="str">
        <v>258DTS10000202574</v>
      </c>
      <c r="O12" s="14" t="str">
        <v>350</v>
      </c>
      <c r="P12" s="14">
        <v>0</v>
      </c>
      <c r="Q12" s="14">
        <v>46269</v>
      </c>
      <c r="R12" s="14">
        <v>726</v>
      </c>
      <c r="S12" s="14" t="str">
        <v>STO</v>
      </c>
      <c r="T12" s="14">
        <v>6394</v>
      </c>
      <c r="U12" s="14" t="str">
        <v>55.448337</v>
      </c>
      <c r="V12" s="14" t="str">
        <v>60.24409681</v>
      </c>
      <c r="W12" s="14">
        <v>10041.689</v>
      </c>
      <c r="X12" s="14">
        <v>46298</v>
      </c>
      <c r="Y12" s="14">
        <v>46305</v>
      </c>
      <c r="Z12" s="14">
        <v>0</v>
      </c>
      <c r="AA12" s="14" t="str">
        <v>31825</v>
      </c>
      <c r="AB12" s="14" t="str">
        <v>MAERSK A/S</v>
      </c>
      <c r="AC12" s="14" t="str">
        <v>CN8245186</v>
      </c>
      <c r="AD12" s="14" t="str">
        <v>MERATUS JIMBARAN</v>
      </c>
      <c r="AE12" s="14" t="str">
        <v>638N</v>
      </c>
      <c r="AF12" s="27" t="str">
        <v>CN</v>
      </c>
      <c r="AG12" s="27" t="str">
        <v>PRT</v>
      </c>
      <c r="AH12" s="14" t="str">
        <v>CNSHA</v>
      </c>
    </row>
    <row r="13" spans="1:34" ht="25.2" customHeight="1" x14ac:dyDescent="0.45">
      <c r="A13" s="17" t="str">
        <v>DD</v>
      </c>
      <c r="B13" s="14" t="str">
        <v>MILK RUN NOR</v>
      </c>
      <c r="C13" s="14" t="str">
        <v>PLISH7H50874</v>
      </c>
      <c r="D13" s="17" t="str">
        <v>HLHU8363061</v>
      </c>
      <c r="E13" s="14" t="str">
        <v>C40HC</v>
      </c>
      <c r="F13" s="17" t="str">
        <v>21072SUPECIS76473</v>
      </c>
      <c r="G13" s="15">
        <v>46312</v>
      </c>
      <c r="H13" s="16">
        <v>0.35416666666666674</v>
      </c>
      <c r="I13" s="15">
        <v>46303</v>
      </c>
      <c r="J13" s="17">
        <v>0</v>
      </c>
      <c r="K13" s="15">
        <v>46303</v>
      </c>
      <c r="L13" s="17" t="str">
        <v>373-STO-S10000031593</v>
      </c>
      <c r="M13" s="14" t="str">
        <v>400</v>
      </c>
      <c r="N13" s="14" t="str">
        <v>037TSOS10000709772</v>
      </c>
      <c r="O13" s="14" t="str">
        <v>300</v>
      </c>
      <c r="P13" s="14" t="str">
        <v>LINLI65</v>
      </c>
      <c r="Q13" s="14">
        <v>46288</v>
      </c>
      <c r="R13" s="14">
        <v>726</v>
      </c>
      <c r="S13" s="14" t="str">
        <v>STO</v>
      </c>
      <c r="T13" s="14">
        <v>204</v>
      </c>
      <c r="U13" s="14" t="str">
        <v>5.768894</v>
      </c>
      <c r="V13" s="14" t="str">
        <v>6.136606</v>
      </c>
      <c r="W13" s="14">
        <v>2268.98</v>
      </c>
      <c r="X13" s="14">
        <v>46304</v>
      </c>
      <c r="Y13" s="14">
        <v>46302</v>
      </c>
      <c r="Z13" s="14">
        <v>0</v>
      </c>
      <c r="AA13" s="14" t="str">
        <v>33300</v>
      </c>
      <c r="AB13" s="14" t="str">
        <v>LX PANTOS CO., LTD.</v>
      </c>
      <c r="AC13" s="14" t="str">
        <v>123123</v>
      </c>
      <c r="AD13" s="14" t="str">
        <v>SAWASDEE SIRIUS</v>
      </c>
      <c r="AE13" s="14" t="str">
        <v>2626E</v>
      </c>
      <c r="AF13" s="27" t="str">
        <v>CN</v>
      </c>
      <c r="AG13" s="27" t="str">
        <v>PRT</v>
      </c>
      <c r="AH13" s="14" t="str">
        <v>CNNGB</v>
      </c>
    </row>
    <row r="14" spans="1:34" ht="25.2" customHeight="1" x14ac:dyDescent="0.45">
      <c r="A14" s="17" t="str">
        <v>HF</v>
      </c>
      <c r="B14" s="14">
        <v>0</v>
      </c>
      <c r="C14" s="14" t="str">
        <v>MAEUIK0221456</v>
      </c>
      <c r="D14" s="17" t="str">
        <v>MRKU5905253</v>
      </c>
      <c r="E14" s="14" t="str">
        <v>C40HC</v>
      </c>
      <c r="F14" s="17" t="str">
        <v>258DT260901726134</v>
      </c>
      <c r="G14" s="15">
        <v>46312</v>
      </c>
      <c r="H14" s="16">
        <v>0.26041666666666674</v>
      </c>
      <c r="I14" s="15">
        <v>46302</v>
      </c>
      <c r="J14" s="17">
        <v>0</v>
      </c>
      <c r="K14" s="15">
        <v>46300</v>
      </c>
      <c r="L14" s="17" t="str">
        <v>373-STO-S10000031599</v>
      </c>
      <c r="M14" s="14" t="str">
        <v>400</v>
      </c>
      <c r="N14" s="14" t="str">
        <v>258DTS10000201885</v>
      </c>
      <c r="O14" s="14" t="str">
        <v>350</v>
      </c>
      <c r="P14" s="14" t="str">
        <v>JEGAO9</v>
      </c>
      <c r="Q14" s="14">
        <v>46266</v>
      </c>
      <c r="R14" s="14">
        <v>726</v>
      </c>
      <c r="S14" s="14" t="str">
        <v>STO</v>
      </c>
      <c r="T14" s="14">
        <v>7206</v>
      </c>
      <c r="U14" s="14" t="str">
        <v>52.9611</v>
      </c>
      <c r="V14" s="14" t="str">
        <v>56.90923493</v>
      </c>
      <c r="W14" s="14">
        <v>10466.316999999999</v>
      </c>
      <c r="X14" s="14">
        <v>46299</v>
      </c>
      <c r="Y14" s="14">
        <v>46300</v>
      </c>
      <c r="Z14" s="14">
        <v>0</v>
      </c>
      <c r="AA14" s="14" t="str">
        <v>31825</v>
      </c>
      <c r="AB14" s="14" t="str">
        <v>MAERSK A/S</v>
      </c>
      <c r="AC14" s="14" t="str">
        <v>CN8117899</v>
      </c>
      <c r="AD14" s="14" t="str">
        <v>GSL ELEFTHERIA</v>
      </c>
      <c r="AE14" s="14" t="str">
        <v>637N</v>
      </c>
      <c r="AF14" s="27" t="str">
        <v>CN</v>
      </c>
      <c r="AG14" s="27" t="str">
        <v>PRT</v>
      </c>
      <c r="AH14" s="14" t="str">
        <v>CNSHA</v>
      </c>
    </row>
    <row r="15" spans="1:34" ht="25.2" customHeight="1" x14ac:dyDescent="0.45">
      <c r="A15" s="17" t="str">
        <v>HF</v>
      </c>
      <c r="B15" s="14">
        <v>0</v>
      </c>
      <c r="C15" s="14" t="str">
        <v>MAEUIK0221456</v>
      </c>
      <c r="D15" s="17" t="str">
        <v>MRKU5905253</v>
      </c>
      <c r="E15" s="14" t="str">
        <v>C40HC</v>
      </c>
      <c r="F15" s="17" t="str">
        <v>258DT260901726136</v>
      </c>
      <c r="G15" s="15">
        <v>46312</v>
      </c>
      <c r="H15" s="16">
        <v>0.26041666666666674</v>
      </c>
      <c r="I15" s="15">
        <v>46302</v>
      </c>
      <c r="J15" s="17">
        <v>0</v>
      </c>
      <c r="K15" s="15">
        <v>46300</v>
      </c>
      <c r="L15" s="17" t="str">
        <v>373-STO-S10000031599</v>
      </c>
      <c r="M15" s="14" t="str">
        <v>400</v>
      </c>
      <c r="N15" s="14" t="str">
        <v>258DTS10000201885</v>
      </c>
      <c r="O15" s="14" t="str">
        <v>350</v>
      </c>
      <c r="P15" s="14" t="str">
        <v>JEGAO9</v>
      </c>
      <c r="Q15" s="14">
        <v>46266</v>
      </c>
      <c r="R15" s="14">
        <v>726</v>
      </c>
      <c r="S15" s="14" t="str">
        <v>STO</v>
      </c>
      <c r="T15" s="14">
        <v>220</v>
      </c>
      <c r="U15" s="14" t="str">
        <v>2.79726</v>
      </c>
      <c r="V15" s="14" t="str">
        <v>2.985278</v>
      </c>
      <c r="W15" s="14">
        <v>824.62199999999996</v>
      </c>
      <c r="X15" s="14">
        <v>46299</v>
      </c>
      <c r="Y15" s="14">
        <v>46300</v>
      </c>
      <c r="Z15" s="14">
        <v>0</v>
      </c>
      <c r="AA15" s="14" t="str">
        <v>31825</v>
      </c>
      <c r="AB15" s="14" t="str">
        <v>MAERSK A/S</v>
      </c>
      <c r="AC15" s="14" t="str">
        <v>CN8117899</v>
      </c>
      <c r="AD15" s="14" t="str">
        <v>GSL ELEFTHERIA</v>
      </c>
      <c r="AE15" s="14" t="str">
        <v>637N</v>
      </c>
      <c r="AF15" s="27" t="str">
        <v>CN</v>
      </c>
      <c r="AG15" s="27" t="str">
        <v>PRT</v>
      </c>
      <c r="AH15" s="14" t="str">
        <v>CNSHA</v>
      </c>
    </row>
    <row r="16" spans="1:34" ht="25.2" customHeight="1" x14ac:dyDescent="0.45">
      <c r="A16" s="17" t="str">
        <v>HF</v>
      </c>
      <c r="B16" s="14">
        <v>0</v>
      </c>
      <c r="C16" s="14" t="str">
        <v>MAEUIK0221456</v>
      </c>
      <c r="D16" s="17" t="str">
        <v>MRKU5905253</v>
      </c>
      <c r="E16" s="14" t="str">
        <v>C40HC</v>
      </c>
      <c r="F16" s="17" t="str">
        <v>277DT260901726137</v>
      </c>
      <c r="G16" s="15">
        <v>46312</v>
      </c>
      <c r="H16" s="16">
        <v>0.26041666666666674</v>
      </c>
      <c r="I16" s="15">
        <v>46302</v>
      </c>
      <c r="J16" s="17">
        <v>0</v>
      </c>
      <c r="K16" s="15">
        <v>46300</v>
      </c>
      <c r="L16" s="17" t="str">
        <v>373-STO-S10000031599</v>
      </c>
      <c r="M16" s="14" t="str">
        <v>400</v>
      </c>
      <c r="N16" s="14" t="str">
        <v>258DTS10000201885</v>
      </c>
      <c r="O16" s="14" t="str">
        <v>350</v>
      </c>
      <c r="P16" s="14" t="str">
        <v>JEGAO9</v>
      </c>
      <c r="Q16" s="14">
        <v>46266</v>
      </c>
      <c r="R16" s="14">
        <v>726</v>
      </c>
      <c r="S16" s="14" t="str">
        <v>STO</v>
      </c>
      <c r="T16" s="14">
        <v>128</v>
      </c>
      <c r="U16" s="14" t="str">
        <v>0.524288</v>
      </c>
      <c r="V16" s="14" t="str">
        <v>0.556875</v>
      </c>
      <c r="W16" s="14">
        <v>37.76</v>
      </c>
      <c r="X16" s="14">
        <v>46299</v>
      </c>
      <c r="Y16" s="14">
        <v>46300</v>
      </c>
      <c r="Z16" s="14">
        <v>0</v>
      </c>
      <c r="AA16" s="14" t="str">
        <v>31825</v>
      </c>
      <c r="AB16" s="14" t="str">
        <v>MAERSK A/S</v>
      </c>
      <c r="AC16" s="14" t="str">
        <v>CN8117899</v>
      </c>
      <c r="AD16" s="14" t="str">
        <v>GSL ELEFTHERIA</v>
      </c>
      <c r="AE16" s="14" t="str">
        <v>637N</v>
      </c>
      <c r="AF16" s="27" t="str">
        <v>CN</v>
      </c>
      <c r="AG16" s="27" t="str">
        <v>PRT</v>
      </c>
      <c r="AH16" s="14" t="str">
        <v>CNSHA</v>
      </c>
    </row>
    <row r="17" spans="1:34" ht="25.2" customHeight="1" x14ac:dyDescent="0.45">
      <c r="A17" s="17" t="str">
        <v>DD</v>
      </c>
      <c r="B17" s="14" t="str">
        <v>MILK RUN NOR</v>
      </c>
      <c r="C17" s="14" t="str">
        <v>MAEUIK0222640</v>
      </c>
      <c r="D17" s="17" t="str">
        <v>MIEU4026136</v>
      </c>
      <c r="E17" s="14" t="str">
        <v>C40HC</v>
      </c>
      <c r="F17" s="17" t="str">
        <v>22715SUPECIS74434</v>
      </c>
      <c r="G17" s="15">
        <v>46312</v>
      </c>
      <c r="H17" s="16">
        <v>0.35416666666666674</v>
      </c>
      <c r="I17" s="15">
        <v>46302</v>
      </c>
      <c r="J17" s="17">
        <v>0</v>
      </c>
      <c r="K17" s="15">
        <v>46300</v>
      </c>
      <c r="L17" s="17" t="str">
        <v>373-STO-S10000031592</v>
      </c>
      <c r="M17" s="14" t="str">
        <v>400</v>
      </c>
      <c r="N17" s="14" t="str">
        <v>037TSOS10000701591</v>
      </c>
      <c r="O17" s="14" t="str">
        <v>350</v>
      </c>
      <c r="P17" s="14" t="str">
        <v>HEDXU</v>
      </c>
      <c r="Q17" s="14">
        <v>46274</v>
      </c>
      <c r="R17" s="14">
        <v>726</v>
      </c>
      <c r="S17" s="14" t="str">
        <v>STO</v>
      </c>
      <c r="T17" s="14">
        <v>130</v>
      </c>
      <c r="U17" s="14" t="str">
        <v>5.51538</v>
      </c>
      <c r="V17" s="14" t="str">
        <v>5.913997</v>
      </c>
      <c r="W17" s="14">
        <v>2074.79</v>
      </c>
      <c r="X17" s="14">
        <v>46286</v>
      </c>
      <c r="Y17" s="14">
        <v>46300</v>
      </c>
      <c r="Z17" s="14">
        <v>0</v>
      </c>
      <c r="AA17" s="14" t="str">
        <v>31825</v>
      </c>
      <c r="AB17" s="14" t="str">
        <v>MAERSK A/S</v>
      </c>
      <c r="AC17" s="14" t="str">
        <v>CN8118336</v>
      </c>
      <c r="AD17" s="14" t="str">
        <v>GSL ELEFTHERIA</v>
      </c>
      <c r="AE17" s="14" t="str">
        <v>637N</v>
      </c>
      <c r="AF17" s="27" t="str">
        <v>CN</v>
      </c>
      <c r="AG17" s="27" t="str">
        <v>PRT</v>
      </c>
      <c r="AH17" s="14" t="str">
        <v>CNSHA</v>
      </c>
    </row>
    <row r="18" spans="1:34" ht="25.2" customHeight="1" x14ac:dyDescent="0.45">
      <c r="A18" s="17" t="str">
        <v>LF</v>
      </c>
      <c r="B18" s="14">
        <v>0</v>
      </c>
      <c r="C18" s="14" t="str">
        <v>MAEUIK0220633</v>
      </c>
      <c r="D18" s="17" t="str">
        <v>MIEU4026408</v>
      </c>
      <c r="E18" s="14" t="str">
        <v>C40HC</v>
      </c>
      <c r="F18" s="17" t="str">
        <v>294DT260826726667</v>
      </c>
      <c r="G18" s="15">
        <v>46311</v>
      </c>
      <c r="H18" s="16">
        <v>0.27083333333333326</v>
      </c>
      <c r="I18" s="15">
        <v>46302</v>
      </c>
      <c r="J18" s="17">
        <v>0</v>
      </c>
      <c r="K18" s="15">
        <v>46300</v>
      </c>
      <c r="L18" s="17" t="str">
        <v>373-STO-S10000031572</v>
      </c>
      <c r="M18" s="14" t="str">
        <v>400</v>
      </c>
      <c r="N18" s="14" t="str">
        <v>258DTS10000201056</v>
      </c>
      <c r="O18" s="14" t="str">
        <v>350</v>
      </c>
      <c r="P18" s="14" t="str">
        <v>LARXU</v>
      </c>
      <c r="Q18" s="14">
        <v>46260</v>
      </c>
      <c r="R18" s="14">
        <v>726</v>
      </c>
      <c r="S18" s="14" t="str">
        <v>STO</v>
      </c>
      <c r="T18" s="14">
        <v>1324</v>
      </c>
      <c r="U18" s="14" t="str">
        <v>5.167979</v>
      </c>
      <c r="V18" s="14" t="str">
        <v>5.57277518</v>
      </c>
      <c r="W18" s="14">
        <v>1073.011</v>
      </c>
      <c r="X18" s="14">
        <v>46299</v>
      </c>
      <c r="Y18" s="14">
        <v>46300</v>
      </c>
      <c r="Z18" s="14">
        <v>0</v>
      </c>
      <c r="AA18" s="14" t="str">
        <v>31825</v>
      </c>
      <c r="AB18" s="14" t="str">
        <v>MAERSK A/S</v>
      </c>
      <c r="AC18" s="14" t="str">
        <v>CN7277908</v>
      </c>
      <c r="AD18" s="14" t="str">
        <v>GSL ELEFTHERIA</v>
      </c>
      <c r="AE18" s="14" t="str">
        <v>637N</v>
      </c>
      <c r="AF18" s="27" t="str">
        <v>CN</v>
      </c>
      <c r="AG18" s="27" t="str">
        <v>PRT</v>
      </c>
      <c r="AH18" s="14" t="str">
        <v>CNSHA</v>
      </c>
    </row>
    <row r="19" spans="1:34" ht="25.2" customHeight="1" x14ac:dyDescent="0.45">
      <c r="A19" s="17" t="str">
        <v>LF</v>
      </c>
      <c r="B19" s="14">
        <v>0</v>
      </c>
      <c r="C19" s="14" t="str">
        <v>MAEUIK0220633</v>
      </c>
      <c r="D19" s="17" t="str">
        <v>MIEU4026408</v>
      </c>
      <c r="E19" s="14" t="str">
        <v>C40HC</v>
      </c>
      <c r="F19" s="17" t="str">
        <v>319DT260826726668</v>
      </c>
      <c r="G19" s="15">
        <v>46311</v>
      </c>
      <c r="H19" s="16">
        <v>0.27083333333333326</v>
      </c>
      <c r="I19" s="15">
        <v>46302</v>
      </c>
      <c r="J19" s="17">
        <v>0</v>
      </c>
      <c r="K19" s="15">
        <v>46300</v>
      </c>
      <c r="L19" s="17" t="str">
        <v>373-STO-S10000031572</v>
      </c>
      <c r="M19" s="14" t="str">
        <v>400</v>
      </c>
      <c r="N19" s="14" t="str">
        <v>258DTS10000201056</v>
      </c>
      <c r="O19" s="14" t="str">
        <v>350</v>
      </c>
      <c r="P19" s="14" t="str">
        <v>LARXU</v>
      </c>
      <c r="Q19" s="14">
        <v>46260</v>
      </c>
      <c r="R19" s="14">
        <v>726</v>
      </c>
      <c r="S19" s="14" t="str">
        <v>STO</v>
      </c>
      <c r="T19" s="14">
        <v>12744</v>
      </c>
      <c r="U19" s="14" t="str">
        <v>43.098395</v>
      </c>
      <c r="V19" s="14" t="str">
        <v>46.33617804</v>
      </c>
      <c r="W19" s="14">
        <v>7481.4120000000003</v>
      </c>
      <c r="X19" s="14">
        <v>46299</v>
      </c>
      <c r="Y19" s="14">
        <v>46300</v>
      </c>
      <c r="Z19" s="14">
        <v>0</v>
      </c>
      <c r="AA19" s="14" t="str">
        <v>31825</v>
      </c>
      <c r="AB19" s="14" t="str">
        <v>MAERSK A/S</v>
      </c>
      <c r="AC19" s="14" t="str">
        <v>CN7277908</v>
      </c>
      <c r="AD19" s="14" t="str">
        <v>GSL ELEFTHERIA</v>
      </c>
      <c r="AE19" s="14" t="str">
        <v>637N</v>
      </c>
      <c r="AF19" s="27" t="str">
        <v>CN</v>
      </c>
      <c r="AG19" s="27" t="str">
        <v>PRT</v>
      </c>
      <c r="AH19" s="14" t="str">
        <v>CNSHA</v>
      </c>
    </row>
    <row r="20" spans="1:34" ht="25.2" customHeight="1" x14ac:dyDescent="0.45">
      <c r="A20" s="17" t="str">
        <v>DD</v>
      </c>
      <c r="B20" s="14" t="str">
        <v>MILK RUN NOR</v>
      </c>
      <c r="C20" s="14" t="str">
        <v>MAEUIK0222641</v>
      </c>
      <c r="D20" s="17" t="str">
        <v>MIEU4250531</v>
      </c>
      <c r="E20" s="14" t="str">
        <v>C40HC</v>
      </c>
      <c r="F20" s="17" t="str">
        <v>22715SUPECIS74800</v>
      </c>
      <c r="G20" s="15">
        <v>46311</v>
      </c>
      <c r="H20" s="16">
        <v>0.35416666666666674</v>
      </c>
      <c r="I20" s="15">
        <v>46301</v>
      </c>
      <c r="J20" s="17">
        <v>0</v>
      </c>
      <c r="K20" s="15">
        <v>46300</v>
      </c>
      <c r="L20" s="17" t="str">
        <v>373-STO-S10000031558</v>
      </c>
      <c r="M20" s="14" t="str">
        <v>400</v>
      </c>
      <c r="N20" s="14" t="str">
        <v>037TSOS10000701589</v>
      </c>
      <c r="O20" s="14" t="str">
        <v>350</v>
      </c>
      <c r="P20" s="14" t="str">
        <v>HEDXU</v>
      </c>
      <c r="Q20" s="14">
        <v>46274</v>
      </c>
      <c r="R20" s="14">
        <v>726</v>
      </c>
      <c r="S20" s="14" t="str">
        <v>STO</v>
      </c>
      <c r="T20" s="14">
        <v>284</v>
      </c>
      <c r="U20" s="14" t="str">
        <v>18.975908</v>
      </c>
      <c r="V20" s="14" t="str">
        <v>20.261386</v>
      </c>
      <c r="W20" s="14">
        <v>8158.02</v>
      </c>
      <c r="X20" s="14">
        <v>46287</v>
      </c>
      <c r="Y20" s="14">
        <v>46300</v>
      </c>
      <c r="Z20" s="14">
        <v>0</v>
      </c>
      <c r="AA20" s="14" t="str">
        <v>31825</v>
      </c>
      <c r="AB20" s="14" t="str">
        <v>MAERSK A/S</v>
      </c>
      <c r="AC20" s="14" t="str">
        <v>CN8117812</v>
      </c>
      <c r="AD20" s="14" t="str">
        <v>GSL ELEFTHERIA</v>
      </c>
      <c r="AE20" s="14" t="str">
        <v>637N</v>
      </c>
      <c r="AF20" s="27" t="str">
        <v>CN</v>
      </c>
      <c r="AG20" s="27" t="str">
        <v>PRT</v>
      </c>
      <c r="AH20" s="14" t="str">
        <v>CNSHA</v>
      </c>
    </row>
    <row r="21" spans="1:34" ht="25.2" customHeight="1" x14ac:dyDescent="0.45">
      <c r="A21" s="17" t="str">
        <v>DD</v>
      </c>
      <c r="B21" s="14" t="str">
        <v>MILK RUN NOR</v>
      </c>
      <c r="C21" s="14" t="str">
        <v>MAEUIK0220980</v>
      </c>
      <c r="D21" s="17" t="str">
        <v>CAAU5980289</v>
      </c>
      <c r="E21" s="14" t="str">
        <v>C40HC</v>
      </c>
      <c r="F21" s="17" t="str">
        <v>21072SUPECIS75793</v>
      </c>
      <c r="G21" s="15">
        <v>46310</v>
      </c>
      <c r="H21" s="16">
        <v>0.35416666666666674</v>
      </c>
      <c r="I21" s="15">
        <v>46302</v>
      </c>
      <c r="J21" s="17">
        <v>46301</v>
      </c>
      <c r="K21" s="15">
        <v>46298</v>
      </c>
      <c r="L21" s="17" t="str">
        <v>373-STO-S10000031553</v>
      </c>
      <c r="M21" s="14" t="str">
        <v>400</v>
      </c>
      <c r="N21" s="14" t="str">
        <v>037TSOS10000692070</v>
      </c>
      <c r="O21" s="14" t="str">
        <v>350</v>
      </c>
      <c r="P21" s="14" t="str">
        <v>LINLI65</v>
      </c>
      <c r="Q21" s="14">
        <v>46261</v>
      </c>
      <c r="R21" s="14">
        <v>726</v>
      </c>
      <c r="S21" s="14" t="str">
        <v>STO</v>
      </c>
      <c r="T21" s="14">
        <v>195</v>
      </c>
      <c r="U21" s="14" t="str">
        <v>6.568349</v>
      </c>
      <c r="V21" s="14" t="str">
        <v>6.98245</v>
      </c>
      <c r="W21" s="14">
        <v>2702.47</v>
      </c>
      <c r="X21" s="14">
        <v>46286</v>
      </c>
      <c r="Y21" s="14">
        <v>46298</v>
      </c>
      <c r="Z21" s="14">
        <v>0</v>
      </c>
      <c r="AA21" s="14" t="str">
        <v>31825</v>
      </c>
      <c r="AB21" s="14" t="str">
        <v>MAERSK A/S</v>
      </c>
      <c r="AC21" s="14" t="str">
        <v>CN6570542</v>
      </c>
      <c r="AD21" s="14" t="str">
        <v>MUNDRA EXPRESS</v>
      </c>
      <c r="AE21" s="14" t="str">
        <v>637E</v>
      </c>
      <c r="AF21" s="27" t="str">
        <v>CN</v>
      </c>
      <c r="AG21" s="27" t="str">
        <v>PRT</v>
      </c>
      <c r="AH21" s="14" t="str">
        <v>CNNGB</v>
      </c>
    </row>
    <row r="22" spans="1:34" ht="25.2" customHeight="1" x14ac:dyDescent="0.45">
      <c r="A22" s="17" t="str">
        <v>HF</v>
      </c>
      <c r="B22" s="14" t="str">
        <v>F/C</v>
      </c>
      <c r="C22" s="14" t="str">
        <v>MAEUIK0220276</v>
      </c>
      <c r="D22" s="17" t="str">
        <v>MRSU2805377</v>
      </c>
      <c r="E22" s="14" t="str">
        <v>C40HC</v>
      </c>
      <c r="F22" s="17" t="str">
        <v>258DT260824726627</v>
      </c>
      <c r="G22" s="15">
        <v>46310</v>
      </c>
      <c r="H22" s="16">
        <v>0.27083333333333326</v>
      </c>
      <c r="I22" s="15">
        <v>46302</v>
      </c>
      <c r="J22" s="17">
        <v>0</v>
      </c>
      <c r="K22" s="15">
        <v>46285</v>
      </c>
      <c r="L22" s="17" t="str">
        <v>373-STO-S10000031571</v>
      </c>
      <c r="M22" s="14" t="str">
        <v>400</v>
      </c>
      <c r="N22" s="14" t="str">
        <v>258DTS10000200778</v>
      </c>
      <c r="O22" s="14" t="str">
        <v>350</v>
      </c>
      <c r="P22" s="14">
        <v>0</v>
      </c>
      <c r="Q22" s="14">
        <v>46258</v>
      </c>
      <c r="R22" s="14">
        <v>726</v>
      </c>
      <c r="S22" s="14" t="str">
        <v>STO</v>
      </c>
      <c r="T22" s="14">
        <v>25043</v>
      </c>
      <c r="U22" s="14" t="str">
        <v>46.062759</v>
      </c>
      <c r="V22" s="14" t="str">
        <v>49.8495584</v>
      </c>
      <c r="W22" s="14">
        <v>8479.8259999999991</v>
      </c>
      <c r="X22" s="14">
        <v>46271</v>
      </c>
      <c r="Y22" s="14">
        <v>46285</v>
      </c>
      <c r="Z22" s="14">
        <v>0</v>
      </c>
      <c r="AA22" s="14" t="str">
        <v>31825</v>
      </c>
      <c r="AB22" s="14" t="str">
        <v>MAERSK A/S</v>
      </c>
      <c r="AC22" s="14" t="str">
        <v>CN4909050</v>
      </c>
      <c r="AD22" s="14" t="str">
        <v>XIN BIN ZHOU</v>
      </c>
      <c r="AE22" s="14" t="str">
        <v>635N</v>
      </c>
      <c r="AF22" s="27" t="str">
        <v>CN</v>
      </c>
      <c r="AG22" s="27" t="str">
        <v>PRT</v>
      </c>
      <c r="AH22" s="14" t="str">
        <v>CNSHA</v>
      </c>
    </row>
    <row r="23" spans="1:34" ht="25.2" customHeight="1" x14ac:dyDescent="0.45">
      <c r="A23" s="17" t="str">
        <v>HF</v>
      </c>
      <c r="B23" s="14" t="str">
        <v>F/C</v>
      </c>
      <c r="C23" s="14" t="str">
        <v>MAEUIK0220276</v>
      </c>
      <c r="D23" s="17" t="str">
        <v>MRSU2805377</v>
      </c>
      <c r="E23" s="14" t="str">
        <v>C40HC</v>
      </c>
      <c r="F23" s="17" t="str">
        <v>277DT260824726628</v>
      </c>
      <c r="G23" s="15">
        <v>46310</v>
      </c>
      <c r="H23" s="16">
        <v>0.27083333333333326</v>
      </c>
      <c r="I23" s="15">
        <v>46302</v>
      </c>
      <c r="J23" s="17">
        <v>0</v>
      </c>
      <c r="K23" s="15">
        <v>46285</v>
      </c>
      <c r="L23" s="17" t="str">
        <v>373-STO-S10000031571</v>
      </c>
      <c r="M23" s="14" t="str">
        <v>400</v>
      </c>
      <c r="N23" s="14" t="str">
        <v>258DTS10000200778</v>
      </c>
      <c r="O23" s="14" t="str">
        <v>350</v>
      </c>
      <c r="P23" s="14">
        <v>0</v>
      </c>
      <c r="Q23" s="14">
        <v>46258</v>
      </c>
      <c r="R23" s="14">
        <v>726</v>
      </c>
      <c r="S23" s="14" t="str">
        <v>STO</v>
      </c>
      <c r="T23" s="14">
        <v>7208</v>
      </c>
      <c r="U23" s="14" t="str">
        <v>8.71888</v>
      </c>
      <c r="V23" s="14" t="str">
        <v>9.364472</v>
      </c>
      <c r="W23" s="14">
        <v>1703.9839999999999</v>
      </c>
      <c r="X23" s="14">
        <v>46271</v>
      </c>
      <c r="Y23" s="14">
        <v>46285</v>
      </c>
      <c r="Z23" s="14">
        <v>0</v>
      </c>
      <c r="AA23" s="14" t="str">
        <v>31825</v>
      </c>
      <c r="AB23" s="14" t="str">
        <v>MAERSK A/S</v>
      </c>
      <c r="AC23" s="14" t="str">
        <v>CN4909050</v>
      </c>
      <c r="AD23" s="14" t="str">
        <v>XIN BIN ZHOU</v>
      </c>
      <c r="AE23" s="14" t="str">
        <v>635N</v>
      </c>
      <c r="AF23" s="27" t="str">
        <v>CN</v>
      </c>
      <c r="AG23" s="27" t="str">
        <v>PRT</v>
      </c>
      <c r="AH23" s="14" t="str">
        <v>CNSHA</v>
      </c>
    </row>
    <row r="24" spans="1:34" ht="25.2" customHeight="1" x14ac:dyDescent="0.45">
      <c r="A24" s="17" t="str">
        <v>HF</v>
      </c>
      <c r="B24" s="14">
        <v>0</v>
      </c>
      <c r="C24" s="14" t="str">
        <v>MAEUIK0222039</v>
      </c>
      <c r="D24" s="17" t="str">
        <v>MRKU4820043</v>
      </c>
      <c r="E24" s="14" t="str">
        <v>C40HC</v>
      </c>
      <c r="F24" s="17" t="str">
        <v>258DT260904726357</v>
      </c>
      <c r="G24" s="15">
        <v>46309</v>
      </c>
      <c r="H24" s="16">
        <v>0.27083333333333326</v>
      </c>
      <c r="I24" s="15">
        <v>46302</v>
      </c>
      <c r="J24" s="17">
        <v>0</v>
      </c>
      <c r="K24" s="15">
        <v>46300</v>
      </c>
      <c r="L24" s="17" t="str">
        <v>373-STO-S10000031533</v>
      </c>
      <c r="M24" s="14" t="str">
        <v>400</v>
      </c>
      <c r="N24" s="14" t="str">
        <v>258DTS10000202591</v>
      </c>
      <c r="O24" s="14" t="str">
        <v>350</v>
      </c>
      <c r="P24" s="14">
        <v>0</v>
      </c>
      <c r="Q24" s="14">
        <v>46269</v>
      </c>
      <c r="R24" s="14">
        <v>726</v>
      </c>
      <c r="S24" s="14" t="str">
        <v>STO</v>
      </c>
      <c r="T24" s="14">
        <v>7443</v>
      </c>
      <c r="U24" s="14" t="str">
        <v>51.132604</v>
      </c>
      <c r="V24" s="14" t="str">
        <v>54.87575878</v>
      </c>
      <c r="W24" s="14">
        <v>5875.9849999999997</v>
      </c>
      <c r="X24" s="14">
        <v>46299</v>
      </c>
      <c r="Y24" s="14">
        <v>46300</v>
      </c>
      <c r="Z24" s="14">
        <v>0</v>
      </c>
      <c r="AA24" s="14" t="str">
        <v>31825</v>
      </c>
      <c r="AB24" s="14" t="str">
        <v>MAERSK A/S</v>
      </c>
      <c r="AC24" s="14" t="str">
        <v>CN8163314</v>
      </c>
      <c r="AD24" s="14" t="str">
        <v>GSL ELEFTHERIA</v>
      </c>
      <c r="AE24" s="14" t="str">
        <v>637N</v>
      </c>
      <c r="AF24" s="27" t="str">
        <v>CN</v>
      </c>
      <c r="AG24" s="27" t="str">
        <v>PRT</v>
      </c>
      <c r="AH24" s="14" t="str">
        <v>CNSHA</v>
      </c>
    </row>
    <row r="25" spans="1:34" ht="25.2" customHeight="1" x14ac:dyDescent="0.45">
      <c r="A25" s="17" t="str">
        <v>HF</v>
      </c>
      <c r="B25" s="14">
        <v>0</v>
      </c>
      <c r="C25" s="14" t="str">
        <v>MAEUIK0222039</v>
      </c>
      <c r="D25" s="17" t="str">
        <v>MRKU4820043</v>
      </c>
      <c r="E25" s="14" t="str">
        <v>C40HC</v>
      </c>
      <c r="F25" s="17" t="str">
        <v>277DT260904726358</v>
      </c>
      <c r="G25" s="15">
        <v>46309</v>
      </c>
      <c r="H25" s="16">
        <v>0.27083333333333326</v>
      </c>
      <c r="I25" s="15">
        <v>46302</v>
      </c>
      <c r="J25" s="17">
        <v>0</v>
      </c>
      <c r="K25" s="15">
        <v>46300</v>
      </c>
      <c r="L25" s="17" t="str">
        <v>373-STO-S10000031533</v>
      </c>
      <c r="M25" s="14" t="str">
        <v>400</v>
      </c>
      <c r="N25" s="14" t="str">
        <v>258DTS10000202591</v>
      </c>
      <c r="O25" s="14" t="str">
        <v>350</v>
      </c>
      <c r="P25" s="14">
        <v>0</v>
      </c>
      <c r="Q25" s="14">
        <v>46269</v>
      </c>
      <c r="R25" s="14">
        <v>726</v>
      </c>
      <c r="S25" s="14" t="str">
        <v>STO</v>
      </c>
      <c r="T25" s="14">
        <v>247</v>
      </c>
      <c r="U25" s="14" t="str">
        <v>4.413674</v>
      </c>
      <c r="V25" s="14" t="str">
        <v>4.713329</v>
      </c>
      <c r="W25" s="14">
        <v>892.13800000000003</v>
      </c>
      <c r="X25" s="14">
        <v>46299</v>
      </c>
      <c r="Y25" s="14">
        <v>46300</v>
      </c>
      <c r="Z25" s="14">
        <v>0</v>
      </c>
      <c r="AA25" s="14" t="str">
        <v>31825</v>
      </c>
      <c r="AB25" s="14" t="str">
        <v>MAERSK A/S</v>
      </c>
      <c r="AC25" s="14" t="str">
        <v>CN8163314</v>
      </c>
      <c r="AD25" s="14" t="str">
        <v>GSL ELEFTHERIA</v>
      </c>
      <c r="AE25" s="14" t="str">
        <v>637N</v>
      </c>
      <c r="AF25" s="27" t="str">
        <v>CN</v>
      </c>
      <c r="AG25" s="27" t="str">
        <v>PRT</v>
      </c>
      <c r="AH25" s="14" t="str">
        <v>CNSHA</v>
      </c>
    </row>
    <row r="26" spans="1:34" ht="25.2" customHeight="1" x14ac:dyDescent="0.45">
      <c r="A26" s="17" t="str">
        <v>DD</v>
      </c>
      <c r="B26" s="14" t="str">
        <v>MILK RUN NOR</v>
      </c>
      <c r="C26" s="14" t="str">
        <v>MAEUIK0220495</v>
      </c>
      <c r="D26" s="17" t="str">
        <v>MIEU4025274</v>
      </c>
      <c r="E26" s="14" t="str">
        <v>C40HC</v>
      </c>
      <c r="F26" s="17" t="str">
        <v>22715SUPECIS74601</v>
      </c>
      <c r="G26" s="15">
        <v>46309</v>
      </c>
      <c r="H26" s="16">
        <v>0.35416666666666674</v>
      </c>
      <c r="I26" s="15">
        <v>46302</v>
      </c>
      <c r="J26" s="17">
        <v>0</v>
      </c>
      <c r="K26" s="15">
        <v>46300</v>
      </c>
      <c r="L26" s="17" t="str">
        <v>373-STO-S10000031511</v>
      </c>
      <c r="M26" s="14" t="str">
        <v>400</v>
      </c>
      <c r="N26" s="14" t="str">
        <v>037TSOS10000689650</v>
      </c>
      <c r="O26" s="14" t="str">
        <v>350</v>
      </c>
      <c r="P26" s="14" t="str">
        <v>JIZHU80</v>
      </c>
      <c r="Q26" s="14">
        <v>46259</v>
      </c>
      <c r="R26" s="14">
        <v>726</v>
      </c>
      <c r="S26" s="14" t="str">
        <v>STO</v>
      </c>
      <c r="T26" s="14">
        <v>250</v>
      </c>
      <c r="U26" s="14" t="str">
        <v>13.652022</v>
      </c>
      <c r="V26" s="14" t="str">
        <v>14.587563</v>
      </c>
      <c r="W26" s="14">
        <v>5544.26</v>
      </c>
      <c r="X26" s="14">
        <v>46299</v>
      </c>
      <c r="Y26" s="14">
        <v>46300</v>
      </c>
      <c r="Z26" s="14">
        <v>0</v>
      </c>
      <c r="AA26" s="14" t="str">
        <v>31825</v>
      </c>
      <c r="AB26" s="14" t="str">
        <v>MAERSK A/S</v>
      </c>
      <c r="AC26" s="14" t="str">
        <v>CN8118384</v>
      </c>
      <c r="AD26" s="14" t="str">
        <v>GSL ELEFTHERIA</v>
      </c>
      <c r="AE26" s="14" t="str">
        <v>637N</v>
      </c>
      <c r="AF26" s="27" t="str">
        <v>CN</v>
      </c>
      <c r="AG26" s="27" t="str">
        <v>PRT</v>
      </c>
      <c r="AH26" s="14" t="str">
        <v>CNSHA</v>
      </c>
    </row>
    <row r="27" spans="1:34" ht="25.2" customHeight="1" x14ac:dyDescent="0.45">
      <c r="A27" s="17" t="str">
        <v>LF</v>
      </c>
      <c r="B27" s="14" t="str">
        <v>F/C</v>
      </c>
      <c r="C27" s="14" t="str">
        <v>MAEUIK0219223</v>
      </c>
      <c r="D27" s="17" t="str">
        <v>MRSU0374959</v>
      </c>
      <c r="E27" s="14" t="str">
        <v>C20DV</v>
      </c>
      <c r="F27" s="17" t="str">
        <v>294DT260817726679</v>
      </c>
      <c r="G27" s="15">
        <v>46308</v>
      </c>
      <c r="H27" s="16">
        <v>0.27083333333333326</v>
      </c>
      <c r="I27" s="15">
        <v>46297</v>
      </c>
      <c r="J27" s="17">
        <v>0</v>
      </c>
      <c r="K27" s="15">
        <v>46275</v>
      </c>
      <c r="L27" s="17" t="str">
        <v>373-STO-S10000031532</v>
      </c>
      <c r="M27" s="14" t="str">
        <v>400</v>
      </c>
      <c r="N27" s="14" t="str">
        <v>258DTS10000199632</v>
      </c>
      <c r="O27" s="14" t="str">
        <v>350</v>
      </c>
      <c r="P27" s="14" t="str">
        <v>LARXU</v>
      </c>
      <c r="Q27" s="14">
        <v>46251</v>
      </c>
      <c r="R27" s="14">
        <v>726</v>
      </c>
      <c r="S27" s="14" t="str">
        <v>STO</v>
      </c>
      <c r="T27" s="14">
        <v>10984</v>
      </c>
      <c r="U27" s="14" t="str">
        <v>7.940101</v>
      </c>
      <c r="V27" s="14" t="str">
        <v>8.60600785</v>
      </c>
      <c r="W27" s="14">
        <v>2156.2109999999998</v>
      </c>
      <c r="X27" s="14">
        <v>46268</v>
      </c>
      <c r="Y27" s="14">
        <v>46266</v>
      </c>
      <c r="Z27" s="14">
        <v>0</v>
      </c>
      <c r="AA27" s="14" t="str">
        <v>31825</v>
      </c>
      <c r="AB27" s="14" t="str">
        <v>MAERSK A/S</v>
      </c>
      <c r="AC27" s="14" t="str">
        <v>CN9769825</v>
      </c>
      <c r="AD27" s="14" t="str">
        <v>MERATUS JIMBARAN</v>
      </c>
      <c r="AE27" s="14" t="str">
        <v>634N</v>
      </c>
      <c r="AF27" s="27" t="str">
        <v>CN</v>
      </c>
      <c r="AG27" s="27" t="str">
        <v>PRT</v>
      </c>
      <c r="AH27" s="14" t="str">
        <v>CNSHA</v>
      </c>
    </row>
    <row r="28" spans="1:34" ht="25.2" customHeight="1" x14ac:dyDescent="0.45">
      <c r="A28" s="17" t="str">
        <v>LF</v>
      </c>
      <c r="B28" s="14" t="str">
        <v>F/C</v>
      </c>
      <c r="C28" s="14" t="str">
        <v>MAEUIK0219223</v>
      </c>
      <c r="D28" s="17" t="str">
        <v>MRSU0374959</v>
      </c>
      <c r="E28" s="14" t="str">
        <v>C20DV</v>
      </c>
      <c r="F28" s="17" t="str">
        <v>319DT260817726680</v>
      </c>
      <c r="G28" s="15">
        <v>46308</v>
      </c>
      <c r="H28" s="16">
        <v>0.27083333333333326</v>
      </c>
      <c r="I28" s="15">
        <v>46297</v>
      </c>
      <c r="J28" s="17">
        <v>0</v>
      </c>
      <c r="K28" s="15">
        <v>46275</v>
      </c>
      <c r="L28" s="17" t="str">
        <v>373-STO-S10000031532</v>
      </c>
      <c r="M28" s="14" t="str">
        <v>400</v>
      </c>
      <c r="N28" s="14" t="str">
        <v>258DTS10000199632</v>
      </c>
      <c r="O28" s="14" t="str">
        <v>350</v>
      </c>
      <c r="P28" s="14" t="str">
        <v>LARXU</v>
      </c>
      <c r="Q28" s="14">
        <v>46251</v>
      </c>
      <c r="R28" s="14">
        <v>726</v>
      </c>
      <c r="S28" s="14" t="str">
        <v>STO</v>
      </c>
      <c r="T28" s="14">
        <v>10401</v>
      </c>
      <c r="U28" s="14" t="str">
        <v>13.3342</v>
      </c>
      <c r="V28" s="14" t="str">
        <v>14.41738818</v>
      </c>
      <c r="W28" s="14">
        <v>2848.7159999999999</v>
      </c>
      <c r="X28" s="14">
        <v>46268</v>
      </c>
      <c r="Y28" s="14">
        <v>46266</v>
      </c>
      <c r="Z28" s="14">
        <v>0</v>
      </c>
      <c r="AA28" s="14" t="str">
        <v>31825</v>
      </c>
      <c r="AB28" s="14" t="str">
        <v>MAERSK A/S</v>
      </c>
      <c r="AC28" s="14" t="str">
        <v>CN9769825</v>
      </c>
      <c r="AD28" s="14" t="str">
        <v>MERATUS JIMBARAN</v>
      </c>
      <c r="AE28" s="14" t="str">
        <v>634N</v>
      </c>
      <c r="AF28" s="27" t="str">
        <v>CN</v>
      </c>
      <c r="AG28" s="27" t="str">
        <v>PRT</v>
      </c>
      <c r="AH28" s="14" t="str">
        <v>CNSHA</v>
      </c>
    </row>
    <row r="29" spans="1:34" ht="25.2" customHeight="1" x14ac:dyDescent="0.45">
      <c r="A29" s="17" t="str">
        <v>DD</v>
      </c>
      <c r="B29" s="14" t="str">
        <v>MILK RUN NOR</v>
      </c>
      <c r="C29" s="14" t="str">
        <v>MAEUIK0218541</v>
      </c>
      <c r="D29" s="17" t="str">
        <v>MRSU8891731</v>
      </c>
      <c r="E29" s="14" t="str">
        <v>C40HC</v>
      </c>
      <c r="F29" s="17" t="str">
        <v>19369SUPVAN00068365</v>
      </c>
      <c r="G29" s="15">
        <v>46307</v>
      </c>
      <c r="H29" s="16">
        <v>0.35416666666666674</v>
      </c>
      <c r="I29" s="15">
        <v>46301</v>
      </c>
      <c r="J29" s="17">
        <v>0</v>
      </c>
      <c r="K29" s="15">
        <v>46298</v>
      </c>
      <c r="L29" s="17" t="str">
        <v>373-STO-S10000031503</v>
      </c>
      <c r="M29" s="14" t="str">
        <v>400</v>
      </c>
      <c r="N29" s="14" t="str">
        <v>037TSOS10000679195</v>
      </c>
      <c r="O29" s="14" t="str">
        <v>350</v>
      </c>
      <c r="P29" s="14" t="str">
        <v>ANLIU52</v>
      </c>
      <c r="Q29" s="14">
        <v>46246</v>
      </c>
      <c r="R29" s="14">
        <v>726</v>
      </c>
      <c r="S29" s="14" t="str">
        <v>STO</v>
      </c>
      <c r="T29" s="14">
        <v>130</v>
      </c>
      <c r="U29" s="14" t="str">
        <v>10.64271</v>
      </c>
      <c r="V29" s="14" t="str">
        <v>12.409665</v>
      </c>
      <c r="W29" s="14">
        <v>1146.74</v>
      </c>
      <c r="X29" s="14">
        <v>46293</v>
      </c>
      <c r="Y29" s="14">
        <v>46298</v>
      </c>
      <c r="Z29" s="14">
        <v>0</v>
      </c>
      <c r="AA29" s="14" t="str">
        <v>31825</v>
      </c>
      <c r="AB29" s="14" t="str">
        <v>MAERSK A/S</v>
      </c>
      <c r="AC29" s="14" t="str">
        <v>CN6565368</v>
      </c>
      <c r="AD29" s="14" t="str">
        <v>DUMMY BARGE</v>
      </c>
      <c r="AE29" s="14" t="str">
        <v>1234</v>
      </c>
      <c r="AF29" s="27" t="str">
        <v>CN</v>
      </c>
      <c r="AG29" s="27" t="str">
        <v>PRT</v>
      </c>
      <c r="AH29" s="14" t="str">
        <v>CNZPU</v>
      </c>
    </row>
    <row r="30" spans="1:34" ht="25.2" customHeight="1" x14ac:dyDescent="0.45">
      <c r="A30" s="17" t="str">
        <v>HF</v>
      </c>
      <c r="B30" s="14">
        <v>0</v>
      </c>
      <c r="C30" s="14" t="str">
        <v>MAEUIK0221074</v>
      </c>
      <c r="D30" s="17" t="str">
        <v>MIEU4007795</v>
      </c>
      <c r="E30" s="14" t="str">
        <v>C40HC</v>
      </c>
      <c r="F30" s="17" t="str">
        <v>258DT260828726987</v>
      </c>
      <c r="G30" s="15">
        <v>46307</v>
      </c>
      <c r="H30" s="16">
        <v>0.27083333333333326</v>
      </c>
      <c r="I30" s="15">
        <v>46301</v>
      </c>
      <c r="J30" s="17">
        <v>0</v>
      </c>
      <c r="K30" s="15">
        <v>46300</v>
      </c>
      <c r="L30" s="17" t="str">
        <v>373-STO-S10000031531</v>
      </c>
      <c r="M30" s="14" t="str">
        <v>400</v>
      </c>
      <c r="N30" s="14" t="str">
        <v>258DTS10000201496</v>
      </c>
      <c r="O30" s="14" t="str">
        <v>350</v>
      </c>
      <c r="P30" s="14">
        <v>0</v>
      </c>
      <c r="Q30" s="14">
        <v>46262</v>
      </c>
      <c r="R30" s="14">
        <v>726</v>
      </c>
      <c r="S30" s="14" t="str">
        <v>STO</v>
      </c>
      <c r="T30" s="14">
        <v>6106</v>
      </c>
      <c r="U30" s="14" t="str">
        <v>50.572844</v>
      </c>
      <c r="V30" s="14" t="str">
        <v>54.43206636</v>
      </c>
      <c r="W30" s="14">
        <v>10984.606</v>
      </c>
      <c r="X30" s="14">
        <v>46288</v>
      </c>
      <c r="Y30" s="14">
        <v>46300</v>
      </c>
      <c r="Z30" s="14">
        <v>0</v>
      </c>
      <c r="AA30" s="14" t="str">
        <v>31825</v>
      </c>
      <c r="AB30" s="14" t="str">
        <v>MAERSK A/S</v>
      </c>
      <c r="AC30" s="14" t="str">
        <v>CN7995161</v>
      </c>
      <c r="AD30" s="14" t="str">
        <v>GSL ELEFTHERIA</v>
      </c>
      <c r="AE30" s="14" t="str">
        <v>637N</v>
      </c>
      <c r="AF30" s="27" t="str">
        <v>CN</v>
      </c>
      <c r="AG30" s="27" t="str">
        <v>PRT</v>
      </c>
      <c r="AH30" s="14" t="str">
        <v>CNSHA</v>
      </c>
    </row>
    <row r="31" spans="1:34" ht="25.2" customHeight="1" x14ac:dyDescent="0.45">
      <c r="A31" s="17" t="str">
        <v>HF</v>
      </c>
      <c r="B31" s="14">
        <v>0</v>
      </c>
      <c r="C31" s="14" t="str">
        <v>MAEUIK0221074</v>
      </c>
      <c r="D31" s="17" t="str">
        <v>MIEU4007795</v>
      </c>
      <c r="E31" s="14" t="str">
        <v>C40HC</v>
      </c>
      <c r="F31" s="17" t="str">
        <v>277DT260828726988</v>
      </c>
      <c r="G31" s="15">
        <v>46307</v>
      </c>
      <c r="H31" s="16">
        <v>0.27083333333333326</v>
      </c>
      <c r="I31" s="15">
        <v>46301</v>
      </c>
      <c r="J31" s="17">
        <v>0</v>
      </c>
      <c r="K31" s="15">
        <v>46300</v>
      </c>
      <c r="L31" s="17" t="str">
        <v>373-STO-S10000031531</v>
      </c>
      <c r="M31" s="14" t="str">
        <v>400</v>
      </c>
      <c r="N31" s="14" t="str">
        <v>258DTS10000201496</v>
      </c>
      <c r="O31" s="14" t="str">
        <v>350</v>
      </c>
      <c r="P31" s="14">
        <v>0</v>
      </c>
      <c r="Q31" s="14">
        <v>46262</v>
      </c>
      <c r="R31" s="14">
        <v>726</v>
      </c>
      <c r="S31" s="14" t="str">
        <v>STO</v>
      </c>
      <c r="T31" s="14">
        <v>2022</v>
      </c>
      <c r="U31" s="14" t="str">
        <v>5.032128</v>
      </c>
      <c r="V31" s="14" t="str">
        <v>5.433269</v>
      </c>
      <c r="W31" s="14">
        <v>747.58</v>
      </c>
      <c r="X31" s="14">
        <v>46288</v>
      </c>
      <c r="Y31" s="14">
        <v>46300</v>
      </c>
      <c r="Z31" s="14">
        <v>0</v>
      </c>
      <c r="AA31" s="14" t="str">
        <v>31825</v>
      </c>
      <c r="AB31" s="14" t="str">
        <v>MAERSK A/S</v>
      </c>
      <c r="AC31" s="14" t="str">
        <v>CN7995161</v>
      </c>
      <c r="AD31" s="14" t="str">
        <v>GSL ELEFTHERIA</v>
      </c>
      <c r="AE31" s="14" t="str">
        <v>637N</v>
      </c>
      <c r="AF31" s="27" t="str">
        <v>CN</v>
      </c>
      <c r="AG31" s="27" t="str">
        <v>PRT</v>
      </c>
      <c r="AH31" s="14" t="str">
        <v>CNSHA</v>
      </c>
    </row>
    <row r="32" spans="1:34" ht="25.2" customHeight="1" x14ac:dyDescent="0.45">
      <c r="A32" s="17" t="str">
        <v>DD</v>
      </c>
      <c r="B32" s="14" t="str">
        <v>MILK RUN NOR</v>
      </c>
      <c r="C32" s="14" t="str">
        <v>MAEUIK0220583</v>
      </c>
      <c r="D32" s="17" t="str">
        <v>MRSU6552180</v>
      </c>
      <c r="E32" s="14" t="str">
        <v>C40HC</v>
      </c>
      <c r="F32" s="17" t="str">
        <v>21072SUPECIS75715</v>
      </c>
      <c r="G32" s="15">
        <v>46306</v>
      </c>
      <c r="H32" s="16">
        <v>0.35416666666666674</v>
      </c>
      <c r="I32" s="15">
        <v>46301</v>
      </c>
      <c r="J32" s="17">
        <v>0</v>
      </c>
      <c r="K32" s="15">
        <v>46298</v>
      </c>
      <c r="L32" s="17" t="str">
        <v>373-STO-S10000031497</v>
      </c>
      <c r="M32" s="14" t="str">
        <v>400</v>
      </c>
      <c r="N32" s="14" t="str">
        <v>037TSOS10000690205</v>
      </c>
      <c r="O32" s="14" t="str">
        <v>300</v>
      </c>
      <c r="P32" s="14" t="str">
        <v>LINLI65</v>
      </c>
      <c r="Q32" s="14">
        <v>46259</v>
      </c>
      <c r="R32" s="14">
        <v>726</v>
      </c>
      <c r="S32" s="14" t="str">
        <v>STO</v>
      </c>
      <c r="T32" s="14">
        <v>115</v>
      </c>
      <c r="U32" s="14" t="str">
        <v>5.441181</v>
      </c>
      <c r="V32" s="14" t="str">
        <v>5.792897</v>
      </c>
      <c r="W32" s="14">
        <v>2319.1799999999998</v>
      </c>
      <c r="X32" s="14">
        <v>46286</v>
      </c>
      <c r="Y32" s="14">
        <v>46298</v>
      </c>
      <c r="Z32" s="14">
        <v>0</v>
      </c>
      <c r="AA32" s="14" t="str">
        <v>31825</v>
      </c>
      <c r="AB32" s="14" t="str">
        <v>MAERSK A/S</v>
      </c>
      <c r="AC32" s="14" t="str">
        <v>CN6555120</v>
      </c>
      <c r="AD32" s="14" t="str">
        <v>MUNDRA EXPRESS</v>
      </c>
      <c r="AE32" s="14" t="str">
        <v>637E</v>
      </c>
      <c r="AF32" s="27" t="str">
        <v>CN</v>
      </c>
      <c r="AG32" s="27" t="str">
        <v>PRT</v>
      </c>
      <c r="AH32" s="14" t="str">
        <v>CNNGB</v>
      </c>
    </row>
    <row r="33" spans="1:34" ht="25.2" customHeight="1" x14ac:dyDescent="0.45">
      <c r="A33" s="17" t="str">
        <v>DD</v>
      </c>
      <c r="B33" s="14" t="str">
        <v/>
      </c>
      <c r="C33" s="14" t="str">
        <v>MAEUIK0221100</v>
      </c>
      <c r="D33" s="17" t="str">
        <v>UETU2059170</v>
      </c>
      <c r="E33" s="14" t="str">
        <v>C20DV</v>
      </c>
      <c r="F33" s="17" t="str">
        <v>17596SUPECIS42925</v>
      </c>
      <c r="G33" s="15">
        <v>46306</v>
      </c>
      <c r="H33" s="16">
        <v>0.26041666666666674</v>
      </c>
      <c r="I33" s="15">
        <v>46297</v>
      </c>
      <c r="J33" s="17">
        <v>0</v>
      </c>
      <c r="K33" s="15">
        <v>46297</v>
      </c>
      <c r="L33" s="17" t="str">
        <v>373-STO-S10000031466</v>
      </c>
      <c r="M33" s="14" t="str">
        <v>400</v>
      </c>
      <c r="N33" s="14" t="str">
        <v>041TSOS10000278373</v>
      </c>
      <c r="O33" s="14" t="str">
        <v>350</v>
      </c>
      <c r="P33" s="14" t="str">
        <v>ELZHE</v>
      </c>
      <c r="Q33" s="14">
        <v>46262</v>
      </c>
      <c r="R33" s="14">
        <v>726</v>
      </c>
      <c r="S33" s="14" t="str">
        <v>STO</v>
      </c>
      <c r="T33" s="14">
        <v>3076</v>
      </c>
      <c r="U33" s="14" t="str">
        <v>25.362248</v>
      </c>
      <c r="V33" s="14" t="str">
        <v>26.974425</v>
      </c>
      <c r="W33" s="14">
        <v>1470.41</v>
      </c>
      <c r="X33" s="14">
        <v>46290</v>
      </c>
      <c r="Y33" s="14">
        <v>46297</v>
      </c>
      <c r="Z33" s="14">
        <v>0</v>
      </c>
      <c r="AA33" s="14" t="str">
        <v>31825</v>
      </c>
      <c r="AB33" s="14" t="str">
        <v>MAERSK A/S</v>
      </c>
      <c r="AC33" s="14" t="str">
        <v>ID1208780</v>
      </c>
      <c r="AD33" s="14" t="str">
        <v>SKY PEACE</v>
      </c>
      <c r="AE33" s="14" t="str">
        <v>635N</v>
      </c>
      <c r="AF33" s="27" t="str">
        <v>ID</v>
      </c>
      <c r="AG33" s="27" t="str">
        <v>PRT</v>
      </c>
      <c r="AH33" s="14" t="str">
        <v>IDJKT</v>
      </c>
    </row>
    <row r="34" spans="1:34" ht="25.2" customHeight="1" x14ac:dyDescent="0.45">
      <c r="A34" s="17" t="str">
        <v>DD</v>
      </c>
      <c r="B34" s="14" t="str">
        <v>MILK RUN NOR</v>
      </c>
      <c r="C34" s="14" t="str">
        <v>OOLU2173640490</v>
      </c>
      <c r="D34" s="17" t="str">
        <v>CSNU7283900</v>
      </c>
      <c r="E34" s="14" t="str">
        <v>C40HC</v>
      </c>
      <c r="F34" s="17" t="str">
        <v>23273SUP3644956</v>
      </c>
      <c r="G34" s="15">
        <v>46306</v>
      </c>
      <c r="H34" s="16">
        <v>0.35416666666666674</v>
      </c>
      <c r="I34" s="15">
        <v>46301</v>
      </c>
      <c r="J34" s="17">
        <v>0</v>
      </c>
      <c r="K34" s="15">
        <v>46300</v>
      </c>
      <c r="L34" s="17" t="str">
        <v>373-STO-S10000031498</v>
      </c>
      <c r="M34" s="14" t="str">
        <v>400</v>
      </c>
      <c r="N34" s="14" t="str">
        <v>030TSOS10000134256</v>
      </c>
      <c r="O34" s="14" t="str">
        <v>350</v>
      </c>
      <c r="P34" s="14" t="str">
        <v>JEGAO9</v>
      </c>
      <c r="Q34" s="14">
        <v>46261</v>
      </c>
      <c r="R34" s="14">
        <v>726</v>
      </c>
      <c r="S34" s="14" t="str">
        <v>STO</v>
      </c>
      <c r="T34" s="14">
        <v>12</v>
      </c>
      <c r="U34" s="14" t="str">
        <v>2.030178</v>
      </c>
      <c r="V34" s="14" t="str">
        <v>2.119852</v>
      </c>
      <c r="W34" s="14">
        <v>279.60599999999999</v>
      </c>
      <c r="X34" s="14">
        <v>46276</v>
      </c>
      <c r="Y34" s="14">
        <v>46299</v>
      </c>
      <c r="Z34" s="14">
        <v>0</v>
      </c>
      <c r="AA34" s="14" t="str">
        <v>30105</v>
      </c>
      <c r="AB34" s="14" t="str">
        <v>ORIENT OVERSEAS CONTAINER LINE LTD.</v>
      </c>
      <c r="AC34" s="14" t="str">
        <v>OOLLGT8733</v>
      </c>
      <c r="AD34" s="14" t="str">
        <v>OOCL MALAYSIA</v>
      </c>
      <c r="AE34" s="14" t="str">
        <v>073W</v>
      </c>
      <c r="AF34" s="27" t="str">
        <v>CN</v>
      </c>
      <c r="AG34" s="27" t="str">
        <v>PRT</v>
      </c>
      <c r="AH34" s="14" t="str">
        <v>CNTXG</v>
      </c>
    </row>
    <row r="35" spans="1:34" ht="25.2" customHeight="1" x14ac:dyDescent="0.45">
      <c r="A35" s="17" t="str">
        <v>DD</v>
      </c>
      <c r="B35" s="14" t="str">
        <v>MILK RUN NOR</v>
      </c>
      <c r="C35" s="14" t="str">
        <v>HLCUTS12609CESE3</v>
      </c>
      <c r="D35" s="17" t="str">
        <v>HAMU4368269</v>
      </c>
      <c r="E35" s="14" t="str">
        <v>C40HC</v>
      </c>
      <c r="F35" s="17" t="str">
        <v>23273SUP3647962</v>
      </c>
      <c r="G35" s="15">
        <v>46305</v>
      </c>
      <c r="H35" s="16">
        <v>0.35416666666666674</v>
      </c>
      <c r="I35" s="15">
        <v>46302</v>
      </c>
      <c r="J35" s="17">
        <v>0</v>
      </c>
      <c r="K35" s="15">
        <v>46300</v>
      </c>
      <c r="L35" s="17" t="str">
        <v>373-STO-S10000031492</v>
      </c>
      <c r="M35" s="14" t="str">
        <v>400</v>
      </c>
      <c r="N35" s="14" t="str">
        <v>030TSOS10000136019</v>
      </c>
      <c r="O35" s="14" t="str">
        <v>400</v>
      </c>
      <c r="P35" s="14" t="str">
        <v>JEGAO9</v>
      </c>
      <c r="Q35" s="14">
        <v>46274</v>
      </c>
      <c r="R35" s="14">
        <v>726</v>
      </c>
      <c r="S35" s="14" t="str">
        <v>STO</v>
      </c>
      <c r="T35" s="14">
        <v>42</v>
      </c>
      <c r="U35" s="14" t="str">
        <v>4.092924</v>
      </c>
      <c r="V35" s="14" t="str">
        <v>4.302985</v>
      </c>
      <c r="W35" s="14">
        <v>444.33</v>
      </c>
      <c r="X35" s="14">
        <v>46313</v>
      </c>
      <c r="Y35" s="14">
        <v>46301</v>
      </c>
      <c r="Z35" s="14">
        <v>46292</v>
      </c>
      <c r="AA35" s="14" t="str">
        <v>31363</v>
      </c>
      <c r="AB35" s="14" t="str">
        <v>HAPAG LLOYD AG</v>
      </c>
      <c r="AC35" s="14" t="str">
        <v>HLK7232702</v>
      </c>
      <c r="AD35" s="14" t="str">
        <v>MAERSK CAMDEN</v>
      </c>
      <c r="AE35" s="14" t="str">
        <v>639E</v>
      </c>
      <c r="AF35" s="27" t="str">
        <v>CN</v>
      </c>
      <c r="AG35" s="27" t="str">
        <v>PRT</v>
      </c>
      <c r="AH35" s="14" t="str">
        <v>CNTXG</v>
      </c>
    </row>
    <row r="36" spans="1:34" ht="25.2" customHeight="1" x14ac:dyDescent="0.45">
      <c r="A36" s="17" t="str">
        <v>DD</v>
      </c>
      <c r="B36" s="14" t="str">
        <v>MILK RUN NOR</v>
      </c>
      <c r="C36" s="14" t="str">
        <v>OOLU2173978340</v>
      </c>
      <c r="D36" s="17" t="str">
        <v>OOLU9923069</v>
      </c>
      <c r="E36" s="14" t="str">
        <v>C40HC</v>
      </c>
      <c r="F36" s="17" t="str">
        <v>23273SUP3646704</v>
      </c>
      <c r="G36" s="15">
        <v>46305</v>
      </c>
      <c r="H36" s="16">
        <v>0.35416666666666674</v>
      </c>
      <c r="I36" s="15">
        <v>46301</v>
      </c>
      <c r="J36" s="17">
        <v>0</v>
      </c>
      <c r="K36" s="15">
        <v>46300</v>
      </c>
      <c r="L36" s="17" t="str">
        <v>373-STO-S10000031493</v>
      </c>
      <c r="M36" s="14" t="str">
        <v>400</v>
      </c>
      <c r="N36" s="14" t="str">
        <v>030TSOS10000135318</v>
      </c>
      <c r="O36" s="14" t="str">
        <v>350</v>
      </c>
      <c r="P36" s="14" t="str">
        <v>JEGAO9</v>
      </c>
      <c r="Q36" s="14">
        <v>46269</v>
      </c>
      <c r="R36" s="14">
        <v>726</v>
      </c>
      <c r="S36" s="14" t="str">
        <v>STO</v>
      </c>
      <c r="T36" s="14">
        <v>12</v>
      </c>
      <c r="U36" s="14" t="str">
        <v>2.13408</v>
      </c>
      <c r="V36" s="14" t="str">
        <v>2.227652</v>
      </c>
      <c r="W36" s="14">
        <v>217.98</v>
      </c>
      <c r="X36" s="14">
        <v>46301</v>
      </c>
      <c r="Y36" s="14">
        <v>46299</v>
      </c>
      <c r="Z36" s="14">
        <v>0</v>
      </c>
      <c r="AA36" s="14" t="str">
        <v>30105</v>
      </c>
      <c r="AB36" s="14" t="str">
        <v>ORIENT OVERSEAS CONTAINER LINE LTD.</v>
      </c>
      <c r="AC36" s="14" t="str">
        <v>OOLLGT8613</v>
      </c>
      <c r="AD36" s="14" t="str">
        <v>OOCL MALAYSIA</v>
      </c>
      <c r="AE36" s="14" t="str">
        <v>073W</v>
      </c>
      <c r="AF36" s="27" t="str">
        <v>CN</v>
      </c>
      <c r="AG36" s="27" t="str">
        <v>PRT</v>
      </c>
      <c r="AH36" s="14" t="str">
        <v>CNTXG</v>
      </c>
    </row>
    <row r="37" spans="1:34" ht="25.2" customHeight="1" x14ac:dyDescent="0.45">
      <c r="A37" s="17" t="str">
        <v>DD</v>
      </c>
      <c r="B37" s="14" t="str">
        <v/>
      </c>
      <c r="C37" s="14" t="str">
        <v>MAEUIK0219274</v>
      </c>
      <c r="D37" s="17" t="str">
        <v>MRKU9138463</v>
      </c>
      <c r="E37" s="14" t="str">
        <v>C20DV</v>
      </c>
      <c r="F37" s="17" t="str">
        <v>17596SUPECIS42821</v>
      </c>
      <c r="G37" s="15">
        <v>46305</v>
      </c>
      <c r="H37" s="16">
        <v>0.26041666666666674</v>
      </c>
      <c r="I37" s="15">
        <v>46297</v>
      </c>
      <c r="J37" s="17">
        <v>0</v>
      </c>
      <c r="K37" s="15">
        <v>46297</v>
      </c>
      <c r="L37" s="17" t="str">
        <v>373-STO-S10000031465</v>
      </c>
      <c r="M37" s="14" t="str">
        <v>400</v>
      </c>
      <c r="N37" s="14" t="str">
        <v>041TSOS10000275113</v>
      </c>
      <c r="O37" s="14" t="str">
        <v>300</v>
      </c>
      <c r="P37" s="14">
        <v>0</v>
      </c>
      <c r="Q37" s="14">
        <v>46251</v>
      </c>
      <c r="R37" s="14">
        <v>726</v>
      </c>
      <c r="S37" s="14" t="str">
        <v>STO</v>
      </c>
      <c r="T37" s="14">
        <v>10276</v>
      </c>
      <c r="U37" s="14" t="str">
        <v>25.274728</v>
      </c>
      <c r="V37" s="14" t="str">
        <v>26.85891</v>
      </c>
      <c r="W37" s="14">
        <v>1417.92</v>
      </c>
      <c r="X37" s="14">
        <v>46290</v>
      </c>
      <c r="Y37" s="14">
        <v>46297</v>
      </c>
      <c r="Z37" s="14">
        <v>0</v>
      </c>
      <c r="AA37" s="14" t="str">
        <v>31825</v>
      </c>
      <c r="AB37" s="14" t="str">
        <v>MAERSK A/S</v>
      </c>
      <c r="AC37" s="14" t="str">
        <v>ID1204857</v>
      </c>
      <c r="AD37" s="14" t="str">
        <v>SKY PEACE</v>
      </c>
      <c r="AE37" s="14" t="str">
        <v>635N</v>
      </c>
      <c r="AF37" s="27" t="str">
        <v>ID</v>
      </c>
      <c r="AG37" s="27" t="str">
        <v>PRT</v>
      </c>
      <c r="AH37" s="14" t="str">
        <v>IDJKT</v>
      </c>
    </row>
    <row r="38" spans="1:34" ht="25.2" customHeight="1" x14ac:dyDescent="0.45">
      <c r="A38" s="17" t="str">
        <v>DD</v>
      </c>
      <c r="B38" s="14" t="str">
        <v>MILK RUN NOR</v>
      </c>
      <c r="C38" s="14" t="str">
        <v>MAEUIK0221175</v>
      </c>
      <c r="D38" s="17" t="str">
        <v>MRSU9544784</v>
      </c>
      <c r="E38" s="14" t="str">
        <v>C40HC</v>
      </c>
      <c r="F38" s="17" t="str">
        <v>21072SUPECIS75824</v>
      </c>
      <c r="G38" s="15">
        <v>46304</v>
      </c>
      <c r="H38" s="16">
        <v>0.35416666666666674</v>
      </c>
      <c r="I38" s="15">
        <v>46301</v>
      </c>
      <c r="J38" s="17">
        <v>0</v>
      </c>
      <c r="K38" s="15">
        <v>46298</v>
      </c>
      <c r="L38" s="17" t="str">
        <v>373-STO-S10000031446</v>
      </c>
      <c r="M38" s="14" t="str">
        <v>400</v>
      </c>
      <c r="N38" s="14" t="str">
        <v>037TSOS10000692821</v>
      </c>
      <c r="O38" s="14" t="str">
        <v>300</v>
      </c>
      <c r="P38" s="14" t="str">
        <v>LINLI65</v>
      </c>
      <c r="Q38" s="14">
        <v>46262</v>
      </c>
      <c r="R38" s="14">
        <v>726</v>
      </c>
      <c r="S38" s="14" t="str">
        <v>STO</v>
      </c>
      <c r="T38" s="14">
        <v>282</v>
      </c>
      <c r="U38" s="14" t="str">
        <v>7.554486</v>
      </c>
      <c r="V38" s="14" t="str">
        <v>8.050364</v>
      </c>
      <c r="W38" s="14">
        <v>3097.99</v>
      </c>
      <c r="X38" s="14">
        <v>46286</v>
      </c>
      <c r="Y38" s="14">
        <v>46298</v>
      </c>
      <c r="Z38" s="14">
        <v>0</v>
      </c>
      <c r="AA38" s="14" t="str">
        <v>31825</v>
      </c>
      <c r="AB38" s="14" t="str">
        <v>MAERSK A/S</v>
      </c>
      <c r="AC38" s="14" t="str">
        <v>CN6570450</v>
      </c>
      <c r="AD38" s="14" t="str">
        <v>MUNDRA EXPRESS</v>
      </c>
      <c r="AE38" s="14" t="str">
        <v>637E</v>
      </c>
      <c r="AF38" s="27" t="str">
        <v>CN</v>
      </c>
      <c r="AG38" s="27" t="str">
        <v>PRT</v>
      </c>
      <c r="AH38" s="14" t="str">
        <v>CNNGB</v>
      </c>
    </row>
    <row r="39" spans="1:34" ht="25.2" customHeight="1" x14ac:dyDescent="0.45">
      <c r="A39" s="17" t="str">
        <v>HF</v>
      </c>
      <c r="B39" s="14" t="str">
        <v>F/C</v>
      </c>
      <c r="C39" s="14" t="str">
        <v>MAEUIK0219823</v>
      </c>
      <c r="D39" s="17" t="str">
        <v>TCKU7855708</v>
      </c>
      <c r="E39" s="14" t="str">
        <v>C40HC</v>
      </c>
      <c r="F39" s="17" t="str">
        <v>258DT260820726495</v>
      </c>
      <c r="G39" s="15">
        <v>46304</v>
      </c>
      <c r="H39" s="16">
        <v>0.26041666666666674</v>
      </c>
      <c r="I39" s="15">
        <v>46296</v>
      </c>
      <c r="J39" s="17">
        <v>0</v>
      </c>
      <c r="K39" s="15">
        <v>46275</v>
      </c>
      <c r="L39" s="17" t="str">
        <v>373-STO-S10000031430</v>
      </c>
      <c r="M39" s="14" t="str">
        <v>400</v>
      </c>
      <c r="N39" s="14" t="str">
        <v>258DTS10000200289</v>
      </c>
      <c r="O39" s="14" t="str">
        <v>350</v>
      </c>
      <c r="P39" s="14">
        <v>0</v>
      </c>
      <c r="Q39" s="14">
        <v>46254</v>
      </c>
      <c r="R39" s="14">
        <v>726</v>
      </c>
      <c r="S39" s="14" t="str">
        <v>STO</v>
      </c>
      <c r="T39" s="14">
        <v>8563</v>
      </c>
      <c r="U39" s="14" t="str">
        <v>21.731729</v>
      </c>
      <c r="V39" s="14" t="str">
        <v>23.46848301</v>
      </c>
      <c r="W39" s="14">
        <v>3714.4059999999999</v>
      </c>
      <c r="X39" s="14">
        <v>46268</v>
      </c>
      <c r="Y39" s="14">
        <v>46266</v>
      </c>
      <c r="Z39" s="14">
        <v>0</v>
      </c>
      <c r="AA39" s="14" t="str">
        <v>31825</v>
      </c>
      <c r="AB39" s="14" t="str">
        <v>MAERSK A/S</v>
      </c>
      <c r="AC39" s="14" t="str">
        <v>CN7971754</v>
      </c>
      <c r="AD39" s="14" t="str">
        <v>MERATUS JIMBARAN</v>
      </c>
      <c r="AE39" s="14" t="str">
        <v>634N</v>
      </c>
      <c r="AF39" s="27" t="str">
        <v>CN</v>
      </c>
      <c r="AG39" s="27" t="str">
        <v>PRT</v>
      </c>
      <c r="AH39" s="14" t="str">
        <v>CNSHA</v>
      </c>
    </row>
    <row r="40" spans="1:34" ht="25.2" customHeight="1" x14ac:dyDescent="0.45">
      <c r="A40" s="17" t="str">
        <v>HF</v>
      </c>
      <c r="B40" s="14" t="str">
        <v>F/C</v>
      </c>
      <c r="C40" s="14" t="str">
        <v>MAEUIK0219823</v>
      </c>
      <c r="D40" s="17" t="str">
        <v>TCKU7855708</v>
      </c>
      <c r="E40" s="14" t="str">
        <v>C40HC</v>
      </c>
      <c r="F40" s="17" t="str">
        <v>277DT260820726496</v>
      </c>
      <c r="G40" s="15">
        <v>46304</v>
      </c>
      <c r="H40" s="16">
        <v>0.26041666666666674</v>
      </c>
      <c r="I40" s="15">
        <v>46296</v>
      </c>
      <c r="J40" s="17">
        <v>0</v>
      </c>
      <c r="K40" s="15">
        <v>46275</v>
      </c>
      <c r="L40" s="17" t="str">
        <v>373-STO-S10000031430</v>
      </c>
      <c r="M40" s="14" t="str">
        <v>400</v>
      </c>
      <c r="N40" s="14" t="str">
        <v>258DTS10000200289</v>
      </c>
      <c r="O40" s="14" t="str">
        <v>350</v>
      </c>
      <c r="P40" s="14">
        <v>0</v>
      </c>
      <c r="Q40" s="14">
        <v>46254</v>
      </c>
      <c r="R40" s="14">
        <v>726</v>
      </c>
      <c r="S40" s="14" t="str">
        <v>STO</v>
      </c>
      <c r="T40" s="14">
        <v>29965</v>
      </c>
      <c r="U40" s="14" t="str">
        <v>33.504735</v>
      </c>
      <c r="V40" s="14" t="str">
        <v>36.258891</v>
      </c>
      <c r="W40" s="14">
        <v>9167.4869999999992</v>
      </c>
      <c r="X40" s="14">
        <v>46268</v>
      </c>
      <c r="Y40" s="14">
        <v>46266</v>
      </c>
      <c r="Z40" s="14">
        <v>0</v>
      </c>
      <c r="AA40" s="14" t="str">
        <v>31825</v>
      </c>
      <c r="AB40" s="14" t="str">
        <v>MAERSK A/S</v>
      </c>
      <c r="AC40" s="14" t="str">
        <v>CN7971754</v>
      </c>
      <c r="AD40" s="14" t="str">
        <v>MERATUS JIMBARAN</v>
      </c>
      <c r="AE40" s="14" t="str">
        <v>634N</v>
      </c>
      <c r="AF40" s="27" t="str">
        <v>CN</v>
      </c>
      <c r="AG40" s="27" t="str">
        <v>PRT</v>
      </c>
      <c r="AH40" s="14" t="str">
        <v>CNSHA</v>
      </c>
    </row>
    <row r="41" spans="1:34" ht="25.2" customHeight="1" x14ac:dyDescent="0.45">
      <c r="A41" s="17" t="str">
        <v>LF</v>
      </c>
      <c r="B41" s="14" t="str">
        <v>F/C PLANT</v>
      </c>
      <c r="C41" s="14" t="str">
        <v>MAEUIK0217106</v>
      </c>
      <c r="D41" s="17" t="str">
        <v>MRSU1278991</v>
      </c>
      <c r="E41" s="14" t="str">
        <v>C20DV</v>
      </c>
      <c r="F41" s="17" t="str">
        <v>294DT260803726022</v>
      </c>
      <c r="G41" s="15">
        <v>46303</v>
      </c>
      <c r="H41" s="16">
        <v>0.27083333333333326</v>
      </c>
      <c r="I41" s="15">
        <v>46296</v>
      </c>
      <c r="J41" s="17">
        <v>0</v>
      </c>
      <c r="K41" s="15">
        <v>46275</v>
      </c>
      <c r="L41" s="17" t="str">
        <v>373-STO-S10000031429</v>
      </c>
      <c r="M41" s="14" t="str">
        <v>400</v>
      </c>
      <c r="N41" s="14" t="str">
        <v>258DTS10000197548</v>
      </c>
      <c r="O41" s="14" t="str">
        <v>350</v>
      </c>
      <c r="P41" s="14" t="str">
        <v>LARXU</v>
      </c>
      <c r="Q41" s="14">
        <v>46237</v>
      </c>
      <c r="R41" s="14">
        <v>726</v>
      </c>
      <c r="S41" s="14" t="str">
        <v>STO</v>
      </c>
      <c r="T41" s="14">
        <v>14862</v>
      </c>
      <c r="U41" s="14" t="str">
        <v>11.530792</v>
      </c>
      <c r="V41" s="14" t="str">
        <v>12.46323696</v>
      </c>
      <c r="W41" s="14">
        <v>2896.4290000000001</v>
      </c>
      <c r="X41" s="14">
        <v>46268</v>
      </c>
      <c r="Y41" s="14">
        <v>46266</v>
      </c>
      <c r="Z41" s="14">
        <v>0</v>
      </c>
      <c r="AA41" s="14" t="str">
        <v>31825</v>
      </c>
      <c r="AB41" s="14" t="str">
        <v>MAERSK A/S</v>
      </c>
      <c r="AC41" s="14" t="str">
        <v>CN7969022</v>
      </c>
      <c r="AD41" s="14" t="str">
        <v>MERATUS JIMBARAN</v>
      </c>
      <c r="AE41" s="14" t="str">
        <v>634N</v>
      </c>
      <c r="AF41" s="27" t="str">
        <v>CN</v>
      </c>
      <c r="AG41" s="27" t="str">
        <v>PRT</v>
      </c>
      <c r="AH41" s="14" t="str">
        <v>CNSHA</v>
      </c>
    </row>
    <row r="42" spans="1:34" ht="25.2" customHeight="1" x14ac:dyDescent="0.45">
      <c r="A42" s="17" t="str">
        <v>LF</v>
      </c>
      <c r="B42" s="14" t="str">
        <v>F/C PLANT</v>
      </c>
      <c r="C42" s="14" t="str">
        <v>MAEUIK0217106</v>
      </c>
      <c r="D42" s="17" t="str">
        <v>MRSU1278991</v>
      </c>
      <c r="E42" s="14" t="str">
        <v>C20DV</v>
      </c>
      <c r="F42" s="17" t="str">
        <v>319DT260803726023</v>
      </c>
      <c r="G42" s="15">
        <v>46303</v>
      </c>
      <c r="H42" s="16">
        <v>0.27083333333333326</v>
      </c>
      <c r="I42" s="15">
        <v>46296</v>
      </c>
      <c r="J42" s="17">
        <v>0</v>
      </c>
      <c r="K42" s="15">
        <v>46275</v>
      </c>
      <c r="L42" s="17" t="str">
        <v>373-STO-S10000031429</v>
      </c>
      <c r="M42" s="14" t="str">
        <v>400</v>
      </c>
      <c r="N42" s="14" t="str">
        <v>258DTS10000197548</v>
      </c>
      <c r="O42" s="14" t="str">
        <v>350</v>
      </c>
      <c r="P42" s="14" t="str">
        <v>LARXU</v>
      </c>
      <c r="Q42" s="14">
        <v>46237</v>
      </c>
      <c r="R42" s="14">
        <v>726</v>
      </c>
      <c r="S42" s="14" t="str">
        <v>STO</v>
      </c>
      <c r="T42" s="14">
        <v>6739</v>
      </c>
      <c r="U42" s="14" t="str">
        <v>9.354069</v>
      </c>
      <c r="V42" s="14" t="str">
        <v>10.10751533</v>
      </c>
      <c r="W42" s="14">
        <v>1698.53</v>
      </c>
      <c r="X42" s="14">
        <v>46268</v>
      </c>
      <c r="Y42" s="14">
        <v>46266</v>
      </c>
      <c r="Z42" s="14">
        <v>0</v>
      </c>
      <c r="AA42" s="14" t="str">
        <v>31825</v>
      </c>
      <c r="AB42" s="14" t="str">
        <v>MAERSK A/S</v>
      </c>
      <c r="AC42" s="14" t="str">
        <v>CN7969022</v>
      </c>
      <c r="AD42" s="14" t="str">
        <v>MERATUS JIMBARAN</v>
      </c>
      <c r="AE42" s="14" t="str">
        <v>634N</v>
      </c>
      <c r="AF42" s="27" t="str">
        <v>CN</v>
      </c>
      <c r="AG42" s="27" t="str">
        <v>PRT</v>
      </c>
      <c r="AH42" s="14" t="str">
        <v>CNSHA</v>
      </c>
    </row>
    <row r="43" spans="1:34" ht="25.2" customHeight="1" x14ac:dyDescent="0.45">
      <c r="A43" s="17" t="str">
        <v>LF</v>
      </c>
      <c r="B43" s="14" t="str">
        <v>F/C PLANT</v>
      </c>
      <c r="C43" s="14" t="str">
        <v>MAEUIK0217106</v>
      </c>
      <c r="D43" s="17" t="str">
        <v>MRSU1278991</v>
      </c>
      <c r="E43" s="14" t="str">
        <v>C20DV</v>
      </c>
      <c r="F43" s="17" t="str">
        <v>319DT260803726025</v>
      </c>
      <c r="G43" s="15">
        <v>46303</v>
      </c>
      <c r="H43" s="16">
        <v>0.27083333333333326</v>
      </c>
      <c r="I43" s="15">
        <v>46296</v>
      </c>
      <c r="J43" s="17">
        <v>0</v>
      </c>
      <c r="K43" s="15">
        <v>46275</v>
      </c>
      <c r="L43" s="17" t="str">
        <v>373-STO-S10000031429</v>
      </c>
      <c r="M43" s="14" t="str">
        <v>400</v>
      </c>
      <c r="N43" s="14" t="str">
        <v>258DTS10000197548</v>
      </c>
      <c r="O43" s="14" t="str">
        <v>350</v>
      </c>
      <c r="P43" s="14" t="str">
        <v>LARXU</v>
      </c>
      <c r="Q43" s="14">
        <v>46237</v>
      </c>
      <c r="R43" s="14">
        <v>726</v>
      </c>
      <c r="S43" s="14" t="str">
        <v>STO</v>
      </c>
      <c r="T43" s="14">
        <v>226</v>
      </c>
      <c r="U43" s="14" t="str">
        <v>0.378726</v>
      </c>
      <c r="V43" s="14" t="str">
        <v>0.41460268</v>
      </c>
      <c r="W43" s="14">
        <v>14.952</v>
      </c>
      <c r="X43" s="14">
        <v>46268</v>
      </c>
      <c r="Y43" s="14">
        <v>46266</v>
      </c>
      <c r="Z43" s="14">
        <v>0</v>
      </c>
      <c r="AA43" s="14" t="str">
        <v>31825</v>
      </c>
      <c r="AB43" s="14" t="str">
        <v>MAERSK A/S</v>
      </c>
      <c r="AC43" s="14" t="str">
        <v>CN7969022</v>
      </c>
      <c r="AD43" s="14" t="str">
        <v>MERATUS JIMBARAN</v>
      </c>
      <c r="AE43" s="14" t="str">
        <v>634N</v>
      </c>
      <c r="AF43" s="27" t="str">
        <v>CN</v>
      </c>
      <c r="AG43" s="27" t="str">
        <v>PRT</v>
      </c>
      <c r="AH43" s="14" t="str">
        <v>CNSHA</v>
      </c>
    </row>
    <row r="44" spans="1:34" ht="25.2" customHeight="1" x14ac:dyDescent="0.45">
      <c r="A44" s="17" t="str">
        <v>LF</v>
      </c>
      <c r="B44" s="14" t="str">
        <v>F/C</v>
      </c>
      <c r="C44" s="14" t="str">
        <v>MAEUIK0217716</v>
      </c>
      <c r="D44" s="17" t="str">
        <v>GCXU2525290</v>
      </c>
      <c r="E44" s="14" t="str">
        <v>C20DV</v>
      </c>
      <c r="F44" s="17" t="str">
        <v>294DT260806726469</v>
      </c>
      <c r="G44" s="15">
        <v>46302</v>
      </c>
      <c r="H44" s="16">
        <v>0.27083333333333326</v>
      </c>
      <c r="I44" s="15">
        <v>46296</v>
      </c>
      <c r="J44" s="17">
        <v>0</v>
      </c>
      <c r="K44" s="15">
        <v>46275</v>
      </c>
      <c r="L44" s="17" t="str">
        <v>373-STO-S10000031428</v>
      </c>
      <c r="M44" s="14" t="str">
        <v>400</v>
      </c>
      <c r="N44" s="14" t="str">
        <v>258DTS10000198131</v>
      </c>
      <c r="O44" s="14" t="str">
        <v>350</v>
      </c>
      <c r="P44" s="14" t="str">
        <v>LARXU</v>
      </c>
      <c r="Q44" s="14">
        <v>46240</v>
      </c>
      <c r="R44" s="14">
        <v>726</v>
      </c>
      <c r="S44" s="14" t="str">
        <v>STO</v>
      </c>
      <c r="T44" s="14">
        <v>9637</v>
      </c>
      <c r="U44" s="14" t="str">
        <v>9.548765</v>
      </c>
      <c r="V44" s="14" t="str">
        <v>10.35479581</v>
      </c>
      <c r="W44" s="14">
        <v>2213.2730000000001</v>
      </c>
      <c r="X44" s="14">
        <v>46268</v>
      </c>
      <c r="Y44" s="14">
        <v>46266</v>
      </c>
      <c r="Z44" s="14">
        <v>0</v>
      </c>
      <c r="AA44" s="14" t="str">
        <v>31825</v>
      </c>
      <c r="AB44" s="14" t="str">
        <v>MAERSK A/S</v>
      </c>
      <c r="AC44" s="14" t="str">
        <v>CN8037308</v>
      </c>
      <c r="AD44" s="14" t="str">
        <v>MERATUS JIMBARAN</v>
      </c>
      <c r="AE44" s="14" t="str">
        <v>634N</v>
      </c>
      <c r="AF44" s="27" t="str">
        <v>CN</v>
      </c>
      <c r="AG44" s="27" t="str">
        <v>PRT</v>
      </c>
      <c r="AH44" s="14" t="str">
        <v>CNSHA</v>
      </c>
    </row>
    <row r="45" spans="1:34" ht="25.2" customHeight="1" x14ac:dyDescent="0.45">
      <c r="A45" s="17" t="str">
        <v>LF</v>
      </c>
      <c r="B45" s="14" t="str">
        <v>F/C</v>
      </c>
      <c r="C45" s="14" t="str">
        <v>MAEUIK0217716</v>
      </c>
      <c r="D45" s="17" t="str">
        <v>GCXU2525290</v>
      </c>
      <c r="E45" s="14" t="str">
        <v>C20DV</v>
      </c>
      <c r="F45" s="17" t="str">
        <v>319DT260806726470</v>
      </c>
      <c r="G45" s="15">
        <v>46302</v>
      </c>
      <c r="H45" s="16">
        <v>0.27083333333333326</v>
      </c>
      <c r="I45" s="15">
        <v>46296</v>
      </c>
      <c r="J45" s="17">
        <v>0</v>
      </c>
      <c r="K45" s="15">
        <v>46275</v>
      </c>
      <c r="L45" s="17" t="str">
        <v>373-STO-S10000031428</v>
      </c>
      <c r="M45" s="14" t="str">
        <v>400</v>
      </c>
      <c r="N45" s="14" t="str">
        <v>258DTS10000198131</v>
      </c>
      <c r="O45" s="14" t="str">
        <v>350</v>
      </c>
      <c r="P45" s="14" t="str">
        <v>LARXU</v>
      </c>
      <c r="Q45" s="14">
        <v>46240</v>
      </c>
      <c r="R45" s="14">
        <v>726</v>
      </c>
      <c r="S45" s="14" t="str">
        <v>STO</v>
      </c>
      <c r="T45" s="14">
        <v>9242</v>
      </c>
      <c r="U45" s="14" t="str">
        <v>11.600902</v>
      </c>
      <c r="V45" s="14" t="str">
        <v>12.62153741</v>
      </c>
      <c r="W45" s="14">
        <v>2936.1819999999998</v>
      </c>
      <c r="X45" s="14">
        <v>46268</v>
      </c>
      <c r="Y45" s="14">
        <v>46266</v>
      </c>
      <c r="Z45" s="14">
        <v>0</v>
      </c>
      <c r="AA45" s="14" t="str">
        <v>31825</v>
      </c>
      <c r="AB45" s="14" t="str">
        <v>MAERSK A/S</v>
      </c>
      <c r="AC45" s="14" t="str">
        <v>CN8037308</v>
      </c>
      <c r="AD45" s="14" t="str">
        <v>MERATUS JIMBARAN</v>
      </c>
      <c r="AE45" s="14" t="str">
        <v>634N</v>
      </c>
      <c r="AF45" s="27" t="str">
        <v>CN</v>
      </c>
      <c r="AG45" s="27" t="str">
        <v>PRT</v>
      </c>
      <c r="AH45" s="14" t="str">
        <v>CNSHA</v>
      </c>
    </row>
    <row r="46" spans="1:34" ht="25.2" customHeight="1" x14ac:dyDescent="0.45">
      <c r="A46" s="17" t="str">
        <v>DD</v>
      </c>
      <c r="B46" s="14" t="str">
        <v>MILK RUN NOR</v>
      </c>
      <c r="C46" s="14" t="str">
        <v>MAEUIK0219927</v>
      </c>
      <c r="D46" s="17" t="str">
        <v>MIEU3578320</v>
      </c>
      <c r="E46" s="14" t="str">
        <v>C40HC</v>
      </c>
      <c r="F46" s="17" t="str">
        <v>21072SUPECIS75584</v>
      </c>
      <c r="G46" s="15">
        <v>46301</v>
      </c>
      <c r="H46" s="16">
        <v>0.22916666666666674</v>
      </c>
      <c r="I46" s="15">
        <v>46294</v>
      </c>
      <c r="J46" s="17">
        <v>0</v>
      </c>
      <c r="K46" s="15">
        <v>46294</v>
      </c>
      <c r="L46" s="17" t="str">
        <v>373-STO-S10000031399</v>
      </c>
      <c r="M46" s="14" t="str">
        <v>400</v>
      </c>
      <c r="N46" s="14" t="str">
        <v>037TSOS10000686487</v>
      </c>
      <c r="O46" s="14" t="str">
        <v>300</v>
      </c>
      <c r="P46" s="14" t="str">
        <v>LINLI65</v>
      </c>
      <c r="Q46" s="14">
        <v>46254</v>
      </c>
      <c r="R46" s="14">
        <v>726</v>
      </c>
      <c r="S46" s="14" t="str">
        <v>STO</v>
      </c>
      <c r="T46" s="14">
        <v>311</v>
      </c>
      <c r="U46" s="14" t="str">
        <v>11.877999</v>
      </c>
      <c r="V46" s="14" t="str">
        <v>12.631727</v>
      </c>
      <c r="W46" s="14">
        <v>4675.3599999999997</v>
      </c>
      <c r="X46" s="14">
        <v>46279</v>
      </c>
      <c r="Y46" s="14">
        <v>46294</v>
      </c>
      <c r="Z46" s="14">
        <v>0</v>
      </c>
      <c r="AA46" s="14" t="str">
        <v>31825</v>
      </c>
      <c r="AB46" s="14" t="str">
        <v>MAERSK A/S</v>
      </c>
      <c r="AC46" s="14" t="str">
        <v>CN6559043</v>
      </c>
      <c r="AD46" s="14" t="str">
        <v>SEASPAN YANGTZE</v>
      </c>
      <c r="AE46" s="14" t="str">
        <v>636E</v>
      </c>
      <c r="AF46" s="27" t="str">
        <v>CN</v>
      </c>
      <c r="AG46" s="27" t="str">
        <v>PRT</v>
      </c>
      <c r="AH46" s="14" t="str">
        <v>CNNGB</v>
      </c>
    </row>
    <row r="47" spans="1:34" ht="25.2" customHeight="1" x14ac:dyDescent="0.45">
      <c r="A47" s="17" t="str">
        <v>DD</v>
      </c>
      <c r="B47" s="14" t="str">
        <v>MILK RUN NOR</v>
      </c>
      <c r="C47" s="14" t="str">
        <v>MAEUIK0217531</v>
      </c>
      <c r="D47" s="17" t="str">
        <v>MRKU5077884</v>
      </c>
      <c r="E47" s="14" t="str">
        <v>C40HC</v>
      </c>
      <c r="F47" s="17" t="str">
        <v>19369SUPVAN00068163</v>
      </c>
      <c r="G47" s="15">
        <v>46300</v>
      </c>
      <c r="H47" s="16">
        <v>0.35416666666666674</v>
      </c>
      <c r="I47" s="15">
        <v>46294</v>
      </c>
      <c r="J47" s="17">
        <v>0</v>
      </c>
      <c r="K47" s="15">
        <v>46294</v>
      </c>
      <c r="L47" s="17" t="str">
        <v>373-STO-S10000031396</v>
      </c>
      <c r="M47" s="14" t="str">
        <v>400</v>
      </c>
      <c r="N47" s="14" t="str">
        <v>037TSOS10000674260</v>
      </c>
      <c r="O47" s="14" t="str">
        <v>400</v>
      </c>
      <c r="P47" s="14" t="str">
        <v>ANLIU52</v>
      </c>
      <c r="Q47" s="14">
        <v>46239</v>
      </c>
      <c r="R47" s="14">
        <v>726</v>
      </c>
      <c r="S47" s="14" t="str">
        <v>STO</v>
      </c>
      <c r="T47" s="14">
        <v>55</v>
      </c>
      <c r="U47" s="14" t="str">
        <v>5.337426</v>
      </c>
      <c r="V47" s="14" t="str">
        <v>5.991607</v>
      </c>
      <c r="W47" s="14">
        <v>457.05</v>
      </c>
      <c r="X47" s="14">
        <v>46286</v>
      </c>
      <c r="Y47" s="14">
        <v>46294</v>
      </c>
      <c r="Z47" s="14">
        <v>46257</v>
      </c>
      <c r="AA47" s="14" t="str">
        <v>31825</v>
      </c>
      <c r="AB47" s="14" t="str">
        <v>MAERSK A/S</v>
      </c>
      <c r="AC47" s="14" t="str">
        <v>CN6300269</v>
      </c>
      <c r="AD47" s="14" t="str">
        <v>NING YUAN TOU MEN</v>
      </c>
      <c r="AE47" s="14" t="str">
        <v>069S</v>
      </c>
      <c r="AF47" s="27" t="str">
        <v>CN</v>
      </c>
      <c r="AG47" s="27" t="str">
        <v>PRT</v>
      </c>
      <c r="AH47" s="14" t="str">
        <v>CNZPU</v>
      </c>
    </row>
    <row r="48" spans="1:34" ht="25.2" customHeight="1" x14ac:dyDescent="0.45">
      <c r="A48" s="17" t="str">
        <v>DD</v>
      </c>
      <c r="B48" s="14" t="str">
        <v>MILK RUN NOR</v>
      </c>
      <c r="C48" s="14" t="str">
        <v>PLISH7H46431</v>
      </c>
      <c r="D48" s="17" t="str">
        <v>PKEU2505537</v>
      </c>
      <c r="E48" s="14" t="str">
        <v>C40HC</v>
      </c>
      <c r="F48" s="17" t="str">
        <v>21985SUPECIS42518</v>
      </c>
      <c r="G48" s="15">
        <v>46299</v>
      </c>
      <c r="H48" s="16">
        <v>0.35416666666666674</v>
      </c>
      <c r="I48" s="15">
        <v>46294</v>
      </c>
      <c r="J48" s="17">
        <v>0</v>
      </c>
      <c r="K48" s="15">
        <v>46293</v>
      </c>
      <c r="L48" s="17" t="str">
        <v>373-STO-S10000031367</v>
      </c>
      <c r="M48" s="14" t="str">
        <v>440</v>
      </c>
      <c r="N48" s="14" t="str">
        <v>037TSOS10000686932</v>
      </c>
      <c r="O48" s="14" t="str">
        <v>400</v>
      </c>
      <c r="P48" s="14" t="str">
        <v>JUWAN78</v>
      </c>
      <c r="Q48" s="14">
        <v>46255</v>
      </c>
      <c r="R48" s="14">
        <v>726</v>
      </c>
      <c r="S48" s="14" t="str">
        <v>STO</v>
      </c>
      <c r="T48" s="14">
        <v>106</v>
      </c>
      <c r="U48" s="14" t="str">
        <v>3.058804</v>
      </c>
      <c r="V48" s="14" t="str">
        <v>3.359778</v>
      </c>
      <c r="W48" s="14">
        <v>649</v>
      </c>
      <c r="X48" s="14">
        <v>46317</v>
      </c>
      <c r="Y48" s="14">
        <v>46291</v>
      </c>
      <c r="Z48" s="14">
        <v>46279</v>
      </c>
      <c r="AA48" s="14" t="str">
        <v>33300</v>
      </c>
      <c r="AB48" s="14" t="str">
        <v>LX PANTOS CO., LTD.</v>
      </c>
      <c r="AC48" s="14" t="str">
        <v>25H0417055</v>
      </c>
      <c r="AD48" s="14" t="str">
        <v>HMM NURI</v>
      </c>
      <c r="AE48" s="14" t="str">
        <v>0021E</v>
      </c>
      <c r="AF48" s="27" t="str">
        <v>CN</v>
      </c>
      <c r="AG48" s="27" t="str">
        <v>PRT</v>
      </c>
      <c r="AH48" s="14" t="str">
        <v>CNYAN</v>
      </c>
    </row>
    <row r="49" spans="1:34" ht="25.2" customHeight="1" x14ac:dyDescent="0.45">
      <c r="A49" s="17" t="str">
        <v>DD</v>
      </c>
      <c r="B49" s="14" t="str">
        <v>MILK RUN NOR</v>
      </c>
      <c r="C49" s="14" t="str">
        <v>PLISH7H46431</v>
      </c>
      <c r="D49" s="17" t="str">
        <v>PKEU2505537</v>
      </c>
      <c r="E49" s="14" t="str">
        <v>C40HC</v>
      </c>
      <c r="F49" s="17" t="str">
        <v>21985SUPECIS42610</v>
      </c>
      <c r="G49" s="15">
        <v>46299</v>
      </c>
      <c r="H49" s="16">
        <v>0.35416666666666674</v>
      </c>
      <c r="I49" s="15">
        <v>46294</v>
      </c>
      <c r="J49" s="17">
        <v>0</v>
      </c>
      <c r="K49" s="15">
        <v>46293</v>
      </c>
      <c r="L49" s="17" t="str">
        <v>373-STO-S10000031367</v>
      </c>
      <c r="M49" s="14" t="str">
        <v>440</v>
      </c>
      <c r="N49" s="14" t="str">
        <v>037TSOS10000686932</v>
      </c>
      <c r="O49" s="14" t="str">
        <v>400</v>
      </c>
      <c r="P49" s="14" t="str">
        <v>JUWAN78</v>
      </c>
      <c r="Q49" s="14">
        <v>46255</v>
      </c>
      <c r="R49" s="14">
        <v>726</v>
      </c>
      <c r="S49" s="14" t="str">
        <v>STO</v>
      </c>
      <c r="T49" s="14">
        <v>28</v>
      </c>
      <c r="U49" s="14" t="str">
        <v>0.752528</v>
      </c>
      <c r="V49" s="14" t="str">
        <v>0.795454</v>
      </c>
      <c r="W49" s="14">
        <v>115.6</v>
      </c>
      <c r="X49" s="14">
        <v>46303</v>
      </c>
      <c r="Y49" s="14">
        <v>46291</v>
      </c>
      <c r="Z49" s="14">
        <v>46279</v>
      </c>
      <c r="AA49" s="14" t="str">
        <v>33300</v>
      </c>
      <c r="AB49" s="14" t="str">
        <v>LX PANTOS CO., LTD.</v>
      </c>
      <c r="AC49" s="14" t="str">
        <v>25H0417055</v>
      </c>
      <c r="AD49" s="14" t="str">
        <v>HMM NURI</v>
      </c>
      <c r="AE49" s="14" t="str">
        <v>0021E</v>
      </c>
      <c r="AF49" s="27" t="str">
        <v>CN</v>
      </c>
      <c r="AG49" s="27" t="str">
        <v>PRT</v>
      </c>
      <c r="AH49" s="14" t="str">
        <v>CNYAN</v>
      </c>
    </row>
    <row r="50" spans="1:34" ht="25.2" customHeight="1" x14ac:dyDescent="0.45">
      <c r="A50" s="17" t="str">
        <v>DD</v>
      </c>
      <c r="B50" s="14" t="str">
        <v>MILK RUN NOR</v>
      </c>
      <c r="C50" s="14" t="str">
        <v>PLISH7H46431</v>
      </c>
      <c r="D50" s="17" t="str">
        <v>PKEU2505537</v>
      </c>
      <c r="E50" s="14" t="str">
        <v>C40HC</v>
      </c>
      <c r="F50" s="17" t="str">
        <v>22075SUP2600117510</v>
      </c>
      <c r="G50" s="15">
        <v>46299</v>
      </c>
      <c r="H50" s="16">
        <v>0.35416666666666674</v>
      </c>
      <c r="I50" s="15">
        <v>46294</v>
      </c>
      <c r="J50" s="17">
        <v>0</v>
      </c>
      <c r="K50" s="15">
        <v>46293</v>
      </c>
      <c r="L50" s="17" t="str">
        <v>373-STO-S10000031367</v>
      </c>
      <c r="M50" s="14" t="str">
        <v>440</v>
      </c>
      <c r="N50" s="14" t="str">
        <v>037TSOS10000686932</v>
      </c>
      <c r="O50" s="14" t="str">
        <v>400</v>
      </c>
      <c r="P50" s="14" t="str">
        <v>JUWAN78</v>
      </c>
      <c r="Q50" s="14">
        <v>46255</v>
      </c>
      <c r="R50" s="14">
        <v>726</v>
      </c>
      <c r="S50" s="14" t="str">
        <v>STO</v>
      </c>
      <c r="T50" s="14">
        <v>110</v>
      </c>
      <c r="U50" s="14" t="str">
        <v>8.95575</v>
      </c>
      <c r="V50" s="14" t="str">
        <v>9.58865</v>
      </c>
      <c r="W50" s="14">
        <v>2671.4140000000002</v>
      </c>
      <c r="X50" s="14">
        <v>46303</v>
      </c>
      <c r="Y50" s="14">
        <v>46291</v>
      </c>
      <c r="Z50" s="14">
        <v>46279</v>
      </c>
      <c r="AA50" s="14" t="str">
        <v>33300</v>
      </c>
      <c r="AB50" s="14" t="str">
        <v>LX PANTOS CO., LTD.</v>
      </c>
      <c r="AC50" s="14" t="str">
        <v>25H0417055</v>
      </c>
      <c r="AD50" s="14" t="str">
        <v>HMM NURI</v>
      </c>
      <c r="AE50" s="14" t="str">
        <v>0021E</v>
      </c>
      <c r="AF50" s="27" t="str">
        <v>CN</v>
      </c>
      <c r="AG50" s="27" t="str">
        <v>PRT</v>
      </c>
      <c r="AH50" s="14" t="str">
        <v>CNYAN</v>
      </c>
    </row>
    <row r="51" spans="1:34" ht="25.2" customHeight="1" x14ac:dyDescent="0.45">
      <c r="A51" s="17" t="str">
        <v>DD</v>
      </c>
      <c r="B51" s="14" t="str">
        <v>MILK RUN NOR</v>
      </c>
      <c r="C51" s="14" t="str">
        <v>PLISH7H46431</v>
      </c>
      <c r="D51" s="17" t="str">
        <v>PKEU2505537</v>
      </c>
      <c r="E51" s="14" t="str">
        <v>C40HC</v>
      </c>
      <c r="F51" s="17" t="str">
        <v>22075SUP2600117628</v>
      </c>
      <c r="G51" s="15">
        <v>46299</v>
      </c>
      <c r="H51" s="16">
        <v>0.35416666666666674</v>
      </c>
      <c r="I51" s="15">
        <v>46294</v>
      </c>
      <c r="J51" s="17">
        <v>0</v>
      </c>
      <c r="K51" s="15">
        <v>46293</v>
      </c>
      <c r="L51" s="17" t="str">
        <v>373-STO-S10000031367</v>
      </c>
      <c r="M51" s="14" t="str">
        <v>440</v>
      </c>
      <c r="N51" s="14" t="str">
        <v>037TSOS10000686932</v>
      </c>
      <c r="O51" s="14" t="str">
        <v>400</v>
      </c>
      <c r="P51" s="14" t="str">
        <v>JUWAN78</v>
      </c>
      <c r="Q51" s="14">
        <v>46255</v>
      </c>
      <c r="R51" s="14">
        <v>726</v>
      </c>
      <c r="S51" s="14" t="str">
        <v>STO</v>
      </c>
      <c r="T51" s="14">
        <v>44</v>
      </c>
      <c r="U51" s="14" t="str">
        <v>4.103532</v>
      </c>
      <c r="V51" s="14" t="str">
        <v>4.394079</v>
      </c>
      <c r="W51" s="14">
        <v>1131.482</v>
      </c>
      <c r="X51" s="14">
        <v>46303</v>
      </c>
      <c r="Y51" s="14">
        <v>46291</v>
      </c>
      <c r="Z51" s="14">
        <v>46279</v>
      </c>
      <c r="AA51" s="14" t="str">
        <v>33300</v>
      </c>
      <c r="AB51" s="14" t="str">
        <v>LX PANTOS CO., LTD.</v>
      </c>
      <c r="AC51" s="14" t="str">
        <v>25H0417055</v>
      </c>
      <c r="AD51" s="14" t="str">
        <v>HMM NURI</v>
      </c>
      <c r="AE51" s="14" t="str">
        <v>0021E</v>
      </c>
      <c r="AF51" s="27" t="str">
        <v>CN</v>
      </c>
      <c r="AG51" s="27" t="str">
        <v>PRT</v>
      </c>
      <c r="AH51" s="14" t="str">
        <v>CNYAN</v>
      </c>
    </row>
    <row r="52" spans="1:34" ht="25.2" customHeight="1" x14ac:dyDescent="0.45">
      <c r="A52" s="17" t="str">
        <v>DD</v>
      </c>
      <c r="B52" s="14" t="str">
        <v>MILK RUN NOR</v>
      </c>
      <c r="C52" s="14" t="str">
        <v>PLISH7H46431</v>
      </c>
      <c r="D52" s="17" t="str">
        <v>PKEU2505537</v>
      </c>
      <c r="E52" s="14" t="str">
        <v>C40HC</v>
      </c>
      <c r="F52" s="17" t="str">
        <v>22075SUP2600117951</v>
      </c>
      <c r="G52" s="15">
        <v>46299</v>
      </c>
      <c r="H52" s="16">
        <v>0.35416666666666674</v>
      </c>
      <c r="I52" s="15">
        <v>46294</v>
      </c>
      <c r="J52" s="17">
        <v>0</v>
      </c>
      <c r="K52" s="15">
        <v>46293</v>
      </c>
      <c r="L52" s="17" t="str">
        <v>373-STO-S10000031367</v>
      </c>
      <c r="M52" s="14" t="str">
        <v>440</v>
      </c>
      <c r="N52" s="14" t="str">
        <v>037TSOS10000686932</v>
      </c>
      <c r="O52" s="14" t="str">
        <v>400</v>
      </c>
      <c r="P52" s="14" t="str">
        <v>JUWAN78</v>
      </c>
      <c r="Q52" s="14">
        <v>46255</v>
      </c>
      <c r="R52" s="14">
        <v>726</v>
      </c>
      <c r="S52" s="14" t="str">
        <v>STO</v>
      </c>
      <c r="T52" s="14">
        <v>54</v>
      </c>
      <c r="U52" s="14" t="str">
        <v>4.543746</v>
      </c>
      <c r="V52" s="14" t="str">
        <v>4.876912</v>
      </c>
      <c r="W52" s="14">
        <v>1280.1120000000001</v>
      </c>
      <c r="X52" s="14">
        <v>46303</v>
      </c>
      <c r="Y52" s="14">
        <v>46291</v>
      </c>
      <c r="Z52" s="14">
        <v>46279</v>
      </c>
      <c r="AA52" s="14" t="str">
        <v>33300</v>
      </c>
      <c r="AB52" s="14" t="str">
        <v>LX PANTOS CO., LTD.</v>
      </c>
      <c r="AC52" s="14" t="str">
        <v>25H0417055</v>
      </c>
      <c r="AD52" s="14" t="str">
        <v>HMM NURI</v>
      </c>
      <c r="AE52" s="14" t="str">
        <v>0021E</v>
      </c>
      <c r="AF52" s="27" t="str">
        <v>CN</v>
      </c>
      <c r="AG52" s="27" t="str">
        <v>PRT</v>
      </c>
      <c r="AH52" s="14" t="str">
        <v>CNYAN</v>
      </c>
    </row>
    <row r="53" spans="1:34" ht="25.2" customHeight="1" x14ac:dyDescent="0.45">
      <c r="A53" s="17" t="str">
        <v>DD</v>
      </c>
      <c r="B53" s="14" t="str">
        <v>MILK RUN NOR</v>
      </c>
      <c r="C53" s="14" t="str">
        <v>PLISH7H46431</v>
      </c>
      <c r="D53" s="17" t="str">
        <v>PKEU2505537</v>
      </c>
      <c r="E53" s="14" t="str">
        <v>C40HC</v>
      </c>
      <c r="F53" s="17" t="str">
        <v>22075SUP2600118258</v>
      </c>
      <c r="G53" s="15">
        <v>46299</v>
      </c>
      <c r="H53" s="16">
        <v>0.35416666666666674</v>
      </c>
      <c r="I53" s="15">
        <v>46294</v>
      </c>
      <c r="J53" s="17">
        <v>0</v>
      </c>
      <c r="K53" s="15">
        <v>46293</v>
      </c>
      <c r="L53" s="17" t="str">
        <v>373-STO-S10000031367</v>
      </c>
      <c r="M53" s="14" t="str">
        <v>440</v>
      </c>
      <c r="N53" s="14" t="str">
        <v>037TSOS10000686932</v>
      </c>
      <c r="O53" s="14" t="str">
        <v>400</v>
      </c>
      <c r="P53" s="14" t="str">
        <v>JUWAN78</v>
      </c>
      <c r="Q53" s="14">
        <v>46255</v>
      </c>
      <c r="R53" s="14">
        <v>726</v>
      </c>
      <c r="S53" s="14" t="str">
        <v>STO</v>
      </c>
      <c r="T53" s="14">
        <v>64</v>
      </c>
      <c r="U53" s="14" t="str">
        <v>5.563816</v>
      </c>
      <c r="V53" s="14" t="str">
        <v>5.96914</v>
      </c>
      <c r="W53" s="14">
        <v>1576.348</v>
      </c>
      <c r="X53" s="14">
        <v>46303</v>
      </c>
      <c r="Y53" s="14">
        <v>46291</v>
      </c>
      <c r="Z53" s="14">
        <v>46279</v>
      </c>
      <c r="AA53" s="14" t="str">
        <v>33300</v>
      </c>
      <c r="AB53" s="14" t="str">
        <v>LX PANTOS CO., LTD.</v>
      </c>
      <c r="AC53" s="14" t="str">
        <v>25H0417055</v>
      </c>
      <c r="AD53" s="14" t="str">
        <v>HMM NURI</v>
      </c>
      <c r="AE53" s="14" t="str">
        <v>0021E</v>
      </c>
      <c r="AF53" s="27" t="str">
        <v>CN</v>
      </c>
      <c r="AG53" s="27" t="str">
        <v>PRT</v>
      </c>
      <c r="AH53" s="14" t="str">
        <v>CNYAN</v>
      </c>
    </row>
    <row r="54" spans="1:34" ht="25.2" customHeight="1" x14ac:dyDescent="0.45">
      <c r="A54" s="17" t="str">
        <v>DD</v>
      </c>
      <c r="B54" s="14" t="str">
        <v>MILK RUN NOR</v>
      </c>
      <c r="C54" s="14" t="str">
        <v>PLISH7H46431</v>
      </c>
      <c r="D54" s="17" t="str">
        <v>PKEU2505537</v>
      </c>
      <c r="E54" s="14" t="str">
        <v>C40HC</v>
      </c>
      <c r="F54" s="17" t="str">
        <v>22121SUPUE067521</v>
      </c>
      <c r="G54" s="15">
        <v>46299</v>
      </c>
      <c r="H54" s="16">
        <v>0.35416666666666674</v>
      </c>
      <c r="I54" s="15">
        <v>46294</v>
      </c>
      <c r="J54" s="17">
        <v>0</v>
      </c>
      <c r="K54" s="15">
        <v>46293</v>
      </c>
      <c r="L54" s="17" t="str">
        <v>373-STO-S10000031367</v>
      </c>
      <c r="M54" s="14" t="str">
        <v>440</v>
      </c>
      <c r="N54" s="14" t="str">
        <v>037TSOS10000686932</v>
      </c>
      <c r="O54" s="14" t="str">
        <v>400</v>
      </c>
      <c r="P54" s="14" t="str">
        <v>JUWAN78</v>
      </c>
      <c r="Q54" s="14">
        <v>46255</v>
      </c>
      <c r="R54" s="14">
        <v>726</v>
      </c>
      <c r="S54" s="14" t="str">
        <v>STO</v>
      </c>
      <c r="T54" s="14">
        <v>114</v>
      </c>
      <c r="U54" s="14" t="str">
        <v>12.035036</v>
      </c>
      <c r="V54" s="14" t="str">
        <v>13.062518</v>
      </c>
      <c r="W54" s="14">
        <v>1137.42</v>
      </c>
      <c r="X54" s="14">
        <v>46303</v>
      </c>
      <c r="Y54" s="14">
        <v>46291</v>
      </c>
      <c r="Z54" s="14">
        <v>46279</v>
      </c>
      <c r="AA54" s="14" t="str">
        <v>33300</v>
      </c>
      <c r="AB54" s="14" t="str">
        <v>LX PANTOS CO., LTD.</v>
      </c>
      <c r="AC54" s="14" t="str">
        <v>25H0417055</v>
      </c>
      <c r="AD54" s="14" t="str">
        <v>HMM NURI</v>
      </c>
      <c r="AE54" s="14" t="str">
        <v>0021E</v>
      </c>
      <c r="AF54" s="27" t="str">
        <v>CN</v>
      </c>
      <c r="AG54" s="27" t="str">
        <v>PRT</v>
      </c>
      <c r="AH54" s="14" t="str">
        <v>CNYAN</v>
      </c>
    </row>
    <row r="55" spans="1:34" ht="25.2" customHeight="1" x14ac:dyDescent="0.45">
      <c r="A55" s="17" t="str">
        <v>DD</v>
      </c>
      <c r="B55" s="14" t="str">
        <v>MILK RUN NOR</v>
      </c>
      <c r="C55" s="14" t="str">
        <v>PLISH7H46431</v>
      </c>
      <c r="D55" s="17" t="str">
        <v>PKEU2505537</v>
      </c>
      <c r="E55" s="14" t="str">
        <v>C40HC</v>
      </c>
      <c r="F55" s="17" t="str">
        <v>22121SUPUE067837</v>
      </c>
      <c r="G55" s="15">
        <v>46299</v>
      </c>
      <c r="H55" s="16">
        <v>0.35416666666666674</v>
      </c>
      <c r="I55" s="15">
        <v>46294</v>
      </c>
      <c r="J55" s="17">
        <v>0</v>
      </c>
      <c r="K55" s="15">
        <v>46293</v>
      </c>
      <c r="L55" s="17" t="str">
        <v>373-STO-S10000031367</v>
      </c>
      <c r="M55" s="14" t="str">
        <v>440</v>
      </c>
      <c r="N55" s="14" t="str">
        <v>037TSOS10000686932</v>
      </c>
      <c r="O55" s="14" t="str">
        <v>400</v>
      </c>
      <c r="P55" s="14" t="str">
        <v>JUWAN78</v>
      </c>
      <c r="Q55" s="14">
        <v>46255</v>
      </c>
      <c r="R55" s="14">
        <v>726</v>
      </c>
      <c r="S55" s="14" t="str">
        <v>STO</v>
      </c>
      <c r="T55" s="14">
        <v>66</v>
      </c>
      <c r="U55" s="14" t="str">
        <v>9.067368</v>
      </c>
      <c r="V55" s="14" t="str">
        <v>9.857557</v>
      </c>
      <c r="W55" s="14">
        <v>737.01</v>
      </c>
      <c r="X55" s="14">
        <v>46303</v>
      </c>
      <c r="Y55" s="14">
        <v>46291</v>
      </c>
      <c r="Z55" s="14">
        <v>46279</v>
      </c>
      <c r="AA55" s="14" t="str">
        <v>33300</v>
      </c>
      <c r="AB55" s="14" t="str">
        <v>LX PANTOS CO., LTD.</v>
      </c>
      <c r="AC55" s="14" t="str">
        <v>25H0417055</v>
      </c>
      <c r="AD55" s="14" t="str">
        <v>HMM NURI</v>
      </c>
      <c r="AE55" s="14" t="str">
        <v>0021E</v>
      </c>
      <c r="AF55" s="27" t="str">
        <v>CN</v>
      </c>
      <c r="AG55" s="27" t="str">
        <v>PRT</v>
      </c>
      <c r="AH55" s="14" t="str">
        <v>CNYAN</v>
      </c>
    </row>
    <row r="56" spans="1:34" ht="25.2" customHeight="1" x14ac:dyDescent="0.45">
      <c r="A56" s="17" t="str">
        <v>DD</v>
      </c>
      <c r="B56" s="14" t="str">
        <v>MILK RUN NOR</v>
      </c>
      <c r="C56" s="14" t="str">
        <v>PLISH7H47909</v>
      </c>
      <c r="D56" s="17" t="str">
        <v>SKHU6613322</v>
      </c>
      <c r="E56" s="14" t="str">
        <v>C40HC</v>
      </c>
      <c r="F56" s="17" t="str">
        <v>21985SUPECIS42884</v>
      </c>
      <c r="G56" s="15">
        <v>46298</v>
      </c>
      <c r="H56" s="16">
        <v>0.35416666666666674</v>
      </c>
      <c r="I56" s="15">
        <v>46294</v>
      </c>
      <c r="J56" s="17">
        <v>0</v>
      </c>
      <c r="K56" s="15">
        <v>46293</v>
      </c>
      <c r="L56" s="17" t="str">
        <v>373-STO-S10000031366</v>
      </c>
      <c r="M56" s="14" t="str">
        <v>420</v>
      </c>
      <c r="N56" s="14" t="str">
        <v>037TSOS10000699980</v>
      </c>
      <c r="O56" s="14" t="str">
        <v>300</v>
      </c>
      <c r="P56" s="14" t="str">
        <v>JUWAN78</v>
      </c>
      <c r="Q56" s="14">
        <v>46273</v>
      </c>
      <c r="R56" s="14">
        <v>726</v>
      </c>
      <c r="S56" s="14" t="str">
        <v>STO</v>
      </c>
      <c r="T56" s="14">
        <v>116</v>
      </c>
      <c r="U56" s="14" t="str">
        <v>1.784768</v>
      </c>
      <c r="V56" s="14" t="str">
        <v>1.912174</v>
      </c>
      <c r="W56" s="14">
        <v>415.6</v>
      </c>
      <c r="X56" s="14">
        <v>46291</v>
      </c>
      <c r="Y56" s="14">
        <v>46289</v>
      </c>
      <c r="Z56" s="14">
        <v>0</v>
      </c>
      <c r="AA56" s="14" t="str">
        <v>33300</v>
      </c>
      <c r="AB56" s="14" t="str">
        <v>LX PANTOS CO., LTD.</v>
      </c>
      <c r="AC56" s="14" t="str">
        <v>HAL04594</v>
      </c>
      <c r="AD56" s="14" t="str">
        <v>LAEM CHABANG VOYAGER</v>
      </c>
      <c r="AE56" s="14" t="str">
        <v>2606N</v>
      </c>
      <c r="AF56" s="27" t="str">
        <v>CN</v>
      </c>
      <c r="AG56" s="27" t="str">
        <v>PRT</v>
      </c>
      <c r="AH56" s="14" t="str">
        <v>CNSHA</v>
      </c>
    </row>
    <row r="57" spans="1:34" ht="25.2" customHeight="1" x14ac:dyDescent="0.45">
      <c r="A57" s="17" t="str">
        <v>DD</v>
      </c>
      <c r="B57" s="14" t="str">
        <v>MILK RUN NOR</v>
      </c>
      <c r="C57" s="14" t="str">
        <v>PLISH7H47909</v>
      </c>
      <c r="D57" s="17" t="str">
        <v>SKHU6613322</v>
      </c>
      <c r="E57" s="14" t="str">
        <v>C40HC</v>
      </c>
      <c r="F57" s="17" t="str">
        <v>22075SUP2600118559</v>
      </c>
      <c r="G57" s="15">
        <v>46298</v>
      </c>
      <c r="H57" s="16">
        <v>0.35416666666666674</v>
      </c>
      <c r="I57" s="15">
        <v>46294</v>
      </c>
      <c r="J57" s="17">
        <v>0</v>
      </c>
      <c r="K57" s="15">
        <v>46293</v>
      </c>
      <c r="L57" s="17" t="str">
        <v>373-STO-S10000031366</v>
      </c>
      <c r="M57" s="14" t="str">
        <v>420</v>
      </c>
      <c r="N57" s="14" t="str">
        <v>037TSOS10000699980</v>
      </c>
      <c r="O57" s="14" t="str">
        <v>300</v>
      </c>
      <c r="P57" s="14" t="str">
        <v>JUWAN78</v>
      </c>
      <c r="Q57" s="14">
        <v>46273</v>
      </c>
      <c r="R57" s="14">
        <v>726</v>
      </c>
      <c r="S57" s="14" t="str">
        <v>STO</v>
      </c>
      <c r="T57" s="14">
        <v>94</v>
      </c>
      <c r="U57" s="14" t="str">
        <v>6.938862</v>
      </c>
      <c r="V57" s="14" t="str">
        <v>7.429361</v>
      </c>
      <c r="W57" s="14">
        <v>2025.29</v>
      </c>
      <c r="X57" s="14">
        <v>46311</v>
      </c>
      <c r="Y57" s="14">
        <v>46289</v>
      </c>
      <c r="Z57" s="14">
        <v>0</v>
      </c>
      <c r="AA57" s="14" t="str">
        <v>33300</v>
      </c>
      <c r="AB57" s="14" t="str">
        <v>LX PANTOS CO., LTD.</v>
      </c>
      <c r="AC57" s="14" t="str">
        <v>HAL04594</v>
      </c>
      <c r="AD57" s="14" t="str">
        <v>LAEM CHABANG VOYAGER</v>
      </c>
      <c r="AE57" s="14" t="str">
        <v>2606N</v>
      </c>
      <c r="AF57" s="27" t="str">
        <v>CN</v>
      </c>
      <c r="AG57" s="27" t="str">
        <v>PRT</v>
      </c>
      <c r="AH57" s="14" t="str">
        <v>CNSHA</v>
      </c>
    </row>
    <row r="58" spans="1:34" ht="25.2" customHeight="1" x14ac:dyDescent="0.45">
      <c r="A58" s="17" t="str">
        <v>DD</v>
      </c>
      <c r="B58" s="14" t="str">
        <v/>
      </c>
      <c r="C58" s="14" t="str">
        <v>MAEUIK0220627</v>
      </c>
      <c r="D58" s="17" t="str">
        <v>MRSU9465052</v>
      </c>
      <c r="E58" s="14" t="str">
        <v>C40HC</v>
      </c>
      <c r="F58" s="17" t="str">
        <v>19720SUPECIS213589</v>
      </c>
      <c r="G58" s="15">
        <v>46298</v>
      </c>
      <c r="H58" s="16">
        <v>0.26041666666666674</v>
      </c>
      <c r="I58" s="15">
        <v>46293</v>
      </c>
      <c r="J58" s="17">
        <v>0</v>
      </c>
      <c r="K58" s="15">
        <v>46289</v>
      </c>
      <c r="L58" s="17" t="str">
        <v>373-STO-S10000031359</v>
      </c>
      <c r="M58" s="14" t="str">
        <v>400</v>
      </c>
      <c r="N58" s="14" t="str">
        <v>012TSOS10000399542</v>
      </c>
      <c r="O58" s="14" t="str">
        <v>350</v>
      </c>
      <c r="P58" s="14">
        <v>0</v>
      </c>
      <c r="Q58" s="14">
        <v>46260</v>
      </c>
      <c r="R58" s="14">
        <v>726</v>
      </c>
      <c r="S58" s="14" t="str">
        <v>STO</v>
      </c>
      <c r="T58" s="14">
        <v>18448</v>
      </c>
      <c r="U58" s="14" t="str">
        <v>58.121408</v>
      </c>
      <c r="V58" s="14" t="str">
        <v>62.493032</v>
      </c>
      <c r="W58" s="14">
        <v>7398.84</v>
      </c>
      <c r="X58" s="14">
        <v>46283</v>
      </c>
      <c r="Y58" s="14">
        <v>46289</v>
      </c>
      <c r="Z58" s="14">
        <v>0</v>
      </c>
      <c r="AA58" s="14" t="str">
        <v>31825</v>
      </c>
      <c r="AB58" s="14" t="str">
        <v>MAERSK A/S</v>
      </c>
      <c r="AC58" s="14" t="str">
        <v>CN8674947</v>
      </c>
      <c r="AD58" s="14" t="str">
        <v>MAERSK BERMUDA</v>
      </c>
      <c r="AE58" s="14" t="str">
        <v>636N</v>
      </c>
      <c r="AF58" s="27" t="str">
        <v>CN</v>
      </c>
      <c r="AG58" s="27" t="str">
        <v>PRT</v>
      </c>
      <c r="AH58" s="14" t="str">
        <v>CNNSA</v>
      </c>
    </row>
    <row r="59" spans="1:34" ht="25.2" customHeight="1" x14ac:dyDescent="0.45">
      <c r="A59" s="17" t="str">
        <v>DD</v>
      </c>
      <c r="B59" s="14" t="str">
        <v>MILK RUN NOR</v>
      </c>
      <c r="C59" s="14" t="str">
        <v>PLISH7H47909</v>
      </c>
      <c r="D59" s="17" t="str">
        <v>SKHU6613322</v>
      </c>
      <c r="E59" s="14" t="str">
        <v>C40HC</v>
      </c>
      <c r="F59" s="17" t="str">
        <v>22121SUPUE068159</v>
      </c>
      <c r="G59" s="15">
        <v>46298</v>
      </c>
      <c r="H59" s="16">
        <v>0.35416666666666674</v>
      </c>
      <c r="I59" s="15">
        <v>46294</v>
      </c>
      <c r="J59" s="17">
        <v>0</v>
      </c>
      <c r="K59" s="15">
        <v>46293</v>
      </c>
      <c r="L59" s="17" t="str">
        <v>373-STO-S10000031366</v>
      </c>
      <c r="M59" s="14" t="str">
        <v>420</v>
      </c>
      <c r="N59" s="14" t="str">
        <v>037TSOS10000699980</v>
      </c>
      <c r="O59" s="14" t="str">
        <v>300</v>
      </c>
      <c r="P59" s="14" t="str">
        <v>JUWAN78</v>
      </c>
      <c r="Q59" s="14">
        <v>46273</v>
      </c>
      <c r="R59" s="14">
        <v>726</v>
      </c>
      <c r="S59" s="14" t="str">
        <v>STO</v>
      </c>
      <c r="T59" s="14">
        <v>86</v>
      </c>
      <c r="U59" s="14" t="str">
        <v>13.653748</v>
      </c>
      <c r="V59" s="14" t="str">
        <v>14.871159</v>
      </c>
      <c r="W59" s="14">
        <v>1124.8499999999999</v>
      </c>
      <c r="X59" s="14">
        <v>46311</v>
      </c>
      <c r="Y59" s="14">
        <v>46289</v>
      </c>
      <c r="Z59" s="14">
        <v>0</v>
      </c>
      <c r="AA59" s="14" t="str">
        <v>33300</v>
      </c>
      <c r="AB59" s="14" t="str">
        <v>LX PANTOS CO., LTD.</v>
      </c>
      <c r="AC59" s="14" t="str">
        <v>HAL04594</v>
      </c>
      <c r="AD59" s="14" t="str">
        <v>LAEM CHABANG VOYAGER</v>
      </c>
      <c r="AE59" s="14" t="str">
        <v>2606N</v>
      </c>
      <c r="AF59" s="27" t="str">
        <v>CN</v>
      </c>
      <c r="AG59" s="27" t="str">
        <v>PRT</v>
      </c>
      <c r="AH59" s="14" t="str">
        <v>CNSHA</v>
      </c>
    </row>
    <row r="60" spans="1:34" ht="25.2" customHeight="1" x14ac:dyDescent="0.45">
      <c r="A60" s="17" t="str">
        <v>DD</v>
      </c>
      <c r="B60" s="14" t="str">
        <v>MILK RUN NOR</v>
      </c>
      <c r="C60" s="14" t="str">
        <v>PLISH7H47909</v>
      </c>
      <c r="D60" s="17" t="str">
        <v>SKHU6613322</v>
      </c>
      <c r="E60" s="14" t="str">
        <v>C40HC</v>
      </c>
      <c r="F60" s="17" t="str">
        <v>22121SUPUE068160</v>
      </c>
      <c r="G60" s="15">
        <v>46298</v>
      </c>
      <c r="H60" s="16">
        <v>0.35416666666666674</v>
      </c>
      <c r="I60" s="15">
        <v>46294</v>
      </c>
      <c r="J60" s="17">
        <v>0</v>
      </c>
      <c r="K60" s="15">
        <v>46293</v>
      </c>
      <c r="L60" s="17" t="str">
        <v>373-STO-S10000031366</v>
      </c>
      <c r="M60" s="14" t="str">
        <v>420</v>
      </c>
      <c r="N60" s="14" t="str">
        <v>037TSOS10000699980</v>
      </c>
      <c r="O60" s="14" t="str">
        <v>300</v>
      </c>
      <c r="P60" s="14" t="str">
        <v>JUWAN78</v>
      </c>
      <c r="Q60" s="14">
        <v>46273</v>
      </c>
      <c r="R60" s="14">
        <v>726</v>
      </c>
      <c r="S60" s="14" t="str">
        <v>STO</v>
      </c>
      <c r="T60" s="14">
        <v>16</v>
      </c>
      <c r="U60" s="14" t="str">
        <v>2.858864</v>
      </c>
      <c r="V60" s="14" t="str">
        <v>3.095531</v>
      </c>
      <c r="W60" s="14">
        <v>280.17</v>
      </c>
      <c r="X60" s="14">
        <v>46311</v>
      </c>
      <c r="Y60" s="14">
        <v>46289</v>
      </c>
      <c r="Z60" s="14">
        <v>0</v>
      </c>
      <c r="AA60" s="14" t="str">
        <v>33300</v>
      </c>
      <c r="AB60" s="14" t="str">
        <v>LX PANTOS CO., LTD.</v>
      </c>
      <c r="AC60" s="14" t="str">
        <v>HAL04594</v>
      </c>
      <c r="AD60" s="14" t="str">
        <v>LAEM CHABANG VOYAGER</v>
      </c>
      <c r="AE60" s="14" t="str">
        <v>2606N</v>
      </c>
      <c r="AF60" s="27" t="str">
        <v>CN</v>
      </c>
      <c r="AG60" s="27" t="str">
        <v>PRT</v>
      </c>
      <c r="AH60" s="14" t="str">
        <v>CNSHA</v>
      </c>
    </row>
    <row r="61" spans="1:34" ht="25.2" customHeight="1" x14ac:dyDescent="0.45">
      <c r="A61" s="17" t="str">
        <v>DD</v>
      </c>
      <c r="B61" s="14" t="str">
        <v>MILK RUN NOR</v>
      </c>
      <c r="C61" s="14" t="str">
        <v>MAEUIK0221909</v>
      </c>
      <c r="D61" s="17" t="str">
        <v>MIEU4017725</v>
      </c>
      <c r="E61" s="14" t="str">
        <v>C40HC</v>
      </c>
      <c r="F61" s="17" t="str">
        <v>22715SUPECIS74597</v>
      </c>
      <c r="G61" s="15">
        <v>46297</v>
      </c>
      <c r="H61" s="16">
        <v>0.35416666666666674</v>
      </c>
      <c r="I61" s="15">
        <v>46293</v>
      </c>
      <c r="J61" s="17">
        <v>0</v>
      </c>
      <c r="K61" s="15">
        <v>46291</v>
      </c>
      <c r="L61" s="17" t="str">
        <v>373-STO-S10000031348</v>
      </c>
      <c r="M61" s="14" t="str">
        <v>400</v>
      </c>
      <c r="N61" s="14" t="str">
        <v>037TSOS10000697376</v>
      </c>
      <c r="O61" s="14" t="str">
        <v>350</v>
      </c>
      <c r="P61" s="14" t="str">
        <v>SEZHA1</v>
      </c>
      <c r="Q61" s="14">
        <v>46268</v>
      </c>
      <c r="R61" s="14">
        <v>726</v>
      </c>
      <c r="S61" s="14" t="str">
        <v>STO</v>
      </c>
      <c r="T61" s="14">
        <v>134</v>
      </c>
      <c r="U61" s="14" t="str">
        <v>17.536918</v>
      </c>
      <c r="V61" s="14" t="str">
        <v>18.716401</v>
      </c>
      <c r="W61" s="14">
        <v>7303.14</v>
      </c>
      <c r="X61" s="14">
        <v>46280</v>
      </c>
      <c r="Y61" s="14">
        <v>46291</v>
      </c>
      <c r="Z61" s="14">
        <v>0</v>
      </c>
      <c r="AA61" s="14" t="str">
        <v>31825</v>
      </c>
      <c r="AB61" s="14" t="str">
        <v>MAERSK A/S</v>
      </c>
      <c r="AC61" s="14" t="str">
        <v>CN7970775</v>
      </c>
      <c r="AD61" s="14" t="str">
        <v>ERASMUS ICON</v>
      </c>
      <c r="AE61" s="14" t="str">
        <v>638W</v>
      </c>
      <c r="AF61" s="27" t="str">
        <v>CN</v>
      </c>
      <c r="AG61" s="27" t="str">
        <v>PRT</v>
      </c>
      <c r="AH61" s="14" t="str">
        <v>CNSHA</v>
      </c>
    </row>
    <row r="62" spans="1:34" ht="25.2" customHeight="1" x14ac:dyDescent="0.45">
      <c r="A62" s="17" t="str">
        <v>HF</v>
      </c>
      <c r="B62" s="14">
        <v>0</v>
      </c>
      <c r="C62" s="14" t="str">
        <v>MAEUIK0220867</v>
      </c>
      <c r="D62" s="17" t="str">
        <v>MIEU3882117</v>
      </c>
      <c r="E62" s="14" t="str">
        <v>C40HC</v>
      </c>
      <c r="F62" s="17" t="str">
        <v>258DT260827726854</v>
      </c>
      <c r="G62" s="15">
        <v>46297</v>
      </c>
      <c r="H62" s="16">
        <v>0.27083333333333326</v>
      </c>
      <c r="I62" s="15">
        <v>46288</v>
      </c>
      <c r="J62" s="17">
        <v>0</v>
      </c>
      <c r="K62" s="15">
        <v>46285</v>
      </c>
      <c r="L62" s="17" t="str">
        <v>373-STO-S10000031331</v>
      </c>
      <c r="M62" s="14" t="str">
        <v>400</v>
      </c>
      <c r="N62" s="14" t="str">
        <v>258DTS10000201351</v>
      </c>
      <c r="O62" s="14" t="str">
        <v>350</v>
      </c>
      <c r="P62" s="14">
        <v>0</v>
      </c>
      <c r="Q62" s="14">
        <v>46261</v>
      </c>
      <c r="R62" s="14">
        <v>726</v>
      </c>
      <c r="S62" s="14" t="str">
        <v>STO</v>
      </c>
      <c r="T62" s="14">
        <v>7511</v>
      </c>
      <c r="U62" s="14" t="str">
        <v>51.799106</v>
      </c>
      <c r="V62" s="14" t="str">
        <v>55.5815554</v>
      </c>
      <c r="W62" s="14">
        <v>9919.0360000000001</v>
      </c>
      <c r="X62" s="14">
        <v>46278</v>
      </c>
      <c r="Y62" s="14">
        <v>46285</v>
      </c>
      <c r="Z62" s="14">
        <v>0</v>
      </c>
      <c r="AA62" s="14" t="str">
        <v>31825</v>
      </c>
      <c r="AB62" s="14" t="str">
        <v>MAERSK A/S</v>
      </c>
      <c r="AC62" s="14" t="str">
        <v>CN8041072</v>
      </c>
      <c r="AD62" s="14" t="str">
        <v>XIN BIN ZHOU</v>
      </c>
      <c r="AE62" s="14" t="str">
        <v>635N</v>
      </c>
      <c r="AF62" s="27" t="str">
        <v>CN</v>
      </c>
      <c r="AG62" s="27" t="str">
        <v>PRT</v>
      </c>
      <c r="AH62" s="14" t="str">
        <v>CNSHA</v>
      </c>
    </row>
    <row r="63" spans="1:34" ht="25.2" customHeight="1" x14ac:dyDescent="0.45">
      <c r="A63" s="17" t="str">
        <v>HF</v>
      </c>
      <c r="B63" s="14">
        <v>0</v>
      </c>
      <c r="C63" s="14" t="str">
        <v>MAEUIK0220867</v>
      </c>
      <c r="D63" s="17" t="str">
        <v>MIEU3882117</v>
      </c>
      <c r="E63" s="14" t="str">
        <v>C40HC</v>
      </c>
      <c r="F63" s="17" t="str">
        <v>277DT260827726855</v>
      </c>
      <c r="G63" s="15">
        <v>46297</v>
      </c>
      <c r="H63" s="16">
        <v>0.27083333333333326</v>
      </c>
      <c r="I63" s="15">
        <v>46288</v>
      </c>
      <c r="J63" s="17">
        <v>0</v>
      </c>
      <c r="K63" s="15">
        <v>46285</v>
      </c>
      <c r="L63" s="17" t="str">
        <v>373-STO-S10000031331</v>
      </c>
      <c r="M63" s="14" t="str">
        <v>400</v>
      </c>
      <c r="N63" s="14" t="str">
        <v>258DTS10000201351</v>
      </c>
      <c r="O63" s="14" t="str">
        <v>350</v>
      </c>
      <c r="P63" s="14">
        <v>0</v>
      </c>
      <c r="Q63" s="14">
        <v>46261</v>
      </c>
      <c r="R63" s="14">
        <v>726</v>
      </c>
      <c r="S63" s="14" t="str">
        <v>STO</v>
      </c>
      <c r="T63" s="14">
        <v>433</v>
      </c>
      <c r="U63" s="14" t="str">
        <v>3.520036</v>
      </c>
      <c r="V63" s="14" t="str">
        <v>3.78476467</v>
      </c>
      <c r="W63" s="14">
        <v>595.20000000000005</v>
      </c>
      <c r="X63" s="14">
        <v>46278</v>
      </c>
      <c r="Y63" s="14">
        <v>46285</v>
      </c>
      <c r="Z63" s="14">
        <v>0</v>
      </c>
      <c r="AA63" s="14" t="str">
        <v>31825</v>
      </c>
      <c r="AB63" s="14" t="str">
        <v>MAERSK A/S</v>
      </c>
      <c r="AC63" s="14" t="str">
        <v>CN8041072</v>
      </c>
      <c r="AD63" s="14" t="str">
        <v>XIN BIN ZHOU</v>
      </c>
      <c r="AE63" s="14" t="str">
        <v>635N</v>
      </c>
      <c r="AF63" s="27" t="str">
        <v>CN</v>
      </c>
      <c r="AG63" s="27" t="str">
        <v>PRT</v>
      </c>
      <c r="AH63" s="14" t="str">
        <v>CNSHA</v>
      </c>
    </row>
    <row r="64" spans="1:34" ht="25.2" customHeight="1" x14ac:dyDescent="0.45">
      <c r="A64" s="17" t="str">
        <v>LF</v>
      </c>
      <c r="B64" s="14">
        <v>0</v>
      </c>
      <c r="C64" s="14" t="str">
        <v>MAEUIK0219759</v>
      </c>
      <c r="D64" s="17" t="str">
        <v>MIEU3971370</v>
      </c>
      <c r="E64" s="14" t="str">
        <v>C40HC</v>
      </c>
      <c r="F64" s="17" t="str">
        <v>294DT260819726024</v>
      </c>
      <c r="G64" s="15">
        <v>46296</v>
      </c>
      <c r="H64" s="16">
        <v>0.27083333333333326</v>
      </c>
      <c r="I64" s="15">
        <v>46288</v>
      </c>
      <c r="J64" s="17">
        <v>0</v>
      </c>
      <c r="K64" s="15">
        <v>46285</v>
      </c>
      <c r="L64" s="17" t="str">
        <v>373-STO-S10000031332</v>
      </c>
      <c r="M64" s="14" t="str">
        <v>400</v>
      </c>
      <c r="N64" s="14" t="str">
        <v>258DTS10000200200</v>
      </c>
      <c r="O64" s="14" t="str">
        <v>350</v>
      </c>
      <c r="P64" s="14">
        <v>0</v>
      </c>
      <c r="Q64" s="14">
        <v>46253</v>
      </c>
      <c r="R64" s="14">
        <v>726</v>
      </c>
      <c r="S64" s="14" t="str">
        <v>STO</v>
      </c>
      <c r="T64" s="14">
        <v>8249</v>
      </c>
      <c r="U64" s="14" t="str">
        <v>11.251925</v>
      </c>
      <c r="V64" s="14" t="str">
        <v>12.10210754</v>
      </c>
      <c r="W64" s="14">
        <v>2068.0360000000001</v>
      </c>
      <c r="X64" s="14">
        <v>46278</v>
      </c>
      <c r="Y64" s="14">
        <v>46276</v>
      </c>
      <c r="Z64" s="14">
        <v>0</v>
      </c>
      <c r="AA64" s="14" t="str">
        <v>31825</v>
      </c>
      <c r="AB64" s="14" t="str">
        <v>MAERSK A/S</v>
      </c>
      <c r="AC64" s="14" t="str">
        <v>CN8003063</v>
      </c>
      <c r="AD64" s="14" t="str">
        <v>XIN BIN ZHOU</v>
      </c>
      <c r="AE64" s="14" t="str">
        <v>635N</v>
      </c>
      <c r="AF64" s="27" t="str">
        <v>CN</v>
      </c>
      <c r="AG64" s="27" t="str">
        <v>PRT</v>
      </c>
      <c r="AH64" s="14" t="str">
        <v>CNSHA</v>
      </c>
    </row>
    <row r="65" spans="1:34" ht="25.2" customHeight="1" x14ac:dyDescent="0.45">
      <c r="A65" s="17" t="str">
        <v>LF</v>
      </c>
      <c r="B65" s="14">
        <v>0</v>
      </c>
      <c r="C65" s="14" t="str">
        <v>MAEUIK0219759</v>
      </c>
      <c r="D65" s="17" t="str">
        <v>MIEU3971370</v>
      </c>
      <c r="E65" s="14" t="str">
        <v>C40HC</v>
      </c>
      <c r="F65" s="17" t="str">
        <v>319DT260819726026</v>
      </c>
      <c r="G65" s="15">
        <v>46296</v>
      </c>
      <c r="H65" s="16">
        <v>0.27083333333333326</v>
      </c>
      <c r="I65" s="15">
        <v>46288</v>
      </c>
      <c r="J65" s="17">
        <v>0</v>
      </c>
      <c r="K65" s="15">
        <v>46285</v>
      </c>
      <c r="L65" s="17" t="str">
        <v>373-STO-S10000031332</v>
      </c>
      <c r="M65" s="14" t="str">
        <v>400</v>
      </c>
      <c r="N65" s="14" t="str">
        <v>258DTS10000200200</v>
      </c>
      <c r="O65" s="14" t="str">
        <v>350</v>
      </c>
      <c r="P65" s="14">
        <v>0</v>
      </c>
      <c r="Q65" s="14">
        <v>46253</v>
      </c>
      <c r="R65" s="14">
        <v>726</v>
      </c>
      <c r="S65" s="14" t="str">
        <v>STO</v>
      </c>
      <c r="T65" s="14">
        <v>13471</v>
      </c>
      <c r="U65" s="14" t="str">
        <v>37.123434</v>
      </c>
      <c r="V65" s="14" t="str">
        <v>40.03551122</v>
      </c>
      <c r="W65" s="14">
        <v>7358.3239999999996</v>
      </c>
      <c r="X65" s="14">
        <v>46278</v>
      </c>
      <c r="Y65" s="14">
        <v>46276</v>
      </c>
      <c r="Z65" s="14">
        <v>0</v>
      </c>
      <c r="AA65" s="14" t="str">
        <v>31825</v>
      </c>
      <c r="AB65" s="14" t="str">
        <v>MAERSK A/S</v>
      </c>
      <c r="AC65" s="14" t="str">
        <v>CN8003063</v>
      </c>
      <c r="AD65" s="14" t="str">
        <v>XIN BIN ZHOU</v>
      </c>
      <c r="AE65" s="14" t="str">
        <v>635N</v>
      </c>
      <c r="AF65" s="27" t="str">
        <v>CN</v>
      </c>
      <c r="AG65" s="27" t="str">
        <v>PRT</v>
      </c>
      <c r="AH65" s="14" t="str">
        <v>CNSHA</v>
      </c>
    </row>
    <row r="66" spans="1:34" ht="25.2" customHeight="1" x14ac:dyDescent="0.45">
      <c r="A66" s="17" t="str">
        <v>DD</v>
      </c>
      <c r="B66" s="14" t="str">
        <v>MILK RUN NOR</v>
      </c>
      <c r="C66" s="14" t="str">
        <v>MAEUIK0218853</v>
      </c>
      <c r="D66" s="17" t="str">
        <v>MRKU6188033</v>
      </c>
      <c r="E66" s="14" t="str">
        <v>C40HC</v>
      </c>
      <c r="F66" s="17" t="str">
        <v>21072SUPECIS75360</v>
      </c>
      <c r="G66" s="15">
        <v>46295</v>
      </c>
      <c r="H66" s="16">
        <v>0.35416666666666674</v>
      </c>
      <c r="I66" s="15">
        <v>46287</v>
      </c>
      <c r="J66" s="17">
        <v>0</v>
      </c>
      <c r="K66" s="15">
        <v>46286</v>
      </c>
      <c r="L66" s="17" t="str">
        <v>373-STO-S10000031292</v>
      </c>
      <c r="M66" s="14" t="str">
        <v>400</v>
      </c>
      <c r="N66" s="14" t="str">
        <v>037TSOS10000680809</v>
      </c>
      <c r="O66" s="14" t="str">
        <v>350</v>
      </c>
      <c r="P66" s="14" t="str">
        <v>JOHUA31</v>
      </c>
      <c r="Q66" s="14">
        <v>46247</v>
      </c>
      <c r="R66" s="14">
        <v>726</v>
      </c>
      <c r="S66" s="14" t="str">
        <v>STO</v>
      </c>
      <c r="T66" s="14">
        <v>44</v>
      </c>
      <c r="U66" s="14" t="str">
        <v>1.98246</v>
      </c>
      <c r="V66" s="14" t="str">
        <v>2.113797</v>
      </c>
      <c r="W66" s="14">
        <v>961.78</v>
      </c>
      <c r="X66" s="14">
        <v>46272</v>
      </c>
      <c r="Y66" s="14">
        <v>46270</v>
      </c>
      <c r="Z66" s="14">
        <v>0</v>
      </c>
      <c r="AA66" s="14" t="str">
        <v>31825</v>
      </c>
      <c r="AB66" s="14" t="str">
        <v>MAERSK A/S</v>
      </c>
      <c r="AC66" s="14" t="str">
        <v>CN9150822</v>
      </c>
      <c r="AD66" s="14" t="str">
        <v>COCHRANE</v>
      </c>
      <c r="AE66" s="14" t="str">
        <v>635E</v>
      </c>
      <c r="AF66" s="27" t="str">
        <v>CN</v>
      </c>
      <c r="AG66" s="27" t="str">
        <v>PRT</v>
      </c>
      <c r="AH66" s="14" t="str">
        <v>CNNGB</v>
      </c>
    </row>
    <row r="67" spans="1:34" ht="25.2" customHeight="1" x14ac:dyDescent="0.45">
      <c r="A67" s="17" t="str">
        <v>HF</v>
      </c>
      <c r="B67" s="14">
        <v>0</v>
      </c>
      <c r="C67" s="14" t="str">
        <v>MAEUIK0220275</v>
      </c>
      <c r="D67" s="17" t="str">
        <v>MIEU3004750</v>
      </c>
      <c r="E67" s="14" t="str">
        <v>C40HC</v>
      </c>
      <c r="F67" s="17" t="str">
        <v>258DT260824726624</v>
      </c>
      <c r="G67" s="15">
        <v>46295</v>
      </c>
      <c r="H67" s="16">
        <v>0.27083333333333326</v>
      </c>
      <c r="I67" s="15">
        <v>46287</v>
      </c>
      <c r="J67" s="17">
        <v>0</v>
      </c>
      <c r="K67" s="15">
        <v>46285</v>
      </c>
      <c r="L67" s="17" t="str">
        <v>373-STO-S10000031316</v>
      </c>
      <c r="M67" s="14" t="str">
        <v>400</v>
      </c>
      <c r="N67" s="14" t="str">
        <v>258DTS10000200776</v>
      </c>
      <c r="O67" s="14" t="str">
        <v>350</v>
      </c>
      <c r="P67" s="14">
        <v>0</v>
      </c>
      <c r="Q67" s="14">
        <v>46258</v>
      </c>
      <c r="R67" s="14">
        <v>726</v>
      </c>
      <c r="S67" s="14" t="str">
        <v>STO</v>
      </c>
      <c r="T67" s="14">
        <v>12555</v>
      </c>
      <c r="U67" s="14" t="str">
        <v>50.52465</v>
      </c>
      <c r="V67" s="14" t="str">
        <v>54.56145729</v>
      </c>
      <c r="W67" s="14">
        <v>8846.6049999999996</v>
      </c>
      <c r="X67" s="14">
        <v>46278</v>
      </c>
      <c r="Y67" s="14">
        <v>46276</v>
      </c>
      <c r="Z67" s="14">
        <v>0</v>
      </c>
      <c r="AA67" s="14" t="str">
        <v>31825</v>
      </c>
      <c r="AB67" s="14" t="str">
        <v>MAERSK A/S</v>
      </c>
      <c r="AC67" s="14" t="str">
        <v>CN8041361</v>
      </c>
      <c r="AD67" s="14" t="str">
        <v>XIN BIN ZHOU</v>
      </c>
      <c r="AE67" s="14" t="str">
        <v>635N</v>
      </c>
      <c r="AF67" s="27" t="str">
        <v>CN</v>
      </c>
      <c r="AG67" s="27" t="str">
        <v>PRT</v>
      </c>
      <c r="AH67" s="14" t="str">
        <v>CNSHA</v>
      </c>
    </row>
    <row r="68" spans="1:34" ht="25.2" customHeight="1" x14ac:dyDescent="0.45">
      <c r="A68" s="17" t="str">
        <v>HF</v>
      </c>
      <c r="B68" s="14">
        <v>0</v>
      </c>
      <c r="C68" s="14" t="str">
        <v>MAEUIK0220275</v>
      </c>
      <c r="D68" s="17" t="str">
        <v>MIEU3004750</v>
      </c>
      <c r="E68" s="14" t="str">
        <v>C40HC</v>
      </c>
      <c r="F68" s="17" t="str">
        <v>277DT260824726625</v>
      </c>
      <c r="G68" s="15">
        <v>46295</v>
      </c>
      <c r="H68" s="16">
        <v>0.27083333333333326</v>
      </c>
      <c r="I68" s="15">
        <v>46287</v>
      </c>
      <c r="J68" s="17">
        <v>0</v>
      </c>
      <c r="K68" s="15">
        <v>46285</v>
      </c>
      <c r="L68" s="17" t="str">
        <v>373-STO-S10000031316</v>
      </c>
      <c r="M68" s="14" t="str">
        <v>400</v>
      </c>
      <c r="N68" s="14" t="str">
        <v>258DTS10000200776</v>
      </c>
      <c r="O68" s="14" t="str">
        <v>350</v>
      </c>
      <c r="P68" s="14">
        <v>0</v>
      </c>
      <c r="Q68" s="14">
        <v>46258</v>
      </c>
      <c r="R68" s="14">
        <v>726</v>
      </c>
      <c r="S68" s="14" t="str">
        <v>STO</v>
      </c>
      <c r="T68" s="14">
        <v>2276</v>
      </c>
      <c r="U68" s="14" t="str">
        <v>3.9398</v>
      </c>
      <c r="V68" s="14" t="str">
        <v>4.22062533</v>
      </c>
      <c r="W68" s="14">
        <v>652.57600000000002</v>
      </c>
      <c r="X68" s="14">
        <v>46278</v>
      </c>
      <c r="Y68" s="14">
        <v>46276</v>
      </c>
      <c r="Z68" s="14">
        <v>0</v>
      </c>
      <c r="AA68" s="14" t="str">
        <v>31825</v>
      </c>
      <c r="AB68" s="14" t="str">
        <v>MAERSK A/S</v>
      </c>
      <c r="AC68" s="14" t="str">
        <v>CN8041361</v>
      </c>
      <c r="AD68" s="14" t="str">
        <v>XIN BIN ZHOU</v>
      </c>
      <c r="AE68" s="14" t="str">
        <v>635N</v>
      </c>
      <c r="AF68" s="27" t="str">
        <v>CN</v>
      </c>
      <c r="AG68" s="27" t="str">
        <v>PRT</v>
      </c>
      <c r="AH68" s="14" t="str">
        <v>CNSHA</v>
      </c>
    </row>
    <row r="69" spans="1:34" ht="25.2" customHeight="1" x14ac:dyDescent="0.45">
      <c r="A69" s="17" t="str">
        <v>DD</v>
      </c>
      <c r="B69" s="14" t="str">
        <v>MILK RUN NOR</v>
      </c>
      <c r="C69" s="14" t="str">
        <v>MAEUIK0218546</v>
      </c>
      <c r="D69" s="17" t="str">
        <v>MRKU3842201</v>
      </c>
      <c r="E69" s="14" t="str">
        <v>C40HC</v>
      </c>
      <c r="F69" s="17" t="str">
        <v>21072SUPECIS75308</v>
      </c>
      <c r="G69" s="15">
        <v>46294</v>
      </c>
      <c r="H69" s="16">
        <v>0.35416666666666674</v>
      </c>
      <c r="I69" s="15">
        <v>46287</v>
      </c>
      <c r="J69" s="17">
        <v>0</v>
      </c>
      <c r="K69" s="15">
        <v>46286</v>
      </c>
      <c r="L69" s="17" t="str">
        <v>373-STO-S10000031288</v>
      </c>
      <c r="M69" s="14" t="str">
        <v>400</v>
      </c>
      <c r="N69" s="14" t="str">
        <v>037TSOS10000679463</v>
      </c>
      <c r="O69" s="14" t="str">
        <v>350</v>
      </c>
      <c r="P69" s="14" t="str">
        <v>LINLI65</v>
      </c>
      <c r="Q69" s="14">
        <v>46246</v>
      </c>
      <c r="R69" s="14">
        <v>726</v>
      </c>
      <c r="S69" s="14" t="str">
        <v>STO</v>
      </c>
      <c r="T69" s="14">
        <v>129</v>
      </c>
      <c r="U69" s="14" t="str">
        <v>5.703841</v>
      </c>
      <c r="V69" s="14" t="str">
        <v>6.082756</v>
      </c>
      <c r="W69" s="14">
        <v>2576.9499999999998</v>
      </c>
      <c r="X69" s="14">
        <v>46272</v>
      </c>
      <c r="Y69" s="14">
        <v>46270</v>
      </c>
      <c r="Z69" s="14">
        <v>0</v>
      </c>
      <c r="AA69" s="14" t="str">
        <v>31825</v>
      </c>
      <c r="AB69" s="14" t="str">
        <v>MAERSK A/S</v>
      </c>
      <c r="AC69" s="14" t="str">
        <v>CN9148117</v>
      </c>
      <c r="AD69" s="14" t="str">
        <v>COCHRANE</v>
      </c>
      <c r="AE69" s="14" t="str">
        <v>635E</v>
      </c>
      <c r="AF69" s="27" t="str">
        <v>CN</v>
      </c>
      <c r="AG69" s="27" t="str">
        <v>PRT</v>
      </c>
      <c r="AH69" s="14" t="str">
        <v>CNNGB</v>
      </c>
    </row>
    <row r="70" spans="1:34" ht="25.2" customHeight="1" x14ac:dyDescent="0.45">
      <c r="A70" s="17" t="str">
        <v>DD</v>
      </c>
      <c r="B70" s="14" t="str">
        <v>MILK RUN NOR</v>
      </c>
      <c r="C70" s="14" t="str">
        <v>MAEUIK0219167</v>
      </c>
      <c r="D70" s="17" t="str">
        <v>MRKU2247652</v>
      </c>
      <c r="E70" s="14" t="str">
        <v>C40HC</v>
      </c>
      <c r="F70" s="17" t="str">
        <v>21072SUPECIS75442</v>
      </c>
      <c r="G70" s="15">
        <v>46294</v>
      </c>
      <c r="H70" s="16">
        <v>0.35416666666666674</v>
      </c>
      <c r="I70" s="15">
        <v>46287</v>
      </c>
      <c r="J70" s="17">
        <v>0</v>
      </c>
      <c r="K70" s="15">
        <v>46286</v>
      </c>
      <c r="L70" s="17" t="str">
        <v>373-STO-S10000031289</v>
      </c>
      <c r="M70" s="14" t="str">
        <v>400</v>
      </c>
      <c r="N70" s="14" t="str">
        <v>037TSOS10000682164</v>
      </c>
      <c r="O70" s="14" t="str">
        <v>350</v>
      </c>
      <c r="P70" s="14" t="str">
        <v>LINLI65</v>
      </c>
      <c r="Q70" s="14">
        <v>46250</v>
      </c>
      <c r="R70" s="14">
        <v>726</v>
      </c>
      <c r="S70" s="14" t="str">
        <v>STO</v>
      </c>
      <c r="T70" s="14">
        <v>162</v>
      </c>
      <c r="U70" s="14" t="str">
        <v>9.446886</v>
      </c>
      <c r="V70" s="14" t="str">
        <v>10.050411</v>
      </c>
      <c r="W70" s="14">
        <v>3882.55</v>
      </c>
      <c r="X70" s="14">
        <v>46272</v>
      </c>
      <c r="Y70" s="14">
        <v>46270</v>
      </c>
      <c r="Z70" s="14">
        <v>0</v>
      </c>
      <c r="AA70" s="14" t="str">
        <v>31825</v>
      </c>
      <c r="AB70" s="14" t="str">
        <v>MAERSK A/S</v>
      </c>
      <c r="AC70" s="14" t="str">
        <v>CN9057966</v>
      </c>
      <c r="AD70" s="14" t="str">
        <v>COCHRANE</v>
      </c>
      <c r="AE70" s="14" t="str">
        <v>635E</v>
      </c>
      <c r="AF70" s="27" t="str">
        <v>CN</v>
      </c>
      <c r="AG70" s="27" t="str">
        <v>PRT</v>
      </c>
      <c r="AH70" s="14" t="str">
        <v>CNNGB</v>
      </c>
    </row>
    <row r="71" spans="1:34" ht="25.2" customHeight="1" x14ac:dyDescent="0.45">
      <c r="A71" s="17" t="str">
        <v>LF</v>
      </c>
      <c r="B71" s="14">
        <v>0</v>
      </c>
      <c r="C71" s="14" t="str">
        <v>MAEUIK0220243</v>
      </c>
      <c r="D71" s="17" t="str">
        <v>MRKU2715244</v>
      </c>
      <c r="E71" s="14" t="str">
        <v>C40HC</v>
      </c>
      <c r="F71" s="17" t="str">
        <v>294DT260824726387</v>
      </c>
      <c r="G71" s="15">
        <v>46294</v>
      </c>
      <c r="H71" s="16">
        <v>0.27083333333333326</v>
      </c>
      <c r="I71" s="15">
        <v>46288</v>
      </c>
      <c r="J71" s="17">
        <v>0</v>
      </c>
      <c r="K71" s="15">
        <v>46285</v>
      </c>
      <c r="L71" s="17" t="str">
        <v>373-STO-S10000031315</v>
      </c>
      <c r="M71" s="14" t="str">
        <v>400</v>
      </c>
      <c r="N71" s="14" t="str">
        <v>258DTS10000200714</v>
      </c>
      <c r="O71" s="14" t="str">
        <v>350</v>
      </c>
      <c r="P71" s="14" t="str">
        <v>LARXU</v>
      </c>
      <c r="Q71" s="14">
        <v>46258</v>
      </c>
      <c r="R71" s="14">
        <v>726</v>
      </c>
      <c r="S71" s="14" t="str">
        <v>STO</v>
      </c>
      <c r="T71" s="14">
        <v>5919</v>
      </c>
      <c r="U71" s="14" t="str">
        <v>8.376329</v>
      </c>
      <c r="V71" s="14" t="str">
        <v>9.02188479</v>
      </c>
      <c r="W71" s="14">
        <v>1368.009</v>
      </c>
      <c r="X71" s="14">
        <v>46271</v>
      </c>
      <c r="Y71" s="14">
        <v>46269</v>
      </c>
      <c r="Z71" s="14">
        <v>0</v>
      </c>
      <c r="AA71" s="14" t="str">
        <v>31825</v>
      </c>
      <c r="AB71" s="14" t="str">
        <v>MAERSK A/S</v>
      </c>
      <c r="AC71" s="14" t="str">
        <v>CN4421593</v>
      </c>
      <c r="AD71" s="14" t="str">
        <v>XIN BIN ZHOU</v>
      </c>
      <c r="AE71" s="14" t="str">
        <v>635N</v>
      </c>
      <c r="AF71" s="27" t="str">
        <v>CN</v>
      </c>
      <c r="AG71" s="27" t="str">
        <v>PRT</v>
      </c>
      <c r="AH71" s="14" t="str">
        <v>CNSHA</v>
      </c>
    </row>
    <row r="72" spans="1:34" ht="25.2" customHeight="1" x14ac:dyDescent="0.45">
      <c r="A72" s="17" t="str">
        <v>LF</v>
      </c>
      <c r="B72" s="14">
        <v>0</v>
      </c>
      <c r="C72" s="14" t="str">
        <v>MAEUIK0220243</v>
      </c>
      <c r="D72" s="17" t="str">
        <v>MRKU2715244</v>
      </c>
      <c r="E72" s="14" t="str">
        <v>C40HC</v>
      </c>
      <c r="F72" s="17" t="str">
        <v>319DT260824726388</v>
      </c>
      <c r="G72" s="15">
        <v>46294</v>
      </c>
      <c r="H72" s="16">
        <v>0.27083333333333326</v>
      </c>
      <c r="I72" s="15">
        <v>46288</v>
      </c>
      <c r="J72" s="17">
        <v>0</v>
      </c>
      <c r="K72" s="15">
        <v>46285</v>
      </c>
      <c r="L72" s="17" t="str">
        <v>373-STO-S10000031315</v>
      </c>
      <c r="M72" s="14" t="str">
        <v>400</v>
      </c>
      <c r="N72" s="14" t="str">
        <v>258DTS10000200714</v>
      </c>
      <c r="O72" s="14" t="str">
        <v>350</v>
      </c>
      <c r="P72" s="14" t="str">
        <v>LARXU</v>
      </c>
      <c r="Q72" s="14">
        <v>46258</v>
      </c>
      <c r="R72" s="14">
        <v>726</v>
      </c>
      <c r="S72" s="14" t="str">
        <v>STO</v>
      </c>
      <c r="T72" s="14">
        <v>16561</v>
      </c>
      <c r="U72" s="14" t="str">
        <v>39.821279</v>
      </c>
      <c r="V72" s="14" t="str">
        <v>43.02983345</v>
      </c>
      <c r="W72" s="14">
        <v>7678.9790000000003</v>
      </c>
      <c r="X72" s="14">
        <v>46271</v>
      </c>
      <c r="Y72" s="14">
        <v>46269</v>
      </c>
      <c r="Z72" s="14">
        <v>0</v>
      </c>
      <c r="AA72" s="14" t="str">
        <v>31825</v>
      </c>
      <c r="AB72" s="14" t="str">
        <v>MAERSK A/S</v>
      </c>
      <c r="AC72" s="14" t="str">
        <v>CN4421593</v>
      </c>
      <c r="AD72" s="14" t="str">
        <v>XIN BIN ZHOU</v>
      </c>
      <c r="AE72" s="14" t="str">
        <v>635N</v>
      </c>
      <c r="AF72" s="27" t="str">
        <v>CN</v>
      </c>
      <c r="AG72" s="27" t="str">
        <v>PRT</v>
      </c>
      <c r="AH72" s="14" t="str">
        <v>CNSHA</v>
      </c>
    </row>
    <row r="73" spans="1:34" ht="25.2" customHeight="1" x14ac:dyDescent="0.45">
      <c r="A73" s="17" t="str">
        <v>DD</v>
      </c>
      <c r="B73" s="14" t="str">
        <v/>
      </c>
      <c r="C73" s="14" t="str">
        <v>MAEUIK0216929</v>
      </c>
      <c r="D73" s="17" t="str">
        <v>TCKU1227936</v>
      </c>
      <c r="E73" s="14" t="str">
        <v>C20DV</v>
      </c>
      <c r="F73" s="17" t="str">
        <v>17596SUPECIS42627</v>
      </c>
      <c r="G73" s="15">
        <v>46293</v>
      </c>
      <c r="H73" s="16">
        <v>0.27083333333333326</v>
      </c>
      <c r="I73" s="15">
        <v>46286</v>
      </c>
      <c r="J73" s="17">
        <v>0</v>
      </c>
      <c r="K73" s="15">
        <v>46286</v>
      </c>
      <c r="L73" s="17" t="str">
        <v>373-STO-S10000031306</v>
      </c>
      <c r="M73" s="14" t="str">
        <v>400</v>
      </c>
      <c r="N73" s="14" t="str">
        <v>041TSOS10000270516</v>
      </c>
      <c r="O73" s="14" t="str">
        <v>350</v>
      </c>
      <c r="P73" s="14">
        <v>0</v>
      </c>
      <c r="Q73" s="14">
        <v>46234</v>
      </c>
      <c r="R73" s="14">
        <v>726</v>
      </c>
      <c r="S73" s="14" t="str">
        <v>STO</v>
      </c>
      <c r="T73" s="14">
        <v>5296</v>
      </c>
      <c r="U73" s="14" t="str">
        <v>25.37796</v>
      </c>
      <c r="V73" s="14" t="str">
        <v>26.990716</v>
      </c>
      <c r="W73" s="14">
        <v>1399.62</v>
      </c>
      <c r="X73" s="14">
        <v>46269</v>
      </c>
      <c r="Y73" s="14">
        <v>46267</v>
      </c>
      <c r="Z73" s="14">
        <v>0</v>
      </c>
      <c r="AA73" s="14" t="str">
        <v>31825</v>
      </c>
      <c r="AB73" s="14" t="str">
        <v>MAERSK A/S</v>
      </c>
      <c r="AC73" s="14" t="str">
        <v>ID1737614</v>
      </c>
      <c r="AD73" s="14" t="str">
        <v>MERATUS JAYAWIJAYA</v>
      </c>
      <c r="AE73" s="14" t="str">
        <v>632N</v>
      </c>
      <c r="AF73" s="27" t="str">
        <v>ID</v>
      </c>
      <c r="AG73" s="27" t="str">
        <v>PRT</v>
      </c>
      <c r="AH73" s="14" t="str">
        <v>IDJKT</v>
      </c>
    </row>
    <row r="74" spans="1:34" ht="25.2" customHeight="1" x14ac:dyDescent="0.45">
      <c r="A74" s="17" t="str">
        <v>HF</v>
      </c>
      <c r="B74" s="14" t="str">
        <v/>
      </c>
      <c r="C74" s="14" t="str">
        <v>MAEUIK0218825</v>
      </c>
      <c r="D74" s="17" t="str">
        <v>HASU5055609</v>
      </c>
      <c r="E74" s="14" t="str">
        <v>C40HC</v>
      </c>
      <c r="F74" s="17" t="str">
        <v>258DT260813726995</v>
      </c>
      <c r="G74" s="15">
        <v>46292</v>
      </c>
      <c r="H74" s="16">
        <v>0.26041666666666674</v>
      </c>
      <c r="I74" s="15">
        <v>46286</v>
      </c>
      <c r="J74" s="17">
        <v>0</v>
      </c>
      <c r="K74" s="15">
        <v>46286</v>
      </c>
      <c r="L74" s="17" t="str">
        <v>373-STO-S10000031305</v>
      </c>
      <c r="M74" s="14" t="str">
        <v>400</v>
      </c>
      <c r="N74" s="14" t="str">
        <v>258DTS10000199217</v>
      </c>
      <c r="O74" s="14" t="str">
        <v>350</v>
      </c>
      <c r="P74" s="14">
        <v>0</v>
      </c>
      <c r="Q74" s="14">
        <v>46247</v>
      </c>
      <c r="R74" s="14">
        <v>726</v>
      </c>
      <c r="S74" s="14" t="str">
        <v>STO</v>
      </c>
      <c r="T74" s="14">
        <v>7077</v>
      </c>
      <c r="U74" s="14" t="str">
        <v>50.019805</v>
      </c>
      <c r="V74" s="14" t="str">
        <v>53.96037415</v>
      </c>
      <c r="W74" s="14">
        <v>9348.2999999999993</v>
      </c>
      <c r="X74" s="14">
        <v>46262</v>
      </c>
      <c r="Y74" s="14">
        <v>46260</v>
      </c>
      <c r="Z74" s="14">
        <v>0</v>
      </c>
      <c r="AA74" s="14" t="str">
        <v>31825</v>
      </c>
      <c r="AB74" s="14" t="str">
        <v>MAERSK A/S</v>
      </c>
      <c r="AC74" s="14" t="str">
        <v>CN7978834</v>
      </c>
      <c r="AD74" s="14" t="str">
        <v>AS SIMONE</v>
      </c>
      <c r="AE74" s="14" t="str">
        <v>632N</v>
      </c>
      <c r="AF74" s="27" t="str">
        <v>CN</v>
      </c>
      <c r="AG74" s="27" t="str">
        <v>PRT</v>
      </c>
      <c r="AH74" s="14" t="str">
        <v>CNSHA</v>
      </c>
    </row>
    <row r="75" spans="1:34" ht="25.2" customHeight="1" x14ac:dyDescent="0.45">
      <c r="A75" s="17" t="str">
        <v>HF</v>
      </c>
      <c r="B75" s="14" t="str">
        <v/>
      </c>
      <c r="C75" s="14" t="str">
        <v>MAEUIK0218825</v>
      </c>
      <c r="D75" s="17" t="str">
        <v>HASU5055609</v>
      </c>
      <c r="E75" s="14" t="str">
        <v>C40HC</v>
      </c>
      <c r="F75" s="17" t="str">
        <v>277DT260813726996</v>
      </c>
      <c r="G75" s="15">
        <v>46292</v>
      </c>
      <c r="H75" s="16">
        <v>0.26041666666666674</v>
      </c>
      <c r="I75" s="15">
        <v>46286</v>
      </c>
      <c r="J75" s="17">
        <v>0</v>
      </c>
      <c r="K75" s="15">
        <v>46286</v>
      </c>
      <c r="L75" s="17" t="str">
        <v>373-STO-S10000031305</v>
      </c>
      <c r="M75" s="14" t="str">
        <v>400</v>
      </c>
      <c r="N75" s="14" t="str">
        <v>258DTS10000199217</v>
      </c>
      <c r="O75" s="14" t="str">
        <v>350</v>
      </c>
      <c r="P75" s="14">
        <v>0</v>
      </c>
      <c r="Q75" s="14">
        <v>46247</v>
      </c>
      <c r="R75" s="14">
        <v>726</v>
      </c>
      <c r="S75" s="14" t="str">
        <v>STO</v>
      </c>
      <c r="T75" s="14">
        <v>2223</v>
      </c>
      <c r="U75" s="14" t="str">
        <v>5.215098</v>
      </c>
      <c r="V75" s="14" t="str">
        <v>5.589599</v>
      </c>
      <c r="W75" s="14">
        <v>757.43</v>
      </c>
      <c r="X75" s="14">
        <v>46262</v>
      </c>
      <c r="Y75" s="14">
        <v>46260</v>
      </c>
      <c r="Z75" s="14">
        <v>0</v>
      </c>
      <c r="AA75" s="14" t="str">
        <v>31825</v>
      </c>
      <c r="AB75" s="14" t="str">
        <v>MAERSK A/S</v>
      </c>
      <c r="AC75" s="14" t="str">
        <v>CN7978834</v>
      </c>
      <c r="AD75" s="14" t="str">
        <v>AS SIMONE</v>
      </c>
      <c r="AE75" s="14" t="str">
        <v>632N</v>
      </c>
      <c r="AF75" s="27" t="str">
        <v>CN</v>
      </c>
      <c r="AG75" s="27" t="str">
        <v>PRT</v>
      </c>
      <c r="AH75" s="14" t="str">
        <v>CNSHA</v>
      </c>
    </row>
    <row r="76" spans="1:34" ht="25.2" customHeight="1" x14ac:dyDescent="0.45">
      <c r="A76" s="17" t="str">
        <v>HF</v>
      </c>
      <c r="B76" s="14" t="str">
        <v/>
      </c>
      <c r="C76" s="14" t="str">
        <v>HDMUSHAA92415200</v>
      </c>
      <c r="D76" s="17" t="str">
        <v>HDMU4920502</v>
      </c>
      <c r="E76" s="14" t="str">
        <v>C40HC</v>
      </c>
      <c r="F76" s="17" t="str">
        <v>258DT260820726492</v>
      </c>
      <c r="G76" s="15">
        <v>46291</v>
      </c>
      <c r="H76" s="16">
        <v>0.26041666666666674</v>
      </c>
      <c r="I76" s="15">
        <v>46286</v>
      </c>
      <c r="J76" s="17">
        <v>0</v>
      </c>
      <c r="K76" s="15">
        <v>46283</v>
      </c>
      <c r="L76" s="17" t="str">
        <v>373-STO-S10000031304</v>
      </c>
      <c r="M76" s="14" t="str">
        <v>400</v>
      </c>
      <c r="N76" s="14" t="str">
        <v>258DTS10000200325</v>
      </c>
      <c r="O76" s="14" t="str">
        <v>350</v>
      </c>
      <c r="P76" s="14" t="str">
        <v>JEGAO9</v>
      </c>
      <c r="Q76" s="14">
        <v>46254</v>
      </c>
      <c r="R76" s="14">
        <v>726</v>
      </c>
      <c r="S76" s="14" t="str">
        <v>STO</v>
      </c>
      <c r="T76" s="14">
        <v>9975</v>
      </c>
      <c r="U76" s="14" t="str">
        <v>50.398155</v>
      </c>
      <c r="V76" s="14" t="str">
        <v>54.23675665</v>
      </c>
      <c r="W76" s="14">
        <v>9390.2389999999996</v>
      </c>
      <c r="X76" s="14">
        <v>46277</v>
      </c>
      <c r="Y76" s="14">
        <v>46275</v>
      </c>
      <c r="Z76" s="14">
        <v>0</v>
      </c>
      <c r="AA76" s="14" t="str">
        <v>31676</v>
      </c>
      <c r="AB76" s="14" t="str">
        <v>HMM CO., LTD.</v>
      </c>
      <c r="AC76" s="14" t="str">
        <v>26H0386443</v>
      </c>
      <c r="AD76" s="14" t="str">
        <v>HMM EMERALD</v>
      </c>
      <c r="AE76" s="14" t="str">
        <v>0015E</v>
      </c>
      <c r="AF76" s="27" t="str">
        <v>CN</v>
      </c>
      <c r="AG76" s="27" t="str">
        <v>PRT</v>
      </c>
      <c r="AH76" s="14" t="str">
        <v>CNYAN</v>
      </c>
    </row>
    <row r="77" spans="1:34" ht="25.2" customHeight="1" x14ac:dyDescent="0.45">
      <c r="A77" s="17" t="str">
        <v>HF</v>
      </c>
      <c r="B77" s="14" t="str">
        <v/>
      </c>
      <c r="C77" s="14" t="str">
        <v>HDMUSHAA92415200</v>
      </c>
      <c r="D77" s="17" t="str">
        <v>HDMU4920502</v>
      </c>
      <c r="E77" s="14" t="str">
        <v>C40HC</v>
      </c>
      <c r="F77" s="17" t="str">
        <v>277DT260820726493</v>
      </c>
      <c r="G77" s="15">
        <v>46291</v>
      </c>
      <c r="H77" s="16">
        <v>0.26041666666666674</v>
      </c>
      <c r="I77" s="15">
        <v>46286</v>
      </c>
      <c r="J77" s="17">
        <v>0</v>
      </c>
      <c r="K77" s="15">
        <v>46283</v>
      </c>
      <c r="L77" s="17" t="str">
        <v>373-STO-S10000031304</v>
      </c>
      <c r="M77" s="14" t="str">
        <v>400</v>
      </c>
      <c r="N77" s="14" t="str">
        <v>258DTS10000200325</v>
      </c>
      <c r="O77" s="14" t="str">
        <v>350</v>
      </c>
      <c r="P77" s="14" t="str">
        <v>JEGAO9</v>
      </c>
      <c r="Q77" s="14">
        <v>46254</v>
      </c>
      <c r="R77" s="14">
        <v>726</v>
      </c>
      <c r="S77" s="14" t="str">
        <v>STO</v>
      </c>
      <c r="T77" s="14">
        <v>2470</v>
      </c>
      <c r="U77" s="14" t="str">
        <v>4.958796</v>
      </c>
      <c r="V77" s="14" t="str">
        <v>5.31627233</v>
      </c>
      <c r="W77" s="14">
        <v>862.13199999999995</v>
      </c>
      <c r="X77" s="14">
        <v>46277</v>
      </c>
      <c r="Y77" s="14">
        <v>46275</v>
      </c>
      <c r="Z77" s="14">
        <v>0</v>
      </c>
      <c r="AA77" s="14" t="str">
        <v>31676</v>
      </c>
      <c r="AB77" s="14" t="str">
        <v>HMM CO., LTD.</v>
      </c>
      <c r="AC77" s="14" t="str">
        <v>26H0386443</v>
      </c>
      <c r="AD77" s="14" t="str">
        <v>HMM EMERALD</v>
      </c>
      <c r="AE77" s="14" t="str">
        <v>0015E</v>
      </c>
      <c r="AF77" s="27" t="str">
        <v>CN</v>
      </c>
      <c r="AG77" s="27" t="str">
        <v>PRT</v>
      </c>
      <c r="AH77" s="14" t="str">
        <v>CNYAN</v>
      </c>
    </row>
    <row r="78" spans="1:34" ht="25.2" customHeight="1" x14ac:dyDescent="0.45">
      <c r="A78" s="17" t="str">
        <v>HF</v>
      </c>
      <c r="B78" s="14">
        <v>0</v>
      </c>
      <c r="C78" s="14" t="str">
        <v>MAEUIK0220690</v>
      </c>
      <c r="D78" s="17" t="str">
        <v>MRSU2811261</v>
      </c>
      <c r="E78" s="14" t="str">
        <v>C40HC</v>
      </c>
      <c r="F78" s="17" t="str">
        <v>258DT260826726785</v>
      </c>
      <c r="G78" s="15">
        <v>46289</v>
      </c>
      <c r="H78" s="16">
        <v>0.26041666666666674</v>
      </c>
      <c r="I78" s="15">
        <v>46287</v>
      </c>
      <c r="J78" s="17">
        <v>0</v>
      </c>
      <c r="K78" s="15">
        <v>46285</v>
      </c>
      <c r="L78" s="17" t="str">
        <v>373-STO-S10000031270</v>
      </c>
      <c r="M78" s="14" t="str">
        <v>400</v>
      </c>
      <c r="N78" s="14" t="str">
        <v>258DTS10000201120</v>
      </c>
      <c r="O78" s="14" t="str">
        <v>350</v>
      </c>
      <c r="P78" s="14">
        <v>0</v>
      </c>
      <c r="Q78" s="14">
        <v>46260</v>
      </c>
      <c r="R78" s="14">
        <v>726</v>
      </c>
      <c r="S78" s="14" t="str">
        <v>STO</v>
      </c>
      <c r="T78" s="14">
        <v>8571</v>
      </c>
      <c r="U78" s="14" t="str">
        <v>51.513104</v>
      </c>
      <c r="V78" s="14" t="str">
        <v>55.43145853</v>
      </c>
      <c r="W78" s="14">
        <v>10816.329</v>
      </c>
      <c r="X78" s="14">
        <v>46278</v>
      </c>
      <c r="Y78" s="14">
        <v>46276</v>
      </c>
      <c r="Z78" s="14">
        <v>0</v>
      </c>
      <c r="AA78" s="14" t="str">
        <v>31825</v>
      </c>
      <c r="AB78" s="14" t="str">
        <v>MAERSK A/S</v>
      </c>
      <c r="AC78" s="14" t="str">
        <v>CN4909048</v>
      </c>
      <c r="AD78" s="14" t="str">
        <v>XIN BIN ZHOU</v>
      </c>
      <c r="AE78" s="14" t="str">
        <v>635N</v>
      </c>
      <c r="AF78" s="27" t="str">
        <v>CN</v>
      </c>
      <c r="AG78" s="27" t="str">
        <v>PRT</v>
      </c>
      <c r="AH78" s="14" t="str">
        <v>CNSHA</v>
      </c>
    </row>
    <row r="79" spans="1:34" ht="25.2" customHeight="1" x14ac:dyDescent="0.45">
      <c r="A79" s="17" t="str">
        <v>HF</v>
      </c>
      <c r="B79" s="14">
        <v>0</v>
      </c>
      <c r="C79" s="14" t="str">
        <v>MAEUIK0220690</v>
      </c>
      <c r="D79" s="17" t="str">
        <v>MRSU2811261</v>
      </c>
      <c r="E79" s="14" t="str">
        <v>C40HC</v>
      </c>
      <c r="F79" s="17" t="str">
        <v>277DT260826726786</v>
      </c>
      <c r="G79" s="15">
        <v>46289</v>
      </c>
      <c r="H79" s="16">
        <v>0.26041666666666674</v>
      </c>
      <c r="I79" s="15">
        <v>46287</v>
      </c>
      <c r="J79" s="17">
        <v>0</v>
      </c>
      <c r="K79" s="15">
        <v>46285</v>
      </c>
      <c r="L79" s="17" t="str">
        <v>373-STO-S10000031270</v>
      </c>
      <c r="M79" s="14" t="str">
        <v>400</v>
      </c>
      <c r="N79" s="14" t="str">
        <v>258DTS10000201120</v>
      </c>
      <c r="O79" s="14" t="str">
        <v>350</v>
      </c>
      <c r="P79" s="14">
        <v>0</v>
      </c>
      <c r="Q79" s="14">
        <v>46260</v>
      </c>
      <c r="R79" s="14">
        <v>726</v>
      </c>
      <c r="S79" s="14" t="str">
        <v>STO</v>
      </c>
      <c r="T79" s="14">
        <v>1056</v>
      </c>
      <c r="U79" s="14" t="str">
        <v>3.97058</v>
      </c>
      <c r="V79" s="14" t="str">
        <v>4.260117</v>
      </c>
      <c r="W79" s="14">
        <v>462.80399999999997</v>
      </c>
      <c r="X79" s="14">
        <v>46278</v>
      </c>
      <c r="Y79" s="14">
        <v>46276</v>
      </c>
      <c r="Z79" s="14">
        <v>0</v>
      </c>
      <c r="AA79" s="14" t="str">
        <v>31825</v>
      </c>
      <c r="AB79" s="14" t="str">
        <v>MAERSK A/S</v>
      </c>
      <c r="AC79" s="14" t="str">
        <v>CN4909048</v>
      </c>
      <c r="AD79" s="14" t="str">
        <v>XIN BIN ZHOU</v>
      </c>
      <c r="AE79" s="14" t="str">
        <v>635N</v>
      </c>
      <c r="AF79" s="27" t="str">
        <v>CN</v>
      </c>
      <c r="AG79" s="27" t="str">
        <v>PRT</v>
      </c>
      <c r="AH79" s="14" t="str">
        <v>CNSHA</v>
      </c>
    </row>
    <row r="80" spans="1:34" ht="25.2" customHeight="1" x14ac:dyDescent="0.45">
      <c r="A80" s="17" t="str">
        <v>DD</v>
      </c>
      <c r="B80" s="14" t="str">
        <v/>
      </c>
      <c r="C80" s="14" t="str">
        <v>MAEUIK0217393</v>
      </c>
      <c r="D80" s="17" t="str">
        <v>MSKU5573016</v>
      </c>
      <c r="E80" s="14" t="str">
        <v>C20DV</v>
      </c>
      <c r="F80" s="17" t="str">
        <v>17596SUPECIS42686</v>
      </c>
      <c r="G80" s="15">
        <v>46288</v>
      </c>
      <c r="H80" s="16">
        <v>0.27083333333333326</v>
      </c>
      <c r="I80" s="15">
        <v>46286</v>
      </c>
      <c r="J80" s="17">
        <v>0</v>
      </c>
      <c r="K80" s="15">
        <v>46286</v>
      </c>
      <c r="L80" s="17" t="str">
        <v>373-STO-S10000031237</v>
      </c>
      <c r="M80" s="14" t="str">
        <v>400</v>
      </c>
      <c r="N80" s="14" t="str">
        <v>041TSOS10000271328</v>
      </c>
      <c r="O80" s="14" t="str">
        <v>350</v>
      </c>
      <c r="P80" s="14">
        <v>0</v>
      </c>
      <c r="Q80" s="14">
        <v>46238</v>
      </c>
      <c r="R80" s="14">
        <v>726</v>
      </c>
      <c r="S80" s="14" t="str">
        <v>STO</v>
      </c>
      <c r="T80" s="14">
        <v>5800</v>
      </c>
      <c r="U80" s="14" t="str">
        <v>25.320104</v>
      </c>
      <c r="V80" s="14" t="str">
        <v>26.918582</v>
      </c>
      <c r="W80" s="14">
        <v>1435.12</v>
      </c>
      <c r="X80" s="14">
        <v>46276</v>
      </c>
      <c r="Y80" s="14">
        <v>46274</v>
      </c>
      <c r="Z80" s="14">
        <v>0</v>
      </c>
      <c r="AA80" s="14" t="str">
        <v>31825</v>
      </c>
      <c r="AB80" s="14" t="str">
        <v>MAERSK A/S</v>
      </c>
      <c r="AC80" s="14" t="str">
        <v>ID1208046</v>
      </c>
      <c r="AD80" s="14" t="str">
        <v>JULIUS-S.</v>
      </c>
      <c r="AE80" s="14" t="str">
        <v>633N</v>
      </c>
      <c r="AF80" s="27" t="str">
        <v>ID</v>
      </c>
      <c r="AG80" s="27" t="str">
        <v>PRT</v>
      </c>
      <c r="AH80" s="14" t="str">
        <v>IDJKT</v>
      </c>
    </row>
    <row r="81" spans="1:34" ht="25.2" customHeight="1" x14ac:dyDescent="0.45">
      <c r="A81" s="17" t="str">
        <v>HF</v>
      </c>
      <c r="B81" s="14" t="str">
        <v/>
      </c>
      <c r="C81" s="14" t="str">
        <v>MAEUIK0218077</v>
      </c>
      <c r="D81" s="17" t="str">
        <v>MIEU3918816</v>
      </c>
      <c r="E81" s="14" t="str">
        <v>C40HC</v>
      </c>
      <c r="F81" s="17" t="str">
        <v>258DT260810726693</v>
      </c>
      <c r="G81" s="15">
        <v>46288</v>
      </c>
      <c r="H81" s="16">
        <v>0.375</v>
      </c>
      <c r="I81" s="15">
        <v>46286</v>
      </c>
      <c r="J81" s="17">
        <v>0</v>
      </c>
      <c r="K81" s="15">
        <v>46286</v>
      </c>
      <c r="L81" s="17" t="str">
        <v>373-STO-S10000031267</v>
      </c>
      <c r="M81" s="14" t="str">
        <v>400</v>
      </c>
      <c r="N81" s="14" t="str">
        <v>258DTS10000198535</v>
      </c>
      <c r="O81" s="14" t="str">
        <v>350</v>
      </c>
      <c r="P81" s="14" t="str">
        <v>JEGAO9</v>
      </c>
      <c r="Q81" s="14">
        <v>46244</v>
      </c>
      <c r="R81" s="14">
        <v>726</v>
      </c>
      <c r="S81" s="14" t="str">
        <v>STO</v>
      </c>
      <c r="T81" s="14">
        <v>8958</v>
      </c>
      <c r="U81" s="14" t="str">
        <v>48.140406</v>
      </c>
      <c r="V81" s="14" t="str">
        <v>52.11062281</v>
      </c>
      <c r="W81" s="14">
        <v>9389.31</v>
      </c>
      <c r="X81" s="14">
        <v>46263</v>
      </c>
      <c r="Y81" s="14">
        <v>46261</v>
      </c>
      <c r="Z81" s="14">
        <v>0</v>
      </c>
      <c r="AA81" s="14" t="str">
        <v>31825</v>
      </c>
      <c r="AB81" s="14" t="str">
        <v>MAERSK A/S</v>
      </c>
      <c r="AC81" s="14" t="str">
        <v>CN7878795</v>
      </c>
      <c r="AD81" s="14" t="str">
        <v>AS SIMONE</v>
      </c>
      <c r="AE81" s="14" t="str">
        <v>632N</v>
      </c>
      <c r="AF81" s="27" t="str">
        <v>CN</v>
      </c>
      <c r="AG81" s="27" t="str">
        <v>PRT</v>
      </c>
      <c r="AH81" s="14" t="str">
        <v>CNSHA</v>
      </c>
    </row>
    <row r="82" spans="1:34" ht="25.2" customHeight="1" x14ac:dyDescent="0.45">
      <c r="A82" s="17" t="str">
        <v>HF</v>
      </c>
      <c r="B82" s="14" t="str">
        <v/>
      </c>
      <c r="C82" s="14" t="str">
        <v>MAEUIK0218077</v>
      </c>
      <c r="D82" s="17" t="str">
        <v>MIEU3918816</v>
      </c>
      <c r="E82" s="14" t="str">
        <v>C40HC</v>
      </c>
      <c r="F82" s="17" t="str">
        <v>277DT260810726694</v>
      </c>
      <c r="G82" s="15">
        <v>46288</v>
      </c>
      <c r="H82" s="16">
        <v>0.375</v>
      </c>
      <c r="I82" s="15">
        <v>46286</v>
      </c>
      <c r="J82" s="17">
        <v>0</v>
      </c>
      <c r="K82" s="15">
        <v>46286</v>
      </c>
      <c r="L82" s="17" t="str">
        <v>373-STO-S10000031267</v>
      </c>
      <c r="M82" s="14" t="str">
        <v>400</v>
      </c>
      <c r="N82" s="14" t="str">
        <v>258DTS10000198535</v>
      </c>
      <c r="O82" s="14" t="str">
        <v>350</v>
      </c>
      <c r="P82" s="14" t="str">
        <v>JEGAO9</v>
      </c>
      <c r="Q82" s="14">
        <v>46244</v>
      </c>
      <c r="R82" s="14">
        <v>726</v>
      </c>
      <c r="S82" s="14" t="str">
        <v>STO</v>
      </c>
      <c r="T82" s="14">
        <v>2649</v>
      </c>
      <c r="U82" s="14" t="str">
        <v>7.108263</v>
      </c>
      <c r="V82" s="14" t="str">
        <v>7.70474842</v>
      </c>
      <c r="W82" s="14">
        <v>878.01700000000005</v>
      </c>
      <c r="X82" s="14">
        <v>46263</v>
      </c>
      <c r="Y82" s="14">
        <v>46261</v>
      </c>
      <c r="Z82" s="14">
        <v>0</v>
      </c>
      <c r="AA82" s="14" t="str">
        <v>31825</v>
      </c>
      <c r="AB82" s="14" t="str">
        <v>MAERSK A/S</v>
      </c>
      <c r="AC82" s="14" t="str">
        <v>CN7878795</v>
      </c>
      <c r="AD82" s="14" t="str">
        <v>AS SIMONE</v>
      </c>
      <c r="AE82" s="14" t="str">
        <v>632N</v>
      </c>
      <c r="AF82" s="27" t="str">
        <v>CN</v>
      </c>
      <c r="AG82" s="27" t="str">
        <v>PRT</v>
      </c>
      <c r="AH82" s="14" t="str">
        <v>CNSHA</v>
      </c>
    </row>
    <row r="83" spans="1:34" ht="25.2" customHeight="1" x14ac:dyDescent="0.45">
      <c r="A83" s="17" t="str">
        <v>DD</v>
      </c>
      <c r="B83" s="14" t="str">
        <v>MILK RUN NOR</v>
      </c>
      <c r="C83" s="14" t="str">
        <v>MAEUIK0218529</v>
      </c>
      <c r="D83" s="17" t="str">
        <v>MRKU3058273</v>
      </c>
      <c r="E83" s="14" t="str">
        <v>C40HC</v>
      </c>
      <c r="F83" s="17" t="str">
        <v>21985SUPECIS42429</v>
      </c>
      <c r="G83" s="15">
        <v>46288</v>
      </c>
      <c r="H83" s="16">
        <v>0.41666666666666674</v>
      </c>
      <c r="I83" s="15">
        <v>46286</v>
      </c>
      <c r="J83" s="17">
        <v>0</v>
      </c>
      <c r="K83" s="15">
        <v>46286</v>
      </c>
      <c r="L83" s="17" t="str">
        <v>373-STO-S10000031223</v>
      </c>
      <c r="M83" s="14" t="str">
        <v>420</v>
      </c>
      <c r="N83" s="14" t="str">
        <v>037TSOS10000679232</v>
      </c>
      <c r="O83" s="14" t="str">
        <v>300</v>
      </c>
      <c r="P83" s="14" t="str">
        <v>JUWAN78</v>
      </c>
      <c r="Q83" s="14">
        <v>46246</v>
      </c>
      <c r="R83" s="14">
        <v>726</v>
      </c>
      <c r="S83" s="14" t="str">
        <v>STO</v>
      </c>
      <c r="T83" s="14">
        <v>68</v>
      </c>
      <c r="U83" s="14" t="str">
        <v>0.870816</v>
      </c>
      <c r="V83" s="14" t="str">
        <v>0.96606</v>
      </c>
      <c r="W83" s="14">
        <v>265</v>
      </c>
      <c r="X83" s="14">
        <v>46285</v>
      </c>
      <c r="Y83" s="14">
        <v>46260</v>
      </c>
      <c r="Z83" s="14">
        <v>0</v>
      </c>
      <c r="AA83" s="14" t="str">
        <v>31825</v>
      </c>
      <c r="AB83" s="14" t="str">
        <v>MAERSK A/S</v>
      </c>
      <c r="AC83" s="14" t="str">
        <v>CN8003325</v>
      </c>
      <c r="AD83" s="14" t="str">
        <v>AS SIMONE</v>
      </c>
      <c r="AE83" s="14" t="str">
        <v>632N</v>
      </c>
      <c r="AF83" s="27" t="str">
        <v>CN</v>
      </c>
      <c r="AG83" s="27" t="str">
        <v>PRT</v>
      </c>
      <c r="AH83" s="14" t="str">
        <v>CNSHA</v>
      </c>
    </row>
    <row r="84" spans="1:34" ht="25.2" customHeight="1" x14ac:dyDescent="0.45">
      <c r="A84" s="17" t="str">
        <v>DD</v>
      </c>
      <c r="B84" s="14" t="str">
        <v>MILK RUN NOR</v>
      </c>
      <c r="C84" s="14" t="str">
        <v>MAEUIK0218529</v>
      </c>
      <c r="D84" s="17" t="str">
        <v>MRKU3058273</v>
      </c>
      <c r="E84" s="14" t="str">
        <v>C40HC</v>
      </c>
      <c r="F84" s="17" t="str">
        <v>22121SUPUE066534</v>
      </c>
      <c r="G84" s="15">
        <v>46288</v>
      </c>
      <c r="H84" s="16">
        <v>0.41666666666666674</v>
      </c>
      <c r="I84" s="15">
        <v>46286</v>
      </c>
      <c r="J84" s="17">
        <v>0</v>
      </c>
      <c r="K84" s="15">
        <v>46286</v>
      </c>
      <c r="L84" s="17" t="str">
        <v>373-STO-S10000031223</v>
      </c>
      <c r="M84" s="14" t="str">
        <v>420</v>
      </c>
      <c r="N84" s="14" t="str">
        <v>037TSOS10000679232</v>
      </c>
      <c r="O84" s="14" t="str">
        <v>300</v>
      </c>
      <c r="P84" s="14" t="str">
        <v>JUWAN78</v>
      </c>
      <c r="Q84" s="14">
        <v>46246</v>
      </c>
      <c r="R84" s="14">
        <v>726</v>
      </c>
      <c r="S84" s="14" t="str">
        <v>STO</v>
      </c>
      <c r="T84" s="14">
        <v>30</v>
      </c>
      <c r="U84" s="14" t="str">
        <v>6.12414</v>
      </c>
      <c r="V84" s="14" t="str">
        <v>6.664744</v>
      </c>
      <c r="W84" s="14">
        <v>460.49</v>
      </c>
      <c r="X84" s="14">
        <v>46277</v>
      </c>
      <c r="Y84" s="14">
        <v>46260</v>
      </c>
      <c r="Z84" s="14">
        <v>0</v>
      </c>
      <c r="AA84" s="14" t="str">
        <v>31825</v>
      </c>
      <c r="AB84" s="14" t="str">
        <v>MAERSK A/S</v>
      </c>
      <c r="AC84" s="14" t="str">
        <v>CN8003325</v>
      </c>
      <c r="AD84" s="14" t="str">
        <v>AS SIMONE</v>
      </c>
      <c r="AE84" s="14" t="str">
        <v>632N</v>
      </c>
      <c r="AF84" s="27" t="str">
        <v>CN</v>
      </c>
      <c r="AG84" s="27" t="str">
        <v>PRT</v>
      </c>
      <c r="AH84" s="14" t="str">
        <v>CNSHA</v>
      </c>
    </row>
    <row r="85" spans="1:34" ht="25.2" customHeight="1" x14ac:dyDescent="0.45">
      <c r="A85" s="17" t="str">
        <v>DD</v>
      </c>
      <c r="B85" s="14" t="str">
        <v>MILK RUN NOR</v>
      </c>
      <c r="C85" s="14" t="str">
        <v>MAEUIK0218529</v>
      </c>
      <c r="D85" s="17" t="str">
        <v>MRKU3058273</v>
      </c>
      <c r="E85" s="14" t="str">
        <v>C40HC</v>
      </c>
      <c r="F85" s="17" t="str">
        <v>22121SUPUE066842</v>
      </c>
      <c r="G85" s="15">
        <v>46288</v>
      </c>
      <c r="H85" s="16">
        <v>0.41666666666666674</v>
      </c>
      <c r="I85" s="15">
        <v>46286</v>
      </c>
      <c r="J85" s="17">
        <v>0</v>
      </c>
      <c r="K85" s="15">
        <v>46286</v>
      </c>
      <c r="L85" s="17" t="str">
        <v>373-STO-S10000031223</v>
      </c>
      <c r="M85" s="14" t="str">
        <v>420</v>
      </c>
      <c r="N85" s="14" t="str">
        <v>037TSOS10000679232</v>
      </c>
      <c r="O85" s="14" t="str">
        <v>300</v>
      </c>
      <c r="P85" s="14" t="str">
        <v>JUWAN78</v>
      </c>
      <c r="Q85" s="14">
        <v>46246</v>
      </c>
      <c r="R85" s="14">
        <v>726</v>
      </c>
      <c r="S85" s="14" t="str">
        <v>STO</v>
      </c>
      <c r="T85" s="14">
        <v>60</v>
      </c>
      <c r="U85" s="14" t="str">
        <v>7.382088</v>
      </c>
      <c r="V85" s="14" t="str">
        <v>8.009823</v>
      </c>
      <c r="W85" s="14">
        <v>777.69</v>
      </c>
      <c r="X85" s="14">
        <v>46277</v>
      </c>
      <c r="Y85" s="14">
        <v>46260</v>
      </c>
      <c r="Z85" s="14">
        <v>0</v>
      </c>
      <c r="AA85" s="14" t="str">
        <v>31825</v>
      </c>
      <c r="AB85" s="14" t="str">
        <v>MAERSK A/S</v>
      </c>
      <c r="AC85" s="14" t="str">
        <v>CN8003325</v>
      </c>
      <c r="AD85" s="14" t="str">
        <v>AS SIMONE</v>
      </c>
      <c r="AE85" s="14" t="str">
        <v>632N</v>
      </c>
      <c r="AF85" s="27" t="str">
        <v>CN</v>
      </c>
      <c r="AG85" s="27" t="str">
        <v>PRT</v>
      </c>
      <c r="AH85" s="14" t="str">
        <v>CNSHA</v>
      </c>
    </row>
    <row r="86" spans="1:34" ht="25.2" customHeight="1" x14ac:dyDescent="0.45">
      <c r="A86" s="17" t="str">
        <v>DD</v>
      </c>
      <c r="B86" s="14" t="str">
        <v>MILK RUN NOR</v>
      </c>
      <c r="C86" s="14" t="str">
        <v>EGLV003601021369</v>
      </c>
      <c r="D86" s="17" t="str">
        <v>EMCU6403994</v>
      </c>
      <c r="E86" s="14" t="str">
        <v>C20DV</v>
      </c>
      <c r="F86" s="17" t="str">
        <v>22280SUP263272601CP</v>
      </c>
      <c r="G86" s="15">
        <v>46288</v>
      </c>
      <c r="H86" s="16">
        <v>0.35416666666666674</v>
      </c>
      <c r="I86" s="15">
        <v>46286</v>
      </c>
      <c r="J86" s="17">
        <v>0</v>
      </c>
      <c r="K86" s="15">
        <v>46283</v>
      </c>
      <c r="L86" s="17" t="str">
        <v>373-STO-S10000031222</v>
      </c>
      <c r="M86" s="14" t="str">
        <v>420</v>
      </c>
      <c r="N86" s="14" t="str">
        <v>012TSOS10000393420</v>
      </c>
      <c r="O86" s="14" t="str">
        <v>300</v>
      </c>
      <c r="P86" s="14" t="str">
        <v>SHLIU93</v>
      </c>
      <c r="Q86" s="14">
        <v>46245</v>
      </c>
      <c r="R86" s="14">
        <v>726</v>
      </c>
      <c r="S86" s="14" t="str">
        <v>STO</v>
      </c>
      <c r="T86" s="14">
        <v>1400</v>
      </c>
      <c r="U86" s="14" t="str">
        <v>5.548624</v>
      </c>
      <c r="V86" s="14" t="str">
        <v>5.989842</v>
      </c>
      <c r="W86" s="14">
        <v>439.49</v>
      </c>
      <c r="X86" s="14">
        <v>46279</v>
      </c>
      <c r="Y86" s="14">
        <v>46280</v>
      </c>
      <c r="Z86" s="14">
        <v>0</v>
      </c>
      <c r="AA86" s="14" t="str">
        <v>31267</v>
      </c>
      <c r="AB86" s="14" t="str">
        <v>EVERGREEN LINE</v>
      </c>
      <c r="AC86" s="14" t="str">
        <v>EMCCTD7575</v>
      </c>
      <c r="AD86" s="14" t="str">
        <v>EVER VIVA</v>
      </c>
      <c r="AE86" s="14" t="str">
        <v>0297-022N</v>
      </c>
      <c r="AF86" s="27" t="str">
        <v>TW</v>
      </c>
      <c r="AG86" s="27" t="str">
        <v>PRT</v>
      </c>
      <c r="AH86" s="14" t="str">
        <v>TWTXG</v>
      </c>
    </row>
    <row r="87" spans="1:34" ht="25.2" customHeight="1" x14ac:dyDescent="0.45">
      <c r="A87" s="17" t="str">
        <v>DD</v>
      </c>
      <c r="B87" s="14" t="str">
        <v>MILK RUN NOR</v>
      </c>
      <c r="C87" s="14" t="str">
        <v>EGLV003601021369</v>
      </c>
      <c r="D87" s="17" t="str">
        <v>EMCU6403994</v>
      </c>
      <c r="E87" s="14" t="str">
        <v>C20DV</v>
      </c>
      <c r="F87" s="17" t="str">
        <v>22280SUP263372601CP</v>
      </c>
      <c r="G87" s="15">
        <v>46288</v>
      </c>
      <c r="H87" s="16">
        <v>0.35416666666666674</v>
      </c>
      <c r="I87" s="15">
        <v>46286</v>
      </c>
      <c r="J87" s="17">
        <v>0</v>
      </c>
      <c r="K87" s="15">
        <v>46283</v>
      </c>
      <c r="L87" s="17" t="str">
        <v>373-STO-S10000031222</v>
      </c>
      <c r="M87" s="14" t="str">
        <v>420</v>
      </c>
      <c r="N87" s="14" t="str">
        <v>012TSOS10000393420</v>
      </c>
      <c r="O87" s="14" t="str">
        <v>300</v>
      </c>
      <c r="P87" s="14" t="str">
        <v>SHLIU93</v>
      </c>
      <c r="Q87" s="14">
        <v>46245</v>
      </c>
      <c r="R87" s="14">
        <v>726</v>
      </c>
      <c r="S87" s="14" t="str">
        <v>STO</v>
      </c>
      <c r="T87" s="14">
        <v>36</v>
      </c>
      <c r="U87" s="14" t="str">
        <v>0.74088</v>
      </c>
      <c r="V87" s="14" t="str">
        <v>0.804515</v>
      </c>
      <c r="W87" s="14">
        <v>58.92</v>
      </c>
      <c r="X87" s="14">
        <v>46279</v>
      </c>
      <c r="Y87" s="14">
        <v>46280</v>
      </c>
      <c r="Z87" s="14">
        <v>0</v>
      </c>
      <c r="AA87" s="14" t="str">
        <v>31267</v>
      </c>
      <c r="AB87" s="14" t="str">
        <v>EVERGREEN LINE</v>
      </c>
      <c r="AC87" s="14" t="str">
        <v>EMCCTD7575</v>
      </c>
      <c r="AD87" s="14" t="str">
        <v>EVER VIVA</v>
      </c>
      <c r="AE87" s="14" t="str">
        <v>0297-022N</v>
      </c>
      <c r="AF87" s="27" t="str">
        <v>TW</v>
      </c>
      <c r="AG87" s="27" t="str">
        <v>PRT</v>
      </c>
      <c r="AH87" s="14" t="str">
        <v>TWTXG</v>
      </c>
    </row>
    <row r="88" spans="1:34" ht="25.2" customHeight="1" x14ac:dyDescent="0.45">
      <c r="A88" s="17" t="str">
        <v>HF</v>
      </c>
      <c r="B88" s="14" t="str">
        <v/>
      </c>
      <c r="C88" s="14" t="str">
        <v>HDMUSHAA74229300</v>
      </c>
      <c r="D88" s="17" t="str">
        <v>HDMU4915018</v>
      </c>
      <c r="E88" s="14" t="str">
        <v>C40HC</v>
      </c>
      <c r="F88" s="17" t="str">
        <v>258DT260819726346</v>
      </c>
      <c r="G88" s="15">
        <v>46287</v>
      </c>
      <c r="H88" s="16">
        <v>0.27083333333333326</v>
      </c>
      <c r="I88" s="15">
        <v>46283</v>
      </c>
      <c r="J88" s="17">
        <v>0</v>
      </c>
      <c r="K88" s="15">
        <v>46283</v>
      </c>
      <c r="L88" s="17" t="str">
        <v>373-STO-S10000031191</v>
      </c>
      <c r="M88" s="14" t="str">
        <v>400</v>
      </c>
      <c r="N88" s="14" t="str">
        <v>258DTS10000200053</v>
      </c>
      <c r="O88" s="14" t="str">
        <v>350</v>
      </c>
      <c r="P88" s="14">
        <v>0</v>
      </c>
      <c r="Q88" s="14">
        <v>46253</v>
      </c>
      <c r="R88" s="14">
        <v>726</v>
      </c>
      <c r="S88" s="14" t="str">
        <v>STO</v>
      </c>
      <c r="T88" s="14">
        <v>12874</v>
      </c>
      <c r="U88" s="14" t="str">
        <v>54.949135</v>
      </c>
      <c r="V88" s="14" t="str">
        <v>59.01711134</v>
      </c>
      <c r="W88" s="14">
        <v>10881.763000000001</v>
      </c>
      <c r="X88" s="14">
        <v>46277</v>
      </c>
      <c r="Y88" s="14">
        <v>46275</v>
      </c>
      <c r="Z88" s="14">
        <v>0</v>
      </c>
      <c r="AA88" s="14" t="str">
        <v>31676</v>
      </c>
      <c r="AB88" s="14" t="str">
        <v>HMM CO., LTD.</v>
      </c>
      <c r="AC88" s="14" t="str">
        <v>26H0159661</v>
      </c>
      <c r="AD88" s="14" t="str">
        <v>HMM EMERALD</v>
      </c>
      <c r="AE88" s="14" t="str">
        <v>0015E</v>
      </c>
      <c r="AF88" s="27" t="str">
        <v>CN</v>
      </c>
      <c r="AG88" s="27" t="str">
        <v>PRT</v>
      </c>
      <c r="AH88" s="14" t="str">
        <v>CNYAN</v>
      </c>
    </row>
    <row r="89" spans="1:34" ht="25.2" customHeight="1" x14ac:dyDescent="0.45">
      <c r="A89" s="17" t="str">
        <v>HF</v>
      </c>
      <c r="B89" s="14" t="str">
        <v/>
      </c>
      <c r="C89" s="14" t="str">
        <v>HDMUSHAA74229300</v>
      </c>
      <c r="D89" s="17" t="str">
        <v>HDMU4915018</v>
      </c>
      <c r="E89" s="14" t="str">
        <v>C40HC</v>
      </c>
      <c r="F89" s="17" t="str">
        <v>277DT260819726347</v>
      </c>
      <c r="G89" s="15">
        <v>46287</v>
      </c>
      <c r="H89" s="16">
        <v>0.27083333333333326</v>
      </c>
      <c r="I89" s="15">
        <v>46283</v>
      </c>
      <c r="J89" s="17">
        <v>0</v>
      </c>
      <c r="K89" s="15">
        <v>46283</v>
      </c>
      <c r="L89" s="17" t="str">
        <v>373-STO-S10000031191</v>
      </c>
      <c r="M89" s="14" t="str">
        <v>400</v>
      </c>
      <c r="N89" s="14" t="str">
        <v>258DTS10000200053</v>
      </c>
      <c r="O89" s="14" t="str">
        <v>350</v>
      </c>
      <c r="P89" s="14">
        <v>0</v>
      </c>
      <c r="Q89" s="14">
        <v>46253</v>
      </c>
      <c r="R89" s="14">
        <v>726</v>
      </c>
      <c r="S89" s="14" t="str">
        <v>STO</v>
      </c>
      <c r="T89" s="14">
        <v>24</v>
      </c>
      <c r="U89" s="14" t="str">
        <v>0.801936</v>
      </c>
      <c r="V89" s="14" t="str">
        <v>0.853519</v>
      </c>
      <c r="W89" s="14">
        <v>276.48</v>
      </c>
      <c r="X89" s="14">
        <v>46277</v>
      </c>
      <c r="Y89" s="14">
        <v>46275</v>
      </c>
      <c r="Z89" s="14">
        <v>0</v>
      </c>
      <c r="AA89" s="14" t="str">
        <v>31676</v>
      </c>
      <c r="AB89" s="14" t="str">
        <v>HMM CO., LTD.</v>
      </c>
      <c r="AC89" s="14" t="str">
        <v>26H0159661</v>
      </c>
      <c r="AD89" s="14" t="str">
        <v>HMM EMERALD</v>
      </c>
      <c r="AE89" s="14" t="str">
        <v>0015E</v>
      </c>
      <c r="AF89" s="27" t="str">
        <v>CN</v>
      </c>
      <c r="AG89" s="27" t="str">
        <v>PRT</v>
      </c>
      <c r="AH89" s="14" t="str">
        <v>CNYAN</v>
      </c>
    </row>
    <row r="90" spans="1:34" ht="25.2" customHeight="1" x14ac:dyDescent="0.45">
      <c r="A90" s="17" t="str">
        <v>DD</v>
      </c>
      <c r="B90" s="14" t="str">
        <v>MILK RUN NOR</v>
      </c>
      <c r="C90" s="14" t="str">
        <v>PLISH7H45731</v>
      </c>
      <c r="D90" s="17" t="str">
        <v>SKHU6551370</v>
      </c>
      <c r="E90" s="14" t="str">
        <v>C40HC</v>
      </c>
      <c r="F90" s="17" t="str">
        <v>21072SUPECIS75213</v>
      </c>
      <c r="G90" s="15">
        <v>46286</v>
      </c>
      <c r="H90" s="16">
        <v>0.35416666666666674</v>
      </c>
      <c r="I90" s="15">
        <v>46282</v>
      </c>
      <c r="J90" s="17">
        <v>0</v>
      </c>
      <c r="K90" s="15">
        <v>46281</v>
      </c>
      <c r="L90" s="17" t="str">
        <v>373-STO-S10000031178</v>
      </c>
      <c r="M90" s="14" t="str">
        <v>400</v>
      </c>
      <c r="N90" s="14" t="str">
        <v>037TSOS10000677475</v>
      </c>
      <c r="O90" s="14" t="str">
        <v>300</v>
      </c>
      <c r="P90" s="14" t="str">
        <v>LINLI65</v>
      </c>
      <c r="Q90" s="14">
        <v>46244</v>
      </c>
      <c r="R90" s="14">
        <v>726</v>
      </c>
      <c r="S90" s="14" t="str">
        <v>STO</v>
      </c>
      <c r="T90" s="14">
        <v>117</v>
      </c>
      <c r="U90" s="14" t="str">
        <v>4.026587</v>
      </c>
      <c r="V90" s="14" t="str">
        <v>4.278408</v>
      </c>
      <c r="W90" s="14">
        <v>1878.83</v>
      </c>
      <c r="X90" s="14">
        <v>46284</v>
      </c>
      <c r="Y90" s="14">
        <v>46282</v>
      </c>
      <c r="Z90" s="14">
        <v>0</v>
      </c>
      <c r="AA90" s="14" t="str">
        <v>33300</v>
      </c>
      <c r="AB90" s="14" t="str">
        <v>LX PANTOS CO., LTD.</v>
      </c>
      <c r="AC90" s="14" t="str">
        <v>137376</v>
      </c>
      <c r="AD90" s="14" t="str">
        <v>SAWASDEE SIRIUS</v>
      </c>
      <c r="AE90" s="14" t="str">
        <v>2624E</v>
      </c>
      <c r="AF90" s="27" t="str">
        <v>CN</v>
      </c>
      <c r="AG90" s="27" t="str">
        <v>PRT</v>
      </c>
      <c r="AH90" s="14" t="str">
        <v>CNNGB</v>
      </c>
    </row>
    <row r="91" spans="1:34" ht="25.2" customHeight="1" x14ac:dyDescent="0.45">
      <c r="A91" s="17" t="str">
        <v>DD</v>
      </c>
      <c r="B91" s="14" t="str">
        <v>MILK RUN NOR</v>
      </c>
      <c r="C91" s="14" t="str">
        <v>MAEUIK0218873</v>
      </c>
      <c r="D91" s="17" t="str">
        <v>GATU8363151</v>
      </c>
      <c r="E91" s="14" t="str">
        <v>C40HC</v>
      </c>
      <c r="F91" s="17" t="str">
        <v>19720SUPECIS213086</v>
      </c>
      <c r="G91" s="15">
        <v>46286</v>
      </c>
      <c r="H91" s="16">
        <v>0.35416666666666674</v>
      </c>
      <c r="I91" s="15">
        <v>46280</v>
      </c>
      <c r="J91" s="17">
        <v>0</v>
      </c>
      <c r="K91" s="15">
        <v>46280</v>
      </c>
      <c r="L91" s="17" t="str">
        <v>373-STO-S10000031155</v>
      </c>
      <c r="M91" s="14" t="str">
        <v>400</v>
      </c>
      <c r="N91" s="14" t="str">
        <v>012TSOS10000394903</v>
      </c>
      <c r="O91" s="14" t="str">
        <v>350</v>
      </c>
      <c r="P91" s="14" t="str">
        <v>HEDXU</v>
      </c>
      <c r="Q91" s="14">
        <v>46247</v>
      </c>
      <c r="R91" s="14">
        <v>726</v>
      </c>
      <c r="S91" s="14" t="str">
        <v>STO</v>
      </c>
      <c r="T91" s="14">
        <v>4505</v>
      </c>
      <c r="U91" s="14" t="str">
        <v>24.532367</v>
      </c>
      <c r="V91" s="14" t="str">
        <v>26.330683</v>
      </c>
      <c r="W91" s="14">
        <v>3378.81</v>
      </c>
      <c r="X91" s="14">
        <v>46269</v>
      </c>
      <c r="Y91" s="14">
        <v>46279</v>
      </c>
      <c r="Z91" s="14">
        <v>0</v>
      </c>
      <c r="AA91" s="14" t="str">
        <v>31825</v>
      </c>
      <c r="AB91" s="14" t="str">
        <v>MAERSK A/S</v>
      </c>
      <c r="AC91" s="14" t="str">
        <v>CN7167142</v>
      </c>
      <c r="AD91" s="14" t="str">
        <v>MONACO</v>
      </c>
      <c r="AE91" s="14" t="str">
        <v>636X</v>
      </c>
      <c r="AF91" s="27" t="str">
        <v>CN</v>
      </c>
      <c r="AG91" s="27" t="str">
        <v>PRT</v>
      </c>
      <c r="AH91" s="14" t="str">
        <v>CNNSA</v>
      </c>
    </row>
    <row r="92" spans="1:34" ht="25.2" customHeight="1" x14ac:dyDescent="0.45">
      <c r="A92" s="17" t="str">
        <v>HF</v>
      </c>
      <c r="B92" s="14" t="str">
        <v/>
      </c>
      <c r="C92" s="14" t="str">
        <v>MAEUIK0217736</v>
      </c>
      <c r="D92" s="17" t="str">
        <v>MSKU1949888</v>
      </c>
      <c r="E92" s="14" t="str">
        <v>C40HC</v>
      </c>
      <c r="F92" s="17" t="str">
        <v>258DT260806726522</v>
      </c>
      <c r="G92" s="15">
        <v>46286</v>
      </c>
      <c r="H92" s="16">
        <v>0.27083333333333326</v>
      </c>
      <c r="I92" s="15">
        <v>46279</v>
      </c>
      <c r="J92" s="17">
        <v>46276</v>
      </c>
      <c r="K92" s="15">
        <v>46276</v>
      </c>
      <c r="L92" s="17" t="str">
        <v>373-STO-S10000031162</v>
      </c>
      <c r="M92" s="14" t="str">
        <v>400</v>
      </c>
      <c r="N92" s="14" t="str">
        <v>258DTS10000198176</v>
      </c>
      <c r="O92" s="14" t="str">
        <v>350</v>
      </c>
      <c r="P92" s="14">
        <v>0</v>
      </c>
      <c r="Q92" s="14">
        <v>46240</v>
      </c>
      <c r="R92" s="14">
        <v>726</v>
      </c>
      <c r="S92" s="14" t="str">
        <v>STO</v>
      </c>
      <c r="T92" s="14">
        <v>6404</v>
      </c>
      <c r="U92" s="14" t="str">
        <v>40.544247</v>
      </c>
      <c r="V92" s="14" t="str">
        <v>43.629357</v>
      </c>
      <c r="W92" s="14">
        <v>7162.799</v>
      </c>
      <c r="X92" s="14">
        <v>46255</v>
      </c>
      <c r="Y92" s="14">
        <v>46253</v>
      </c>
      <c r="Z92" s="14">
        <v>0</v>
      </c>
      <c r="AA92" s="14" t="str">
        <v>31825</v>
      </c>
      <c r="AB92" s="14" t="str">
        <v>MAERSK A/S</v>
      </c>
      <c r="AC92" s="14" t="str">
        <v>CN7983916</v>
      </c>
      <c r="AD92" s="14" t="str">
        <v>AS SOPHIA</v>
      </c>
      <c r="AE92" s="14" t="str">
        <v>631N</v>
      </c>
      <c r="AF92" s="27" t="str">
        <v>CN</v>
      </c>
      <c r="AG92" s="27" t="str">
        <v>PRT</v>
      </c>
      <c r="AH92" s="14" t="str">
        <v>CNSHA</v>
      </c>
    </row>
    <row r="93" spans="1:34" ht="25.2" customHeight="1" x14ac:dyDescent="0.45">
      <c r="A93" s="17" t="str">
        <v>HF</v>
      </c>
      <c r="B93" s="14" t="str">
        <v/>
      </c>
      <c r="C93" s="14" t="str">
        <v>MAEUIK0217736</v>
      </c>
      <c r="D93" s="17" t="str">
        <v>MSKU1949888</v>
      </c>
      <c r="E93" s="14" t="str">
        <v>C40HC</v>
      </c>
      <c r="F93" s="17" t="str">
        <v>277DT260806726523</v>
      </c>
      <c r="G93" s="15">
        <v>46286</v>
      </c>
      <c r="H93" s="16">
        <v>0.27083333333333326</v>
      </c>
      <c r="I93" s="15">
        <v>46279</v>
      </c>
      <c r="J93" s="17">
        <v>46276</v>
      </c>
      <c r="K93" s="15">
        <v>46276</v>
      </c>
      <c r="L93" s="17" t="str">
        <v>373-STO-S10000031162</v>
      </c>
      <c r="M93" s="14" t="str">
        <v>400</v>
      </c>
      <c r="N93" s="14" t="str">
        <v>258DTS10000198176</v>
      </c>
      <c r="O93" s="14" t="str">
        <v>350</v>
      </c>
      <c r="P93" s="14">
        <v>0</v>
      </c>
      <c r="Q93" s="14">
        <v>46240</v>
      </c>
      <c r="R93" s="14">
        <v>726</v>
      </c>
      <c r="S93" s="14" t="str">
        <v>STO</v>
      </c>
      <c r="T93" s="14">
        <v>5365</v>
      </c>
      <c r="U93" s="14" t="str">
        <v>13.686214</v>
      </c>
      <c r="V93" s="14" t="str">
        <v>14.817705</v>
      </c>
      <c r="W93" s="14">
        <v>1815.6880000000001</v>
      </c>
      <c r="X93" s="14">
        <v>46255</v>
      </c>
      <c r="Y93" s="14">
        <v>46253</v>
      </c>
      <c r="Z93" s="14">
        <v>0</v>
      </c>
      <c r="AA93" s="14" t="str">
        <v>31825</v>
      </c>
      <c r="AB93" s="14" t="str">
        <v>MAERSK A/S</v>
      </c>
      <c r="AC93" s="14" t="str">
        <v>CN7983916</v>
      </c>
      <c r="AD93" s="14" t="str">
        <v>AS SOPHIA</v>
      </c>
      <c r="AE93" s="14" t="str">
        <v>631N</v>
      </c>
      <c r="AF93" s="27" t="str">
        <v>CN</v>
      </c>
      <c r="AG93" s="27" t="str">
        <v>PRT</v>
      </c>
      <c r="AH93" s="14" t="str">
        <v>CNSHA</v>
      </c>
    </row>
    <row r="94" spans="1:34" ht="25.2" customHeight="1" x14ac:dyDescent="0.45">
      <c r="A94" s="17" t="str">
        <v>DD</v>
      </c>
      <c r="B94" s="14" t="str">
        <v>MILK RUN NOR</v>
      </c>
      <c r="C94" s="14" t="str">
        <v>MAEUIK0217902</v>
      </c>
      <c r="D94" s="17" t="str">
        <v>TLLU6909322</v>
      </c>
      <c r="E94" s="14" t="str">
        <v>C40HC</v>
      </c>
      <c r="F94" s="17" t="str">
        <v>21072SUPECIS75150</v>
      </c>
      <c r="G94" s="15">
        <v>46285</v>
      </c>
      <c r="H94" s="16">
        <v>0.35416666666666674</v>
      </c>
      <c r="I94" s="15">
        <v>46279</v>
      </c>
      <c r="J94" s="17">
        <v>0</v>
      </c>
      <c r="K94" s="15">
        <v>46277</v>
      </c>
      <c r="L94" s="17" t="str">
        <v>373-STO-S10000031137</v>
      </c>
      <c r="M94" s="14" t="str">
        <v>400</v>
      </c>
      <c r="N94" s="14" t="str">
        <v>037TSOS10000676315</v>
      </c>
      <c r="O94" s="14" t="str">
        <v>350</v>
      </c>
      <c r="P94" s="14" t="str">
        <v>JOHUA31</v>
      </c>
      <c r="Q94" s="14">
        <v>46241</v>
      </c>
      <c r="R94" s="14">
        <v>726</v>
      </c>
      <c r="S94" s="14" t="str">
        <v>STO</v>
      </c>
      <c r="T94" s="14">
        <v>296</v>
      </c>
      <c r="U94" s="14" t="str">
        <v>7.358204</v>
      </c>
      <c r="V94" s="14" t="str">
        <v>7.835089</v>
      </c>
      <c r="W94" s="14">
        <v>3268.71</v>
      </c>
      <c r="X94" s="14">
        <v>46265</v>
      </c>
      <c r="Y94" s="14">
        <v>46263</v>
      </c>
      <c r="Z94" s="14">
        <v>0</v>
      </c>
      <c r="AA94" s="14" t="str">
        <v>31825</v>
      </c>
      <c r="AB94" s="14" t="str">
        <v>MAERSK A/S</v>
      </c>
      <c r="AC94" s="14" t="str">
        <v>CN9064830</v>
      </c>
      <c r="AD94" s="14" t="str">
        <v>CORCOVADO</v>
      </c>
      <c r="AE94" s="14" t="str">
        <v>634E</v>
      </c>
      <c r="AF94" s="27" t="str">
        <v>CN</v>
      </c>
      <c r="AG94" s="27" t="str">
        <v>PRT</v>
      </c>
      <c r="AH94" s="14" t="str">
        <v>CNNGB</v>
      </c>
    </row>
    <row r="95" spans="1:34" ht="25.2" customHeight="1" x14ac:dyDescent="0.45">
      <c r="A95" s="17" t="str">
        <v>HF</v>
      </c>
      <c r="B95" s="14" t="str">
        <v/>
      </c>
      <c r="C95" s="14" t="str">
        <v>MAEUIK0217373</v>
      </c>
      <c r="D95" s="17" t="str">
        <v>MRSU9433857</v>
      </c>
      <c r="E95" s="14" t="str">
        <v>C40HC</v>
      </c>
      <c r="F95" s="17" t="str">
        <v>258DT260804726412</v>
      </c>
      <c r="G95" s="15">
        <v>46285</v>
      </c>
      <c r="H95" s="16">
        <v>0.26041666666666674</v>
      </c>
      <c r="I95" s="15">
        <v>46279</v>
      </c>
      <c r="J95" s="17">
        <v>0</v>
      </c>
      <c r="K95" s="15">
        <v>46276</v>
      </c>
      <c r="L95" s="17" t="str">
        <v>373-STO-S10000031144</v>
      </c>
      <c r="M95" s="14" t="str">
        <v>400</v>
      </c>
      <c r="N95" s="14" t="str">
        <v>258DTS10000197771</v>
      </c>
      <c r="O95" s="14" t="str">
        <v>350</v>
      </c>
      <c r="P95" s="14">
        <v>0</v>
      </c>
      <c r="Q95" s="14">
        <v>46238</v>
      </c>
      <c r="R95" s="14">
        <v>726</v>
      </c>
      <c r="S95" s="14" t="str">
        <v>STO</v>
      </c>
      <c r="T95" s="14">
        <v>11059</v>
      </c>
      <c r="U95" s="14" t="str">
        <v>53.877866</v>
      </c>
      <c r="V95" s="14" t="str">
        <v>58.07817</v>
      </c>
      <c r="W95" s="14">
        <v>9487.8850000000002</v>
      </c>
      <c r="X95" s="14">
        <v>46256</v>
      </c>
      <c r="Y95" s="14">
        <v>46254</v>
      </c>
      <c r="Z95" s="14">
        <v>0</v>
      </c>
      <c r="AA95" s="14" t="str">
        <v>31825</v>
      </c>
      <c r="AB95" s="14" t="str">
        <v>MAERSK A/S</v>
      </c>
      <c r="AC95" s="14" t="str">
        <v>CN7937041</v>
      </c>
      <c r="AD95" s="14" t="str">
        <v>AS SOPHIA</v>
      </c>
      <c r="AE95" s="14" t="str">
        <v>631N</v>
      </c>
      <c r="AF95" s="27" t="str">
        <v>CN</v>
      </c>
      <c r="AG95" s="27" t="str">
        <v>PRT</v>
      </c>
      <c r="AH95" s="14" t="str">
        <v>CNSHA</v>
      </c>
    </row>
    <row r="96" spans="1:34" ht="25.2" customHeight="1" x14ac:dyDescent="0.45">
      <c r="A96" s="17" t="str">
        <v>HF</v>
      </c>
      <c r="B96" s="14" t="str">
        <v/>
      </c>
      <c r="C96" s="14" t="str">
        <v>MAEUIK0217373</v>
      </c>
      <c r="D96" s="17" t="str">
        <v>MRSU9433857</v>
      </c>
      <c r="E96" s="14" t="str">
        <v>C40HC</v>
      </c>
      <c r="F96" s="17" t="str">
        <v>258DT260804726414</v>
      </c>
      <c r="G96" s="15">
        <v>46285</v>
      </c>
      <c r="H96" s="16">
        <v>0.26041666666666674</v>
      </c>
      <c r="I96" s="15">
        <v>46279</v>
      </c>
      <c r="J96" s="17">
        <v>0</v>
      </c>
      <c r="K96" s="15">
        <v>46276</v>
      </c>
      <c r="L96" s="17" t="str">
        <v>373-STO-S10000031144</v>
      </c>
      <c r="M96" s="14" t="str">
        <v>400</v>
      </c>
      <c r="N96" s="14" t="str">
        <v>258DTS10000197771</v>
      </c>
      <c r="O96" s="14" t="str">
        <v>350</v>
      </c>
      <c r="P96" s="14">
        <v>0</v>
      </c>
      <c r="Q96" s="14">
        <v>46238</v>
      </c>
      <c r="R96" s="14">
        <v>726</v>
      </c>
      <c r="S96" s="14" t="str">
        <v>STO</v>
      </c>
      <c r="T96" s="14">
        <v>78</v>
      </c>
      <c r="U96" s="14" t="str">
        <v>1.15245</v>
      </c>
      <c r="V96" s="14" t="str">
        <v>1.226208</v>
      </c>
      <c r="W96" s="14">
        <v>263.32799999999997</v>
      </c>
      <c r="X96" s="14">
        <v>46256</v>
      </c>
      <c r="Y96" s="14">
        <v>46254</v>
      </c>
      <c r="Z96" s="14">
        <v>0</v>
      </c>
      <c r="AA96" s="14" t="str">
        <v>31825</v>
      </c>
      <c r="AB96" s="14" t="str">
        <v>MAERSK A/S</v>
      </c>
      <c r="AC96" s="14" t="str">
        <v>CN7937041</v>
      </c>
      <c r="AD96" s="14" t="str">
        <v>AS SOPHIA</v>
      </c>
      <c r="AE96" s="14" t="str">
        <v>631N</v>
      </c>
      <c r="AF96" s="27" t="str">
        <v>CN</v>
      </c>
      <c r="AG96" s="27" t="str">
        <v>PRT</v>
      </c>
      <c r="AH96" s="14" t="str">
        <v>CNSHA</v>
      </c>
    </row>
    <row r="97" spans="1:34" ht="25.2" customHeight="1" x14ac:dyDescent="0.45">
      <c r="A97" s="17" t="str">
        <v>HF</v>
      </c>
      <c r="B97" s="14" t="str">
        <v/>
      </c>
      <c r="C97" s="14" t="str">
        <v>MAEUIK0217373</v>
      </c>
      <c r="D97" s="17" t="str">
        <v>MRSU9433857</v>
      </c>
      <c r="E97" s="14" t="str">
        <v>C40HC</v>
      </c>
      <c r="F97" s="17" t="str">
        <v>277DT260804726415</v>
      </c>
      <c r="G97" s="15">
        <v>46285</v>
      </c>
      <c r="H97" s="16">
        <v>0.26041666666666674</v>
      </c>
      <c r="I97" s="15">
        <v>46279</v>
      </c>
      <c r="J97" s="17">
        <v>0</v>
      </c>
      <c r="K97" s="15">
        <v>46276</v>
      </c>
      <c r="L97" s="17" t="str">
        <v>373-STO-S10000031144</v>
      </c>
      <c r="M97" s="14" t="str">
        <v>400</v>
      </c>
      <c r="N97" s="14" t="str">
        <v>258DTS10000197771</v>
      </c>
      <c r="O97" s="14" t="str">
        <v>350</v>
      </c>
      <c r="P97" s="14">
        <v>0</v>
      </c>
      <c r="Q97" s="14">
        <v>46238</v>
      </c>
      <c r="R97" s="14">
        <v>726</v>
      </c>
      <c r="S97" s="14" t="str">
        <v>STO</v>
      </c>
      <c r="T97" s="14">
        <v>30</v>
      </c>
      <c r="U97" s="14" t="str">
        <v>0.34581</v>
      </c>
      <c r="V97" s="14" t="str">
        <v>0.377</v>
      </c>
      <c r="W97" s="14">
        <v>70.8</v>
      </c>
      <c r="X97" s="14">
        <v>46256</v>
      </c>
      <c r="Y97" s="14">
        <v>46254</v>
      </c>
      <c r="Z97" s="14">
        <v>0</v>
      </c>
      <c r="AA97" s="14" t="str">
        <v>31825</v>
      </c>
      <c r="AB97" s="14" t="str">
        <v>MAERSK A/S</v>
      </c>
      <c r="AC97" s="14" t="str">
        <v>CN7937041</v>
      </c>
      <c r="AD97" s="14" t="str">
        <v>AS SOPHIA</v>
      </c>
      <c r="AE97" s="14" t="str">
        <v>631N</v>
      </c>
      <c r="AF97" s="27" t="str">
        <v>CN</v>
      </c>
      <c r="AG97" s="27" t="str">
        <v>PRT</v>
      </c>
      <c r="AH97" s="14" t="str">
        <v>CNSHA</v>
      </c>
    </row>
    <row r="98" spans="1:34" ht="25.2" customHeight="1" x14ac:dyDescent="0.45">
      <c r="A98" s="17" t="str">
        <v>LF</v>
      </c>
      <c r="B98" s="14">
        <v>0</v>
      </c>
      <c r="C98" s="14" t="str">
        <v>MAEUIK0218280</v>
      </c>
      <c r="D98" s="17" t="str">
        <v>FFAU7339088</v>
      </c>
      <c r="E98" s="14" t="str">
        <v>C40HC</v>
      </c>
      <c r="F98" s="17" t="str">
        <v>294DT260810726697</v>
      </c>
      <c r="G98" s="15">
        <v>46284</v>
      </c>
      <c r="H98" s="16">
        <v>0.26041666666666674</v>
      </c>
      <c r="I98" s="15">
        <v>46279</v>
      </c>
      <c r="J98" s="17">
        <v>0</v>
      </c>
      <c r="K98" s="15">
        <v>46275</v>
      </c>
      <c r="L98" s="17" t="str">
        <v>373-STO-S10000031119</v>
      </c>
      <c r="M98" s="14" t="str">
        <v>400</v>
      </c>
      <c r="N98" s="14" t="str">
        <v>258DTS10000198714</v>
      </c>
      <c r="O98" s="14" t="str">
        <v>350</v>
      </c>
      <c r="P98" s="14" t="str">
        <v>LARXU</v>
      </c>
      <c r="Q98" s="14">
        <v>46244</v>
      </c>
      <c r="R98" s="14">
        <v>726</v>
      </c>
      <c r="S98" s="14" t="str">
        <v>STO</v>
      </c>
      <c r="T98" s="14">
        <v>7692</v>
      </c>
      <c r="U98" s="14" t="str">
        <v>17.273731</v>
      </c>
      <c r="V98" s="14" t="str">
        <v>18.54632792</v>
      </c>
      <c r="W98" s="14">
        <v>2930.1370000000002</v>
      </c>
      <c r="X98" s="14">
        <v>46268</v>
      </c>
      <c r="Y98" s="14">
        <v>46266</v>
      </c>
      <c r="Z98" s="14">
        <v>0</v>
      </c>
      <c r="AA98" s="14" t="str">
        <v>31825</v>
      </c>
      <c r="AB98" s="14" t="str">
        <v>MAERSK A/S</v>
      </c>
      <c r="AC98" s="14" t="str">
        <v>CN4420679</v>
      </c>
      <c r="AD98" s="14" t="str">
        <v>MERATUS JIMBARAN</v>
      </c>
      <c r="AE98" s="14" t="str">
        <v>634N</v>
      </c>
      <c r="AF98" s="27" t="str">
        <v>CN</v>
      </c>
      <c r="AG98" s="27" t="str">
        <v>PRT</v>
      </c>
      <c r="AH98" s="14" t="str">
        <v>CNSHA</v>
      </c>
    </row>
    <row r="99" spans="1:34" ht="25.2" customHeight="1" x14ac:dyDescent="0.45">
      <c r="A99" s="17" t="str">
        <v>LF</v>
      </c>
      <c r="B99" s="14">
        <v>0</v>
      </c>
      <c r="C99" s="14" t="str">
        <v>MAEUIK0218280</v>
      </c>
      <c r="D99" s="17" t="str">
        <v>FFAU7339088</v>
      </c>
      <c r="E99" s="14" t="str">
        <v>C40HC</v>
      </c>
      <c r="F99" s="17" t="str">
        <v>319DT260810726698</v>
      </c>
      <c r="G99" s="15">
        <v>46284</v>
      </c>
      <c r="H99" s="16">
        <v>0.26041666666666674</v>
      </c>
      <c r="I99" s="15">
        <v>46279</v>
      </c>
      <c r="J99" s="17">
        <v>0</v>
      </c>
      <c r="K99" s="15">
        <v>46275</v>
      </c>
      <c r="L99" s="17" t="str">
        <v>373-STO-S10000031119</v>
      </c>
      <c r="M99" s="14" t="str">
        <v>400</v>
      </c>
      <c r="N99" s="14" t="str">
        <v>258DTS10000198714</v>
      </c>
      <c r="O99" s="14" t="str">
        <v>350</v>
      </c>
      <c r="P99" s="14" t="str">
        <v>LARXU</v>
      </c>
      <c r="Q99" s="14">
        <v>46244</v>
      </c>
      <c r="R99" s="14">
        <v>726</v>
      </c>
      <c r="S99" s="14" t="str">
        <v>STO</v>
      </c>
      <c r="T99" s="14">
        <v>11516</v>
      </c>
      <c r="U99" s="14" t="str">
        <v>31.015887</v>
      </c>
      <c r="V99" s="14" t="str">
        <v>33.38117431</v>
      </c>
      <c r="W99" s="14">
        <v>6122.8549999999996</v>
      </c>
      <c r="X99" s="14">
        <v>46268</v>
      </c>
      <c r="Y99" s="14">
        <v>46266</v>
      </c>
      <c r="Z99" s="14">
        <v>0</v>
      </c>
      <c r="AA99" s="14" t="str">
        <v>31825</v>
      </c>
      <c r="AB99" s="14" t="str">
        <v>MAERSK A/S</v>
      </c>
      <c r="AC99" s="14" t="str">
        <v>CN4420679</v>
      </c>
      <c r="AD99" s="14" t="str">
        <v>MERATUS JIMBARAN</v>
      </c>
      <c r="AE99" s="14" t="str">
        <v>634N</v>
      </c>
      <c r="AF99" s="27" t="str">
        <v>CN</v>
      </c>
      <c r="AG99" s="27" t="str">
        <v>PRT</v>
      </c>
      <c r="AH99" s="14" t="str">
        <v>CNSHA</v>
      </c>
    </row>
    <row r="100" spans="1:34" ht="25.2" customHeight="1" x14ac:dyDescent="0.45">
      <c r="A100" s="17" t="str">
        <v>LF</v>
      </c>
      <c r="B100" s="14">
        <v>0</v>
      </c>
      <c r="C100" s="14" t="str">
        <v>MAEUIK0219226</v>
      </c>
      <c r="D100" s="17" t="str">
        <v>MIEU3960396</v>
      </c>
      <c r="E100" s="14" t="str">
        <v>C40HC</v>
      </c>
      <c r="F100" s="17" t="str">
        <v>294DT260817726647</v>
      </c>
      <c r="G100" s="15">
        <v>46283</v>
      </c>
      <c r="H100" s="16">
        <v>0.27083333333333326</v>
      </c>
      <c r="I100" s="15">
        <v>46276</v>
      </c>
      <c r="J100" s="17">
        <v>0</v>
      </c>
      <c r="K100" s="15">
        <v>46275</v>
      </c>
      <c r="L100" s="17" t="str">
        <v>373-STO-S10000031101</v>
      </c>
      <c r="M100" s="14" t="str">
        <v>400</v>
      </c>
      <c r="N100" s="14" t="str">
        <v>258DTS10000199628</v>
      </c>
      <c r="O100" s="14" t="str">
        <v>350</v>
      </c>
      <c r="P100" s="14" t="str">
        <v>LARXU</v>
      </c>
      <c r="Q100" s="14">
        <v>46251</v>
      </c>
      <c r="R100" s="14">
        <v>726</v>
      </c>
      <c r="S100" s="14" t="str">
        <v>STO</v>
      </c>
      <c r="T100" s="14">
        <v>5144</v>
      </c>
      <c r="U100" s="14" t="str">
        <v>9.164313</v>
      </c>
      <c r="V100" s="14" t="str">
        <v>9.88173986</v>
      </c>
      <c r="W100" s="14">
        <v>1812.923</v>
      </c>
      <c r="X100" s="14">
        <v>46268</v>
      </c>
      <c r="Y100" s="14">
        <v>46266</v>
      </c>
      <c r="Z100" s="14">
        <v>0</v>
      </c>
      <c r="AA100" s="14" t="str">
        <v>31825</v>
      </c>
      <c r="AB100" s="14" t="str">
        <v>MAERSK A/S</v>
      </c>
      <c r="AC100" s="14" t="str">
        <v>CN3563790</v>
      </c>
      <c r="AD100" s="14" t="str">
        <v>MERATUS JIMBARAN</v>
      </c>
      <c r="AE100" s="14" t="str">
        <v>634N</v>
      </c>
      <c r="AF100" s="27" t="str">
        <v>CN</v>
      </c>
      <c r="AG100" s="27" t="str">
        <v>PRT</v>
      </c>
      <c r="AH100" s="14" t="str">
        <v>CNSHA</v>
      </c>
    </row>
    <row r="101" spans="1:34" ht="25.2" customHeight="1" x14ac:dyDescent="0.45">
      <c r="A101" s="17" t="str">
        <v>LF</v>
      </c>
      <c r="B101" s="14">
        <v>0</v>
      </c>
      <c r="C101" s="14" t="str">
        <v>MAEUIK0219226</v>
      </c>
      <c r="D101" s="17" t="str">
        <v>MIEU3960396</v>
      </c>
      <c r="E101" s="14" t="str">
        <v>C40HC</v>
      </c>
      <c r="F101" s="17" t="str">
        <v>294DT260817726650</v>
      </c>
      <c r="G101" s="15">
        <v>46283</v>
      </c>
      <c r="H101" s="16">
        <v>0.27083333333333326</v>
      </c>
      <c r="I101" s="15">
        <v>46276</v>
      </c>
      <c r="J101" s="17">
        <v>0</v>
      </c>
      <c r="K101" s="15">
        <v>46275</v>
      </c>
      <c r="L101" s="17" t="str">
        <v>373-STO-S10000031101</v>
      </c>
      <c r="M101" s="14" t="str">
        <v>400</v>
      </c>
      <c r="N101" s="14" t="str">
        <v>258DTS10000199628</v>
      </c>
      <c r="O101" s="14" t="str">
        <v>350</v>
      </c>
      <c r="P101" s="14" t="str">
        <v>LARXU</v>
      </c>
      <c r="Q101" s="14">
        <v>46251</v>
      </c>
      <c r="R101" s="14">
        <v>726</v>
      </c>
      <c r="S101" s="14" t="str">
        <v>STO</v>
      </c>
      <c r="T101" s="14">
        <v>488</v>
      </c>
      <c r="U101" s="14" t="str">
        <v>1.2234</v>
      </c>
      <c r="V101" s="14" t="str">
        <v>1.308678</v>
      </c>
      <c r="W101" s="14">
        <v>94.944000000000003</v>
      </c>
      <c r="X101" s="14">
        <v>46268</v>
      </c>
      <c r="Y101" s="14">
        <v>46266</v>
      </c>
      <c r="Z101" s="14">
        <v>0</v>
      </c>
      <c r="AA101" s="14" t="str">
        <v>31825</v>
      </c>
      <c r="AB101" s="14" t="str">
        <v>MAERSK A/S</v>
      </c>
      <c r="AC101" s="14" t="str">
        <v>CN3563790</v>
      </c>
      <c r="AD101" s="14" t="str">
        <v>MERATUS JIMBARAN</v>
      </c>
      <c r="AE101" s="14" t="str">
        <v>634N</v>
      </c>
      <c r="AF101" s="27" t="str">
        <v>CN</v>
      </c>
      <c r="AG101" s="27" t="str">
        <v>PRT</v>
      </c>
      <c r="AH101" s="14" t="str">
        <v>CNSHA</v>
      </c>
    </row>
    <row r="102" spans="1:34" ht="25.2" customHeight="1" x14ac:dyDescent="0.45">
      <c r="A102" s="17" t="str">
        <v>LF</v>
      </c>
      <c r="B102" s="14">
        <v>0</v>
      </c>
      <c r="C102" s="14" t="str">
        <v>MAEUIK0219226</v>
      </c>
      <c r="D102" s="17" t="str">
        <v>MIEU3960396</v>
      </c>
      <c r="E102" s="14" t="str">
        <v>C40HC</v>
      </c>
      <c r="F102" s="17" t="str">
        <v>319DT260817726648</v>
      </c>
      <c r="G102" s="15">
        <v>46283</v>
      </c>
      <c r="H102" s="16">
        <v>0.27083333333333326</v>
      </c>
      <c r="I102" s="15">
        <v>46276</v>
      </c>
      <c r="J102" s="17">
        <v>0</v>
      </c>
      <c r="K102" s="15">
        <v>46275</v>
      </c>
      <c r="L102" s="17" t="str">
        <v>373-STO-S10000031101</v>
      </c>
      <c r="M102" s="14" t="str">
        <v>400</v>
      </c>
      <c r="N102" s="14" t="str">
        <v>258DTS10000199628</v>
      </c>
      <c r="O102" s="14" t="str">
        <v>350</v>
      </c>
      <c r="P102" s="14" t="str">
        <v>LARXU</v>
      </c>
      <c r="Q102" s="14">
        <v>46251</v>
      </c>
      <c r="R102" s="14">
        <v>726</v>
      </c>
      <c r="S102" s="14" t="str">
        <v>STO</v>
      </c>
      <c r="T102" s="14">
        <v>12928</v>
      </c>
      <c r="U102" s="14" t="str">
        <v>36.068296</v>
      </c>
      <c r="V102" s="14" t="str">
        <v>38.8146807</v>
      </c>
      <c r="W102" s="14">
        <v>6198.7650000000003</v>
      </c>
      <c r="X102" s="14">
        <v>46268</v>
      </c>
      <c r="Y102" s="14">
        <v>46266</v>
      </c>
      <c r="Z102" s="14">
        <v>0</v>
      </c>
      <c r="AA102" s="14" t="str">
        <v>31825</v>
      </c>
      <c r="AB102" s="14" t="str">
        <v>MAERSK A/S</v>
      </c>
      <c r="AC102" s="14" t="str">
        <v>CN3563790</v>
      </c>
      <c r="AD102" s="14" t="str">
        <v>MERATUS JIMBARAN</v>
      </c>
      <c r="AE102" s="14" t="str">
        <v>634N</v>
      </c>
      <c r="AF102" s="27" t="str">
        <v>CN</v>
      </c>
      <c r="AG102" s="27" t="str">
        <v>PRT</v>
      </c>
      <c r="AH102" s="14" t="str">
        <v>CNSHA</v>
      </c>
    </row>
    <row r="103" spans="1:34" ht="25.2" customHeight="1" x14ac:dyDescent="0.45">
      <c r="A103" s="17" t="str">
        <v>LF</v>
      </c>
      <c r="B103" s="14">
        <v>0</v>
      </c>
      <c r="C103" s="14" t="str">
        <v>MAEUIK0219226</v>
      </c>
      <c r="D103" s="17" t="str">
        <v>MIEU3960396</v>
      </c>
      <c r="E103" s="14" t="str">
        <v>C40HC</v>
      </c>
      <c r="F103" s="17" t="str">
        <v>319DT260817726651</v>
      </c>
      <c r="G103" s="15">
        <v>46283</v>
      </c>
      <c r="H103" s="16">
        <v>0.27083333333333326</v>
      </c>
      <c r="I103" s="15">
        <v>46276</v>
      </c>
      <c r="J103" s="17">
        <v>0</v>
      </c>
      <c r="K103" s="15">
        <v>46275</v>
      </c>
      <c r="L103" s="17" t="str">
        <v>373-STO-S10000031101</v>
      </c>
      <c r="M103" s="14" t="str">
        <v>400</v>
      </c>
      <c r="N103" s="14" t="str">
        <v>258DTS10000199628</v>
      </c>
      <c r="O103" s="14" t="str">
        <v>350</v>
      </c>
      <c r="P103" s="14" t="str">
        <v>LARXU</v>
      </c>
      <c r="Q103" s="14">
        <v>46251</v>
      </c>
      <c r="R103" s="14">
        <v>726</v>
      </c>
      <c r="S103" s="14" t="str">
        <v>STO</v>
      </c>
      <c r="T103" s="14">
        <v>546</v>
      </c>
      <c r="U103" s="14" t="str">
        <v>1.89879</v>
      </c>
      <c r="V103" s="14" t="str">
        <v>2.042838</v>
      </c>
      <c r="W103" s="14">
        <v>523.66800000000001</v>
      </c>
      <c r="X103" s="14">
        <v>46268</v>
      </c>
      <c r="Y103" s="14">
        <v>46266</v>
      </c>
      <c r="Z103" s="14">
        <v>0</v>
      </c>
      <c r="AA103" s="14" t="str">
        <v>31825</v>
      </c>
      <c r="AB103" s="14" t="str">
        <v>MAERSK A/S</v>
      </c>
      <c r="AC103" s="14" t="str">
        <v>CN3563790</v>
      </c>
      <c r="AD103" s="14" t="str">
        <v>MERATUS JIMBARAN</v>
      </c>
      <c r="AE103" s="14" t="str">
        <v>634N</v>
      </c>
      <c r="AF103" s="27" t="str">
        <v>CN</v>
      </c>
      <c r="AG103" s="27" t="str">
        <v>PRT</v>
      </c>
      <c r="AH103" s="14" t="str">
        <v>CNSHA</v>
      </c>
    </row>
    <row r="104" spans="1:34" ht="25.2" customHeight="1" x14ac:dyDescent="0.45">
      <c r="A104" s="17" t="str">
        <v>DD</v>
      </c>
      <c r="B104" s="14" t="str">
        <v>MILK RUN NOR</v>
      </c>
      <c r="C104" s="14" t="str">
        <v>MAEUIK0216866</v>
      </c>
      <c r="D104" s="17" t="str">
        <v>TCKU7795764</v>
      </c>
      <c r="E104" s="14" t="str">
        <v>C40HC</v>
      </c>
      <c r="F104" s="17" t="str">
        <v>21985SUPECIS42294</v>
      </c>
      <c r="G104" s="15">
        <v>46282</v>
      </c>
      <c r="H104" s="16">
        <v>0.35416666666666674</v>
      </c>
      <c r="I104" s="15">
        <v>46277</v>
      </c>
      <c r="J104" s="17">
        <v>0</v>
      </c>
      <c r="K104" s="15">
        <v>46276</v>
      </c>
      <c r="L104" s="17" t="str">
        <v>373-STO-S10000031087</v>
      </c>
      <c r="M104" s="14" t="str">
        <v>440</v>
      </c>
      <c r="N104" s="14" t="str">
        <v>037TSOS10000671058</v>
      </c>
      <c r="O104" s="14" t="str">
        <v>350</v>
      </c>
      <c r="P104" s="14" t="str">
        <v>JUWAN78</v>
      </c>
      <c r="Q104" s="14">
        <v>46234</v>
      </c>
      <c r="R104" s="14">
        <v>726</v>
      </c>
      <c r="S104" s="14" t="str">
        <v>STO</v>
      </c>
      <c r="T104" s="14">
        <v>48</v>
      </c>
      <c r="U104" s="14" t="str">
        <v>0.709392</v>
      </c>
      <c r="V104" s="14" t="str">
        <v>0.8154</v>
      </c>
      <c r="W104" s="14">
        <v>230</v>
      </c>
      <c r="X104" s="14">
        <v>46279</v>
      </c>
      <c r="Y104" s="14">
        <v>46261</v>
      </c>
      <c r="Z104" s="14">
        <v>0</v>
      </c>
      <c r="AA104" s="14" t="str">
        <v>31825</v>
      </c>
      <c r="AB104" s="14" t="str">
        <v>MAERSK A/S</v>
      </c>
      <c r="AC104" s="14" t="str">
        <v>CN7884065</v>
      </c>
      <c r="AD104" s="14" t="str">
        <v>AS SIMONE</v>
      </c>
      <c r="AE104" s="14" t="str">
        <v>632N</v>
      </c>
      <c r="AF104" s="27" t="str">
        <v>CN</v>
      </c>
      <c r="AG104" s="27" t="str">
        <v>PRT</v>
      </c>
      <c r="AH104" s="14" t="str">
        <v>CNSHA</v>
      </c>
    </row>
    <row r="105" spans="1:34" ht="25.2" customHeight="1" x14ac:dyDescent="0.45">
      <c r="A105" s="17" t="str">
        <v>DD</v>
      </c>
      <c r="B105" s="14" t="str">
        <v>MILK RUN NOR</v>
      </c>
      <c r="C105" s="14" t="str">
        <v>MAEUIK0216866</v>
      </c>
      <c r="D105" s="17" t="str">
        <v>TCKU7795764</v>
      </c>
      <c r="E105" s="14" t="str">
        <v>C40HC</v>
      </c>
      <c r="F105" s="17" t="str">
        <v>22075SUP2600117034</v>
      </c>
      <c r="G105" s="15">
        <v>46282</v>
      </c>
      <c r="H105" s="16">
        <v>0.35416666666666674</v>
      </c>
      <c r="I105" s="15">
        <v>46277</v>
      </c>
      <c r="J105" s="17">
        <v>0</v>
      </c>
      <c r="K105" s="15">
        <v>46276</v>
      </c>
      <c r="L105" s="17" t="str">
        <v>373-STO-S10000031087</v>
      </c>
      <c r="M105" s="14" t="str">
        <v>440</v>
      </c>
      <c r="N105" s="14" t="str">
        <v>037TSOS10000671058</v>
      </c>
      <c r="O105" s="14" t="str">
        <v>350</v>
      </c>
      <c r="P105" s="14" t="str">
        <v>JUWAN78</v>
      </c>
      <c r="Q105" s="14">
        <v>46234</v>
      </c>
      <c r="R105" s="14">
        <v>726</v>
      </c>
      <c r="S105" s="14" t="str">
        <v>STO</v>
      </c>
      <c r="T105" s="14">
        <v>36</v>
      </c>
      <c r="U105" s="14" t="str">
        <v>2.80516</v>
      </c>
      <c r="V105" s="14" t="str">
        <v>3.009737</v>
      </c>
      <c r="W105" s="14">
        <v>734.678</v>
      </c>
      <c r="X105" s="14">
        <v>46272</v>
      </c>
      <c r="Y105" s="14">
        <v>46261</v>
      </c>
      <c r="Z105" s="14">
        <v>0</v>
      </c>
      <c r="AA105" s="14" t="str">
        <v>31825</v>
      </c>
      <c r="AB105" s="14" t="str">
        <v>MAERSK A/S</v>
      </c>
      <c r="AC105" s="14" t="str">
        <v>CN7884065</v>
      </c>
      <c r="AD105" s="14" t="str">
        <v>AS SIMONE</v>
      </c>
      <c r="AE105" s="14" t="str">
        <v>632N</v>
      </c>
      <c r="AF105" s="27" t="str">
        <v>CN</v>
      </c>
      <c r="AG105" s="27" t="str">
        <v>PRT</v>
      </c>
      <c r="AH105" s="14" t="str">
        <v>CNSHA</v>
      </c>
    </row>
    <row r="106" spans="1:34" ht="25.2" customHeight="1" x14ac:dyDescent="0.45">
      <c r="A106" s="17" t="str">
        <v>LF</v>
      </c>
      <c r="B106" s="14">
        <v>0</v>
      </c>
      <c r="C106" s="14" t="str">
        <v>MAEUIK0219009</v>
      </c>
      <c r="D106" s="17" t="str">
        <v>UETU6954950</v>
      </c>
      <c r="E106" s="14" t="str">
        <v>C40HC</v>
      </c>
      <c r="F106" s="17" t="str">
        <v>294DT260814726429</v>
      </c>
      <c r="G106" s="15">
        <v>46282</v>
      </c>
      <c r="H106" s="16">
        <v>0.27083333333333326</v>
      </c>
      <c r="I106" s="15">
        <v>46276</v>
      </c>
      <c r="J106" s="17">
        <v>0</v>
      </c>
      <c r="K106" s="15">
        <v>46275</v>
      </c>
      <c r="L106" s="17" t="str">
        <v>373-STO-S10000031100</v>
      </c>
      <c r="M106" s="14" t="str">
        <v>400</v>
      </c>
      <c r="N106" s="14" t="str">
        <v>258DTS10000199376</v>
      </c>
      <c r="O106" s="14" t="str">
        <v>350</v>
      </c>
      <c r="P106" s="14">
        <v>0</v>
      </c>
      <c r="Q106" s="14">
        <v>46248</v>
      </c>
      <c r="R106" s="14">
        <v>726</v>
      </c>
      <c r="S106" s="14" t="str">
        <v>STO</v>
      </c>
      <c r="T106" s="14">
        <v>7469</v>
      </c>
      <c r="U106" s="14" t="str">
        <v>9.166185</v>
      </c>
      <c r="V106" s="14" t="str">
        <v>9.87366746</v>
      </c>
      <c r="W106" s="14">
        <v>1676.6410000000001</v>
      </c>
      <c r="X106" s="14">
        <v>46268</v>
      </c>
      <c r="Y106" s="14">
        <v>46266</v>
      </c>
      <c r="Z106" s="14">
        <v>0</v>
      </c>
      <c r="AA106" s="14" t="str">
        <v>31825</v>
      </c>
      <c r="AB106" s="14" t="str">
        <v>MAERSK A/S</v>
      </c>
      <c r="AC106" s="14" t="str">
        <v>CN8097639</v>
      </c>
      <c r="AD106" s="14" t="str">
        <v>MERATUS JIMBARAN</v>
      </c>
      <c r="AE106" s="14" t="str">
        <v>634N</v>
      </c>
      <c r="AF106" s="27" t="str">
        <v>CN</v>
      </c>
      <c r="AG106" s="27" t="str">
        <v>PRT</v>
      </c>
      <c r="AH106" s="14" t="str">
        <v>CNSHA</v>
      </c>
    </row>
    <row r="107" spans="1:34" ht="25.2" customHeight="1" x14ac:dyDescent="0.45">
      <c r="A107" s="17" t="str">
        <v>LF</v>
      </c>
      <c r="B107" s="14">
        <v>0</v>
      </c>
      <c r="C107" s="14" t="str">
        <v>MAEUIK0219009</v>
      </c>
      <c r="D107" s="17" t="str">
        <v>UETU6954950</v>
      </c>
      <c r="E107" s="14" t="str">
        <v>C40HC</v>
      </c>
      <c r="F107" s="17" t="str">
        <v>319DT260814726430</v>
      </c>
      <c r="G107" s="15">
        <v>46282</v>
      </c>
      <c r="H107" s="16">
        <v>0.27083333333333326</v>
      </c>
      <c r="I107" s="15">
        <v>46276</v>
      </c>
      <c r="J107" s="17">
        <v>0</v>
      </c>
      <c r="K107" s="15">
        <v>46275</v>
      </c>
      <c r="L107" s="17" t="str">
        <v>373-STO-S10000031100</v>
      </c>
      <c r="M107" s="14" t="str">
        <v>400</v>
      </c>
      <c r="N107" s="14" t="str">
        <v>258DTS10000199376</v>
      </c>
      <c r="O107" s="14" t="str">
        <v>350</v>
      </c>
      <c r="P107" s="14">
        <v>0</v>
      </c>
      <c r="Q107" s="14">
        <v>46248</v>
      </c>
      <c r="R107" s="14">
        <v>726</v>
      </c>
      <c r="S107" s="14" t="str">
        <v>STO</v>
      </c>
      <c r="T107" s="14">
        <v>13544</v>
      </c>
      <c r="U107" s="14" t="str">
        <v>39.368702</v>
      </c>
      <c r="V107" s="14" t="str">
        <v>42.41234091</v>
      </c>
      <c r="W107" s="14">
        <v>8903.6219999999994</v>
      </c>
      <c r="X107" s="14">
        <v>46268</v>
      </c>
      <c r="Y107" s="14">
        <v>46266</v>
      </c>
      <c r="Z107" s="14">
        <v>0</v>
      </c>
      <c r="AA107" s="14" t="str">
        <v>31825</v>
      </c>
      <c r="AB107" s="14" t="str">
        <v>MAERSK A/S</v>
      </c>
      <c r="AC107" s="14" t="str">
        <v>CN8097639</v>
      </c>
      <c r="AD107" s="14" t="str">
        <v>MERATUS JIMBARAN</v>
      </c>
      <c r="AE107" s="14" t="str">
        <v>634N</v>
      </c>
      <c r="AF107" s="27" t="str">
        <v>CN</v>
      </c>
      <c r="AG107" s="27" t="str">
        <v>PRT</v>
      </c>
      <c r="AH107" s="14" t="str">
        <v>CNSHA</v>
      </c>
    </row>
    <row r="108" spans="1:34" ht="25.2" customHeight="1" x14ac:dyDescent="0.45">
      <c r="A108" s="17" t="str">
        <v>DD</v>
      </c>
      <c r="B108" s="14" t="str">
        <v>MILK RUN NOR</v>
      </c>
      <c r="C108" s="14" t="str">
        <v>MAEUIK0216671</v>
      </c>
      <c r="D108" s="17" t="str">
        <v>MRSU6640737</v>
      </c>
      <c r="E108" s="14" t="str">
        <v>C40HC</v>
      </c>
      <c r="F108" s="17" t="str">
        <v>22715SUPECIS73819</v>
      </c>
      <c r="G108" s="15">
        <v>46281</v>
      </c>
      <c r="H108" s="16">
        <v>0.35416666666666674</v>
      </c>
      <c r="I108" s="15">
        <v>46276</v>
      </c>
      <c r="J108" s="17">
        <v>0</v>
      </c>
      <c r="K108" s="15">
        <v>46276</v>
      </c>
      <c r="L108" s="17" t="str">
        <v>373-STO-S10000031081</v>
      </c>
      <c r="M108" s="14" t="str">
        <v>400</v>
      </c>
      <c r="N108" s="14" t="str">
        <v>037TSOS10000670319</v>
      </c>
      <c r="O108" s="14" t="str">
        <v>350</v>
      </c>
      <c r="P108" s="14" t="str">
        <v>JIZHU80</v>
      </c>
      <c r="Q108" s="14">
        <v>46233</v>
      </c>
      <c r="R108" s="14">
        <v>726</v>
      </c>
      <c r="S108" s="14" t="str">
        <v>STO</v>
      </c>
      <c r="T108" s="14">
        <v>550</v>
      </c>
      <c r="U108" s="14" t="str">
        <v>16.809982</v>
      </c>
      <c r="V108" s="14" t="str">
        <v>18.055491</v>
      </c>
      <c r="W108" s="14">
        <v>6715.1</v>
      </c>
      <c r="X108" s="14">
        <v>46268</v>
      </c>
      <c r="Y108" s="14">
        <v>46253</v>
      </c>
      <c r="Z108" s="14">
        <v>0</v>
      </c>
      <c r="AA108" s="14" t="str">
        <v>31825</v>
      </c>
      <c r="AB108" s="14" t="str">
        <v>MAERSK A/S</v>
      </c>
      <c r="AC108" s="14" t="str">
        <v>CN8094901</v>
      </c>
      <c r="AD108" s="14" t="str">
        <v>AS SOPHIA</v>
      </c>
      <c r="AE108" s="14" t="str">
        <v>631N</v>
      </c>
      <c r="AF108" s="27" t="str">
        <v>CN</v>
      </c>
      <c r="AG108" s="27" t="str">
        <v>PRT</v>
      </c>
      <c r="AH108" s="14" t="str">
        <v>CNSHA</v>
      </c>
    </row>
    <row r="109" spans="1:34" ht="25.2" customHeight="1" x14ac:dyDescent="0.45">
      <c r="A109" s="17" t="str">
        <v>HF</v>
      </c>
      <c r="B109" s="14">
        <v>0</v>
      </c>
      <c r="C109" s="14" t="str">
        <v>MAEUIK0220175</v>
      </c>
      <c r="D109" s="17" t="str">
        <v>MIEU3988290</v>
      </c>
      <c r="E109" s="14" t="str">
        <v>C40HC</v>
      </c>
      <c r="F109" s="17" t="str">
        <v>258DT260818726327</v>
      </c>
      <c r="G109" s="15">
        <v>46281</v>
      </c>
      <c r="H109" s="16">
        <v>0.52083333333333326</v>
      </c>
      <c r="I109" s="15">
        <v>46276</v>
      </c>
      <c r="J109" s="17">
        <v>0</v>
      </c>
      <c r="K109" s="15">
        <v>46275</v>
      </c>
      <c r="L109" s="17" t="str">
        <v>373-STO-S10000031067</v>
      </c>
      <c r="M109" s="14" t="str">
        <v>400</v>
      </c>
      <c r="N109" s="14" t="str">
        <v>258DTS10000200573</v>
      </c>
      <c r="O109" s="14" t="str">
        <v>350</v>
      </c>
      <c r="P109" s="14" t="str">
        <v>JOWAN57</v>
      </c>
      <c r="Q109" s="14">
        <v>46255</v>
      </c>
      <c r="R109" s="14">
        <v>726</v>
      </c>
      <c r="S109" s="14" t="str">
        <v>STO</v>
      </c>
      <c r="T109" s="14">
        <v>5272</v>
      </c>
      <c r="U109" s="14" t="str">
        <v>46.722256</v>
      </c>
      <c r="V109" s="14" t="str">
        <v>50.54288183</v>
      </c>
      <c r="W109" s="14">
        <v>6282.7889999999998</v>
      </c>
      <c r="X109" s="14">
        <v>46268</v>
      </c>
      <c r="Y109" s="14">
        <v>46266</v>
      </c>
      <c r="Z109" s="14">
        <v>0</v>
      </c>
      <c r="AA109" s="14" t="str">
        <v>31825</v>
      </c>
      <c r="AB109" s="14" t="str">
        <v>MAERSK A/S</v>
      </c>
      <c r="AC109" s="14" t="str">
        <v>CN8052735</v>
      </c>
      <c r="AD109" s="14" t="str">
        <v>MERATUS JIMBARAN</v>
      </c>
      <c r="AE109" s="14" t="str">
        <v>634N</v>
      </c>
      <c r="AF109" s="27" t="str">
        <v>CN</v>
      </c>
      <c r="AG109" s="27" t="str">
        <v>PRT</v>
      </c>
      <c r="AH109" s="14" t="str">
        <v>CNSHA</v>
      </c>
    </row>
    <row r="110" spans="1:34" ht="25.2" customHeight="1" x14ac:dyDescent="0.45">
      <c r="A110" s="17" t="str">
        <v>HF</v>
      </c>
      <c r="B110" s="14">
        <v>0</v>
      </c>
      <c r="C110" s="14" t="str">
        <v>MAEUIK0220175</v>
      </c>
      <c r="D110" s="17" t="str">
        <v>MIEU3988290</v>
      </c>
      <c r="E110" s="14" t="str">
        <v>C40HC</v>
      </c>
      <c r="F110" s="17" t="str">
        <v>277DT260818726328</v>
      </c>
      <c r="G110" s="15">
        <v>46281</v>
      </c>
      <c r="H110" s="16">
        <v>0.52083333333333326</v>
      </c>
      <c r="I110" s="15">
        <v>46276</v>
      </c>
      <c r="J110" s="17">
        <v>0</v>
      </c>
      <c r="K110" s="15">
        <v>46275</v>
      </c>
      <c r="L110" s="17" t="str">
        <v>373-STO-S10000031067</v>
      </c>
      <c r="M110" s="14" t="str">
        <v>400</v>
      </c>
      <c r="N110" s="14" t="str">
        <v>258DTS10000200573</v>
      </c>
      <c r="O110" s="14" t="str">
        <v>350</v>
      </c>
      <c r="P110" s="14" t="str">
        <v>JOWAN57</v>
      </c>
      <c r="Q110" s="14">
        <v>46255</v>
      </c>
      <c r="R110" s="14">
        <v>726</v>
      </c>
      <c r="S110" s="14" t="str">
        <v>STO</v>
      </c>
      <c r="T110" s="14">
        <v>1114</v>
      </c>
      <c r="U110" s="14" t="str">
        <v>7.96284</v>
      </c>
      <c r="V110" s="14" t="str">
        <v>8.58535291</v>
      </c>
      <c r="W110" s="14">
        <v>915.57</v>
      </c>
      <c r="X110" s="14">
        <v>46268</v>
      </c>
      <c r="Y110" s="14">
        <v>46266</v>
      </c>
      <c r="Z110" s="14">
        <v>0</v>
      </c>
      <c r="AA110" s="14" t="str">
        <v>31825</v>
      </c>
      <c r="AB110" s="14" t="str">
        <v>MAERSK A/S</v>
      </c>
      <c r="AC110" s="14" t="str">
        <v>CN8052735</v>
      </c>
      <c r="AD110" s="14" t="str">
        <v>MERATUS JIMBARAN</v>
      </c>
      <c r="AE110" s="14" t="str">
        <v>634N</v>
      </c>
      <c r="AF110" s="27" t="str">
        <v>CN</v>
      </c>
      <c r="AG110" s="27" t="str">
        <v>PRT</v>
      </c>
      <c r="AH110" s="14" t="str">
        <v>CNSHA</v>
      </c>
    </row>
    <row r="111" spans="1:34" ht="25.2" customHeight="1" x14ac:dyDescent="0.45">
      <c r="A111" s="17" t="str">
        <v>HF</v>
      </c>
      <c r="B111" s="14">
        <v>0</v>
      </c>
      <c r="C111" s="14" t="str">
        <v>MAEUIK0220176</v>
      </c>
      <c r="D111" s="17" t="str">
        <v>MRKU6406726</v>
      </c>
      <c r="E111" s="14" t="str">
        <v>C40HC</v>
      </c>
      <c r="F111" s="17" t="str">
        <v>258DT260817726141</v>
      </c>
      <c r="G111" s="15">
        <v>46281</v>
      </c>
      <c r="H111" s="16">
        <v>0.27083333333333326</v>
      </c>
      <c r="I111" s="15">
        <v>46275</v>
      </c>
      <c r="J111" s="17">
        <v>0</v>
      </c>
      <c r="K111" s="15">
        <v>46275</v>
      </c>
      <c r="L111" s="17" t="str">
        <v>373-STO-S10000031062</v>
      </c>
      <c r="M111" s="14" t="str">
        <v>400</v>
      </c>
      <c r="N111" s="14" t="str">
        <v>258DTS10000200567</v>
      </c>
      <c r="O111" s="14" t="str">
        <v>350</v>
      </c>
      <c r="P111" s="14" t="str">
        <v>JOWAN57</v>
      </c>
      <c r="Q111" s="14">
        <v>46255</v>
      </c>
      <c r="R111" s="14">
        <v>726</v>
      </c>
      <c r="S111" s="14" t="str">
        <v>STO</v>
      </c>
      <c r="T111" s="14">
        <v>10821</v>
      </c>
      <c r="U111" s="14" t="str">
        <v>52.148217</v>
      </c>
      <c r="V111" s="14" t="str">
        <v>56.03377001</v>
      </c>
      <c r="W111" s="14">
        <v>9620.7350000000006</v>
      </c>
      <c r="X111" s="14">
        <v>46268</v>
      </c>
      <c r="Y111" s="14">
        <v>46266</v>
      </c>
      <c r="Z111" s="14">
        <v>0</v>
      </c>
      <c r="AA111" s="14" t="str">
        <v>31825</v>
      </c>
      <c r="AB111" s="14" t="str">
        <v>MAERSK A/S</v>
      </c>
      <c r="AC111" s="14" t="str">
        <v>CN7979020</v>
      </c>
      <c r="AD111" s="14" t="str">
        <v>MERATUS JIMBARAN</v>
      </c>
      <c r="AE111" s="14" t="str">
        <v>634N</v>
      </c>
      <c r="AF111" s="27" t="str">
        <v>CN</v>
      </c>
      <c r="AG111" s="27" t="str">
        <v>PRT</v>
      </c>
      <c r="AH111" s="14" t="str">
        <v>CNSHA</v>
      </c>
    </row>
    <row r="112" spans="1:34" ht="25.2" customHeight="1" x14ac:dyDescent="0.45">
      <c r="A112" s="17" t="str">
        <v>HF</v>
      </c>
      <c r="B112" s="14">
        <v>0</v>
      </c>
      <c r="C112" s="14" t="str">
        <v>MAEUIK0220176</v>
      </c>
      <c r="D112" s="17" t="str">
        <v>MRKU6406726</v>
      </c>
      <c r="E112" s="14" t="str">
        <v>C40HC</v>
      </c>
      <c r="F112" s="17" t="str">
        <v>277DT260817726142</v>
      </c>
      <c r="G112" s="15">
        <v>46281</v>
      </c>
      <c r="H112" s="16">
        <v>0.27083333333333326</v>
      </c>
      <c r="I112" s="15">
        <v>46275</v>
      </c>
      <c r="J112" s="17">
        <v>0</v>
      </c>
      <c r="K112" s="15">
        <v>46275</v>
      </c>
      <c r="L112" s="17" t="str">
        <v>373-STO-S10000031062</v>
      </c>
      <c r="M112" s="14" t="str">
        <v>400</v>
      </c>
      <c r="N112" s="14" t="str">
        <v>258DTS10000200567</v>
      </c>
      <c r="O112" s="14" t="str">
        <v>350</v>
      </c>
      <c r="P112" s="14" t="str">
        <v>JOWAN57</v>
      </c>
      <c r="Q112" s="14">
        <v>46255</v>
      </c>
      <c r="R112" s="14">
        <v>726</v>
      </c>
      <c r="S112" s="14" t="str">
        <v>STO</v>
      </c>
      <c r="T112" s="14">
        <v>3762</v>
      </c>
      <c r="U112" s="14" t="str">
        <v>2.787966</v>
      </c>
      <c r="V112" s="14" t="str">
        <v>3.03599811</v>
      </c>
      <c r="W112" s="14">
        <v>593.476</v>
      </c>
      <c r="X112" s="14">
        <v>46268</v>
      </c>
      <c r="Y112" s="14">
        <v>46266</v>
      </c>
      <c r="Z112" s="14">
        <v>0</v>
      </c>
      <c r="AA112" s="14" t="str">
        <v>31825</v>
      </c>
      <c r="AB112" s="14" t="str">
        <v>MAERSK A/S</v>
      </c>
      <c r="AC112" s="14" t="str">
        <v>CN7979020</v>
      </c>
      <c r="AD112" s="14" t="str">
        <v>MERATUS JIMBARAN</v>
      </c>
      <c r="AE112" s="14" t="str">
        <v>634N</v>
      </c>
      <c r="AF112" s="27" t="str">
        <v>CN</v>
      </c>
      <c r="AG112" s="27" t="str">
        <v>PRT</v>
      </c>
      <c r="AH112" s="14" t="str">
        <v>CNSHA</v>
      </c>
    </row>
    <row r="113" spans="1:34" ht="25.2" customHeight="1" x14ac:dyDescent="0.45">
      <c r="A113" s="17" t="str">
        <v>DD</v>
      </c>
      <c r="B113" s="14" t="str">
        <v>MILK RUN NOR</v>
      </c>
      <c r="C113" s="14" t="str">
        <v>PLISZ4H14370</v>
      </c>
      <c r="D113" s="17" t="str">
        <v>TXTU4873666</v>
      </c>
      <c r="E113" s="14" t="str">
        <v>C40HC</v>
      </c>
      <c r="F113" s="17" t="str">
        <v>19720SUPECIS212772</v>
      </c>
      <c r="G113" s="15">
        <v>46280</v>
      </c>
      <c r="H113" s="16">
        <v>0.22916666666666674</v>
      </c>
      <c r="I113" s="15">
        <v>46274</v>
      </c>
      <c r="J113" s="17">
        <v>0</v>
      </c>
      <c r="K113" s="15">
        <v>46274</v>
      </c>
      <c r="L113" s="17" t="str">
        <v>373-STO-S10000031041</v>
      </c>
      <c r="M113" s="14" t="str">
        <v>400</v>
      </c>
      <c r="N113" s="14" t="str">
        <v>012TSOS10000396381</v>
      </c>
      <c r="O113" s="14" t="str">
        <v>300</v>
      </c>
      <c r="P113" s="14" t="str">
        <v>WIWEN8</v>
      </c>
      <c r="Q113" s="14">
        <v>46252</v>
      </c>
      <c r="R113" s="14">
        <v>726</v>
      </c>
      <c r="S113" s="14" t="str">
        <v>STO</v>
      </c>
      <c r="T113" s="14">
        <v>4477</v>
      </c>
      <c r="U113" s="14" t="str">
        <v>16.976635</v>
      </c>
      <c r="V113" s="14" t="str">
        <v>18.237162</v>
      </c>
      <c r="W113" s="14">
        <v>2046.27</v>
      </c>
      <c r="X113" s="14">
        <v>46263</v>
      </c>
      <c r="Y113" s="14">
        <v>46273</v>
      </c>
      <c r="Z113" s="14">
        <v>0</v>
      </c>
      <c r="AA113" s="14" t="str">
        <v>33300</v>
      </c>
      <c r="AB113" s="14" t="str">
        <v>LX PANTOS CO., LTD.</v>
      </c>
      <c r="AC113" s="14" t="str">
        <v>CF816316</v>
      </c>
      <c r="AD113" s="14" t="str">
        <v>MARIA C</v>
      </c>
      <c r="AE113" s="14" t="str">
        <v>0096N</v>
      </c>
      <c r="AF113" s="27" t="str">
        <v>CN</v>
      </c>
      <c r="AG113" s="27" t="str">
        <v>PRT</v>
      </c>
      <c r="AH113" s="14" t="str">
        <v>CNSHK</v>
      </c>
    </row>
    <row r="114" spans="1:34" ht="25.2" customHeight="1" x14ac:dyDescent="0.45">
      <c r="A114" s="17" t="str">
        <v>DD</v>
      </c>
      <c r="B114" s="14" t="str">
        <v>MILK RUN NOR</v>
      </c>
      <c r="C114" s="14" t="str">
        <v>MAEUIK0218852</v>
      </c>
      <c r="D114" s="17" t="str">
        <v>MRKU3265012</v>
      </c>
      <c r="E114" s="14" t="str">
        <v>C40HC</v>
      </c>
      <c r="F114" s="17" t="str">
        <v>22715SUPECIS74275</v>
      </c>
      <c r="G114" s="15">
        <v>46280</v>
      </c>
      <c r="H114" s="16">
        <v>0.22916666666666674</v>
      </c>
      <c r="I114" s="15">
        <v>46276</v>
      </c>
      <c r="J114" s="17">
        <v>0</v>
      </c>
      <c r="K114" s="15">
        <v>46275</v>
      </c>
      <c r="L114" s="17" t="str">
        <v>373-STO-S10000031063</v>
      </c>
      <c r="M114" s="14" t="str">
        <v>400</v>
      </c>
      <c r="N114" s="14" t="str">
        <v>037TSOS10000680803</v>
      </c>
      <c r="O114" s="14" t="str">
        <v>350</v>
      </c>
      <c r="P114" s="14" t="str">
        <v>JIZHU80</v>
      </c>
      <c r="Q114" s="14">
        <v>46247</v>
      </c>
      <c r="R114" s="14">
        <v>726</v>
      </c>
      <c r="S114" s="14" t="str">
        <v>STO</v>
      </c>
      <c r="T114" s="14">
        <v>266</v>
      </c>
      <c r="U114" s="14" t="str">
        <v>5.53553</v>
      </c>
      <c r="V114" s="14" t="str">
        <v>5.95966</v>
      </c>
      <c r="W114" s="14">
        <v>2045.68</v>
      </c>
      <c r="X114" s="14">
        <v>46268</v>
      </c>
      <c r="Y114" s="14">
        <v>46266</v>
      </c>
      <c r="Z114" s="14">
        <v>0</v>
      </c>
      <c r="AA114" s="14" t="str">
        <v>31825</v>
      </c>
      <c r="AB114" s="14" t="str">
        <v>MAERSK A/S</v>
      </c>
      <c r="AC114" s="14" t="str">
        <v>CN7965636</v>
      </c>
      <c r="AD114" s="14" t="str">
        <v>MERATUS JIMBARAN</v>
      </c>
      <c r="AE114" s="14" t="str">
        <v>634N</v>
      </c>
      <c r="AF114" s="27" t="str">
        <v>CN</v>
      </c>
      <c r="AG114" s="27" t="str">
        <v>PRT</v>
      </c>
      <c r="AH114" s="14" t="str">
        <v>CNSHA</v>
      </c>
    </row>
    <row r="115" spans="1:34" ht="25.2" customHeight="1" x14ac:dyDescent="0.45">
      <c r="A115" s="17" t="str">
        <v>HF</v>
      </c>
      <c r="B115" s="14" t="str">
        <v>F/C</v>
      </c>
      <c r="C115" s="14" t="str">
        <v>MAEUIK0217554</v>
      </c>
      <c r="D115" s="17" t="str">
        <v>CAAU5954551</v>
      </c>
      <c r="E115" s="14" t="str">
        <v>C40HC</v>
      </c>
      <c r="F115" s="17" t="str">
        <v>258DT260805726460</v>
      </c>
      <c r="G115" s="15">
        <v>46280</v>
      </c>
      <c r="H115" s="16">
        <v>0.27083333333333326</v>
      </c>
      <c r="I115" s="15">
        <v>46275</v>
      </c>
      <c r="J115" s="17">
        <v>0</v>
      </c>
      <c r="K115" s="15">
        <v>46260</v>
      </c>
      <c r="L115" s="17" t="str">
        <v>373-STO-S10000031051</v>
      </c>
      <c r="M115" s="14" t="str">
        <v>400</v>
      </c>
      <c r="N115" s="14" t="str">
        <v>258DTS10000197907</v>
      </c>
      <c r="O115" s="14" t="str">
        <v>350</v>
      </c>
      <c r="P115" s="14">
        <v>0</v>
      </c>
      <c r="Q115" s="14">
        <v>46239</v>
      </c>
      <c r="R115" s="14">
        <v>726</v>
      </c>
      <c r="S115" s="14" t="str">
        <v>STO</v>
      </c>
      <c r="T115" s="14">
        <v>21447</v>
      </c>
      <c r="U115" s="14" t="str">
        <v>47.310726</v>
      </c>
      <c r="V115" s="14" t="str">
        <v>51.07891817</v>
      </c>
      <c r="W115" s="14">
        <v>8952.3690000000006</v>
      </c>
      <c r="X115" s="14">
        <v>46254</v>
      </c>
      <c r="Y115" s="14">
        <v>46252</v>
      </c>
      <c r="Z115" s="14">
        <v>0</v>
      </c>
      <c r="AA115" s="14" t="str">
        <v>31825</v>
      </c>
      <c r="AB115" s="14" t="str">
        <v>MAERSK A/S</v>
      </c>
      <c r="AC115" s="14" t="str">
        <v>CN7980572</v>
      </c>
      <c r="AD115" s="14" t="str">
        <v>MERATUS TOMINI</v>
      </c>
      <c r="AE115" s="14" t="str">
        <v>632N</v>
      </c>
      <c r="AF115" s="27" t="str">
        <v>CN</v>
      </c>
      <c r="AG115" s="27" t="str">
        <v>PRT</v>
      </c>
      <c r="AH115" s="14" t="str">
        <v>CNSHA</v>
      </c>
    </row>
    <row r="116" spans="1:34" ht="25.2" customHeight="1" x14ac:dyDescent="0.45">
      <c r="A116" s="17" t="str">
        <v>HF</v>
      </c>
      <c r="B116" s="14" t="str">
        <v>F/C</v>
      </c>
      <c r="C116" s="14" t="str">
        <v>MAEUIK0217554</v>
      </c>
      <c r="D116" s="17" t="str">
        <v>CAAU5954551</v>
      </c>
      <c r="E116" s="14" t="str">
        <v>C40HC</v>
      </c>
      <c r="F116" s="17" t="str">
        <v>277DT260805726461</v>
      </c>
      <c r="G116" s="15">
        <v>46280</v>
      </c>
      <c r="H116" s="16">
        <v>0.27083333333333326</v>
      </c>
      <c r="I116" s="15">
        <v>46275</v>
      </c>
      <c r="J116" s="17">
        <v>0</v>
      </c>
      <c r="K116" s="15">
        <v>46260</v>
      </c>
      <c r="L116" s="17" t="str">
        <v>373-STO-S10000031051</v>
      </c>
      <c r="M116" s="14" t="str">
        <v>400</v>
      </c>
      <c r="N116" s="14" t="str">
        <v>258DTS10000197907</v>
      </c>
      <c r="O116" s="14" t="str">
        <v>350</v>
      </c>
      <c r="P116" s="14">
        <v>0</v>
      </c>
      <c r="Q116" s="14">
        <v>46239</v>
      </c>
      <c r="R116" s="14">
        <v>726</v>
      </c>
      <c r="S116" s="14" t="str">
        <v>STO</v>
      </c>
      <c r="T116" s="14">
        <v>6434</v>
      </c>
      <c r="U116" s="14" t="str">
        <v>8.338744</v>
      </c>
      <c r="V116" s="14" t="str">
        <v>9.001931</v>
      </c>
      <c r="W116" s="14">
        <v>1750.6</v>
      </c>
      <c r="X116" s="14">
        <v>46254</v>
      </c>
      <c r="Y116" s="14">
        <v>46252</v>
      </c>
      <c r="Z116" s="14">
        <v>0</v>
      </c>
      <c r="AA116" s="14" t="str">
        <v>31825</v>
      </c>
      <c r="AB116" s="14" t="str">
        <v>MAERSK A/S</v>
      </c>
      <c r="AC116" s="14" t="str">
        <v>CN7980572</v>
      </c>
      <c r="AD116" s="14" t="str">
        <v>MERATUS TOMINI</v>
      </c>
      <c r="AE116" s="14" t="str">
        <v>632N</v>
      </c>
      <c r="AF116" s="27" t="str">
        <v>CN</v>
      </c>
      <c r="AG116" s="27" t="str">
        <v>PRT</v>
      </c>
      <c r="AH116" s="14" t="str">
        <v>CNSHA</v>
      </c>
    </row>
    <row r="117" spans="1:34" ht="25.2" customHeight="1" x14ac:dyDescent="0.45">
      <c r="A117" s="17" t="str">
        <v>DD</v>
      </c>
      <c r="B117" s="14" t="str">
        <v>MILK RUN NOR</v>
      </c>
      <c r="C117" s="14" t="str">
        <v>HLCUTS12608DMRK6</v>
      </c>
      <c r="D117" s="17" t="str">
        <v>GCXU5305010</v>
      </c>
      <c r="E117" s="14" t="str">
        <v>C40HC</v>
      </c>
      <c r="F117" s="17" t="str">
        <v>23273SUP3642403</v>
      </c>
      <c r="G117" s="15">
        <v>46279</v>
      </c>
      <c r="H117" s="16">
        <v>0.22916666666666674</v>
      </c>
      <c r="I117" s="15">
        <v>46274</v>
      </c>
      <c r="J117" s="17">
        <v>0</v>
      </c>
      <c r="K117" s="15">
        <v>46273</v>
      </c>
      <c r="L117" s="17" t="str">
        <v>373-STO-S10000031036</v>
      </c>
      <c r="M117" s="14" t="str">
        <v>400</v>
      </c>
      <c r="N117" s="14" t="str">
        <v>030TSOS10000133183</v>
      </c>
      <c r="O117" s="14" t="str">
        <v>300</v>
      </c>
      <c r="P117" s="14" t="str">
        <v>JEGAO9</v>
      </c>
      <c r="Q117" s="14">
        <v>46254</v>
      </c>
      <c r="R117" s="14">
        <v>726</v>
      </c>
      <c r="S117" s="14" t="str">
        <v>STO</v>
      </c>
      <c r="T117" s="14">
        <v>36</v>
      </c>
      <c r="U117" s="14" t="str">
        <v>5.87232</v>
      </c>
      <c r="V117" s="14" t="str">
        <v>6.141345</v>
      </c>
      <c r="W117" s="14">
        <v>796.75199999999995</v>
      </c>
      <c r="X117" s="14">
        <v>46275</v>
      </c>
      <c r="Y117" s="14">
        <v>46273</v>
      </c>
      <c r="Z117" s="14">
        <v>0</v>
      </c>
      <c r="AA117" s="14" t="str">
        <v>31363</v>
      </c>
      <c r="AB117" s="14" t="str">
        <v>HAPAG LLOYD AG</v>
      </c>
      <c r="AC117" s="14" t="str">
        <v>HLK7227004</v>
      </c>
      <c r="AD117" s="14" t="str">
        <v>GEORG MAERSK</v>
      </c>
      <c r="AE117" s="14" t="str">
        <v>636E</v>
      </c>
      <c r="AF117" s="27" t="str">
        <v>CN</v>
      </c>
      <c r="AG117" s="27" t="str">
        <v>PRT</v>
      </c>
      <c r="AH117" s="14" t="str">
        <v>CNTXG</v>
      </c>
    </row>
    <row r="118" spans="1:34" ht="25.2" customHeight="1" x14ac:dyDescent="0.45">
      <c r="A118" s="17" t="str">
        <v>LF</v>
      </c>
      <c r="B118" s="14">
        <v>0</v>
      </c>
      <c r="C118" s="14" t="str">
        <v>PLISH7H42760</v>
      </c>
      <c r="D118" s="17" t="str">
        <v>KMTU9470169</v>
      </c>
      <c r="E118" s="14" t="str">
        <v>C40HC</v>
      </c>
      <c r="F118" s="17" t="str">
        <v>294DT260803726937</v>
      </c>
      <c r="G118" s="15">
        <v>46279</v>
      </c>
      <c r="H118" s="16">
        <v>0.27083333333333326</v>
      </c>
      <c r="I118" s="15">
        <v>46275</v>
      </c>
      <c r="J118" s="17">
        <v>0</v>
      </c>
      <c r="K118" s="15">
        <v>46268</v>
      </c>
      <c r="L118" s="17" t="str">
        <v>373-STO-S10000031050</v>
      </c>
      <c r="M118" s="14" t="str">
        <v>400</v>
      </c>
      <c r="N118" s="14" t="str">
        <v>258DTS10000197672</v>
      </c>
      <c r="O118" s="14" t="str">
        <v>500</v>
      </c>
      <c r="P118" s="14" t="str">
        <v>LARXU</v>
      </c>
      <c r="Q118" s="14">
        <v>46237</v>
      </c>
      <c r="R118" s="14">
        <v>726</v>
      </c>
      <c r="S118" s="14" t="str">
        <v>STO</v>
      </c>
      <c r="T118" s="14">
        <v>9476</v>
      </c>
      <c r="U118" s="14" t="str">
        <v>17.096277</v>
      </c>
      <c r="V118" s="14" t="str">
        <v>18.357057</v>
      </c>
      <c r="W118" s="14">
        <v>2768.0509999999999</v>
      </c>
      <c r="X118" s="14">
        <v>46258</v>
      </c>
      <c r="Y118" s="14">
        <v>46254</v>
      </c>
      <c r="Z118" s="14">
        <v>46256</v>
      </c>
      <c r="AA118" s="14" t="str">
        <v>33300</v>
      </c>
      <c r="AB118" s="14" t="str">
        <v>LX PANTOS CO., LTD.</v>
      </c>
      <c r="AC118" s="14" t="str">
        <v>CF962273</v>
      </c>
      <c r="AD118" s="14" t="str">
        <v>ZHONG SHENG TUO HAI</v>
      </c>
      <c r="AE118" s="14" t="str">
        <v>2623N</v>
      </c>
      <c r="AF118" s="27" t="str">
        <v>CN</v>
      </c>
      <c r="AG118" s="27" t="str">
        <v>PRT</v>
      </c>
      <c r="AH118" s="14" t="str">
        <v>CNSHA</v>
      </c>
    </row>
    <row r="119" spans="1:34" ht="25.2" customHeight="1" x14ac:dyDescent="0.45">
      <c r="A119" s="17" t="str">
        <v>LF</v>
      </c>
      <c r="B119" s="14">
        <v>0</v>
      </c>
      <c r="C119" s="14" t="str">
        <v>PLISH7H42760</v>
      </c>
      <c r="D119" s="17" t="str">
        <v>KMTU9470169</v>
      </c>
      <c r="E119" s="14" t="str">
        <v>C40HC</v>
      </c>
      <c r="F119" s="17" t="str">
        <v>319DT260803726938</v>
      </c>
      <c r="G119" s="15">
        <v>46279</v>
      </c>
      <c r="H119" s="16">
        <v>0.27083333333333326</v>
      </c>
      <c r="I119" s="15">
        <v>46275</v>
      </c>
      <c r="J119" s="17">
        <v>0</v>
      </c>
      <c r="K119" s="15">
        <v>46268</v>
      </c>
      <c r="L119" s="17" t="str">
        <v>373-STO-S10000031050</v>
      </c>
      <c r="M119" s="14" t="str">
        <v>400</v>
      </c>
      <c r="N119" s="14" t="str">
        <v>258DTS10000197672</v>
      </c>
      <c r="O119" s="14" t="str">
        <v>500</v>
      </c>
      <c r="P119" s="14" t="str">
        <v>LARXU</v>
      </c>
      <c r="Q119" s="14">
        <v>46237</v>
      </c>
      <c r="R119" s="14">
        <v>726</v>
      </c>
      <c r="S119" s="14" t="str">
        <v>STO</v>
      </c>
      <c r="T119" s="14">
        <v>17617</v>
      </c>
      <c r="U119" s="14" t="str">
        <v>30.99967</v>
      </c>
      <c r="V119" s="14" t="str">
        <v>33.43900945</v>
      </c>
      <c r="W119" s="14">
        <v>5142.384</v>
      </c>
      <c r="X119" s="14">
        <v>46258</v>
      </c>
      <c r="Y119" s="14">
        <v>46254</v>
      </c>
      <c r="Z119" s="14">
        <v>46256</v>
      </c>
      <c r="AA119" s="14" t="str">
        <v>33300</v>
      </c>
      <c r="AB119" s="14" t="str">
        <v>LX PANTOS CO., LTD.</v>
      </c>
      <c r="AC119" s="14" t="str">
        <v>CF962273</v>
      </c>
      <c r="AD119" s="14" t="str">
        <v>ZHONG SHENG TUO HAI</v>
      </c>
      <c r="AE119" s="14" t="str">
        <v>2623N</v>
      </c>
      <c r="AF119" s="27" t="str">
        <v>CN</v>
      </c>
      <c r="AG119" s="27" t="str">
        <v>PRT</v>
      </c>
      <c r="AH119" s="14" t="str">
        <v>CNSHA</v>
      </c>
    </row>
    <row r="120" spans="1:34" ht="25.2" customHeight="1" x14ac:dyDescent="0.45">
      <c r="A120" s="17" t="str">
        <v>LF</v>
      </c>
      <c r="B120" s="14" t="str">
        <v>PLANT LAW</v>
      </c>
      <c r="C120" s="14" t="str">
        <v>MAEUIK0216687</v>
      </c>
      <c r="D120" s="17" t="str">
        <v>CAAU9159728</v>
      </c>
      <c r="E120" s="14" t="str">
        <v>C40HC</v>
      </c>
      <c r="F120" s="17" t="str">
        <v>294DT260730726616</v>
      </c>
      <c r="G120" s="15">
        <v>46277</v>
      </c>
      <c r="H120" s="16">
        <v>0.26041666666666674</v>
      </c>
      <c r="I120" s="15">
        <v>46274</v>
      </c>
      <c r="J120" s="17">
        <v>0</v>
      </c>
      <c r="K120" s="15">
        <v>46260</v>
      </c>
      <c r="L120" s="17" t="str">
        <v>373-STO-S10000031032</v>
      </c>
      <c r="M120" s="14" t="str">
        <v>400</v>
      </c>
      <c r="N120" s="14" t="str">
        <v>258DTS10000197135</v>
      </c>
      <c r="O120" s="14" t="str">
        <v>350</v>
      </c>
      <c r="P120" s="14">
        <v>0</v>
      </c>
      <c r="Q120" s="14">
        <v>46233</v>
      </c>
      <c r="R120" s="14">
        <v>726</v>
      </c>
      <c r="S120" s="14" t="str">
        <v>STO</v>
      </c>
      <c r="T120" s="14">
        <v>19167</v>
      </c>
      <c r="U120" s="14" t="str">
        <v>16.509344</v>
      </c>
      <c r="V120" s="14" t="str">
        <v>17.71126953</v>
      </c>
      <c r="W120" s="14">
        <v>3027.3560000000002</v>
      </c>
      <c r="X120" s="14">
        <v>46254</v>
      </c>
      <c r="Y120" s="14">
        <v>46252</v>
      </c>
      <c r="Z120" s="14">
        <v>0</v>
      </c>
      <c r="AA120" s="14" t="str">
        <v>31825</v>
      </c>
      <c r="AB120" s="14" t="str">
        <v>MAERSK A/S</v>
      </c>
      <c r="AC120" s="14" t="str">
        <v>CN8105684</v>
      </c>
      <c r="AD120" s="14" t="str">
        <v>MERATUS TOMINI</v>
      </c>
      <c r="AE120" s="14" t="str">
        <v>632N</v>
      </c>
      <c r="AF120" s="27" t="str">
        <v>CN</v>
      </c>
      <c r="AG120" s="27" t="str">
        <v>PRT</v>
      </c>
      <c r="AH120" s="14" t="str">
        <v>CNSHA</v>
      </c>
    </row>
    <row r="121" spans="1:34" ht="25.2" customHeight="1" x14ac:dyDescent="0.45">
      <c r="A121" s="17" t="str">
        <v>LF</v>
      </c>
      <c r="B121" s="14" t="str">
        <v>PLANT LAW</v>
      </c>
      <c r="C121" s="14" t="str">
        <v>MAEUIK0216687</v>
      </c>
      <c r="D121" s="17" t="str">
        <v>CAAU9159728</v>
      </c>
      <c r="E121" s="14" t="str">
        <v>C40HC</v>
      </c>
      <c r="F121" s="17" t="str">
        <v>319DT260730726617</v>
      </c>
      <c r="G121" s="15">
        <v>46277</v>
      </c>
      <c r="H121" s="16">
        <v>0.26041666666666674</v>
      </c>
      <c r="I121" s="15">
        <v>46274</v>
      </c>
      <c r="J121" s="17">
        <v>0</v>
      </c>
      <c r="K121" s="15">
        <v>46260</v>
      </c>
      <c r="L121" s="17" t="str">
        <v>373-STO-S10000031032</v>
      </c>
      <c r="M121" s="14" t="str">
        <v>400</v>
      </c>
      <c r="N121" s="14" t="str">
        <v>258DTS10000197135</v>
      </c>
      <c r="O121" s="14" t="str">
        <v>350</v>
      </c>
      <c r="P121" s="14">
        <v>0</v>
      </c>
      <c r="Q121" s="14">
        <v>46233</v>
      </c>
      <c r="R121" s="14">
        <v>726</v>
      </c>
      <c r="S121" s="14" t="str">
        <v>STO</v>
      </c>
      <c r="T121" s="14">
        <v>13367</v>
      </c>
      <c r="U121" s="14" t="str">
        <v>31.648939</v>
      </c>
      <c r="V121" s="14" t="str">
        <v>34.16246511</v>
      </c>
      <c r="W121" s="14">
        <v>6650.2460000000001</v>
      </c>
      <c r="X121" s="14">
        <v>46254</v>
      </c>
      <c r="Y121" s="14">
        <v>46252</v>
      </c>
      <c r="Z121" s="14">
        <v>0</v>
      </c>
      <c r="AA121" s="14" t="str">
        <v>31825</v>
      </c>
      <c r="AB121" s="14" t="str">
        <v>MAERSK A/S</v>
      </c>
      <c r="AC121" s="14" t="str">
        <v>CN8105684</v>
      </c>
      <c r="AD121" s="14" t="str">
        <v>MERATUS TOMINI</v>
      </c>
      <c r="AE121" s="14" t="str">
        <v>632N</v>
      </c>
      <c r="AF121" s="27" t="str">
        <v>CN</v>
      </c>
      <c r="AG121" s="27" t="str">
        <v>PRT</v>
      </c>
      <c r="AH121" s="14" t="str">
        <v>CNSHA</v>
      </c>
    </row>
    <row r="122" spans="1:34" ht="25.2" customHeight="1" x14ac:dyDescent="0.45">
      <c r="A122" s="17" t="str">
        <v>LF</v>
      </c>
      <c r="B122" s="14" t="str">
        <v>PLANT LAW</v>
      </c>
      <c r="C122" s="14" t="str">
        <v>MAEUIK0217256</v>
      </c>
      <c r="D122" s="17" t="str">
        <v>MRSU8702519</v>
      </c>
      <c r="E122" s="14" t="str">
        <v>C40HC</v>
      </c>
      <c r="F122" s="17" t="str">
        <v>294DT260803726973</v>
      </c>
      <c r="G122" s="15">
        <v>46276</v>
      </c>
      <c r="H122" s="16">
        <v>0.27083333333333326</v>
      </c>
      <c r="I122" s="15">
        <v>46272</v>
      </c>
      <c r="J122" s="17">
        <v>0</v>
      </c>
      <c r="K122" s="15">
        <v>46260</v>
      </c>
      <c r="L122" s="17" t="str">
        <v>373-STO-S10000031023</v>
      </c>
      <c r="M122" s="14" t="str">
        <v>400</v>
      </c>
      <c r="N122" s="14" t="str">
        <v>258DTS10000197671</v>
      </c>
      <c r="O122" s="14" t="str">
        <v>350</v>
      </c>
      <c r="P122" s="14" t="str">
        <v>LARXU</v>
      </c>
      <c r="Q122" s="14">
        <v>46237</v>
      </c>
      <c r="R122" s="14">
        <v>726</v>
      </c>
      <c r="S122" s="14" t="str">
        <v>STO</v>
      </c>
      <c r="T122" s="14">
        <v>8088</v>
      </c>
      <c r="U122" s="14" t="str">
        <v>17.273796</v>
      </c>
      <c r="V122" s="14" t="str">
        <v>18.49569254</v>
      </c>
      <c r="W122" s="14">
        <v>2075.86</v>
      </c>
      <c r="X122" s="14">
        <v>46252</v>
      </c>
      <c r="Y122" s="14">
        <v>46249</v>
      </c>
      <c r="Z122" s="14">
        <v>0</v>
      </c>
      <c r="AA122" s="14" t="str">
        <v>31825</v>
      </c>
      <c r="AB122" s="14" t="str">
        <v>MAERSK A/S</v>
      </c>
      <c r="AC122" s="14" t="str">
        <v>CN7937256</v>
      </c>
      <c r="AD122" s="14" t="str">
        <v>MERATUS TOMINI</v>
      </c>
      <c r="AE122" s="14" t="str">
        <v>632N</v>
      </c>
      <c r="AF122" s="27" t="str">
        <v>CN</v>
      </c>
      <c r="AG122" s="27" t="str">
        <v>PRT</v>
      </c>
      <c r="AH122" s="14" t="str">
        <v>CNSHA</v>
      </c>
    </row>
    <row r="123" spans="1:34" ht="25.2" customHeight="1" x14ac:dyDescent="0.45">
      <c r="A123" s="17" t="str">
        <v>LF</v>
      </c>
      <c r="B123" s="14" t="str">
        <v>PLANT LAW</v>
      </c>
      <c r="C123" s="14" t="str">
        <v>MAEUIK0217256</v>
      </c>
      <c r="D123" s="17" t="str">
        <v>MRSU8702519</v>
      </c>
      <c r="E123" s="14" t="str">
        <v>C40HC</v>
      </c>
      <c r="F123" s="17" t="str">
        <v>319DT260803726974</v>
      </c>
      <c r="G123" s="15">
        <v>46276</v>
      </c>
      <c r="H123" s="16">
        <v>0.27083333333333326</v>
      </c>
      <c r="I123" s="15">
        <v>46272</v>
      </c>
      <c r="J123" s="17">
        <v>0</v>
      </c>
      <c r="K123" s="15">
        <v>46260</v>
      </c>
      <c r="L123" s="17" t="str">
        <v>373-STO-S10000031023</v>
      </c>
      <c r="M123" s="14" t="str">
        <v>400</v>
      </c>
      <c r="N123" s="14" t="str">
        <v>258DTS10000197671</v>
      </c>
      <c r="O123" s="14" t="str">
        <v>350</v>
      </c>
      <c r="P123" s="14" t="str">
        <v>LARXU</v>
      </c>
      <c r="Q123" s="14">
        <v>46237</v>
      </c>
      <c r="R123" s="14">
        <v>726</v>
      </c>
      <c r="S123" s="14" t="str">
        <v>STO</v>
      </c>
      <c r="T123" s="14">
        <v>10082</v>
      </c>
      <c r="U123" s="14" t="str">
        <v>30.97551</v>
      </c>
      <c r="V123" s="14" t="str">
        <v>33.22749214</v>
      </c>
      <c r="W123" s="14">
        <v>3013.4380000000001</v>
      </c>
      <c r="X123" s="14">
        <v>46252</v>
      </c>
      <c r="Y123" s="14">
        <v>46249</v>
      </c>
      <c r="Z123" s="14">
        <v>0</v>
      </c>
      <c r="AA123" s="14" t="str">
        <v>31825</v>
      </c>
      <c r="AB123" s="14" t="str">
        <v>MAERSK A/S</v>
      </c>
      <c r="AC123" s="14" t="str">
        <v>CN7937256</v>
      </c>
      <c r="AD123" s="14" t="str">
        <v>MERATUS TOMINI</v>
      </c>
      <c r="AE123" s="14" t="str">
        <v>632N</v>
      </c>
      <c r="AF123" s="27" t="str">
        <v>CN</v>
      </c>
      <c r="AG123" s="27" t="str">
        <v>PRT</v>
      </c>
      <c r="AH123" s="14" t="str">
        <v>CNSHA</v>
      </c>
    </row>
    <row r="124" spans="1:34" ht="25.2" customHeight="1" x14ac:dyDescent="0.45">
      <c r="A124" s="17" t="str">
        <v>DD</v>
      </c>
      <c r="B124" s="14" t="str">
        <v>MILK RUN NOR</v>
      </c>
      <c r="C124" s="14" t="str">
        <v>MAEUIK0216384</v>
      </c>
      <c r="D124" s="17" t="str">
        <v>MIEU3531961</v>
      </c>
      <c r="E124" s="14" t="str">
        <v>C40HC</v>
      </c>
      <c r="F124" s="17" t="str">
        <v>21072SUPECIS74852</v>
      </c>
      <c r="G124" s="15">
        <v>46275</v>
      </c>
      <c r="H124" s="16">
        <v>0.35416666666666674</v>
      </c>
      <c r="I124" s="15">
        <v>46269</v>
      </c>
      <c r="J124" s="17">
        <v>46267</v>
      </c>
      <c r="K124" s="15">
        <v>46265</v>
      </c>
      <c r="L124" s="17" t="str">
        <v>373-STO-S10000030994</v>
      </c>
      <c r="M124" s="14" t="str">
        <v>400</v>
      </c>
      <c r="N124" s="14" t="str">
        <v>037TSOS10000668504</v>
      </c>
      <c r="O124" s="14" t="str">
        <v>300</v>
      </c>
      <c r="P124" s="14" t="str">
        <v>LINLI65</v>
      </c>
      <c r="Q124" s="14">
        <v>46231</v>
      </c>
      <c r="R124" s="14">
        <v>726</v>
      </c>
      <c r="S124" s="14" t="str">
        <v>STO</v>
      </c>
      <c r="T124" s="14">
        <v>94</v>
      </c>
      <c r="U124" s="14" t="str">
        <v>5.123072</v>
      </c>
      <c r="V124" s="14" t="str">
        <v>5.457699</v>
      </c>
      <c r="W124" s="14">
        <v>2141.58</v>
      </c>
      <c r="X124" s="14">
        <v>46258</v>
      </c>
      <c r="Y124" s="14">
        <v>46256</v>
      </c>
      <c r="Z124" s="14">
        <v>0</v>
      </c>
      <c r="AA124" s="14" t="str">
        <v>31825</v>
      </c>
      <c r="AB124" s="14" t="str">
        <v>MAERSK A/S</v>
      </c>
      <c r="AC124" s="14" t="str">
        <v>CN9030190</v>
      </c>
      <c r="AD124" s="14" t="str">
        <v>KUALA LUMPUR EXPRESS</v>
      </c>
      <c r="AE124" s="14" t="str">
        <v>633E</v>
      </c>
      <c r="AF124" s="27" t="str">
        <v>CN</v>
      </c>
      <c r="AG124" s="27" t="str">
        <v>PRT</v>
      </c>
      <c r="AH124" s="14" t="str">
        <v>CNNGB</v>
      </c>
    </row>
    <row r="125" spans="1:34" ht="25.2" customHeight="1" x14ac:dyDescent="0.45">
      <c r="A125" s="17" t="str">
        <v>DD</v>
      </c>
      <c r="B125" s="14" t="str">
        <v>MILK RUN NOR</v>
      </c>
      <c r="C125" s="14" t="str">
        <v>OOLU2173146130</v>
      </c>
      <c r="D125" s="17" t="str">
        <v>OOCU9705353</v>
      </c>
      <c r="E125" s="14" t="str">
        <v>C40HC</v>
      </c>
      <c r="F125" s="17" t="str">
        <v>23273SUP3641081</v>
      </c>
      <c r="G125" s="15">
        <v>46274</v>
      </c>
      <c r="H125" s="16">
        <v>0.35416666666666674</v>
      </c>
      <c r="I125" s="15">
        <v>46267</v>
      </c>
      <c r="J125" s="17">
        <v>0</v>
      </c>
      <c r="K125" s="15">
        <v>46267</v>
      </c>
      <c r="L125" s="17" t="str">
        <v>373-STO-S10000030972</v>
      </c>
      <c r="M125" s="14" t="str">
        <v>400</v>
      </c>
      <c r="N125" s="14" t="str">
        <v>030TSOS10000132341</v>
      </c>
      <c r="O125" s="14" t="str">
        <v>300</v>
      </c>
      <c r="P125" s="14" t="str">
        <v>JEGAO9</v>
      </c>
      <c r="Q125" s="14">
        <v>46248</v>
      </c>
      <c r="R125" s="14">
        <v>726</v>
      </c>
      <c r="S125" s="14" t="str">
        <v>STO</v>
      </c>
      <c r="T125" s="14">
        <v>6</v>
      </c>
      <c r="U125" s="14" t="str">
        <v>0.963138</v>
      </c>
      <c r="V125" s="14" t="str">
        <v>1.006026</v>
      </c>
      <c r="W125" s="14">
        <v>170.61600000000001</v>
      </c>
      <c r="X125" s="14">
        <v>46268</v>
      </c>
      <c r="Y125" s="14">
        <v>46266</v>
      </c>
      <c r="Z125" s="14">
        <v>0</v>
      </c>
      <c r="AA125" s="14" t="str">
        <v>30105</v>
      </c>
      <c r="AB125" s="14" t="str">
        <v>ORIENT OVERSEAS CONTAINER LINE LTD.</v>
      </c>
      <c r="AC125" s="14" t="str">
        <v>OOLKXQ3715</v>
      </c>
      <c r="AD125" s="14" t="str">
        <v>XIN MEI ZHOU</v>
      </c>
      <c r="AE125" s="14" t="str">
        <v>168W</v>
      </c>
      <c r="AF125" s="27" t="str">
        <v>CN</v>
      </c>
      <c r="AG125" s="27" t="str">
        <v>PRT</v>
      </c>
      <c r="AH125" s="14" t="str">
        <v>CNTXG</v>
      </c>
    </row>
    <row r="126" spans="1:34" ht="25.2" customHeight="1" x14ac:dyDescent="0.45">
      <c r="A126" s="17" t="str">
        <v>DD</v>
      </c>
      <c r="B126" s="14" t="str">
        <v>MILK RUN NOR</v>
      </c>
      <c r="C126" s="14" t="str">
        <v>MAEUIK0217315</v>
      </c>
      <c r="D126" s="17" t="str">
        <v>MRSU2917130</v>
      </c>
      <c r="E126" s="14" t="str">
        <v>C40HC</v>
      </c>
      <c r="F126" s="17" t="str">
        <v>21072SUPECIS75048</v>
      </c>
      <c r="G126" s="15">
        <v>46274</v>
      </c>
      <c r="H126" s="16">
        <v>0.22916666666666674</v>
      </c>
      <c r="I126" s="15">
        <v>46267</v>
      </c>
      <c r="J126" s="17">
        <v>0</v>
      </c>
      <c r="K126" s="15">
        <v>46265</v>
      </c>
      <c r="L126" s="17" t="str">
        <v>373-STO-S10000030971</v>
      </c>
      <c r="M126" s="14" t="str">
        <v>400</v>
      </c>
      <c r="N126" s="14" t="str">
        <v>037TSOS10000672941</v>
      </c>
      <c r="O126" s="14" t="str">
        <v>300</v>
      </c>
      <c r="P126" s="14" t="str">
        <v>LINLI65</v>
      </c>
      <c r="Q126" s="14">
        <v>46237</v>
      </c>
      <c r="R126" s="14">
        <v>726</v>
      </c>
      <c r="S126" s="14" t="str">
        <v>STO</v>
      </c>
      <c r="T126" s="14">
        <v>260</v>
      </c>
      <c r="U126" s="14" t="str">
        <v>6.327718</v>
      </c>
      <c r="V126" s="14" t="str">
        <v>6.739096</v>
      </c>
      <c r="W126" s="14">
        <v>2931.61</v>
      </c>
      <c r="X126" s="14">
        <v>46258</v>
      </c>
      <c r="Y126" s="14">
        <v>46256</v>
      </c>
      <c r="Z126" s="14">
        <v>0</v>
      </c>
      <c r="AA126" s="14" t="str">
        <v>31825</v>
      </c>
      <c r="AB126" s="14" t="str">
        <v>MAERSK A/S</v>
      </c>
      <c r="AC126" s="14" t="str">
        <v>CN6568434</v>
      </c>
      <c r="AD126" s="14" t="str">
        <v>KUALA LUMPUR EXPRESS</v>
      </c>
      <c r="AE126" s="14" t="str">
        <v>633E</v>
      </c>
      <c r="AF126" s="27" t="str">
        <v>CN</v>
      </c>
      <c r="AG126" s="27" t="str">
        <v>PRT</v>
      </c>
      <c r="AH126" s="14" t="str">
        <v>CNNGB</v>
      </c>
    </row>
    <row r="127" spans="1:34" ht="25.2" customHeight="1" x14ac:dyDescent="0.45">
      <c r="A127" s="17" t="str">
        <v>LF</v>
      </c>
      <c r="B127" s="14" t="str">
        <v>PLANT LAW</v>
      </c>
      <c r="C127" s="14" t="str">
        <v>MAEUIK0217623</v>
      </c>
      <c r="D127" s="17" t="str">
        <v>SEKU4719552</v>
      </c>
      <c r="E127" s="14" t="str">
        <v>C40HC</v>
      </c>
      <c r="F127" s="17" t="str">
        <v>294DT260805726347</v>
      </c>
      <c r="G127" s="15">
        <v>46274</v>
      </c>
      <c r="H127" s="16">
        <v>0.27083333333333326</v>
      </c>
      <c r="I127" s="15">
        <v>46269</v>
      </c>
      <c r="J127" s="17">
        <v>0</v>
      </c>
      <c r="K127" s="15">
        <v>46260</v>
      </c>
      <c r="L127" s="17" t="str">
        <v>373-STO-S10000031020</v>
      </c>
      <c r="M127" s="14" t="str">
        <v>400</v>
      </c>
      <c r="N127" s="14" t="str">
        <v>258DTS10000198026</v>
      </c>
      <c r="O127" s="14" t="str">
        <v>350</v>
      </c>
      <c r="P127" s="14" t="str">
        <v>LARXU</v>
      </c>
      <c r="Q127" s="14">
        <v>46239</v>
      </c>
      <c r="R127" s="14">
        <v>726</v>
      </c>
      <c r="S127" s="14" t="str">
        <v>STO</v>
      </c>
      <c r="T127" s="14">
        <v>6375</v>
      </c>
      <c r="U127" s="14" t="str">
        <v>6.194589</v>
      </c>
      <c r="V127" s="14" t="str">
        <v>6.63919459</v>
      </c>
      <c r="W127" s="14">
        <v>1407.7929999999999</v>
      </c>
      <c r="X127" s="14">
        <v>46254</v>
      </c>
      <c r="Y127" s="14">
        <v>46252</v>
      </c>
      <c r="Z127" s="14">
        <v>0</v>
      </c>
      <c r="AA127" s="14" t="str">
        <v>31825</v>
      </c>
      <c r="AB127" s="14" t="str">
        <v>MAERSK A/S</v>
      </c>
      <c r="AC127" s="14" t="str">
        <v>CN7790488</v>
      </c>
      <c r="AD127" s="14" t="str">
        <v>MERATUS TOMINI</v>
      </c>
      <c r="AE127" s="14" t="str">
        <v>632N</v>
      </c>
      <c r="AF127" s="27" t="str">
        <v>CN</v>
      </c>
      <c r="AG127" s="27" t="str">
        <v>PRT</v>
      </c>
      <c r="AH127" s="14" t="str">
        <v>CNSHA</v>
      </c>
    </row>
    <row r="128" spans="1:34" ht="25.2" customHeight="1" x14ac:dyDescent="0.45">
      <c r="A128" s="17" t="str">
        <v>LF</v>
      </c>
      <c r="B128" s="14" t="str">
        <v>PLANT LAW</v>
      </c>
      <c r="C128" s="14" t="str">
        <v>MAEUIK0217623</v>
      </c>
      <c r="D128" s="17" t="str">
        <v>SEKU4719552</v>
      </c>
      <c r="E128" s="14" t="str">
        <v>C40HC</v>
      </c>
      <c r="F128" s="17" t="str">
        <v>319DT260805726348</v>
      </c>
      <c r="G128" s="15">
        <v>46274</v>
      </c>
      <c r="H128" s="16">
        <v>0.27083333333333326</v>
      </c>
      <c r="I128" s="15">
        <v>46269</v>
      </c>
      <c r="J128" s="17">
        <v>0</v>
      </c>
      <c r="K128" s="15">
        <v>46260</v>
      </c>
      <c r="L128" s="17" t="str">
        <v>373-STO-S10000031020</v>
      </c>
      <c r="M128" s="14" t="str">
        <v>400</v>
      </c>
      <c r="N128" s="14" t="str">
        <v>258DTS10000198026</v>
      </c>
      <c r="O128" s="14" t="str">
        <v>350</v>
      </c>
      <c r="P128" s="14" t="str">
        <v>LARXU</v>
      </c>
      <c r="Q128" s="14">
        <v>46239</v>
      </c>
      <c r="R128" s="14">
        <v>726</v>
      </c>
      <c r="S128" s="14" t="str">
        <v>STO</v>
      </c>
      <c r="T128" s="14">
        <v>16828</v>
      </c>
      <c r="U128" s="14" t="str">
        <v>41.897583</v>
      </c>
      <c r="V128" s="14" t="str">
        <v>45.18529847</v>
      </c>
      <c r="W128" s="14">
        <v>7556.7259999999997</v>
      </c>
      <c r="X128" s="14">
        <v>46254</v>
      </c>
      <c r="Y128" s="14">
        <v>46252</v>
      </c>
      <c r="Z128" s="14">
        <v>0</v>
      </c>
      <c r="AA128" s="14" t="str">
        <v>31825</v>
      </c>
      <c r="AB128" s="14" t="str">
        <v>MAERSK A/S</v>
      </c>
      <c r="AC128" s="14" t="str">
        <v>CN7790488</v>
      </c>
      <c r="AD128" s="14" t="str">
        <v>MERATUS TOMINI</v>
      </c>
      <c r="AE128" s="14" t="str">
        <v>632N</v>
      </c>
      <c r="AF128" s="27" t="str">
        <v>CN</v>
      </c>
      <c r="AG128" s="27" t="str">
        <v>PRT</v>
      </c>
      <c r="AH128" s="14" t="str">
        <v>CNSHA</v>
      </c>
    </row>
    <row r="129" spans="1:34" ht="25.2" customHeight="1" x14ac:dyDescent="0.45">
      <c r="A129" s="17" t="str">
        <v>HF</v>
      </c>
      <c r="B129" s="14" t="str">
        <v/>
      </c>
      <c r="C129" s="14" t="str">
        <v>HDMUSHAA92025800</v>
      </c>
      <c r="D129" s="17" t="str">
        <v>KOCU4017116</v>
      </c>
      <c r="E129" s="14" t="str">
        <v>C40HC</v>
      </c>
      <c r="F129" s="17" t="str">
        <v>258DT260812726889</v>
      </c>
      <c r="G129" s="15">
        <v>46273</v>
      </c>
      <c r="H129" s="16">
        <v>0.27083333333333326</v>
      </c>
      <c r="I129" s="15">
        <v>46269</v>
      </c>
      <c r="J129" s="17">
        <v>0</v>
      </c>
      <c r="K129" s="15">
        <v>46268</v>
      </c>
      <c r="L129" s="17" t="str">
        <v>373-STO-S10000031006</v>
      </c>
      <c r="M129" s="14" t="str">
        <v>400</v>
      </c>
      <c r="N129" s="14" t="str">
        <v>258DTS10000198935</v>
      </c>
      <c r="O129" s="14" t="str">
        <v>350</v>
      </c>
      <c r="P129" s="14">
        <v>0</v>
      </c>
      <c r="Q129" s="14">
        <v>46246</v>
      </c>
      <c r="R129" s="14">
        <v>726</v>
      </c>
      <c r="S129" s="14" t="str">
        <v>STO</v>
      </c>
      <c r="T129" s="14">
        <v>13901</v>
      </c>
      <c r="U129" s="14" t="str">
        <v>50.80333</v>
      </c>
      <c r="V129" s="14" t="str">
        <v>54.94227633</v>
      </c>
      <c r="W129" s="14">
        <v>10148.374</v>
      </c>
      <c r="X129" s="14">
        <v>46263</v>
      </c>
      <c r="Y129" s="14">
        <v>46261</v>
      </c>
      <c r="Z129" s="14">
        <v>0</v>
      </c>
      <c r="AA129" s="14" t="str">
        <v>31676</v>
      </c>
      <c r="AB129" s="14" t="str">
        <v>HMM CO., LTD.</v>
      </c>
      <c r="AC129" s="14" t="str">
        <v>25H1003531</v>
      </c>
      <c r="AD129" s="14" t="str">
        <v>HMM MIR</v>
      </c>
      <c r="AE129" s="14" t="str">
        <v>0022E</v>
      </c>
      <c r="AF129" s="27" t="str">
        <v>CN</v>
      </c>
      <c r="AG129" s="27" t="str">
        <v>PRT</v>
      </c>
      <c r="AH129" s="14" t="str">
        <v>CNYAN</v>
      </c>
    </row>
    <row r="130" spans="1:34" ht="25.2" customHeight="1" x14ac:dyDescent="0.45">
      <c r="A130" s="17" t="str">
        <v>HF</v>
      </c>
      <c r="B130" s="14" t="str">
        <v/>
      </c>
      <c r="C130" s="14" t="str">
        <v>HDMUSHAA92025800</v>
      </c>
      <c r="D130" s="17" t="str">
        <v>KOCU4017116</v>
      </c>
      <c r="E130" s="14" t="str">
        <v>C40HC</v>
      </c>
      <c r="F130" s="17" t="str">
        <v>277DT260812726890</v>
      </c>
      <c r="G130" s="15">
        <v>46273</v>
      </c>
      <c r="H130" s="16">
        <v>0.27083333333333326</v>
      </c>
      <c r="I130" s="15">
        <v>46269</v>
      </c>
      <c r="J130" s="17">
        <v>0</v>
      </c>
      <c r="K130" s="15">
        <v>46268</v>
      </c>
      <c r="L130" s="17" t="str">
        <v>373-STO-S10000031006</v>
      </c>
      <c r="M130" s="14" t="str">
        <v>400</v>
      </c>
      <c r="N130" s="14" t="str">
        <v>258DTS10000198935</v>
      </c>
      <c r="O130" s="14" t="str">
        <v>350</v>
      </c>
      <c r="P130" s="14">
        <v>0</v>
      </c>
      <c r="Q130" s="14">
        <v>46246</v>
      </c>
      <c r="R130" s="14">
        <v>726</v>
      </c>
      <c r="S130" s="14" t="str">
        <v>STO</v>
      </c>
      <c r="T130" s="14">
        <v>940</v>
      </c>
      <c r="U130" s="14" t="str">
        <v>4.552128</v>
      </c>
      <c r="V130" s="14" t="str">
        <v>5.0155815</v>
      </c>
      <c r="W130" s="14">
        <v>274.50799999999998</v>
      </c>
      <c r="X130" s="14">
        <v>46263</v>
      </c>
      <c r="Y130" s="14">
        <v>46261</v>
      </c>
      <c r="Z130" s="14">
        <v>0</v>
      </c>
      <c r="AA130" s="14" t="str">
        <v>31676</v>
      </c>
      <c r="AB130" s="14" t="str">
        <v>HMM CO., LTD.</v>
      </c>
      <c r="AC130" s="14" t="str">
        <v>25H1003531</v>
      </c>
      <c r="AD130" s="14" t="str">
        <v>HMM MIR</v>
      </c>
      <c r="AE130" s="14" t="str">
        <v>0022E</v>
      </c>
      <c r="AF130" s="27" t="str">
        <v>CN</v>
      </c>
      <c r="AG130" s="27" t="str">
        <v>PRT</v>
      </c>
      <c r="AH130" s="14" t="str">
        <v>CNYAN</v>
      </c>
    </row>
    <row r="131" spans="1:34" ht="25.2" customHeight="1" x14ac:dyDescent="0.45">
      <c r="A131" s="17" t="str">
        <v>DD</v>
      </c>
      <c r="B131" s="14" t="str">
        <v>MILK RUN NOR</v>
      </c>
      <c r="C131" s="14" t="str">
        <v>MAEUIK0216139</v>
      </c>
      <c r="D131" s="17" t="str">
        <v>MRSU2903820</v>
      </c>
      <c r="E131" s="14" t="str">
        <v>C40HC</v>
      </c>
      <c r="F131" s="17" t="str">
        <v>21072SUPECIS74812</v>
      </c>
      <c r="G131" s="15">
        <v>46273</v>
      </c>
      <c r="H131" s="16">
        <v>0.35416666666666674</v>
      </c>
      <c r="I131" s="15">
        <v>46267</v>
      </c>
      <c r="J131" s="17">
        <v>0</v>
      </c>
      <c r="K131" s="15">
        <v>46265</v>
      </c>
      <c r="L131" s="17" t="str">
        <v>373-STO-S10000030970</v>
      </c>
      <c r="M131" s="14" t="str">
        <v>400</v>
      </c>
      <c r="N131" s="14" t="str">
        <v>037TSOS10000667148</v>
      </c>
      <c r="O131" s="14" t="str">
        <v>300</v>
      </c>
      <c r="P131" s="14" t="str">
        <v>LINLI65</v>
      </c>
      <c r="Q131" s="14">
        <v>46230</v>
      </c>
      <c r="R131" s="14">
        <v>726</v>
      </c>
      <c r="S131" s="14" t="str">
        <v>STO</v>
      </c>
      <c r="T131" s="14">
        <v>397</v>
      </c>
      <c r="U131" s="14" t="str">
        <v>20.343017</v>
      </c>
      <c r="V131" s="14" t="str">
        <v>21.654869</v>
      </c>
      <c r="W131" s="14">
        <v>9409.19</v>
      </c>
      <c r="X131" s="14">
        <v>46258</v>
      </c>
      <c r="Y131" s="14">
        <v>46256</v>
      </c>
      <c r="Z131" s="14">
        <v>0</v>
      </c>
      <c r="AA131" s="14" t="str">
        <v>31825</v>
      </c>
      <c r="AB131" s="14" t="str">
        <v>MAERSK A/S</v>
      </c>
      <c r="AC131" s="14" t="str">
        <v>CN6568438</v>
      </c>
      <c r="AD131" s="14" t="str">
        <v>KUALA LUMPUR EXPRESS</v>
      </c>
      <c r="AE131" s="14" t="str">
        <v>633E</v>
      </c>
      <c r="AF131" s="27" t="str">
        <v>CN</v>
      </c>
      <c r="AG131" s="27" t="str">
        <v>PRT</v>
      </c>
      <c r="AH131" s="14" t="str">
        <v>CNNGB</v>
      </c>
    </row>
    <row r="132" spans="1:34" ht="25.2" customHeight="1" x14ac:dyDescent="0.45">
      <c r="A132" s="17" t="str">
        <v>DD</v>
      </c>
      <c r="B132" s="14" t="str">
        <v>MILK RUN NOR</v>
      </c>
      <c r="C132" s="14" t="str">
        <v>OOLU2172953220</v>
      </c>
      <c r="D132" s="17" t="str">
        <v>FCIU9702950</v>
      </c>
      <c r="E132" s="14" t="str">
        <v>C40HC</v>
      </c>
      <c r="F132" s="17" t="str">
        <v>23273SUP3640100</v>
      </c>
      <c r="G132" s="15">
        <v>46273</v>
      </c>
      <c r="H132" s="16">
        <v>0.22916666666666674</v>
      </c>
      <c r="I132" s="15">
        <v>46267</v>
      </c>
      <c r="J132" s="17">
        <v>0</v>
      </c>
      <c r="K132" s="15">
        <v>46265</v>
      </c>
      <c r="L132" s="17" t="str">
        <v>373-STO-S10000030969</v>
      </c>
      <c r="M132" s="14" t="str">
        <v>400</v>
      </c>
      <c r="N132" s="14" t="str">
        <v>030TSOS10000131537</v>
      </c>
      <c r="O132" s="14" t="str">
        <v>300</v>
      </c>
      <c r="P132" s="14" t="str">
        <v>JEGAO9</v>
      </c>
      <c r="Q132" s="14">
        <v>46244</v>
      </c>
      <c r="R132" s="14">
        <v>726</v>
      </c>
      <c r="S132" s="14" t="str">
        <v>STO</v>
      </c>
      <c r="T132" s="14">
        <v>6</v>
      </c>
      <c r="U132" s="14" t="str">
        <v>1.06704</v>
      </c>
      <c r="V132" s="14" t="str">
        <v>1.113826</v>
      </c>
      <c r="W132" s="14">
        <v>108.99</v>
      </c>
      <c r="X132" s="14">
        <v>46265</v>
      </c>
      <c r="Y132" s="14">
        <v>46262</v>
      </c>
      <c r="Z132" s="14">
        <v>0</v>
      </c>
      <c r="AA132" s="14" t="str">
        <v>30105</v>
      </c>
      <c r="AB132" s="14" t="str">
        <v>ORIENT OVERSEAS CONTAINER LINE LTD.</v>
      </c>
      <c r="AC132" s="14" t="str">
        <v>OOLKXQ3801</v>
      </c>
      <c r="AD132" s="14" t="str">
        <v>OOCL TAIPEI</v>
      </c>
      <c r="AE132" s="14" t="str">
        <v>093W</v>
      </c>
      <c r="AF132" s="27" t="str">
        <v>CN</v>
      </c>
      <c r="AG132" s="27" t="str">
        <v>PRT</v>
      </c>
      <c r="AH132" s="14" t="str">
        <v>CNTXG</v>
      </c>
    </row>
    <row r="133" spans="1:34" ht="25.2" customHeight="1" x14ac:dyDescent="0.45">
      <c r="A133" s="17" t="str">
        <v>DD</v>
      </c>
      <c r="B133" s="14" t="str">
        <v>MILK RUN NOR</v>
      </c>
      <c r="C133" s="14" t="str">
        <v>OOLU2172712620</v>
      </c>
      <c r="D133" s="17" t="str">
        <v>OOLU9551085</v>
      </c>
      <c r="E133" s="14" t="str">
        <v>C40HC</v>
      </c>
      <c r="F133" s="17" t="str">
        <v>23273SUP3639336</v>
      </c>
      <c r="G133" s="15">
        <v>46272</v>
      </c>
      <c r="H133" s="16">
        <v>0.22916666666666674</v>
      </c>
      <c r="I133" s="15">
        <v>46267</v>
      </c>
      <c r="J133" s="17">
        <v>0</v>
      </c>
      <c r="K133" s="15">
        <v>46265</v>
      </c>
      <c r="L133" s="17" t="str">
        <v>373-STO-S10000030957</v>
      </c>
      <c r="M133" s="14" t="str">
        <v>400</v>
      </c>
      <c r="N133" s="14" t="str">
        <v>030TSOS10000130421</v>
      </c>
      <c r="O133" s="14" t="str">
        <v>350</v>
      </c>
      <c r="P133" s="14" t="str">
        <v>JEGAO9</v>
      </c>
      <c r="Q133" s="14">
        <v>46237</v>
      </c>
      <c r="R133" s="14">
        <v>726</v>
      </c>
      <c r="S133" s="14" t="str">
        <v>STO</v>
      </c>
      <c r="T133" s="14">
        <v>42</v>
      </c>
      <c r="U133" s="14" t="str">
        <v>5.80863</v>
      </c>
      <c r="V133" s="14" t="str">
        <v>6.106065</v>
      </c>
      <c r="W133" s="14">
        <v>1072.086</v>
      </c>
      <c r="X133" s="14">
        <v>46261</v>
      </c>
      <c r="Y133" s="14">
        <v>46258</v>
      </c>
      <c r="Z133" s="14">
        <v>0</v>
      </c>
      <c r="AA133" s="14" t="str">
        <v>30105</v>
      </c>
      <c r="AB133" s="14" t="str">
        <v>ORIENT OVERSEAS CONTAINER LINE LTD.</v>
      </c>
      <c r="AC133" s="14" t="str">
        <v>OOLKXQ3319</v>
      </c>
      <c r="AD133" s="14" t="str">
        <v>OOCL TAIPEI</v>
      </c>
      <c r="AE133" s="14" t="str">
        <v>093W</v>
      </c>
      <c r="AF133" s="27" t="str">
        <v>CN</v>
      </c>
      <c r="AG133" s="27" t="str">
        <v>PRT</v>
      </c>
      <c r="AH133" s="14" t="str">
        <v>CNTXG</v>
      </c>
    </row>
    <row r="134" spans="1:34" ht="25.2" customHeight="1" x14ac:dyDescent="0.45">
      <c r="A134" s="17" t="str">
        <v>HF</v>
      </c>
      <c r="B134" s="14" t="str">
        <v/>
      </c>
      <c r="C134" s="14" t="str">
        <v>MAEUIK0216696</v>
      </c>
      <c r="D134" s="17" t="str">
        <v>SUDU8958186</v>
      </c>
      <c r="E134" s="14" t="str">
        <v>C40HC</v>
      </c>
      <c r="F134" s="17" t="str">
        <v>258DT260730726189</v>
      </c>
      <c r="G134" s="15">
        <v>46272</v>
      </c>
      <c r="H134" s="16">
        <v>0.27083333333333326</v>
      </c>
      <c r="I134" s="15">
        <v>46265</v>
      </c>
      <c r="J134" s="17">
        <v>0</v>
      </c>
      <c r="K134" s="15">
        <v>46263</v>
      </c>
      <c r="L134" s="17" t="str">
        <v>373-STO-S10000030952</v>
      </c>
      <c r="M134" s="14" t="str">
        <v>400</v>
      </c>
      <c r="N134" s="14" t="str">
        <v>258DTS10000197139</v>
      </c>
      <c r="O134" s="14" t="str">
        <v>300</v>
      </c>
      <c r="P134" s="14" t="str">
        <v>JOWAN57</v>
      </c>
      <c r="Q134" s="14">
        <v>46233</v>
      </c>
      <c r="R134" s="14">
        <v>726</v>
      </c>
      <c r="S134" s="14" t="str">
        <v>STO</v>
      </c>
      <c r="T134" s="14">
        <v>6461</v>
      </c>
      <c r="U134" s="14" t="str">
        <v>42.919223</v>
      </c>
      <c r="V134" s="14" t="str">
        <v>46.29496202</v>
      </c>
      <c r="W134" s="14">
        <v>9867.3909999999996</v>
      </c>
      <c r="X134" s="14">
        <v>46248</v>
      </c>
      <c r="Y134" s="14">
        <v>46246</v>
      </c>
      <c r="Z134" s="14">
        <v>0</v>
      </c>
      <c r="AA134" s="14" t="str">
        <v>31825</v>
      </c>
      <c r="AB134" s="14" t="str">
        <v>MAERSK A/S</v>
      </c>
      <c r="AC134" s="14" t="str">
        <v>CN7981669</v>
      </c>
      <c r="AD134" s="14" t="str">
        <v>NORDLEOPARD</v>
      </c>
      <c r="AE134" s="14" t="str">
        <v>630N</v>
      </c>
      <c r="AF134" s="27" t="str">
        <v>CN</v>
      </c>
      <c r="AG134" s="27" t="str">
        <v>PRT</v>
      </c>
      <c r="AH134" s="14" t="str">
        <v>CNSHA</v>
      </c>
    </row>
    <row r="135" spans="1:34" ht="25.2" customHeight="1" x14ac:dyDescent="0.45">
      <c r="A135" s="17" t="str">
        <v>HF</v>
      </c>
      <c r="B135" s="14" t="str">
        <v/>
      </c>
      <c r="C135" s="14" t="str">
        <v>MAEUIK0216696</v>
      </c>
      <c r="D135" s="17" t="str">
        <v>SUDU8958186</v>
      </c>
      <c r="E135" s="14" t="str">
        <v>C40HC</v>
      </c>
      <c r="F135" s="17" t="str">
        <v>277DT260730726190</v>
      </c>
      <c r="G135" s="15">
        <v>46272</v>
      </c>
      <c r="H135" s="16">
        <v>0.27083333333333326</v>
      </c>
      <c r="I135" s="15">
        <v>46265</v>
      </c>
      <c r="J135" s="17">
        <v>0</v>
      </c>
      <c r="K135" s="15">
        <v>46263</v>
      </c>
      <c r="L135" s="17" t="str">
        <v>373-STO-S10000030952</v>
      </c>
      <c r="M135" s="14" t="str">
        <v>400</v>
      </c>
      <c r="N135" s="14" t="str">
        <v>258DTS10000197139</v>
      </c>
      <c r="O135" s="14" t="str">
        <v>300</v>
      </c>
      <c r="P135" s="14" t="str">
        <v>JOWAN57</v>
      </c>
      <c r="Q135" s="14">
        <v>46233</v>
      </c>
      <c r="R135" s="14">
        <v>726</v>
      </c>
      <c r="S135" s="14" t="str">
        <v>STO</v>
      </c>
      <c r="T135" s="14">
        <v>2157</v>
      </c>
      <c r="U135" s="14" t="str">
        <v>11.298383</v>
      </c>
      <c r="V135" s="14" t="str">
        <v>12.155924</v>
      </c>
      <c r="W135" s="14">
        <v>1981.1959999999999</v>
      </c>
      <c r="X135" s="14">
        <v>46248</v>
      </c>
      <c r="Y135" s="14">
        <v>46246</v>
      </c>
      <c r="Z135" s="14">
        <v>0</v>
      </c>
      <c r="AA135" s="14" t="str">
        <v>31825</v>
      </c>
      <c r="AB135" s="14" t="str">
        <v>MAERSK A/S</v>
      </c>
      <c r="AC135" s="14" t="str">
        <v>CN7981669</v>
      </c>
      <c r="AD135" s="14" t="str">
        <v>NORDLEOPARD</v>
      </c>
      <c r="AE135" s="14" t="str">
        <v>630N</v>
      </c>
      <c r="AF135" s="27" t="str">
        <v>CN</v>
      </c>
      <c r="AG135" s="27" t="str">
        <v>PRT</v>
      </c>
      <c r="AH135" s="14" t="str">
        <v>CNSHA</v>
      </c>
    </row>
    <row r="136" spans="1:34" ht="25.2" customHeight="1" x14ac:dyDescent="0.45">
      <c r="A136" s="17" t="str">
        <v>HF</v>
      </c>
      <c r="B136" s="14" t="str">
        <v/>
      </c>
      <c r="C136" s="14" t="str">
        <v>PLISH7H40441</v>
      </c>
      <c r="D136" s="17" t="str">
        <v>HMMU6716707</v>
      </c>
      <c r="E136" s="14" t="str">
        <v>C40HC</v>
      </c>
      <c r="F136" s="17" t="str">
        <v>258DT260730726227</v>
      </c>
      <c r="G136" s="15">
        <v>46271</v>
      </c>
      <c r="H136" s="16">
        <v>0.26041666666666674</v>
      </c>
      <c r="I136" s="15">
        <v>46265</v>
      </c>
      <c r="J136" s="17">
        <v>0</v>
      </c>
      <c r="K136" s="15">
        <v>46263</v>
      </c>
      <c r="L136" s="17" t="str">
        <v>373-STO-S10000030938</v>
      </c>
      <c r="M136" s="14" t="str">
        <v>400</v>
      </c>
      <c r="N136" s="14" t="str">
        <v>258DTS10000197102</v>
      </c>
      <c r="O136" s="14" t="str">
        <v>350</v>
      </c>
      <c r="P136" s="14">
        <v>0</v>
      </c>
      <c r="Q136" s="14">
        <v>46233</v>
      </c>
      <c r="R136" s="14">
        <v>726</v>
      </c>
      <c r="S136" s="14" t="str">
        <v>STO</v>
      </c>
      <c r="T136" s="14">
        <v>6488</v>
      </c>
      <c r="U136" s="14" t="str">
        <v>51.978338</v>
      </c>
      <c r="V136" s="14" t="str">
        <v>55.991509</v>
      </c>
      <c r="W136" s="14">
        <v>11996.361000000001</v>
      </c>
      <c r="X136" s="14">
        <v>46257</v>
      </c>
      <c r="Y136" s="14">
        <v>46255</v>
      </c>
      <c r="Z136" s="14">
        <v>0</v>
      </c>
      <c r="AA136" s="14" t="str">
        <v>33300</v>
      </c>
      <c r="AB136" s="14" t="str">
        <v>LX PANTOS CO., LTD.</v>
      </c>
      <c r="AC136" s="14" t="str">
        <v>26H0284788</v>
      </c>
      <c r="AD136" s="14" t="str">
        <v>HMM TOPAZ</v>
      </c>
      <c r="AE136" s="14" t="str">
        <v>0013E</v>
      </c>
      <c r="AF136" s="27" t="str">
        <v>CN</v>
      </c>
      <c r="AG136" s="27" t="str">
        <v>PRT</v>
      </c>
      <c r="AH136" s="14" t="str">
        <v>CNYAN</v>
      </c>
    </row>
    <row r="137" spans="1:34" ht="25.2" customHeight="1" x14ac:dyDescent="0.45">
      <c r="A137" s="17" t="str">
        <v>HF</v>
      </c>
      <c r="B137" s="14" t="str">
        <v/>
      </c>
      <c r="C137" s="14" t="str">
        <v>PLISH7H40441</v>
      </c>
      <c r="D137" s="17" t="str">
        <v>HMMU6716707</v>
      </c>
      <c r="E137" s="14" t="str">
        <v>C40HC</v>
      </c>
      <c r="F137" s="17" t="str">
        <v>277DT260730726228</v>
      </c>
      <c r="G137" s="15">
        <v>46271</v>
      </c>
      <c r="H137" s="16">
        <v>0.26041666666666674</v>
      </c>
      <c r="I137" s="15">
        <v>46265</v>
      </c>
      <c r="J137" s="17">
        <v>0</v>
      </c>
      <c r="K137" s="15">
        <v>46263</v>
      </c>
      <c r="L137" s="17" t="str">
        <v>373-STO-S10000030938</v>
      </c>
      <c r="M137" s="14" t="str">
        <v>400</v>
      </c>
      <c r="N137" s="14" t="str">
        <v>258DTS10000197102</v>
      </c>
      <c r="O137" s="14" t="str">
        <v>350</v>
      </c>
      <c r="P137" s="14">
        <v>0</v>
      </c>
      <c r="Q137" s="14">
        <v>46233</v>
      </c>
      <c r="R137" s="14">
        <v>726</v>
      </c>
      <c r="S137" s="14" t="str">
        <v>STO</v>
      </c>
      <c r="T137" s="14">
        <v>2256</v>
      </c>
      <c r="U137" s="14" t="str">
        <v>3.896452</v>
      </c>
      <c r="V137" s="14" t="str">
        <v>4.260022</v>
      </c>
      <c r="W137" s="14">
        <v>713.99199999999996</v>
      </c>
      <c r="X137" s="14">
        <v>46257</v>
      </c>
      <c r="Y137" s="14">
        <v>46255</v>
      </c>
      <c r="Z137" s="14">
        <v>0</v>
      </c>
      <c r="AA137" s="14" t="str">
        <v>33300</v>
      </c>
      <c r="AB137" s="14" t="str">
        <v>LX PANTOS CO., LTD.</v>
      </c>
      <c r="AC137" s="14" t="str">
        <v>26H0284788</v>
      </c>
      <c r="AD137" s="14" t="str">
        <v>HMM TOPAZ</v>
      </c>
      <c r="AE137" s="14" t="str">
        <v>0013E</v>
      </c>
      <c r="AF137" s="27" t="str">
        <v>CN</v>
      </c>
      <c r="AG137" s="27" t="str">
        <v>PRT</v>
      </c>
      <c r="AH137" s="14" t="str">
        <v>CNYAN</v>
      </c>
    </row>
    <row r="138" spans="1:34" ht="25.2" customHeight="1" x14ac:dyDescent="0.45">
      <c r="A138" s="17" t="str">
        <v>HF</v>
      </c>
      <c r="B138" s="14" t="str">
        <v/>
      </c>
      <c r="C138" s="14" t="str">
        <v>MAEUIK0217110</v>
      </c>
      <c r="D138" s="17" t="str">
        <v>MRSU5229280</v>
      </c>
      <c r="E138" s="14" t="str">
        <v>C40HC</v>
      </c>
      <c r="F138" s="17" t="str">
        <v>258DT260803726339</v>
      </c>
      <c r="G138" s="15">
        <v>46270</v>
      </c>
      <c r="H138" s="16">
        <v>0.26041666666666674</v>
      </c>
      <c r="I138" s="15">
        <v>46265</v>
      </c>
      <c r="J138" s="17">
        <v>0</v>
      </c>
      <c r="K138" s="15">
        <v>46263</v>
      </c>
      <c r="L138" s="17" t="str">
        <v>373-STO-S10000030917</v>
      </c>
      <c r="M138" s="14" t="str">
        <v>400</v>
      </c>
      <c r="N138" s="14" t="str">
        <v>258DTS10000197556</v>
      </c>
      <c r="O138" s="14" t="str">
        <v>300</v>
      </c>
      <c r="P138" s="14">
        <v>0</v>
      </c>
      <c r="Q138" s="14">
        <v>46237</v>
      </c>
      <c r="R138" s="14">
        <v>726</v>
      </c>
      <c r="S138" s="14" t="str">
        <v>STO</v>
      </c>
      <c r="T138" s="14">
        <v>14985</v>
      </c>
      <c r="U138" s="14" t="str">
        <v>50.659111</v>
      </c>
      <c r="V138" s="14" t="str">
        <v>54.63623661</v>
      </c>
      <c r="W138" s="14">
        <v>10253.803</v>
      </c>
      <c r="X138" s="14">
        <v>46253</v>
      </c>
      <c r="Y138" s="14">
        <v>46250</v>
      </c>
      <c r="Z138" s="14">
        <v>0</v>
      </c>
      <c r="AA138" s="14" t="str">
        <v>31825</v>
      </c>
      <c r="AB138" s="14" t="str">
        <v>MAERSK A/S</v>
      </c>
      <c r="AC138" s="14" t="str">
        <v>CN3556606</v>
      </c>
      <c r="AD138" s="14" t="str">
        <v>NORDLEOPARD</v>
      </c>
      <c r="AE138" s="14" t="str">
        <v>630N</v>
      </c>
      <c r="AF138" s="27" t="str">
        <v>CN</v>
      </c>
      <c r="AG138" s="27" t="str">
        <v>PRT</v>
      </c>
      <c r="AH138" s="14" t="str">
        <v>CNSHA</v>
      </c>
    </row>
    <row r="139" spans="1:34" ht="25.2" customHeight="1" x14ac:dyDescent="0.45">
      <c r="A139" s="17" t="str">
        <v>HF</v>
      </c>
      <c r="B139" s="14" t="str">
        <v/>
      </c>
      <c r="C139" s="14" t="str">
        <v>MAEUIK0217110</v>
      </c>
      <c r="D139" s="17" t="str">
        <v>MRSU5229280</v>
      </c>
      <c r="E139" s="14" t="str">
        <v>C40HC</v>
      </c>
      <c r="F139" s="17" t="str">
        <v>277DT260803726340</v>
      </c>
      <c r="G139" s="15">
        <v>46270</v>
      </c>
      <c r="H139" s="16">
        <v>0.26041666666666674</v>
      </c>
      <c r="I139" s="15">
        <v>46265</v>
      </c>
      <c r="J139" s="17">
        <v>0</v>
      </c>
      <c r="K139" s="15">
        <v>46263</v>
      </c>
      <c r="L139" s="17" t="str">
        <v>373-STO-S10000030917</v>
      </c>
      <c r="M139" s="14" t="str">
        <v>400</v>
      </c>
      <c r="N139" s="14" t="str">
        <v>258DTS10000197556</v>
      </c>
      <c r="O139" s="14" t="str">
        <v>300</v>
      </c>
      <c r="P139" s="14">
        <v>0</v>
      </c>
      <c r="Q139" s="14">
        <v>46237</v>
      </c>
      <c r="R139" s="14">
        <v>726</v>
      </c>
      <c r="S139" s="14" t="str">
        <v>STO</v>
      </c>
      <c r="T139" s="14">
        <v>1844</v>
      </c>
      <c r="U139" s="14" t="str">
        <v>4.69666</v>
      </c>
      <c r="V139" s="14" t="str">
        <v>5.12119167</v>
      </c>
      <c r="W139" s="14">
        <v>966.9</v>
      </c>
      <c r="X139" s="14">
        <v>46253</v>
      </c>
      <c r="Y139" s="14">
        <v>46250</v>
      </c>
      <c r="Z139" s="14">
        <v>0</v>
      </c>
      <c r="AA139" s="14" t="str">
        <v>31825</v>
      </c>
      <c r="AB139" s="14" t="str">
        <v>MAERSK A/S</v>
      </c>
      <c r="AC139" s="14" t="str">
        <v>CN3556606</v>
      </c>
      <c r="AD139" s="14" t="str">
        <v>NORDLEOPARD</v>
      </c>
      <c r="AE139" s="14" t="str">
        <v>630N</v>
      </c>
      <c r="AF139" s="27" t="str">
        <v>CN</v>
      </c>
      <c r="AG139" s="27" t="str">
        <v>PRT</v>
      </c>
      <c r="AH139" s="14" t="str">
        <v>CNSHA</v>
      </c>
    </row>
    <row r="140" spans="1:34" ht="25.2" customHeight="1" x14ac:dyDescent="0.45">
      <c r="A140" s="17" t="str">
        <v>DD</v>
      </c>
      <c r="B140" s="14" t="str">
        <v>MILK RUN NOR</v>
      </c>
      <c r="C140" s="14" t="str">
        <v>EGLV003600948388</v>
      </c>
      <c r="D140" s="17" t="str">
        <v>EMCU6428170</v>
      </c>
      <c r="E140" s="14" t="str">
        <v>C20DV</v>
      </c>
      <c r="F140" s="17" t="str">
        <v>22280SUP262972601CP</v>
      </c>
      <c r="G140" s="15">
        <v>46269</v>
      </c>
      <c r="H140" s="16">
        <v>0.35416666666666674</v>
      </c>
      <c r="I140" s="15">
        <v>46265</v>
      </c>
      <c r="J140" s="17">
        <v>0</v>
      </c>
      <c r="K140" s="15">
        <v>46264</v>
      </c>
      <c r="L140" s="17" t="str">
        <v>373-STO-S10000030895</v>
      </c>
      <c r="M140" s="14" t="str">
        <v>420</v>
      </c>
      <c r="N140" s="14" t="str">
        <v>012TSOS10000388382</v>
      </c>
      <c r="O140" s="14" t="str">
        <v>300</v>
      </c>
      <c r="P140" s="14" t="str">
        <v>PHWAN5</v>
      </c>
      <c r="Q140" s="14">
        <v>46231</v>
      </c>
      <c r="R140" s="14">
        <v>726</v>
      </c>
      <c r="S140" s="14" t="str">
        <v>STO</v>
      </c>
      <c r="T140" s="14">
        <v>112</v>
      </c>
      <c r="U140" s="14" t="str">
        <v>3.518384</v>
      </c>
      <c r="V140" s="14" t="str">
        <v>3.785864</v>
      </c>
      <c r="W140" s="14">
        <v>208.05</v>
      </c>
      <c r="X140" s="14">
        <v>46260</v>
      </c>
      <c r="Y140" s="14">
        <v>46258</v>
      </c>
      <c r="Z140" s="14">
        <v>0</v>
      </c>
      <c r="AA140" s="14" t="str">
        <v>31267</v>
      </c>
      <c r="AB140" s="14" t="str">
        <v>EVERGREEN LINE</v>
      </c>
      <c r="AC140" s="14" t="str">
        <v>EMCCTB1045</v>
      </c>
      <c r="AD140" s="14" t="str">
        <v>EVER VAST</v>
      </c>
      <c r="AE140" s="14" t="str">
        <v>0295-027N</v>
      </c>
      <c r="AF140" s="27" t="str">
        <v>TW</v>
      </c>
      <c r="AG140" s="27" t="str">
        <v>PRT</v>
      </c>
      <c r="AH140" s="14" t="str">
        <v>TWTXG</v>
      </c>
    </row>
    <row r="141" spans="1:34" ht="25.2" customHeight="1" x14ac:dyDescent="0.45">
      <c r="A141" s="17" t="str">
        <v>DD</v>
      </c>
      <c r="B141" s="14" t="str">
        <v>MILK RUN NOR</v>
      </c>
      <c r="C141" s="14" t="str">
        <v>EGLV003600948388</v>
      </c>
      <c r="D141" s="17" t="str">
        <v>EMCU6428170</v>
      </c>
      <c r="E141" s="14" t="str">
        <v>C20DV</v>
      </c>
      <c r="F141" s="17" t="str">
        <v>22280SUP263072601CP</v>
      </c>
      <c r="G141" s="15">
        <v>46269</v>
      </c>
      <c r="H141" s="16">
        <v>0.35416666666666674</v>
      </c>
      <c r="I141" s="15">
        <v>46265</v>
      </c>
      <c r="J141" s="17">
        <v>0</v>
      </c>
      <c r="K141" s="15">
        <v>46264</v>
      </c>
      <c r="L141" s="17" t="str">
        <v>373-STO-S10000030895</v>
      </c>
      <c r="M141" s="14" t="str">
        <v>420</v>
      </c>
      <c r="N141" s="14" t="str">
        <v>012TSOS10000388382</v>
      </c>
      <c r="O141" s="14" t="str">
        <v>300</v>
      </c>
      <c r="P141" s="14" t="str">
        <v>PHWAN5</v>
      </c>
      <c r="Q141" s="14">
        <v>46231</v>
      </c>
      <c r="R141" s="14">
        <v>726</v>
      </c>
      <c r="S141" s="14" t="str">
        <v>STO</v>
      </c>
      <c r="T141" s="14">
        <v>84</v>
      </c>
      <c r="U141" s="14" t="str">
        <v>1.615824</v>
      </c>
      <c r="V141" s="14" t="str">
        <v>1.745997</v>
      </c>
      <c r="W141" s="14">
        <v>122.39</v>
      </c>
      <c r="X141" s="14">
        <v>46260</v>
      </c>
      <c r="Y141" s="14">
        <v>46258</v>
      </c>
      <c r="Z141" s="14">
        <v>0</v>
      </c>
      <c r="AA141" s="14" t="str">
        <v>31267</v>
      </c>
      <c r="AB141" s="14" t="str">
        <v>EVERGREEN LINE</v>
      </c>
      <c r="AC141" s="14" t="str">
        <v>EMCCTB1045</v>
      </c>
      <c r="AD141" s="14" t="str">
        <v>EVER VAST</v>
      </c>
      <c r="AE141" s="14" t="str">
        <v>0295-027N</v>
      </c>
      <c r="AF141" s="27" t="str">
        <v>TW</v>
      </c>
      <c r="AG141" s="27" t="str">
        <v>PRT</v>
      </c>
      <c r="AH141" s="14" t="str">
        <v>TWTXG</v>
      </c>
    </row>
    <row r="142" spans="1:34" ht="25.2" customHeight="1" x14ac:dyDescent="0.45">
      <c r="A142" s="17" t="str">
        <v>DD</v>
      </c>
      <c r="B142" s="14" t="str">
        <v>MILK RUN NOR</v>
      </c>
      <c r="C142" s="14" t="str">
        <v>EGLV003600948388</v>
      </c>
      <c r="D142" s="17" t="str">
        <v>EMCU6428170</v>
      </c>
      <c r="E142" s="14" t="str">
        <v>C20DV</v>
      </c>
      <c r="F142" s="17" t="str">
        <v>22280SUP263172601CP</v>
      </c>
      <c r="G142" s="15">
        <v>46269</v>
      </c>
      <c r="H142" s="16">
        <v>0.35416666666666674</v>
      </c>
      <c r="I142" s="15">
        <v>46265</v>
      </c>
      <c r="J142" s="17">
        <v>0</v>
      </c>
      <c r="K142" s="15">
        <v>46264</v>
      </c>
      <c r="L142" s="17" t="str">
        <v>373-STO-S10000030895</v>
      </c>
      <c r="M142" s="14" t="str">
        <v>420</v>
      </c>
      <c r="N142" s="14" t="str">
        <v>012TSOS10000388382</v>
      </c>
      <c r="O142" s="14" t="str">
        <v>300</v>
      </c>
      <c r="P142" s="14" t="str">
        <v>PHWAN5</v>
      </c>
      <c r="Q142" s="14">
        <v>46231</v>
      </c>
      <c r="R142" s="14">
        <v>726</v>
      </c>
      <c r="S142" s="14" t="str">
        <v>STO</v>
      </c>
      <c r="T142" s="14">
        <v>5216</v>
      </c>
      <c r="U142" s="14" t="str">
        <v>8.3812</v>
      </c>
      <c r="V142" s="14" t="str">
        <v>9.107704</v>
      </c>
      <c r="W142" s="14">
        <v>947.38</v>
      </c>
      <c r="X142" s="14">
        <v>46260</v>
      </c>
      <c r="Y142" s="14">
        <v>46258</v>
      </c>
      <c r="Z142" s="14">
        <v>0</v>
      </c>
      <c r="AA142" s="14" t="str">
        <v>31267</v>
      </c>
      <c r="AB142" s="14" t="str">
        <v>EVERGREEN LINE</v>
      </c>
      <c r="AC142" s="14" t="str">
        <v>EMCCTB1045</v>
      </c>
      <c r="AD142" s="14" t="str">
        <v>EVER VAST</v>
      </c>
      <c r="AE142" s="14" t="str">
        <v>0295-027N</v>
      </c>
      <c r="AF142" s="27" t="str">
        <v>TW</v>
      </c>
      <c r="AG142" s="27" t="str">
        <v>PRT</v>
      </c>
      <c r="AH142" s="14" t="str">
        <v>TWTXG</v>
      </c>
    </row>
    <row r="143" spans="1:34" ht="25.2" customHeight="1" x14ac:dyDescent="0.45">
      <c r="A143" s="17" t="str">
        <v>LF</v>
      </c>
      <c r="B143" s="14" t="str">
        <v>F/C</v>
      </c>
      <c r="C143" s="14" t="str">
        <v>MAEUIK0215134</v>
      </c>
      <c r="D143" s="17" t="str">
        <v>CAIU6262843</v>
      </c>
      <c r="E143" s="14" t="str">
        <v>C20DV</v>
      </c>
      <c r="F143" s="17" t="str">
        <v>294DT260720726601</v>
      </c>
      <c r="G143" s="15">
        <v>46269</v>
      </c>
      <c r="H143" s="16">
        <v>0.27083333333333326</v>
      </c>
      <c r="I143" s="15">
        <v>46259</v>
      </c>
      <c r="J143" s="17">
        <v>0</v>
      </c>
      <c r="K143" s="15">
        <v>46243</v>
      </c>
      <c r="L143" s="17" t="str">
        <v>373-STO-S10000030873</v>
      </c>
      <c r="M143" s="14" t="str">
        <v>400</v>
      </c>
      <c r="N143" s="14" t="str">
        <v>258DTS10000195521</v>
      </c>
      <c r="O143" s="14" t="str">
        <v>350</v>
      </c>
      <c r="P143" s="14" t="str">
        <v>SEZHA1</v>
      </c>
      <c r="Q143" s="14">
        <v>46223</v>
      </c>
      <c r="R143" s="14">
        <v>726</v>
      </c>
      <c r="S143" s="14" t="str">
        <v>STO</v>
      </c>
      <c r="T143" s="14">
        <v>7060</v>
      </c>
      <c r="U143" s="14" t="str">
        <v>8.529763</v>
      </c>
      <c r="V143" s="14" t="str">
        <v>9.20512881</v>
      </c>
      <c r="W143" s="14">
        <v>1675.4069999999999</v>
      </c>
      <c r="X143" s="14">
        <v>46237</v>
      </c>
      <c r="Y143" s="14">
        <v>46235</v>
      </c>
      <c r="Z143" s="14">
        <v>0</v>
      </c>
      <c r="AA143" s="14" t="str">
        <v>31825</v>
      </c>
      <c r="AB143" s="14" t="str">
        <v>MAERSK A/S</v>
      </c>
      <c r="AC143" s="14" t="str">
        <v>CN7830118</v>
      </c>
      <c r="AD143" s="14" t="str">
        <v>MERATUS JIMBARAN</v>
      </c>
      <c r="AE143" s="14" t="str">
        <v>630N</v>
      </c>
      <c r="AF143" s="27" t="str">
        <v>CN</v>
      </c>
      <c r="AG143" s="27" t="str">
        <v>PRT</v>
      </c>
      <c r="AH143" s="14" t="str">
        <v>CNSHA</v>
      </c>
    </row>
    <row r="144" spans="1:34" ht="25.2" customHeight="1" x14ac:dyDescent="0.45">
      <c r="A144" s="17" t="str">
        <v>LF</v>
      </c>
      <c r="B144" s="14" t="str">
        <v>F/C</v>
      </c>
      <c r="C144" s="14" t="str">
        <v>MAEUIK0215134</v>
      </c>
      <c r="D144" s="17" t="str">
        <v>CAIU6262843</v>
      </c>
      <c r="E144" s="14" t="str">
        <v>C20DV</v>
      </c>
      <c r="F144" s="17" t="str">
        <v>319DT260720726602</v>
      </c>
      <c r="G144" s="15">
        <v>46269</v>
      </c>
      <c r="H144" s="16">
        <v>0.27083333333333326</v>
      </c>
      <c r="I144" s="15">
        <v>46259</v>
      </c>
      <c r="J144" s="17">
        <v>0</v>
      </c>
      <c r="K144" s="15">
        <v>46243</v>
      </c>
      <c r="L144" s="17" t="str">
        <v>373-STO-S10000030873</v>
      </c>
      <c r="M144" s="14" t="str">
        <v>400</v>
      </c>
      <c r="N144" s="14" t="str">
        <v>258DTS10000195521</v>
      </c>
      <c r="O144" s="14" t="str">
        <v>350</v>
      </c>
      <c r="P144" s="14" t="str">
        <v>SEZHA1</v>
      </c>
      <c r="Q144" s="14">
        <v>46223</v>
      </c>
      <c r="R144" s="14">
        <v>726</v>
      </c>
      <c r="S144" s="14" t="str">
        <v>STO</v>
      </c>
      <c r="T144" s="14">
        <v>9952</v>
      </c>
      <c r="U144" s="14" t="str">
        <v>12.435784</v>
      </c>
      <c r="V144" s="14" t="str">
        <v>13.50563201</v>
      </c>
      <c r="W144" s="14">
        <v>2992.82</v>
      </c>
      <c r="X144" s="14">
        <v>46237</v>
      </c>
      <c r="Y144" s="14">
        <v>46235</v>
      </c>
      <c r="Z144" s="14">
        <v>0</v>
      </c>
      <c r="AA144" s="14" t="str">
        <v>31825</v>
      </c>
      <c r="AB144" s="14" t="str">
        <v>MAERSK A/S</v>
      </c>
      <c r="AC144" s="14" t="str">
        <v>CN7830118</v>
      </c>
      <c r="AD144" s="14" t="str">
        <v>MERATUS JIMBARAN</v>
      </c>
      <c r="AE144" s="14" t="str">
        <v>630N</v>
      </c>
      <c r="AF144" s="27" t="str">
        <v>CN</v>
      </c>
      <c r="AG144" s="27" t="str">
        <v>PRT</v>
      </c>
      <c r="AH144" s="14" t="str">
        <v>CNSHA</v>
      </c>
    </row>
    <row r="145" spans="1:34" ht="25.2" customHeight="1" x14ac:dyDescent="0.45">
      <c r="A145" s="17" t="str">
        <v>HF</v>
      </c>
      <c r="B145" s="14" t="str">
        <v/>
      </c>
      <c r="C145" s="14" t="str">
        <v>HDMUSHAA01967900</v>
      </c>
      <c r="D145" s="17" t="str">
        <v>HMMU4231353</v>
      </c>
      <c r="E145" s="14" t="str">
        <v>C40HC</v>
      </c>
      <c r="F145" s="17" t="str">
        <v>258DT260811726866</v>
      </c>
      <c r="G145" s="15">
        <v>46268</v>
      </c>
      <c r="H145" s="16">
        <v>0.27083333333333326</v>
      </c>
      <c r="I145" s="15">
        <v>46265</v>
      </c>
      <c r="J145" s="17">
        <v>0</v>
      </c>
      <c r="K145" s="15">
        <v>46263</v>
      </c>
      <c r="L145" s="17" t="str">
        <v>373-STO-S10000030916</v>
      </c>
      <c r="M145" s="14" t="str">
        <v>400</v>
      </c>
      <c r="N145" s="14" t="str">
        <v>258DTS10000198786</v>
      </c>
      <c r="O145" s="14" t="str">
        <v>350</v>
      </c>
      <c r="P145" s="14" t="str">
        <v>JEGAO9</v>
      </c>
      <c r="Q145" s="14">
        <v>46245</v>
      </c>
      <c r="R145" s="14">
        <v>726</v>
      </c>
      <c r="S145" s="14" t="str">
        <v>STO</v>
      </c>
      <c r="T145" s="14">
        <v>8767</v>
      </c>
      <c r="U145" s="14" t="str">
        <v>44.600037</v>
      </c>
      <c r="V145" s="14" t="str">
        <v>47.96724912</v>
      </c>
      <c r="W145" s="14">
        <v>8040.3459999999995</v>
      </c>
      <c r="X145" s="14">
        <v>46259</v>
      </c>
      <c r="Y145" s="14">
        <v>46257</v>
      </c>
      <c r="Z145" s="14">
        <v>0</v>
      </c>
      <c r="AA145" s="14" t="str">
        <v>31676</v>
      </c>
      <c r="AB145" s="14" t="str">
        <v>HMM CO., LTD.</v>
      </c>
      <c r="AC145" s="14" t="str">
        <v>26H0295437</v>
      </c>
      <c r="AD145" s="14" t="str">
        <v>HMM TOPAZ</v>
      </c>
      <c r="AE145" s="14" t="str">
        <v>0013E</v>
      </c>
      <c r="AF145" s="27" t="str">
        <v>CN</v>
      </c>
      <c r="AG145" s="27" t="str">
        <v>PRT</v>
      </c>
      <c r="AH145" s="14" t="str">
        <v>CNYAN</v>
      </c>
    </row>
    <row r="146" spans="1:34" ht="25.2" customHeight="1" x14ac:dyDescent="0.45">
      <c r="A146" s="17" t="str">
        <v>HF</v>
      </c>
      <c r="B146" s="14" t="str">
        <v/>
      </c>
      <c r="C146" s="14" t="str">
        <v>HDMUSHAA01967900</v>
      </c>
      <c r="D146" s="17" t="str">
        <v>HMMU4231353</v>
      </c>
      <c r="E146" s="14" t="str">
        <v>C40HC</v>
      </c>
      <c r="F146" s="17" t="str">
        <v>277DT260811726867</v>
      </c>
      <c r="G146" s="15">
        <v>46268</v>
      </c>
      <c r="H146" s="16">
        <v>0.27083333333333326</v>
      </c>
      <c r="I146" s="15">
        <v>46265</v>
      </c>
      <c r="J146" s="17">
        <v>0</v>
      </c>
      <c r="K146" s="15">
        <v>46263</v>
      </c>
      <c r="L146" s="17" t="str">
        <v>373-STO-S10000030916</v>
      </c>
      <c r="M146" s="14" t="str">
        <v>400</v>
      </c>
      <c r="N146" s="14" t="str">
        <v>258DTS10000198786</v>
      </c>
      <c r="O146" s="14" t="str">
        <v>350</v>
      </c>
      <c r="P146" s="14" t="str">
        <v>JEGAO9</v>
      </c>
      <c r="Q146" s="14">
        <v>46245</v>
      </c>
      <c r="R146" s="14">
        <v>726</v>
      </c>
      <c r="S146" s="14" t="str">
        <v>STO</v>
      </c>
      <c r="T146" s="14">
        <v>3272</v>
      </c>
      <c r="U146" s="14" t="str">
        <v>10.31126</v>
      </c>
      <c r="V146" s="14" t="str">
        <v>11.171166</v>
      </c>
      <c r="W146" s="14">
        <v>1624.346</v>
      </c>
      <c r="X146" s="14">
        <v>46259</v>
      </c>
      <c r="Y146" s="14">
        <v>46257</v>
      </c>
      <c r="Z146" s="14">
        <v>0</v>
      </c>
      <c r="AA146" s="14" t="str">
        <v>31676</v>
      </c>
      <c r="AB146" s="14" t="str">
        <v>HMM CO., LTD.</v>
      </c>
      <c r="AC146" s="14" t="str">
        <v>26H0295437</v>
      </c>
      <c r="AD146" s="14" t="str">
        <v>HMM TOPAZ</v>
      </c>
      <c r="AE146" s="14" t="str">
        <v>0013E</v>
      </c>
      <c r="AF146" s="27" t="str">
        <v>CN</v>
      </c>
      <c r="AG146" s="27" t="str">
        <v>PRT</v>
      </c>
      <c r="AH146" s="14" t="str">
        <v>CNYAN</v>
      </c>
    </row>
    <row r="147" spans="1:34" ht="25.2" customHeight="1" x14ac:dyDescent="0.45">
      <c r="A147" s="17" t="str">
        <v>DD</v>
      </c>
      <c r="B147" s="14" t="str">
        <v>MILK RUN NOR</v>
      </c>
      <c r="C147" s="14" t="str">
        <v>MAEUIK0216531</v>
      </c>
      <c r="D147" s="17" t="str">
        <v>MRKU3094060</v>
      </c>
      <c r="E147" s="14" t="str">
        <v>C40HC</v>
      </c>
      <c r="F147" s="17" t="str">
        <v>21985SUPECIS42181</v>
      </c>
      <c r="G147" s="15">
        <v>46268</v>
      </c>
      <c r="H147" s="16">
        <v>0.22916666666666674</v>
      </c>
      <c r="I147" s="15">
        <v>46265</v>
      </c>
      <c r="J147" s="17">
        <v>0</v>
      </c>
      <c r="K147" s="15">
        <v>46263</v>
      </c>
      <c r="L147" s="17" t="str">
        <v>373-STO-S10000030893</v>
      </c>
      <c r="M147" s="14" t="str">
        <v>440</v>
      </c>
      <c r="N147" s="14" t="str">
        <v>037TSOS10000669303</v>
      </c>
      <c r="O147" s="14" t="str">
        <v>350</v>
      </c>
      <c r="P147" s="14" t="str">
        <v>JUWAN78</v>
      </c>
      <c r="Q147" s="14">
        <v>46232</v>
      </c>
      <c r="R147" s="14">
        <v>726</v>
      </c>
      <c r="S147" s="14" t="str">
        <v>STO</v>
      </c>
      <c r="T147" s="14">
        <v>24</v>
      </c>
      <c r="U147" s="14" t="str">
        <v>0.354696</v>
      </c>
      <c r="V147" s="14" t="str">
        <v>0.4077</v>
      </c>
      <c r="W147" s="14">
        <v>115</v>
      </c>
      <c r="X147" s="14">
        <v>46248</v>
      </c>
      <c r="Y147" s="14">
        <v>46250</v>
      </c>
      <c r="Z147" s="14">
        <v>0</v>
      </c>
      <c r="AA147" s="14" t="str">
        <v>31825</v>
      </c>
      <c r="AB147" s="14" t="str">
        <v>MAERSK A/S</v>
      </c>
      <c r="AC147" s="14" t="str">
        <v>CN7982819</v>
      </c>
      <c r="AD147" s="14" t="str">
        <v>NORDLEOPARD</v>
      </c>
      <c r="AE147" s="14" t="str">
        <v>630N</v>
      </c>
      <c r="AF147" s="27" t="str">
        <v>CN</v>
      </c>
      <c r="AG147" s="27" t="str">
        <v>PRT</v>
      </c>
      <c r="AH147" s="14" t="str">
        <v>CNSHA</v>
      </c>
    </row>
    <row r="148" spans="1:34" ht="25.2" customHeight="1" x14ac:dyDescent="0.45">
      <c r="A148" s="17" t="str">
        <v>DD</v>
      </c>
      <c r="B148" s="14" t="str">
        <v>MILK RUN NOR</v>
      </c>
      <c r="C148" s="14" t="str">
        <v>MAEUIK0215542</v>
      </c>
      <c r="D148" s="17" t="str">
        <v>TCKU6516340</v>
      </c>
      <c r="E148" s="14" t="str">
        <v>C40HC</v>
      </c>
      <c r="F148" s="17" t="str">
        <v>22075SUP2600116672</v>
      </c>
      <c r="G148" s="15">
        <v>46267</v>
      </c>
      <c r="H148" s="16">
        <v>0.35416666666666674</v>
      </c>
      <c r="I148" s="15">
        <v>46265</v>
      </c>
      <c r="J148" s="17">
        <v>0</v>
      </c>
      <c r="K148" s="15">
        <v>46263</v>
      </c>
      <c r="L148" s="17" t="str">
        <v>373-STO-S10000030879</v>
      </c>
      <c r="M148" s="14" t="str">
        <v>420</v>
      </c>
      <c r="N148" s="14" t="str">
        <v>037TSOS10000664214</v>
      </c>
      <c r="O148" s="14" t="str">
        <v>300</v>
      </c>
      <c r="P148" s="14" t="str">
        <v>JUWAN78</v>
      </c>
      <c r="Q148" s="14">
        <v>46225</v>
      </c>
      <c r="R148" s="14">
        <v>726</v>
      </c>
      <c r="S148" s="14" t="str">
        <v>STO</v>
      </c>
      <c r="T148" s="14">
        <v>64</v>
      </c>
      <c r="U148" s="14" t="str">
        <v>3.878652</v>
      </c>
      <c r="V148" s="14" t="str">
        <v>4.152677</v>
      </c>
      <c r="W148" s="14">
        <v>1136.646</v>
      </c>
      <c r="X148" s="14">
        <v>46248</v>
      </c>
      <c r="Y148" s="14">
        <v>46246</v>
      </c>
      <c r="Z148" s="14">
        <v>0</v>
      </c>
      <c r="AA148" s="14" t="str">
        <v>31825</v>
      </c>
      <c r="AB148" s="14" t="str">
        <v>MAERSK A/S</v>
      </c>
      <c r="AC148" s="14" t="str">
        <v>CN4465686</v>
      </c>
      <c r="AD148" s="14" t="str">
        <v>NORDLEOPARD</v>
      </c>
      <c r="AE148" s="14" t="str">
        <v>630N</v>
      </c>
      <c r="AF148" s="27" t="str">
        <v>CN</v>
      </c>
      <c r="AG148" s="27" t="str">
        <v>PRT</v>
      </c>
      <c r="AH148" s="14" t="str">
        <v>CNSHA</v>
      </c>
    </row>
    <row r="149" spans="1:34" ht="25.2" customHeight="1" x14ac:dyDescent="0.45">
      <c r="A149" s="17" t="str">
        <v>DD</v>
      </c>
      <c r="B149" s="14" t="str">
        <v>MILK RUN NOR</v>
      </c>
      <c r="C149" s="14" t="str">
        <v>MAEUIK0215542</v>
      </c>
      <c r="D149" s="17" t="str">
        <v>TCKU6516340</v>
      </c>
      <c r="E149" s="14" t="str">
        <v>C40HC</v>
      </c>
      <c r="F149" s="17" t="str">
        <v>22121SUPUE065997</v>
      </c>
      <c r="G149" s="15">
        <v>46267</v>
      </c>
      <c r="H149" s="16">
        <v>0.35416666666666674</v>
      </c>
      <c r="I149" s="15">
        <v>46265</v>
      </c>
      <c r="J149" s="17">
        <v>0</v>
      </c>
      <c r="K149" s="15">
        <v>46263</v>
      </c>
      <c r="L149" s="17" t="str">
        <v>373-STO-S10000030879</v>
      </c>
      <c r="M149" s="14" t="str">
        <v>420</v>
      </c>
      <c r="N149" s="14" t="str">
        <v>037TSOS10000664214</v>
      </c>
      <c r="O149" s="14" t="str">
        <v>300</v>
      </c>
      <c r="P149" s="14" t="str">
        <v>JUWAN78</v>
      </c>
      <c r="Q149" s="14">
        <v>46225</v>
      </c>
      <c r="R149" s="14">
        <v>726</v>
      </c>
      <c r="S149" s="14" t="str">
        <v>STO</v>
      </c>
      <c r="T149" s="14">
        <v>106</v>
      </c>
      <c r="U149" s="14" t="str">
        <v>10.114318</v>
      </c>
      <c r="V149" s="14" t="str">
        <v>11.006217</v>
      </c>
      <c r="W149" s="14">
        <v>1202.3399999999999</v>
      </c>
      <c r="X149" s="14">
        <v>46261</v>
      </c>
      <c r="Y149" s="14">
        <v>46246</v>
      </c>
      <c r="Z149" s="14">
        <v>0</v>
      </c>
      <c r="AA149" s="14" t="str">
        <v>31825</v>
      </c>
      <c r="AB149" s="14" t="str">
        <v>MAERSK A/S</v>
      </c>
      <c r="AC149" s="14" t="str">
        <v>CN4465686</v>
      </c>
      <c r="AD149" s="14" t="str">
        <v>NORDLEOPARD</v>
      </c>
      <c r="AE149" s="14" t="str">
        <v>630N</v>
      </c>
      <c r="AF149" s="27" t="str">
        <v>CN</v>
      </c>
      <c r="AG149" s="27" t="str">
        <v>PRT</v>
      </c>
      <c r="AH149" s="14" t="str">
        <v>CNSHA</v>
      </c>
    </row>
    <row r="150" spans="1:34" ht="25.2" customHeight="1" x14ac:dyDescent="0.45">
      <c r="A150" s="17" t="str">
        <v>LF</v>
      </c>
      <c r="B150" s="14">
        <v>0</v>
      </c>
      <c r="C150" s="14" t="str">
        <v>MAEUIK0217261</v>
      </c>
      <c r="D150" s="17" t="str">
        <v>UETU8127800</v>
      </c>
      <c r="E150" s="14" t="str">
        <v>C40HC</v>
      </c>
      <c r="F150" s="17" t="str">
        <v>294DT260803726970</v>
      </c>
      <c r="G150" s="15">
        <v>46267</v>
      </c>
      <c r="H150" s="16">
        <v>0.27083333333333326</v>
      </c>
      <c r="I150" s="15">
        <v>46262</v>
      </c>
      <c r="J150" s="17">
        <v>0</v>
      </c>
      <c r="K150" s="15">
        <v>46260</v>
      </c>
      <c r="L150" s="17" t="str">
        <v>373-STO-S10000030876</v>
      </c>
      <c r="M150" s="14" t="str">
        <v>400</v>
      </c>
      <c r="N150" s="14" t="str">
        <v>258DTS10000197675</v>
      </c>
      <c r="O150" s="14" t="str">
        <v>350</v>
      </c>
      <c r="P150" s="14" t="str">
        <v>LARXU</v>
      </c>
      <c r="Q150" s="14">
        <v>46237</v>
      </c>
      <c r="R150" s="14">
        <v>726</v>
      </c>
      <c r="S150" s="14" t="str">
        <v>STO</v>
      </c>
      <c r="T150" s="14">
        <v>3546</v>
      </c>
      <c r="U150" s="14" t="str">
        <v>6.399728</v>
      </c>
      <c r="V150" s="14" t="str">
        <v>6.91614234</v>
      </c>
      <c r="W150" s="14">
        <v>1490.8579999999999</v>
      </c>
      <c r="X150" s="14">
        <v>46252</v>
      </c>
      <c r="Y150" s="14">
        <v>46249</v>
      </c>
      <c r="Z150" s="14">
        <v>0</v>
      </c>
      <c r="AA150" s="14" t="str">
        <v>31825</v>
      </c>
      <c r="AB150" s="14" t="str">
        <v>MAERSK A/S</v>
      </c>
      <c r="AC150" s="14" t="str">
        <v>CN8087492</v>
      </c>
      <c r="AD150" s="14" t="str">
        <v>MERATUS TOMINI</v>
      </c>
      <c r="AE150" s="14" t="str">
        <v>632N</v>
      </c>
      <c r="AF150" s="27" t="str">
        <v>CN</v>
      </c>
      <c r="AG150" s="27" t="str">
        <v>PRT</v>
      </c>
      <c r="AH150" s="14" t="str">
        <v>CNSHA</v>
      </c>
    </row>
    <row r="151" spans="1:34" ht="25.2" customHeight="1" x14ac:dyDescent="0.45">
      <c r="A151" s="17" t="str">
        <v>LF</v>
      </c>
      <c r="B151" s="14">
        <v>0</v>
      </c>
      <c r="C151" s="14" t="str">
        <v>MAEUIK0217261</v>
      </c>
      <c r="D151" s="17" t="str">
        <v>UETU8127800</v>
      </c>
      <c r="E151" s="14" t="str">
        <v>C40HC</v>
      </c>
      <c r="F151" s="17" t="str">
        <v>319DT260803726971</v>
      </c>
      <c r="G151" s="15">
        <v>46267</v>
      </c>
      <c r="H151" s="16">
        <v>0.27083333333333326</v>
      </c>
      <c r="I151" s="15">
        <v>46262</v>
      </c>
      <c r="J151" s="17">
        <v>0</v>
      </c>
      <c r="K151" s="15">
        <v>46260</v>
      </c>
      <c r="L151" s="17" t="str">
        <v>373-STO-S10000030876</v>
      </c>
      <c r="M151" s="14" t="str">
        <v>400</v>
      </c>
      <c r="N151" s="14" t="str">
        <v>258DTS10000197675</v>
      </c>
      <c r="O151" s="14" t="str">
        <v>350</v>
      </c>
      <c r="P151" s="14" t="str">
        <v>LARXU</v>
      </c>
      <c r="Q151" s="14">
        <v>46237</v>
      </c>
      <c r="R151" s="14">
        <v>726</v>
      </c>
      <c r="S151" s="14" t="str">
        <v>STO</v>
      </c>
      <c r="T151" s="14">
        <v>10361</v>
      </c>
      <c r="U151" s="14" t="str">
        <v>41.931167</v>
      </c>
      <c r="V151" s="14" t="str">
        <v>44.98813925</v>
      </c>
      <c r="W151" s="14">
        <v>3737.9090000000001</v>
      </c>
      <c r="X151" s="14">
        <v>46252</v>
      </c>
      <c r="Y151" s="14">
        <v>46249</v>
      </c>
      <c r="Z151" s="14">
        <v>0</v>
      </c>
      <c r="AA151" s="14" t="str">
        <v>31825</v>
      </c>
      <c r="AB151" s="14" t="str">
        <v>MAERSK A/S</v>
      </c>
      <c r="AC151" s="14" t="str">
        <v>CN8087492</v>
      </c>
      <c r="AD151" s="14" t="str">
        <v>MERATUS TOMINI</v>
      </c>
      <c r="AE151" s="14" t="str">
        <v>632N</v>
      </c>
      <c r="AF151" s="27" t="str">
        <v>CN</v>
      </c>
      <c r="AG151" s="27" t="str">
        <v>PRT</v>
      </c>
      <c r="AH151" s="14" t="str">
        <v>CNSHA</v>
      </c>
    </row>
    <row r="152" spans="1:34" ht="25.2" customHeight="1" x14ac:dyDescent="0.45">
      <c r="A152" s="17" t="str">
        <v>LF</v>
      </c>
      <c r="B152" s="14" t="str">
        <v>F/C</v>
      </c>
      <c r="C152" s="14" t="str">
        <v>MAEUIK0213569</v>
      </c>
      <c r="D152" s="17" t="str">
        <v>MSKU5463723</v>
      </c>
      <c r="E152" s="14" t="str">
        <v>C20DV</v>
      </c>
      <c r="F152" s="17" t="str">
        <v>294DT260709726491</v>
      </c>
      <c r="G152" s="15">
        <v>46266</v>
      </c>
      <c r="H152" s="16">
        <v>0.27083333333333326</v>
      </c>
      <c r="I152" s="15">
        <v>46259</v>
      </c>
      <c r="J152" s="17">
        <v>0</v>
      </c>
      <c r="K152" s="15">
        <v>46243</v>
      </c>
      <c r="L152" s="17" t="str">
        <v>373-STO-S10000030849</v>
      </c>
      <c r="M152" s="14" t="str">
        <v>400</v>
      </c>
      <c r="N152" s="14" t="str">
        <v>258DTS10000194172</v>
      </c>
      <c r="O152" s="14" t="str">
        <v>350</v>
      </c>
      <c r="P152" s="14" t="str">
        <v>LARXU</v>
      </c>
      <c r="Q152" s="14">
        <v>46212</v>
      </c>
      <c r="R152" s="14">
        <v>726</v>
      </c>
      <c r="S152" s="14" t="str">
        <v>STO</v>
      </c>
      <c r="T152" s="14">
        <v>4636</v>
      </c>
      <c r="U152" s="14" t="str">
        <v>4.469627</v>
      </c>
      <c r="V152" s="14" t="str">
        <v>4.83124452</v>
      </c>
      <c r="W152" s="14">
        <v>1238.511</v>
      </c>
      <c r="X152" s="14">
        <v>46232</v>
      </c>
      <c r="Y152" s="14">
        <v>46230</v>
      </c>
      <c r="Z152" s="14">
        <v>0</v>
      </c>
      <c r="AA152" s="14" t="str">
        <v>31825</v>
      </c>
      <c r="AB152" s="14" t="str">
        <v>MAERSK A/S</v>
      </c>
      <c r="AC152" s="14" t="str">
        <v>CN2690918</v>
      </c>
      <c r="AD152" s="14" t="str">
        <v>GSL ELEFTHERIA</v>
      </c>
      <c r="AE152" s="14" t="str">
        <v>629N</v>
      </c>
      <c r="AF152" s="27" t="str">
        <v>CN</v>
      </c>
      <c r="AG152" s="27" t="str">
        <v>PRT</v>
      </c>
      <c r="AH152" s="14" t="str">
        <v>CNSHA</v>
      </c>
    </row>
    <row r="153" spans="1:34" ht="25.2" customHeight="1" x14ac:dyDescent="0.45">
      <c r="A153" s="17" t="str">
        <v>LF</v>
      </c>
      <c r="B153" s="14" t="str">
        <v>F/C</v>
      </c>
      <c r="C153" s="14" t="str">
        <v>MAEUIK0213569</v>
      </c>
      <c r="D153" s="17" t="str">
        <v>MSKU5463723</v>
      </c>
      <c r="E153" s="14" t="str">
        <v>C20DV</v>
      </c>
      <c r="F153" s="17" t="str">
        <v>319DT260709726492</v>
      </c>
      <c r="G153" s="15">
        <v>46266</v>
      </c>
      <c r="H153" s="16">
        <v>0.27083333333333326</v>
      </c>
      <c r="I153" s="15">
        <v>46259</v>
      </c>
      <c r="J153" s="17">
        <v>0</v>
      </c>
      <c r="K153" s="15">
        <v>46243</v>
      </c>
      <c r="L153" s="17" t="str">
        <v>373-STO-S10000030849</v>
      </c>
      <c r="M153" s="14" t="str">
        <v>400</v>
      </c>
      <c r="N153" s="14" t="str">
        <v>258DTS10000194172</v>
      </c>
      <c r="O153" s="14" t="str">
        <v>350</v>
      </c>
      <c r="P153" s="14" t="str">
        <v>LARXU</v>
      </c>
      <c r="Q153" s="14">
        <v>46212</v>
      </c>
      <c r="R153" s="14">
        <v>726</v>
      </c>
      <c r="S153" s="14" t="str">
        <v>STO</v>
      </c>
      <c r="T153" s="14">
        <v>10559</v>
      </c>
      <c r="U153" s="14" t="str">
        <v>16.479342</v>
      </c>
      <c r="V153" s="14" t="str">
        <v>17.82734987</v>
      </c>
      <c r="W153" s="14">
        <v>3422.8919999999998</v>
      </c>
      <c r="X153" s="14">
        <v>46232</v>
      </c>
      <c r="Y153" s="14">
        <v>46230</v>
      </c>
      <c r="Z153" s="14">
        <v>0</v>
      </c>
      <c r="AA153" s="14" t="str">
        <v>31825</v>
      </c>
      <c r="AB153" s="14" t="str">
        <v>MAERSK A/S</v>
      </c>
      <c r="AC153" s="14" t="str">
        <v>CN2690918</v>
      </c>
      <c r="AD153" s="14" t="str">
        <v>GSL ELEFTHERIA</v>
      </c>
      <c r="AE153" s="14" t="str">
        <v>629N</v>
      </c>
      <c r="AF153" s="27" t="str">
        <v>CN</v>
      </c>
      <c r="AG153" s="27" t="str">
        <v>PRT</v>
      </c>
      <c r="AH153" s="14" t="str">
        <v>CNSHA</v>
      </c>
    </row>
    <row r="154" spans="1:34" ht="25.2" customHeight="1" x14ac:dyDescent="0.45">
      <c r="A154" s="17" t="str">
        <v>DD</v>
      </c>
      <c r="B154" s="14" t="str">
        <v>MILK RUN NOR</v>
      </c>
      <c r="C154" s="14" t="str">
        <v>OOLU2172202190</v>
      </c>
      <c r="D154" s="17" t="str">
        <v>OOLU8954764</v>
      </c>
      <c r="E154" s="14" t="str">
        <v>C40HC</v>
      </c>
      <c r="F154" s="17" t="str">
        <v>23273SUP3633531</v>
      </c>
      <c r="G154" s="15">
        <v>46265</v>
      </c>
      <c r="H154" s="16">
        <v>0.22916666666666674</v>
      </c>
      <c r="I154" s="15">
        <v>46258</v>
      </c>
      <c r="J154" s="17">
        <v>0</v>
      </c>
      <c r="K154" s="15">
        <v>46256</v>
      </c>
      <c r="L154" s="17" t="str">
        <v>373-STO-S10000030831</v>
      </c>
      <c r="M154" s="14" t="str">
        <v>400</v>
      </c>
      <c r="N154" s="14" t="str">
        <v>030TSOS10000128514</v>
      </c>
      <c r="O154" s="14" t="str">
        <v>350</v>
      </c>
      <c r="P154" s="14" t="str">
        <v>JEGAO9</v>
      </c>
      <c r="Q154" s="14">
        <v>46223</v>
      </c>
      <c r="R154" s="14">
        <v>726</v>
      </c>
      <c r="S154" s="14" t="str">
        <v>STO</v>
      </c>
      <c r="T154" s="14">
        <v>60</v>
      </c>
      <c r="U154" s="14" t="str">
        <v>8.47983</v>
      </c>
      <c r="V154" s="14" t="str">
        <v>8.905932</v>
      </c>
      <c r="W154" s="14">
        <v>1541.8679999999999</v>
      </c>
      <c r="X154" s="14">
        <v>46248</v>
      </c>
      <c r="Y154" s="14">
        <v>46246</v>
      </c>
      <c r="Z154" s="14">
        <v>0</v>
      </c>
      <c r="AA154" s="14" t="str">
        <v>30105</v>
      </c>
      <c r="AB154" s="14" t="str">
        <v>ORIENT OVERSEAS CONTAINER LINE LTD.</v>
      </c>
      <c r="AC154" s="14" t="str">
        <v>OOLKXQ5448</v>
      </c>
      <c r="AD154" s="14" t="str">
        <v>OOCL SINGAPORE</v>
      </c>
      <c r="AE154" s="14" t="str">
        <v>068W</v>
      </c>
      <c r="AF154" s="27" t="str">
        <v>CN</v>
      </c>
      <c r="AG154" s="27" t="str">
        <v>PRT</v>
      </c>
      <c r="AH154" s="14" t="str">
        <v>CNTXG</v>
      </c>
    </row>
    <row r="155" spans="1:34" ht="25.2" customHeight="1" x14ac:dyDescent="0.45">
      <c r="A155" s="17" t="str">
        <v>DD</v>
      </c>
      <c r="B155" s="14" t="str">
        <v>MILK RUN NOR</v>
      </c>
      <c r="C155" s="14" t="str">
        <v>EGLV003600846496</v>
      </c>
      <c r="D155" s="17" t="str">
        <v>SEKU1029018</v>
      </c>
      <c r="E155" s="14" t="str">
        <v>C20DV</v>
      </c>
      <c r="F155" s="17" t="str">
        <v>16642SUP262872601</v>
      </c>
      <c r="G155" s="15">
        <v>46264</v>
      </c>
      <c r="H155" s="16">
        <v>0.22916666666666674</v>
      </c>
      <c r="I155" s="15">
        <v>46258</v>
      </c>
      <c r="J155" s="17">
        <v>0</v>
      </c>
      <c r="K155" s="15">
        <v>46257</v>
      </c>
      <c r="L155" s="17" t="str">
        <v>373-STO-S10000030821</v>
      </c>
      <c r="M155" s="14" t="str">
        <v>420</v>
      </c>
      <c r="N155" s="14" t="str">
        <v>012TSOS10000380393</v>
      </c>
      <c r="O155" s="14" t="str">
        <v>300</v>
      </c>
      <c r="P155" s="14" t="str">
        <v>PHWAN5</v>
      </c>
      <c r="Q155" s="14">
        <v>46209</v>
      </c>
      <c r="R155" s="14">
        <v>726</v>
      </c>
      <c r="S155" s="14" t="str">
        <v>STO</v>
      </c>
      <c r="T155" s="14">
        <v>4800</v>
      </c>
      <c r="U155" s="14" t="str">
        <v>0.6336</v>
      </c>
      <c r="V155" s="14" t="str">
        <v>0.732206</v>
      </c>
      <c r="W155" s="14">
        <v>257.16000000000003</v>
      </c>
      <c r="X155" s="14">
        <v>46237</v>
      </c>
      <c r="Y155" s="14">
        <v>46252</v>
      </c>
      <c r="Z155" s="14">
        <v>0</v>
      </c>
      <c r="AA155" s="14" t="str">
        <v>31267</v>
      </c>
      <c r="AB155" s="14" t="str">
        <v>EVERGREEN LINE</v>
      </c>
      <c r="AC155" s="14" t="str">
        <v>EMCCQQ5395</v>
      </c>
      <c r="AD155" s="14" t="str">
        <v>EVER VIVE</v>
      </c>
      <c r="AE155" s="14" t="str">
        <v>0294-022N</v>
      </c>
      <c r="AF155" s="27" t="str">
        <v>TW</v>
      </c>
      <c r="AG155" s="27" t="str">
        <v>PRT</v>
      </c>
      <c r="AH155" s="14" t="str">
        <v>TWTXG</v>
      </c>
    </row>
    <row r="156" spans="1:34" ht="25.2" customHeight="1" x14ac:dyDescent="0.45">
      <c r="A156" s="17" t="str">
        <v>LF</v>
      </c>
      <c r="B156" s="14">
        <v>0</v>
      </c>
      <c r="C156" s="14" t="str">
        <v>PLISH7H34186</v>
      </c>
      <c r="D156" s="17" t="str">
        <v>KMTU9490381</v>
      </c>
      <c r="E156" s="14" t="str">
        <v>C40HC</v>
      </c>
      <c r="F156" s="17" t="str">
        <v>294DT260720726574</v>
      </c>
      <c r="G156" s="15">
        <v>46264</v>
      </c>
      <c r="H156" s="16">
        <v>0.26041666666666674</v>
      </c>
      <c r="I156" s="15">
        <v>46258</v>
      </c>
      <c r="J156" s="17">
        <v>0</v>
      </c>
      <c r="K156" s="15">
        <v>46255</v>
      </c>
      <c r="L156" s="17" t="str">
        <v>373-STO-S10000030828</v>
      </c>
      <c r="M156" s="14" t="str">
        <v>400</v>
      </c>
      <c r="N156" s="14" t="str">
        <v>258DTS10000195525</v>
      </c>
      <c r="O156" s="14" t="str">
        <v>500</v>
      </c>
      <c r="P156" s="14" t="str">
        <v>SEZHA1</v>
      </c>
      <c r="Q156" s="14">
        <v>46223</v>
      </c>
      <c r="R156" s="14">
        <v>726</v>
      </c>
      <c r="S156" s="14" t="str">
        <v>STO</v>
      </c>
      <c r="T156" s="14">
        <v>12916</v>
      </c>
      <c r="U156" s="14" t="str">
        <v>15.438219</v>
      </c>
      <c r="V156" s="14" t="str">
        <v>16.57289821</v>
      </c>
      <c r="W156" s="14">
        <v>2981.9929999999999</v>
      </c>
      <c r="X156" s="14">
        <v>46243</v>
      </c>
      <c r="Y156" s="14">
        <v>46241</v>
      </c>
      <c r="Z156" s="14">
        <v>46239</v>
      </c>
      <c r="AA156" s="14" t="str">
        <v>33300</v>
      </c>
      <c r="AB156" s="14" t="str">
        <v>LX PANTOS CO., LTD.</v>
      </c>
      <c r="AC156" s="14" t="str">
        <v>CF542193</v>
      </c>
      <c r="AD156" s="14" t="str">
        <v>ZHONG SHENG TUO HAI</v>
      </c>
      <c r="AE156" s="14" t="str">
        <v>2622N</v>
      </c>
      <c r="AF156" s="27" t="str">
        <v>CN</v>
      </c>
      <c r="AG156" s="27" t="str">
        <v>PRT</v>
      </c>
      <c r="AH156" s="14" t="str">
        <v>CNSHA</v>
      </c>
    </row>
    <row r="157" spans="1:34" ht="25.2" customHeight="1" x14ac:dyDescent="0.45">
      <c r="A157" s="17" t="str">
        <v>LF</v>
      </c>
      <c r="B157" s="14">
        <v>0</v>
      </c>
      <c r="C157" s="14" t="str">
        <v>PLISH7H34186</v>
      </c>
      <c r="D157" s="17" t="str">
        <v>KMTU9490381</v>
      </c>
      <c r="E157" s="14" t="str">
        <v>C40HC</v>
      </c>
      <c r="F157" s="17" t="str">
        <v>294DT260720726577</v>
      </c>
      <c r="G157" s="15">
        <v>46264</v>
      </c>
      <c r="H157" s="16">
        <v>0.26041666666666674</v>
      </c>
      <c r="I157" s="15">
        <v>46258</v>
      </c>
      <c r="J157" s="17">
        <v>0</v>
      </c>
      <c r="K157" s="15">
        <v>46255</v>
      </c>
      <c r="L157" s="17" t="str">
        <v>373-STO-S10000030828</v>
      </c>
      <c r="M157" s="14" t="str">
        <v>400</v>
      </c>
      <c r="N157" s="14" t="str">
        <v>258DTS10000195525</v>
      </c>
      <c r="O157" s="14" t="str">
        <v>500</v>
      </c>
      <c r="P157" s="14" t="str">
        <v>SEZHA1</v>
      </c>
      <c r="Q157" s="14">
        <v>46223</v>
      </c>
      <c r="R157" s="14">
        <v>726</v>
      </c>
      <c r="S157" s="14" t="str">
        <v>STO</v>
      </c>
      <c r="T157" s="14">
        <v>364</v>
      </c>
      <c r="U157" s="14" t="str">
        <v>1.519804</v>
      </c>
      <c r="V157" s="14" t="str">
        <v>1.620825</v>
      </c>
      <c r="W157" s="14">
        <v>217.68</v>
      </c>
      <c r="X157" s="14">
        <v>46243</v>
      </c>
      <c r="Y157" s="14">
        <v>46241</v>
      </c>
      <c r="Z157" s="14">
        <v>46239</v>
      </c>
      <c r="AA157" s="14" t="str">
        <v>33300</v>
      </c>
      <c r="AB157" s="14" t="str">
        <v>LX PANTOS CO., LTD.</v>
      </c>
      <c r="AC157" s="14" t="str">
        <v>CF542193</v>
      </c>
      <c r="AD157" s="14" t="str">
        <v>ZHONG SHENG TUO HAI</v>
      </c>
      <c r="AE157" s="14" t="str">
        <v>2622N</v>
      </c>
      <c r="AF157" s="27" t="str">
        <v>CN</v>
      </c>
      <c r="AG157" s="27" t="str">
        <v>PRT</v>
      </c>
      <c r="AH157" s="14" t="str">
        <v>CNSHA</v>
      </c>
    </row>
    <row r="158" spans="1:34" ht="25.2" customHeight="1" x14ac:dyDescent="0.45">
      <c r="A158" s="17" t="str">
        <v>LF</v>
      </c>
      <c r="B158" s="14">
        <v>0</v>
      </c>
      <c r="C158" s="14" t="str">
        <v>PLISH7H34186</v>
      </c>
      <c r="D158" s="17" t="str">
        <v>KMTU9490381</v>
      </c>
      <c r="E158" s="14" t="str">
        <v>C40HC</v>
      </c>
      <c r="F158" s="17" t="str">
        <v>319DT260720726575</v>
      </c>
      <c r="G158" s="15">
        <v>46264</v>
      </c>
      <c r="H158" s="16">
        <v>0.26041666666666674</v>
      </c>
      <c r="I158" s="15">
        <v>46258</v>
      </c>
      <c r="J158" s="17">
        <v>0</v>
      </c>
      <c r="K158" s="15">
        <v>46255</v>
      </c>
      <c r="L158" s="17" t="str">
        <v>373-STO-S10000030828</v>
      </c>
      <c r="M158" s="14" t="str">
        <v>400</v>
      </c>
      <c r="N158" s="14" t="str">
        <v>258DTS10000195525</v>
      </c>
      <c r="O158" s="14" t="str">
        <v>500</v>
      </c>
      <c r="P158" s="14" t="str">
        <v>SEZHA1</v>
      </c>
      <c r="Q158" s="14">
        <v>46223</v>
      </c>
      <c r="R158" s="14">
        <v>726</v>
      </c>
      <c r="S158" s="14" t="str">
        <v>STO</v>
      </c>
      <c r="T158" s="14">
        <v>11970</v>
      </c>
      <c r="U158" s="14" t="str">
        <v>30.270784</v>
      </c>
      <c r="V158" s="14" t="str">
        <v>32.65517654</v>
      </c>
      <c r="W158" s="14">
        <v>5518.6880000000001</v>
      </c>
      <c r="X158" s="14">
        <v>46243</v>
      </c>
      <c r="Y158" s="14">
        <v>46241</v>
      </c>
      <c r="Z158" s="14">
        <v>46239</v>
      </c>
      <c r="AA158" s="14" t="str">
        <v>33300</v>
      </c>
      <c r="AB158" s="14" t="str">
        <v>LX PANTOS CO., LTD.</v>
      </c>
      <c r="AC158" s="14" t="str">
        <v>CF542193</v>
      </c>
      <c r="AD158" s="14" t="str">
        <v>ZHONG SHENG TUO HAI</v>
      </c>
      <c r="AE158" s="14" t="str">
        <v>2622N</v>
      </c>
      <c r="AF158" s="27" t="str">
        <v>CN</v>
      </c>
      <c r="AG158" s="27" t="str">
        <v>PRT</v>
      </c>
      <c r="AH158" s="14" t="str">
        <v>CNSHA</v>
      </c>
    </row>
    <row r="159" spans="1:34" ht="25.2" customHeight="1" x14ac:dyDescent="0.45">
      <c r="A159" s="17" t="str">
        <v>LF</v>
      </c>
      <c r="B159" s="14">
        <v>0</v>
      </c>
      <c r="C159" s="14" t="str">
        <v>PLISH7H34186</v>
      </c>
      <c r="D159" s="17" t="str">
        <v>KMTU9490381</v>
      </c>
      <c r="E159" s="14" t="str">
        <v>C40HC</v>
      </c>
      <c r="F159" s="17" t="str">
        <v>319DT260720726578</v>
      </c>
      <c r="G159" s="15">
        <v>46264</v>
      </c>
      <c r="H159" s="16">
        <v>0.26041666666666674</v>
      </c>
      <c r="I159" s="15">
        <v>46258</v>
      </c>
      <c r="J159" s="17">
        <v>0</v>
      </c>
      <c r="K159" s="15">
        <v>46255</v>
      </c>
      <c r="L159" s="17" t="str">
        <v>373-STO-S10000030828</v>
      </c>
      <c r="M159" s="14" t="str">
        <v>400</v>
      </c>
      <c r="N159" s="14" t="str">
        <v>258DTS10000195525</v>
      </c>
      <c r="O159" s="14" t="str">
        <v>500</v>
      </c>
      <c r="P159" s="14" t="str">
        <v>SEZHA1</v>
      </c>
      <c r="Q159" s="14">
        <v>46223</v>
      </c>
      <c r="R159" s="14">
        <v>726</v>
      </c>
      <c r="S159" s="14" t="str">
        <v>STO</v>
      </c>
      <c r="T159" s="14">
        <v>258</v>
      </c>
      <c r="U159" s="14" t="str">
        <v>1.229478</v>
      </c>
      <c r="V159" s="14" t="str">
        <v>1.322118</v>
      </c>
      <c r="W159" s="14">
        <v>426.32400000000001</v>
      </c>
      <c r="X159" s="14">
        <v>46243</v>
      </c>
      <c r="Y159" s="14">
        <v>46241</v>
      </c>
      <c r="Z159" s="14">
        <v>46239</v>
      </c>
      <c r="AA159" s="14" t="str">
        <v>33300</v>
      </c>
      <c r="AB159" s="14" t="str">
        <v>LX PANTOS CO., LTD.</v>
      </c>
      <c r="AC159" s="14" t="str">
        <v>CF542193</v>
      </c>
      <c r="AD159" s="14" t="str">
        <v>ZHONG SHENG TUO HAI</v>
      </c>
      <c r="AE159" s="14" t="str">
        <v>2622N</v>
      </c>
      <c r="AF159" s="27" t="str">
        <v>CN</v>
      </c>
      <c r="AG159" s="27" t="str">
        <v>PRT</v>
      </c>
      <c r="AH159" s="14" t="str">
        <v>CNSHA</v>
      </c>
    </row>
    <row r="160" spans="1:34" ht="25.2" customHeight="1" x14ac:dyDescent="0.45">
      <c r="A160" s="17" t="str">
        <v>DD</v>
      </c>
      <c r="B160" s="14" t="str">
        <v>MILK RUN NOR</v>
      </c>
      <c r="C160" s="14" t="str">
        <v>OOLU2172478190</v>
      </c>
      <c r="D160" s="17" t="str">
        <v>OOCU8504293</v>
      </c>
      <c r="E160" s="14" t="str">
        <v>C40HC</v>
      </c>
      <c r="F160" s="17" t="str">
        <v>23273SUP3634650</v>
      </c>
      <c r="G160" s="15">
        <v>46263</v>
      </c>
      <c r="H160" s="16">
        <v>0.25</v>
      </c>
      <c r="I160" s="15">
        <v>46258</v>
      </c>
      <c r="J160" s="17">
        <v>0</v>
      </c>
      <c r="K160" s="15">
        <v>46256</v>
      </c>
      <c r="L160" s="17" t="str">
        <v>373-STO-S10000030807</v>
      </c>
      <c r="M160" s="14" t="str">
        <v>400</v>
      </c>
      <c r="N160" s="14" t="str">
        <v>030TSOS10000129537</v>
      </c>
      <c r="O160" s="14" t="str">
        <v>300</v>
      </c>
      <c r="P160" s="14" t="str">
        <v>JEGAO9</v>
      </c>
      <c r="Q160" s="14">
        <v>46230</v>
      </c>
      <c r="R160" s="14">
        <v>726</v>
      </c>
      <c r="S160" s="14" t="str">
        <v>STO</v>
      </c>
      <c r="T160" s="14">
        <v>24</v>
      </c>
      <c r="U160" s="14" t="str">
        <v>3.800742</v>
      </c>
      <c r="V160" s="14" t="str">
        <v>3.975265</v>
      </c>
      <c r="W160" s="14">
        <v>612.91200000000003</v>
      </c>
      <c r="X160" s="14">
        <v>46251</v>
      </c>
      <c r="Y160" s="14">
        <v>46244</v>
      </c>
      <c r="Z160" s="14">
        <v>0</v>
      </c>
      <c r="AA160" s="14" t="str">
        <v>30105</v>
      </c>
      <c r="AB160" s="14" t="str">
        <v>ORIENT OVERSEAS CONTAINER LINE LTD.</v>
      </c>
      <c r="AC160" s="14" t="str">
        <v>OOLKXQ5978</v>
      </c>
      <c r="AD160" s="14" t="str">
        <v>OOCL SINGAPORE</v>
      </c>
      <c r="AE160" s="14" t="str">
        <v>068W</v>
      </c>
      <c r="AF160" s="27" t="str">
        <v>CN</v>
      </c>
      <c r="AG160" s="27" t="str">
        <v>PRT</v>
      </c>
      <c r="AH160" s="14" t="str">
        <v>CNTXG</v>
      </c>
    </row>
    <row r="161" spans="1:34" ht="25.2" customHeight="1" x14ac:dyDescent="0.45">
      <c r="A161" s="17" t="str">
        <v>HF</v>
      </c>
      <c r="B161" s="14" t="str">
        <v>F/C</v>
      </c>
      <c r="C161" s="14" t="str">
        <v>MAEUIK0214579</v>
      </c>
      <c r="D161" s="17" t="str">
        <v>TCNU2566760</v>
      </c>
      <c r="E161" s="14" t="str">
        <v>C40HC</v>
      </c>
      <c r="F161" s="17" t="str">
        <v>258DT260715726354</v>
      </c>
      <c r="G161" s="15">
        <v>46263</v>
      </c>
      <c r="H161" s="16">
        <v>0.26041666666666674</v>
      </c>
      <c r="I161" s="15">
        <v>46258</v>
      </c>
      <c r="J161" s="17">
        <v>0</v>
      </c>
      <c r="K161" s="15">
        <v>46243</v>
      </c>
      <c r="L161" s="17" t="str">
        <v>373-STO-S10000030827</v>
      </c>
      <c r="M161" s="14" t="str">
        <v>400</v>
      </c>
      <c r="N161" s="14" t="str">
        <v>258DTS10000195035</v>
      </c>
      <c r="O161" s="14" t="str">
        <v>300</v>
      </c>
      <c r="P161" s="14">
        <v>0</v>
      </c>
      <c r="Q161" s="14">
        <v>46218</v>
      </c>
      <c r="R161" s="14">
        <v>726</v>
      </c>
      <c r="S161" s="14" t="str">
        <v>STO</v>
      </c>
      <c r="T161" s="14">
        <v>9139</v>
      </c>
      <c r="U161" s="14" t="str">
        <v>22.197849</v>
      </c>
      <c r="V161" s="14" t="str">
        <v>23.98936868</v>
      </c>
      <c r="W161" s="14">
        <v>4699.1750000000002</v>
      </c>
      <c r="X161" s="14">
        <v>46229</v>
      </c>
      <c r="Y161" s="14">
        <v>46227</v>
      </c>
      <c r="Z161" s="14">
        <v>0</v>
      </c>
      <c r="AA161" s="14" t="str">
        <v>31825</v>
      </c>
      <c r="AB161" s="14" t="str">
        <v>MAERSK A/S</v>
      </c>
      <c r="AC161" s="14" t="str">
        <v>CN7876204</v>
      </c>
      <c r="AD161" s="14" t="str">
        <v>GSL ELEFTHERIA</v>
      </c>
      <c r="AE161" s="14" t="str">
        <v>629N</v>
      </c>
      <c r="AF161" s="27" t="str">
        <v>CN</v>
      </c>
      <c r="AG161" s="27" t="str">
        <v>PRT</v>
      </c>
      <c r="AH161" s="14" t="str">
        <v>CNSHA</v>
      </c>
    </row>
    <row r="162" spans="1:34" ht="25.2" customHeight="1" x14ac:dyDescent="0.45">
      <c r="A162" s="17" t="str">
        <v>HF</v>
      </c>
      <c r="B162" s="14" t="str">
        <v>F/C</v>
      </c>
      <c r="C162" s="14" t="str">
        <v>MAEUIK0214579</v>
      </c>
      <c r="D162" s="17" t="str">
        <v>TCNU2566760</v>
      </c>
      <c r="E162" s="14" t="str">
        <v>C40HC</v>
      </c>
      <c r="F162" s="17" t="str">
        <v>277DT260715726355</v>
      </c>
      <c r="G162" s="15">
        <v>46263</v>
      </c>
      <c r="H162" s="16">
        <v>0.26041666666666674</v>
      </c>
      <c r="I162" s="15">
        <v>46258</v>
      </c>
      <c r="J162" s="17">
        <v>0</v>
      </c>
      <c r="K162" s="15">
        <v>46243</v>
      </c>
      <c r="L162" s="17" t="str">
        <v>373-STO-S10000030827</v>
      </c>
      <c r="M162" s="14" t="str">
        <v>400</v>
      </c>
      <c r="N162" s="14" t="str">
        <v>258DTS10000195035</v>
      </c>
      <c r="O162" s="14" t="str">
        <v>300</v>
      </c>
      <c r="P162" s="14">
        <v>0</v>
      </c>
      <c r="Q162" s="14">
        <v>46218</v>
      </c>
      <c r="R162" s="14">
        <v>726</v>
      </c>
      <c r="S162" s="14" t="str">
        <v>STO</v>
      </c>
      <c r="T162" s="14">
        <v>29279</v>
      </c>
      <c r="U162" s="14" t="str">
        <v>32.732523</v>
      </c>
      <c r="V162" s="14" t="str">
        <v>35.389448</v>
      </c>
      <c r="W162" s="14">
        <v>9382.0669999999991</v>
      </c>
      <c r="X162" s="14">
        <v>46229</v>
      </c>
      <c r="Y162" s="14">
        <v>46227</v>
      </c>
      <c r="Z162" s="14">
        <v>0</v>
      </c>
      <c r="AA162" s="14" t="str">
        <v>31825</v>
      </c>
      <c r="AB162" s="14" t="str">
        <v>MAERSK A/S</v>
      </c>
      <c r="AC162" s="14" t="str">
        <v>CN7876204</v>
      </c>
      <c r="AD162" s="14" t="str">
        <v>GSL ELEFTHERIA</v>
      </c>
      <c r="AE162" s="14" t="str">
        <v>629N</v>
      </c>
      <c r="AF162" s="27" t="str">
        <v>CN</v>
      </c>
      <c r="AG162" s="27" t="str">
        <v>PRT</v>
      </c>
      <c r="AH162" s="14" t="str">
        <v>CNSHA</v>
      </c>
    </row>
    <row r="163" spans="1:34" ht="25.2" customHeight="1" x14ac:dyDescent="0.45">
      <c r="A163" s="17" t="str">
        <v>DD</v>
      </c>
      <c r="B163" s="14" t="str">
        <v>MILK RUN NOR</v>
      </c>
      <c r="C163" s="14" t="str">
        <v>MAEUIK0216893</v>
      </c>
      <c r="D163" s="17" t="str">
        <v>MIEU3623564</v>
      </c>
      <c r="E163" s="14" t="str">
        <v>C40HC</v>
      </c>
      <c r="F163" s="17" t="str">
        <v>19720SUPECIS212555</v>
      </c>
      <c r="G163" s="15">
        <v>46262</v>
      </c>
      <c r="H163" s="16">
        <v>0.22916666666666674</v>
      </c>
      <c r="I163" s="15">
        <v>46256</v>
      </c>
      <c r="J163" s="17">
        <v>0</v>
      </c>
      <c r="K163" s="15">
        <v>46255</v>
      </c>
      <c r="L163" s="17" t="str">
        <v>373-STO-S10000030805</v>
      </c>
      <c r="M163" s="14" t="str">
        <v>400</v>
      </c>
      <c r="N163" s="14" t="str">
        <v>012TSOS10000389710</v>
      </c>
      <c r="O163" s="14" t="str">
        <v>350</v>
      </c>
      <c r="P163" s="14" t="str">
        <v>HEDXU</v>
      </c>
      <c r="Q163" s="14">
        <v>46234</v>
      </c>
      <c r="R163" s="14">
        <v>726</v>
      </c>
      <c r="S163" s="14" t="str">
        <v>STO</v>
      </c>
      <c r="T163" s="14">
        <v>5869</v>
      </c>
      <c r="U163" s="14" t="str">
        <v>25.575001</v>
      </c>
      <c r="V163" s="14" t="str">
        <v>27.441372</v>
      </c>
      <c r="W163" s="14">
        <v>3183.53</v>
      </c>
      <c r="X163" s="14">
        <v>46277</v>
      </c>
      <c r="Y163" s="14">
        <v>46253</v>
      </c>
      <c r="Z163" s="14">
        <v>0</v>
      </c>
      <c r="AA163" s="14" t="str">
        <v>31825</v>
      </c>
      <c r="AB163" s="14" t="str">
        <v>MAERSK A/S</v>
      </c>
      <c r="AC163" s="14" t="str">
        <v>CN7095005</v>
      </c>
      <c r="AD163" s="14" t="str">
        <v>MAERSK BERMUDA</v>
      </c>
      <c r="AE163" s="14" t="str">
        <v>632N</v>
      </c>
      <c r="AF163" s="27" t="str">
        <v>CN</v>
      </c>
      <c r="AG163" s="27" t="str">
        <v>PRT</v>
      </c>
      <c r="AH163" s="14" t="str">
        <v>CNNSA</v>
      </c>
    </row>
    <row r="164" spans="1:34" ht="25.2" customHeight="1" x14ac:dyDescent="0.45">
      <c r="A164" s="17" t="str">
        <v>LF</v>
      </c>
      <c r="B164" s="14">
        <v>0</v>
      </c>
      <c r="C164" s="14" t="str">
        <v>MAEUIK0216180</v>
      </c>
      <c r="D164" s="17" t="str">
        <v>CAAU5224722</v>
      </c>
      <c r="E164" s="14" t="str">
        <v>C40HC</v>
      </c>
      <c r="F164" s="17" t="str">
        <v>294DT260727726277</v>
      </c>
      <c r="G164" s="15">
        <v>46262</v>
      </c>
      <c r="H164" s="16">
        <v>0.27083333333333326</v>
      </c>
      <c r="I164" s="15">
        <v>46255</v>
      </c>
      <c r="J164" s="17">
        <v>0</v>
      </c>
      <c r="K164" s="15">
        <v>46255</v>
      </c>
      <c r="L164" s="17" t="str">
        <v>373-STO-S10000030799</v>
      </c>
      <c r="M164" s="14" t="str">
        <v>400</v>
      </c>
      <c r="N164" s="14" t="str">
        <v>258DTS10000196588</v>
      </c>
      <c r="O164" s="14" t="str">
        <v>350</v>
      </c>
      <c r="P164" s="14" t="str">
        <v>LARXU</v>
      </c>
      <c r="Q164" s="14">
        <v>46230</v>
      </c>
      <c r="R164" s="14">
        <v>726</v>
      </c>
      <c r="S164" s="14" t="str">
        <v>STO</v>
      </c>
      <c r="T164" s="14">
        <v>9798</v>
      </c>
      <c r="U164" s="14" t="str">
        <v>11.472747</v>
      </c>
      <c r="V164" s="14" t="str">
        <v>12.26138873</v>
      </c>
      <c r="W164" s="14">
        <v>2221.873</v>
      </c>
      <c r="X164" s="14">
        <v>46243</v>
      </c>
      <c r="Y164" s="14">
        <v>46241</v>
      </c>
      <c r="Z164" s="14">
        <v>0</v>
      </c>
      <c r="AA164" s="14" t="str">
        <v>31825</v>
      </c>
      <c r="AB164" s="14" t="str">
        <v>MAERSK A/S</v>
      </c>
      <c r="AC164" s="14" t="str">
        <v>CN7884900</v>
      </c>
      <c r="AD164" s="14" t="str">
        <v>ESL SEATTLE</v>
      </c>
      <c r="AE164" s="14" t="str">
        <v>631N</v>
      </c>
      <c r="AF164" s="27" t="str">
        <v>CN</v>
      </c>
      <c r="AG164" s="27" t="str">
        <v>PRT</v>
      </c>
      <c r="AH164" s="14" t="str">
        <v>CNSHA</v>
      </c>
    </row>
    <row r="165" spans="1:34" ht="25.2" customHeight="1" x14ac:dyDescent="0.45">
      <c r="A165" s="17" t="str">
        <v>LF</v>
      </c>
      <c r="B165" s="14">
        <v>0</v>
      </c>
      <c r="C165" s="14" t="str">
        <v>MAEUIK0216180</v>
      </c>
      <c r="D165" s="17" t="str">
        <v>CAAU5224722</v>
      </c>
      <c r="E165" s="14" t="str">
        <v>C40HC</v>
      </c>
      <c r="F165" s="17" t="str">
        <v>319DT260727726278</v>
      </c>
      <c r="G165" s="15">
        <v>46262</v>
      </c>
      <c r="H165" s="16">
        <v>0.27083333333333326</v>
      </c>
      <c r="I165" s="15">
        <v>46255</v>
      </c>
      <c r="J165" s="17">
        <v>0</v>
      </c>
      <c r="K165" s="15">
        <v>46255</v>
      </c>
      <c r="L165" s="17" t="str">
        <v>373-STO-S10000030799</v>
      </c>
      <c r="M165" s="14" t="str">
        <v>400</v>
      </c>
      <c r="N165" s="14" t="str">
        <v>258DTS10000196588</v>
      </c>
      <c r="O165" s="14" t="str">
        <v>350</v>
      </c>
      <c r="P165" s="14" t="str">
        <v>LARXU</v>
      </c>
      <c r="Q165" s="14">
        <v>46230</v>
      </c>
      <c r="R165" s="14">
        <v>726</v>
      </c>
      <c r="S165" s="14" t="str">
        <v>STO</v>
      </c>
      <c r="T165" s="14">
        <v>12529</v>
      </c>
      <c r="U165" s="14" t="str">
        <v>36.561718</v>
      </c>
      <c r="V165" s="14" t="str">
        <v>39.62607008</v>
      </c>
      <c r="W165" s="14">
        <v>7401.3379999999997</v>
      </c>
      <c r="X165" s="14">
        <v>46243</v>
      </c>
      <c r="Y165" s="14">
        <v>46241</v>
      </c>
      <c r="Z165" s="14">
        <v>0</v>
      </c>
      <c r="AA165" s="14" t="str">
        <v>31825</v>
      </c>
      <c r="AB165" s="14" t="str">
        <v>MAERSK A/S</v>
      </c>
      <c r="AC165" s="14" t="str">
        <v>CN7884900</v>
      </c>
      <c r="AD165" s="14" t="str">
        <v>ESL SEATTLE</v>
      </c>
      <c r="AE165" s="14" t="str">
        <v>631N</v>
      </c>
      <c r="AF165" s="27" t="str">
        <v>CN</v>
      </c>
      <c r="AG165" s="27" t="str">
        <v>PRT</v>
      </c>
      <c r="AH165" s="14" t="str">
        <v>CNSHA</v>
      </c>
    </row>
    <row r="166" spans="1:34" ht="25.2" customHeight="1" x14ac:dyDescent="0.45">
      <c r="A166" s="17" t="str">
        <v>HF</v>
      </c>
      <c r="B166" s="14" t="str">
        <v/>
      </c>
      <c r="C166" s="14" t="str">
        <v>PLISH7H38463</v>
      </c>
      <c r="D166" s="17" t="str">
        <v>CAAU5038610</v>
      </c>
      <c r="E166" s="14" t="str">
        <v>C40HC</v>
      </c>
      <c r="F166" s="17" t="str">
        <v>258DT260727726005</v>
      </c>
      <c r="G166" s="15">
        <v>46261</v>
      </c>
      <c r="H166" s="16">
        <v>0.27083333333333326</v>
      </c>
      <c r="I166" s="15">
        <v>46255</v>
      </c>
      <c r="J166" s="17">
        <v>0</v>
      </c>
      <c r="K166" s="15">
        <v>46249</v>
      </c>
      <c r="L166" s="17" t="str">
        <v>373-STO-S10000030798</v>
      </c>
      <c r="M166" s="14" t="str">
        <v>400</v>
      </c>
      <c r="N166" s="14" t="str">
        <v>258DTS10000196526</v>
      </c>
      <c r="O166" s="14" t="str">
        <v>300</v>
      </c>
      <c r="P166" s="14">
        <v>0</v>
      </c>
      <c r="Q166" s="14">
        <v>46230</v>
      </c>
      <c r="R166" s="14">
        <v>726</v>
      </c>
      <c r="S166" s="14" t="str">
        <v>STO</v>
      </c>
      <c r="T166" s="14">
        <v>6791</v>
      </c>
      <c r="U166" s="14" t="str">
        <v>49.505</v>
      </c>
      <c r="V166" s="14" t="str">
        <v>53.48495732</v>
      </c>
      <c r="W166" s="14">
        <v>9109.7610000000004</v>
      </c>
      <c r="X166" s="14">
        <v>46244</v>
      </c>
      <c r="Y166" s="14">
        <v>46242</v>
      </c>
      <c r="Z166" s="14">
        <v>0</v>
      </c>
      <c r="AA166" s="14" t="str">
        <v>33300</v>
      </c>
      <c r="AB166" s="14" t="str">
        <v>LX PANTOS CO., LTD.</v>
      </c>
      <c r="AC166" s="14">
        <v>0</v>
      </c>
      <c r="AD166" s="14" t="str">
        <v>HMM TURQUOISE</v>
      </c>
      <c r="AE166" s="14" t="str">
        <v>0011E</v>
      </c>
      <c r="AF166" s="27" t="str">
        <v>CN</v>
      </c>
      <c r="AG166" s="27" t="str">
        <v>PRT</v>
      </c>
      <c r="AH166" s="14" t="str">
        <v>CNYAN</v>
      </c>
    </row>
    <row r="167" spans="1:34" ht="25.2" customHeight="1" x14ac:dyDescent="0.45">
      <c r="A167" s="17" t="str">
        <v>HF</v>
      </c>
      <c r="B167" s="14" t="str">
        <v/>
      </c>
      <c r="C167" s="14" t="str">
        <v>PLISH7H38463</v>
      </c>
      <c r="D167" s="17" t="str">
        <v>CAAU5038610</v>
      </c>
      <c r="E167" s="14" t="str">
        <v>C40HC</v>
      </c>
      <c r="F167" s="17" t="str">
        <v>277DT260727726006</v>
      </c>
      <c r="G167" s="15">
        <v>46261</v>
      </c>
      <c r="H167" s="16">
        <v>0.27083333333333326</v>
      </c>
      <c r="I167" s="15">
        <v>46255</v>
      </c>
      <c r="J167" s="17">
        <v>0</v>
      </c>
      <c r="K167" s="15">
        <v>46249</v>
      </c>
      <c r="L167" s="17" t="str">
        <v>373-STO-S10000030798</v>
      </c>
      <c r="M167" s="14" t="str">
        <v>400</v>
      </c>
      <c r="N167" s="14" t="str">
        <v>258DTS10000196526</v>
      </c>
      <c r="O167" s="14" t="str">
        <v>300</v>
      </c>
      <c r="P167" s="14">
        <v>0</v>
      </c>
      <c r="Q167" s="14">
        <v>46230</v>
      </c>
      <c r="R167" s="14">
        <v>726</v>
      </c>
      <c r="S167" s="14" t="str">
        <v>STO</v>
      </c>
      <c r="T167" s="14">
        <v>634</v>
      </c>
      <c r="U167" s="14" t="str">
        <v>5.767552</v>
      </c>
      <c r="V167" s="14" t="str">
        <v>6.252113</v>
      </c>
      <c r="W167" s="14">
        <v>1175.6679999999999</v>
      </c>
      <c r="X167" s="14">
        <v>46244</v>
      </c>
      <c r="Y167" s="14">
        <v>46242</v>
      </c>
      <c r="Z167" s="14">
        <v>0</v>
      </c>
      <c r="AA167" s="14" t="str">
        <v>33300</v>
      </c>
      <c r="AB167" s="14" t="str">
        <v>LX PANTOS CO., LTD.</v>
      </c>
      <c r="AC167" s="14">
        <v>0</v>
      </c>
      <c r="AD167" s="14" t="str">
        <v>HMM TURQUOISE</v>
      </c>
      <c r="AE167" s="14" t="str">
        <v>0011E</v>
      </c>
      <c r="AF167" s="27" t="str">
        <v>CN</v>
      </c>
      <c r="AG167" s="27" t="str">
        <v>PRT</v>
      </c>
      <c r="AH167" s="14" t="str">
        <v>CNYAN</v>
      </c>
    </row>
    <row r="168" spans="1:34" ht="25.2" customHeight="1" x14ac:dyDescent="0.45">
      <c r="A168" s="17" t="str">
        <v>DD</v>
      </c>
      <c r="B168" s="14" t="str">
        <v>MILK RUN NOR</v>
      </c>
      <c r="C168" s="14" t="str">
        <v>PLISZ4H12831</v>
      </c>
      <c r="D168" s="17" t="str">
        <v>FCIU7149125</v>
      </c>
      <c r="E168" s="14" t="str">
        <v>C40HC</v>
      </c>
      <c r="F168" s="17" t="str">
        <v>19720SUPECIS212113</v>
      </c>
      <c r="G168" s="15">
        <v>46261</v>
      </c>
      <c r="H168" s="16">
        <v>0.22916666666666674</v>
      </c>
      <c r="I168" s="15">
        <v>46254</v>
      </c>
      <c r="J168" s="17">
        <v>0</v>
      </c>
      <c r="K168" s="15">
        <v>46248</v>
      </c>
      <c r="L168" s="17" t="str">
        <v>373-STO-S10000030790</v>
      </c>
      <c r="M168" s="14" t="str">
        <v>400</v>
      </c>
      <c r="N168" s="14" t="str">
        <v>012TSOS10000385325</v>
      </c>
      <c r="O168" s="14" t="str">
        <v>300</v>
      </c>
      <c r="P168" s="14" t="str">
        <v>ELXUE</v>
      </c>
      <c r="Q168" s="14">
        <v>46223</v>
      </c>
      <c r="R168" s="14">
        <v>726</v>
      </c>
      <c r="S168" s="14" t="str">
        <v>STO</v>
      </c>
      <c r="T168" s="14">
        <v>7613</v>
      </c>
      <c r="U168" s="14" t="str">
        <v>21.383025</v>
      </c>
      <c r="V168" s="14" t="str">
        <v>22.927166</v>
      </c>
      <c r="W168" s="14">
        <v>2679.72</v>
      </c>
      <c r="X168" s="14">
        <v>46244</v>
      </c>
      <c r="Y168" s="14">
        <v>46245</v>
      </c>
      <c r="Z168" s="14">
        <v>0</v>
      </c>
      <c r="AA168" s="14" t="str">
        <v>33300</v>
      </c>
      <c r="AB168" s="14" t="str">
        <v>LX PANTOS CO., LTD.</v>
      </c>
      <c r="AC168" s="14" t="str">
        <v>CF786027</v>
      </c>
      <c r="AD168" s="14" t="str">
        <v>CA MANILA</v>
      </c>
      <c r="AE168" s="14" t="str">
        <v>2612N</v>
      </c>
      <c r="AF168" s="27" t="str">
        <v>CN</v>
      </c>
      <c r="AG168" s="27" t="str">
        <v>PRT</v>
      </c>
      <c r="AH168" s="14" t="str">
        <v>CNSHK</v>
      </c>
    </row>
    <row r="169" spans="1:34" ht="25.2" customHeight="1" x14ac:dyDescent="0.45">
      <c r="A169" s="17" t="str">
        <v>DD</v>
      </c>
      <c r="B169" s="14" t="str">
        <v>MILK RUN NOR</v>
      </c>
      <c r="C169" s="14" t="str">
        <v>MAEUIK0215071</v>
      </c>
      <c r="D169" s="17" t="str">
        <v>MRKU4793441</v>
      </c>
      <c r="E169" s="14" t="str">
        <v>C40HC</v>
      </c>
      <c r="F169" s="17" t="str">
        <v>21072SUPECIS74615</v>
      </c>
      <c r="G169" s="15">
        <v>46260</v>
      </c>
      <c r="H169" s="16">
        <v>0.35416666666666674</v>
      </c>
      <c r="I169" s="15">
        <v>46252</v>
      </c>
      <c r="J169" s="17">
        <v>0</v>
      </c>
      <c r="K169" s="15">
        <v>46251</v>
      </c>
      <c r="L169" s="17" t="str">
        <v>373-STO-S10000030763</v>
      </c>
      <c r="M169" s="14" t="str">
        <v>400</v>
      </c>
      <c r="N169" s="14" t="str">
        <v>037TSOS10000661948</v>
      </c>
      <c r="O169" s="14" t="str">
        <v>350</v>
      </c>
      <c r="P169" s="14" t="str">
        <v>LINLI65</v>
      </c>
      <c r="Q169" s="14">
        <v>46220</v>
      </c>
      <c r="R169" s="14">
        <v>726</v>
      </c>
      <c r="S169" s="14" t="str">
        <v>STO</v>
      </c>
      <c r="T169" s="14">
        <v>38</v>
      </c>
      <c r="U169" s="14" t="str">
        <v>2.121152</v>
      </c>
      <c r="V169" s="14" t="str">
        <v>2.266184</v>
      </c>
      <c r="W169" s="14">
        <v>910.6</v>
      </c>
      <c r="X169" s="14">
        <v>46244</v>
      </c>
      <c r="Y169" s="14">
        <v>46242</v>
      </c>
      <c r="Z169" s="14">
        <v>0</v>
      </c>
      <c r="AA169" s="14" t="str">
        <v>31825</v>
      </c>
      <c r="AB169" s="14" t="str">
        <v>MAERSK A/S</v>
      </c>
      <c r="AC169" s="14" t="str">
        <v>CN9016770</v>
      </c>
      <c r="AD169" s="14" t="str">
        <v>NAVIOS CONSTELLATION</v>
      </c>
      <c r="AE169" s="14" t="str">
        <v>631E</v>
      </c>
      <c r="AF169" s="27" t="str">
        <v>CN</v>
      </c>
      <c r="AG169" s="27" t="str">
        <v>PRT</v>
      </c>
      <c r="AH169" s="14" t="str">
        <v>CNNGB</v>
      </c>
    </row>
    <row r="170" spans="1:34" ht="25.2" customHeight="1" x14ac:dyDescent="0.45">
      <c r="A170" s="17" t="str">
        <v>LF</v>
      </c>
      <c r="B170" s="14">
        <v>0</v>
      </c>
      <c r="C170" s="14" t="str">
        <v>MAEUIK0215952</v>
      </c>
      <c r="D170" s="17" t="str">
        <v>TRHU5299383</v>
      </c>
      <c r="E170" s="14" t="str">
        <v>C40HC</v>
      </c>
      <c r="F170" s="17" t="str">
        <v>294DT260724726163</v>
      </c>
      <c r="G170" s="15">
        <v>46260</v>
      </c>
      <c r="H170" s="16">
        <v>0.27083333333333326</v>
      </c>
      <c r="I170" s="15">
        <v>46255</v>
      </c>
      <c r="J170" s="17">
        <v>0</v>
      </c>
      <c r="K170" s="15">
        <v>46255</v>
      </c>
      <c r="L170" s="17" t="str">
        <v>373-STO-S10000030795</v>
      </c>
      <c r="M170" s="14" t="str">
        <v>400</v>
      </c>
      <c r="N170" s="14" t="str">
        <v>258DTS10000196328</v>
      </c>
      <c r="O170" s="14" t="str">
        <v>350</v>
      </c>
      <c r="P170" s="14">
        <v>0</v>
      </c>
      <c r="Q170" s="14">
        <v>46227</v>
      </c>
      <c r="R170" s="14">
        <v>726</v>
      </c>
      <c r="S170" s="14" t="str">
        <v>STO</v>
      </c>
      <c r="T170" s="14">
        <v>9521</v>
      </c>
      <c r="U170" s="14" t="str">
        <v>14.075824</v>
      </c>
      <c r="V170" s="14" t="str">
        <v>15.17550795</v>
      </c>
      <c r="W170" s="14">
        <v>2242.5630000000001</v>
      </c>
      <c r="X170" s="14">
        <v>46243</v>
      </c>
      <c r="Y170" s="14">
        <v>46241</v>
      </c>
      <c r="Z170" s="14">
        <v>0</v>
      </c>
      <c r="AA170" s="14" t="str">
        <v>31825</v>
      </c>
      <c r="AB170" s="14" t="str">
        <v>MAERSK A/S</v>
      </c>
      <c r="AC170" s="14" t="str">
        <v>CN3559404</v>
      </c>
      <c r="AD170" s="14" t="str">
        <v>ESL SEATTLE</v>
      </c>
      <c r="AE170" s="14" t="str">
        <v>631N</v>
      </c>
      <c r="AF170" s="27" t="str">
        <v>CN</v>
      </c>
      <c r="AG170" s="27" t="str">
        <v>PRT</v>
      </c>
      <c r="AH170" s="14" t="str">
        <v>CNSHA</v>
      </c>
    </row>
    <row r="171" spans="1:34" ht="25.2" customHeight="1" x14ac:dyDescent="0.45">
      <c r="A171" s="17" t="str">
        <v>LF</v>
      </c>
      <c r="B171" s="14">
        <v>0</v>
      </c>
      <c r="C171" s="14" t="str">
        <v>MAEUIK0215952</v>
      </c>
      <c r="D171" s="17" t="str">
        <v>TRHU5299383</v>
      </c>
      <c r="E171" s="14" t="str">
        <v>C40HC</v>
      </c>
      <c r="F171" s="17" t="str">
        <v>319DT260724726164</v>
      </c>
      <c r="G171" s="15">
        <v>46260</v>
      </c>
      <c r="H171" s="16">
        <v>0.27083333333333326</v>
      </c>
      <c r="I171" s="15">
        <v>46255</v>
      </c>
      <c r="J171" s="17">
        <v>0</v>
      </c>
      <c r="K171" s="15">
        <v>46255</v>
      </c>
      <c r="L171" s="17" t="str">
        <v>373-STO-S10000030795</v>
      </c>
      <c r="M171" s="14" t="str">
        <v>400</v>
      </c>
      <c r="N171" s="14" t="str">
        <v>258DTS10000196328</v>
      </c>
      <c r="O171" s="14" t="str">
        <v>350</v>
      </c>
      <c r="P171" s="14">
        <v>0</v>
      </c>
      <c r="Q171" s="14">
        <v>46227</v>
      </c>
      <c r="R171" s="14">
        <v>726</v>
      </c>
      <c r="S171" s="14" t="str">
        <v>STO</v>
      </c>
      <c r="T171" s="14">
        <v>8923</v>
      </c>
      <c r="U171" s="14" t="str">
        <v>34.129504</v>
      </c>
      <c r="V171" s="14" t="str">
        <v>36.70233215</v>
      </c>
      <c r="W171" s="14">
        <v>5614.3729999999996</v>
      </c>
      <c r="X171" s="14">
        <v>46243</v>
      </c>
      <c r="Y171" s="14">
        <v>46241</v>
      </c>
      <c r="Z171" s="14">
        <v>0</v>
      </c>
      <c r="AA171" s="14" t="str">
        <v>31825</v>
      </c>
      <c r="AB171" s="14" t="str">
        <v>MAERSK A/S</v>
      </c>
      <c r="AC171" s="14" t="str">
        <v>CN3559404</v>
      </c>
      <c r="AD171" s="14" t="str">
        <v>ESL SEATTLE</v>
      </c>
      <c r="AE171" s="14" t="str">
        <v>631N</v>
      </c>
      <c r="AF171" s="27" t="str">
        <v>CN</v>
      </c>
      <c r="AG171" s="27" t="str">
        <v>PRT</v>
      </c>
      <c r="AH171" s="14" t="str">
        <v>CNSHA</v>
      </c>
    </row>
    <row r="172" spans="1:34" ht="25.2" customHeight="1" x14ac:dyDescent="0.45">
      <c r="A172" s="17" t="str">
        <v>HF</v>
      </c>
      <c r="B172" s="14" t="str">
        <v/>
      </c>
      <c r="C172" s="14" t="str">
        <v>HDMUSHAA26102300</v>
      </c>
      <c r="D172" s="17" t="str">
        <v>HMMU4144726</v>
      </c>
      <c r="E172" s="14" t="str">
        <v>C40HC</v>
      </c>
      <c r="F172" s="17" t="str">
        <v>258DT260728726070</v>
      </c>
      <c r="G172" s="15">
        <v>46259</v>
      </c>
      <c r="H172" s="16">
        <v>0.27083333333333326</v>
      </c>
      <c r="I172" s="15">
        <v>46252</v>
      </c>
      <c r="J172" s="17">
        <v>0</v>
      </c>
      <c r="K172" s="15">
        <v>46249</v>
      </c>
      <c r="L172" s="17" t="str">
        <v>373-STO-S10000030776</v>
      </c>
      <c r="M172" s="14" t="str">
        <v>400</v>
      </c>
      <c r="N172" s="14" t="str">
        <v>258DTS10000196684</v>
      </c>
      <c r="O172" s="14" t="str">
        <v>300</v>
      </c>
      <c r="P172" s="14">
        <v>0</v>
      </c>
      <c r="Q172" s="14">
        <v>46231</v>
      </c>
      <c r="R172" s="14">
        <v>726</v>
      </c>
      <c r="S172" s="14" t="str">
        <v>STO</v>
      </c>
      <c r="T172" s="14">
        <v>10867</v>
      </c>
      <c r="U172" s="14" t="str">
        <v>50.520937</v>
      </c>
      <c r="V172" s="14" t="str">
        <v>54.36856437</v>
      </c>
      <c r="W172" s="14">
        <v>8858.0630000000001</v>
      </c>
      <c r="X172" s="14">
        <v>46246</v>
      </c>
      <c r="Y172" s="14">
        <v>46244</v>
      </c>
      <c r="Z172" s="14">
        <v>0</v>
      </c>
      <c r="AA172" s="14" t="str">
        <v>31676</v>
      </c>
      <c r="AB172" s="14" t="str">
        <v>HMM CO., LTD.</v>
      </c>
      <c r="AC172" s="14" t="str">
        <v>26H0287218</v>
      </c>
      <c r="AD172" s="14" t="str">
        <v>HMM TURQUOISE</v>
      </c>
      <c r="AE172" s="14" t="str">
        <v>0011E</v>
      </c>
      <c r="AF172" s="27" t="str">
        <v>CN</v>
      </c>
      <c r="AG172" s="27" t="str">
        <v>PRT</v>
      </c>
      <c r="AH172" s="14" t="str">
        <v>CNYAN</v>
      </c>
    </row>
    <row r="173" spans="1:34" ht="25.2" customHeight="1" x14ac:dyDescent="0.45">
      <c r="A173" s="17" t="str">
        <v>HF</v>
      </c>
      <c r="B173" s="14" t="str">
        <v/>
      </c>
      <c r="C173" s="14" t="str">
        <v>HDMUSHAA26102300</v>
      </c>
      <c r="D173" s="17" t="str">
        <v>HMMU4144726</v>
      </c>
      <c r="E173" s="14" t="str">
        <v>C40HC</v>
      </c>
      <c r="F173" s="17" t="str">
        <v>277DT260728726071</v>
      </c>
      <c r="G173" s="15">
        <v>46259</v>
      </c>
      <c r="H173" s="16">
        <v>0.27083333333333326</v>
      </c>
      <c r="I173" s="15">
        <v>46252</v>
      </c>
      <c r="J173" s="17">
        <v>0</v>
      </c>
      <c r="K173" s="15">
        <v>46249</v>
      </c>
      <c r="L173" s="17" t="str">
        <v>373-STO-S10000030776</v>
      </c>
      <c r="M173" s="14" t="str">
        <v>400</v>
      </c>
      <c r="N173" s="14" t="str">
        <v>258DTS10000196684</v>
      </c>
      <c r="O173" s="14" t="str">
        <v>300</v>
      </c>
      <c r="P173" s="14">
        <v>0</v>
      </c>
      <c r="Q173" s="14">
        <v>46231</v>
      </c>
      <c r="R173" s="14">
        <v>726</v>
      </c>
      <c r="S173" s="14" t="str">
        <v>STO</v>
      </c>
      <c r="T173" s="14">
        <v>2142</v>
      </c>
      <c r="U173" s="14" t="str">
        <v>4.4456</v>
      </c>
      <c r="V173" s="14" t="str">
        <v>4.856706</v>
      </c>
      <c r="W173" s="14">
        <v>647.58399999999995</v>
      </c>
      <c r="X173" s="14">
        <v>46246</v>
      </c>
      <c r="Y173" s="14">
        <v>46244</v>
      </c>
      <c r="Z173" s="14">
        <v>0</v>
      </c>
      <c r="AA173" s="14" t="str">
        <v>31676</v>
      </c>
      <c r="AB173" s="14" t="str">
        <v>HMM CO., LTD.</v>
      </c>
      <c r="AC173" s="14" t="str">
        <v>26H0287218</v>
      </c>
      <c r="AD173" s="14" t="str">
        <v>HMM TURQUOISE</v>
      </c>
      <c r="AE173" s="14" t="str">
        <v>0011E</v>
      </c>
      <c r="AF173" s="27" t="str">
        <v>CN</v>
      </c>
      <c r="AG173" s="27" t="str">
        <v>PRT</v>
      </c>
      <c r="AH173" s="14" t="str">
        <v>CNYAN</v>
      </c>
    </row>
    <row r="174" spans="1:34" ht="25.2" customHeight="1" x14ac:dyDescent="0.45">
      <c r="A174" s="17" t="str">
        <v>DD</v>
      </c>
      <c r="B174" s="14" t="str">
        <v>MILK RUN NOR</v>
      </c>
      <c r="C174" s="14" t="str">
        <v>HLCUTS12607BSYP0</v>
      </c>
      <c r="D174" s="17" t="str">
        <v>HAMU5080657</v>
      </c>
      <c r="E174" s="14" t="str">
        <v>C40HC</v>
      </c>
      <c r="F174" s="17" t="str">
        <v>23273SUP3630639</v>
      </c>
      <c r="G174" s="15">
        <v>46259</v>
      </c>
      <c r="H174" s="16">
        <v>0.35416666666666674</v>
      </c>
      <c r="I174" s="15">
        <v>46248</v>
      </c>
      <c r="J174" s="17">
        <v>0</v>
      </c>
      <c r="K174" s="15">
        <v>46246</v>
      </c>
      <c r="L174" s="17" t="str">
        <v>373-STO-S10000030759</v>
      </c>
      <c r="M174" s="14" t="str">
        <v>400</v>
      </c>
      <c r="N174" s="14" t="str">
        <v>030TSOS10000127927</v>
      </c>
      <c r="O174" s="14" t="str">
        <v>350</v>
      </c>
      <c r="P174" s="14" t="str">
        <v>JEGAO9</v>
      </c>
      <c r="Q174" s="14">
        <v>46217</v>
      </c>
      <c r="R174" s="14">
        <v>726</v>
      </c>
      <c r="S174" s="14" t="str">
        <v>STO</v>
      </c>
      <c r="T174" s="14">
        <v>36</v>
      </c>
      <c r="U174" s="14" t="str">
        <v>6.070236</v>
      </c>
      <c r="V174" s="14" t="str">
        <v>6.328672</v>
      </c>
      <c r="W174" s="14">
        <v>1064.49</v>
      </c>
      <c r="X174" s="14">
        <v>46251</v>
      </c>
      <c r="Y174" s="14">
        <v>46245</v>
      </c>
      <c r="Z174" s="14">
        <v>0</v>
      </c>
      <c r="AA174" s="14" t="str">
        <v>31363</v>
      </c>
      <c r="AB174" s="14" t="str">
        <v>HAPAG LLOYD AG</v>
      </c>
      <c r="AC174" s="14" t="str">
        <v>HLK5022866</v>
      </c>
      <c r="AD174" s="14" t="str">
        <v>GUNHILDE MAERSK</v>
      </c>
      <c r="AE174" s="14" t="str">
        <v>632E</v>
      </c>
      <c r="AF174" s="27" t="str">
        <v>CN</v>
      </c>
      <c r="AG174" s="27" t="str">
        <v>PRT</v>
      </c>
      <c r="AH174" s="14" t="str">
        <v>CNTXG</v>
      </c>
    </row>
    <row r="175" spans="1:34" ht="25.2" customHeight="1" x14ac:dyDescent="0.45">
      <c r="A175" s="17" t="str">
        <v>HF</v>
      </c>
      <c r="B175" s="14" t="str">
        <v/>
      </c>
      <c r="C175" s="14" t="str">
        <v>HDMUSHAA63402100</v>
      </c>
      <c r="D175" s="17" t="str">
        <v>HMMU4769971</v>
      </c>
      <c r="E175" s="14" t="str">
        <v>C40HC</v>
      </c>
      <c r="F175" s="17" t="str">
        <v>258DT260722726755</v>
      </c>
      <c r="G175" s="15">
        <v>46258</v>
      </c>
      <c r="H175" s="16">
        <v>0.27083333333333326</v>
      </c>
      <c r="I175" s="15">
        <v>46252</v>
      </c>
      <c r="J175" s="17">
        <v>0</v>
      </c>
      <c r="K175" s="15">
        <v>46249</v>
      </c>
      <c r="L175" s="17" t="str">
        <v>373-STO-S10000030743</v>
      </c>
      <c r="M175" s="14" t="str">
        <v>400</v>
      </c>
      <c r="N175" s="14" t="str">
        <v>258DTS10000195901</v>
      </c>
      <c r="O175" s="14" t="str">
        <v>300</v>
      </c>
      <c r="P175" s="14">
        <v>0</v>
      </c>
      <c r="Q175" s="14">
        <v>46225</v>
      </c>
      <c r="R175" s="14">
        <v>726</v>
      </c>
      <c r="S175" s="14" t="str">
        <v>STO</v>
      </c>
      <c r="T175" s="14">
        <v>13801</v>
      </c>
      <c r="U175" s="14" t="str">
        <v>46.850299</v>
      </c>
      <c r="V175" s="14" t="str">
        <v>50.61810964</v>
      </c>
      <c r="W175" s="14">
        <v>8528.4879999999994</v>
      </c>
      <c r="X175" s="14">
        <v>46246</v>
      </c>
      <c r="Y175" s="14">
        <v>46244</v>
      </c>
      <c r="Z175" s="14">
        <v>0</v>
      </c>
      <c r="AA175" s="14" t="str">
        <v>31676</v>
      </c>
      <c r="AB175" s="14" t="str">
        <v>HMM CO., LTD.</v>
      </c>
      <c r="AC175" s="14" t="str">
        <v>25H1005044</v>
      </c>
      <c r="AD175" s="14" t="str">
        <v>HMM TURQUOISE</v>
      </c>
      <c r="AE175" s="14" t="str">
        <v>0011E</v>
      </c>
      <c r="AF175" s="27" t="str">
        <v>CN</v>
      </c>
      <c r="AG175" s="27" t="str">
        <v>PRT</v>
      </c>
      <c r="AH175" s="14" t="str">
        <v>CNYAN</v>
      </c>
    </row>
    <row r="176" spans="1:34" ht="25.2" customHeight="1" x14ac:dyDescent="0.45">
      <c r="A176" s="17" t="str">
        <v>HF</v>
      </c>
      <c r="B176" s="14" t="str">
        <v/>
      </c>
      <c r="C176" s="14" t="str">
        <v>HDMUSHAA63402100</v>
      </c>
      <c r="D176" s="17" t="str">
        <v>HMMU4769971</v>
      </c>
      <c r="E176" s="14" t="str">
        <v>C40HC</v>
      </c>
      <c r="F176" s="17" t="str">
        <v>277DT260722726756</v>
      </c>
      <c r="G176" s="15">
        <v>46258</v>
      </c>
      <c r="H176" s="16">
        <v>0.27083333333333326</v>
      </c>
      <c r="I176" s="15">
        <v>46252</v>
      </c>
      <c r="J176" s="17">
        <v>0</v>
      </c>
      <c r="K176" s="15">
        <v>46249</v>
      </c>
      <c r="L176" s="17" t="str">
        <v>373-STO-S10000030743</v>
      </c>
      <c r="M176" s="14" t="str">
        <v>400</v>
      </c>
      <c r="N176" s="14" t="str">
        <v>258DTS10000195901</v>
      </c>
      <c r="O176" s="14" t="str">
        <v>300</v>
      </c>
      <c r="P176" s="14">
        <v>0</v>
      </c>
      <c r="Q176" s="14">
        <v>46225</v>
      </c>
      <c r="R176" s="14">
        <v>726</v>
      </c>
      <c r="S176" s="14" t="str">
        <v>STO</v>
      </c>
      <c r="T176" s="14">
        <v>2407</v>
      </c>
      <c r="U176" s="14" t="str">
        <v>7.774388</v>
      </c>
      <c r="V176" s="14" t="str">
        <v>8.370817</v>
      </c>
      <c r="W176" s="14">
        <v>1388.1279999999999</v>
      </c>
      <c r="X176" s="14">
        <v>46246</v>
      </c>
      <c r="Y176" s="14">
        <v>46244</v>
      </c>
      <c r="Z176" s="14">
        <v>0</v>
      </c>
      <c r="AA176" s="14" t="str">
        <v>31676</v>
      </c>
      <c r="AB176" s="14" t="str">
        <v>HMM CO., LTD.</v>
      </c>
      <c r="AC176" s="14" t="str">
        <v>25H1005044</v>
      </c>
      <c r="AD176" s="14" t="str">
        <v>HMM TURQUOISE</v>
      </c>
      <c r="AE176" s="14" t="str">
        <v>0011E</v>
      </c>
      <c r="AF176" s="27" t="str">
        <v>CN</v>
      </c>
      <c r="AG176" s="27" t="str">
        <v>PRT</v>
      </c>
      <c r="AH176" s="14" t="str">
        <v>CNYAN</v>
      </c>
    </row>
    <row r="177" spans="1:34" ht="25.2" customHeight="1" x14ac:dyDescent="0.45">
      <c r="A177" s="17" t="str">
        <v>DD</v>
      </c>
      <c r="B177" s="14" t="str">
        <v>MILK RUN NOR</v>
      </c>
      <c r="C177" s="14" t="str">
        <v>EGLV003600814713</v>
      </c>
      <c r="D177" s="17" t="str">
        <v>EGHU3791119</v>
      </c>
      <c r="E177" s="14" t="str">
        <v>C20DV</v>
      </c>
      <c r="F177" s="17" t="str">
        <v>22280SUP262872601CP</v>
      </c>
      <c r="G177" s="15">
        <v>46258</v>
      </c>
      <c r="H177" s="16">
        <v>0.35416666666666674</v>
      </c>
      <c r="I177" s="15">
        <v>46247</v>
      </c>
      <c r="J177" s="17">
        <v>0</v>
      </c>
      <c r="K177" s="15">
        <v>46247</v>
      </c>
      <c r="L177" s="17" t="str">
        <v>373-STO-S10000030736</v>
      </c>
      <c r="M177" s="14" t="str">
        <v>420</v>
      </c>
      <c r="N177" s="14" t="str">
        <v>012TSOS10000378284</v>
      </c>
      <c r="O177" s="14" t="str">
        <v>300</v>
      </c>
      <c r="P177" s="14" t="str">
        <v>PHWAN5</v>
      </c>
      <c r="Q177" s="14">
        <v>46203</v>
      </c>
      <c r="R177" s="14">
        <v>726</v>
      </c>
      <c r="S177" s="14" t="str">
        <v>STO</v>
      </c>
      <c r="T177" s="14">
        <v>1476</v>
      </c>
      <c r="U177" s="14" t="str">
        <v>2.84652</v>
      </c>
      <c r="V177" s="14" t="str">
        <v>3.092404</v>
      </c>
      <c r="W177" s="14">
        <v>303.14</v>
      </c>
      <c r="X177" s="14">
        <v>46236</v>
      </c>
      <c r="Y177" s="14">
        <v>46239</v>
      </c>
      <c r="Z177" s="14">
        <v>0</v>
      </c>
      <c r="AA177" s="14" t="str">
        <v>31267</v>
      </c>
      <c r="AB177" s="14" t="str">
        <v>EVERGREEN LINE</v>
      </c>
      <c r="AC177" s="14" t="str">
        <v>EMCCQL2515</v>
      </c>
      <c r="AD177" s="14" t="str">
        <v>EVER VIVA</v>
      </c>
      <c r="AE177" s="14" t="str">
        <v>0292-021N</v>
      </c>
      <c r="AF177" s="27" t="str">
        <v>TW</v>
      </c>
      <c r="AG177" s="27" t="str">
        <v>PRT</v>
      </c>
      <c r="AH177" s="14" t="str">
        <v>TWTXG</v>
      </c>
    </row>
    <row r="178" spans="1:34" ht="25.2" customHeight="1" x14ac:dyDescent="0.45">
      <c r="A178" s="17" t="str">
        <v>DD</v>
      </c>
      <c r="B178" s="14" t="str">
        <v/>
      </c>
      <c r="C178" s="14" t="str">
        <v>HDMUSHAA83596300</v>
      </c>
      <c r="D178" s="17" t="str">
        <v>HMMU6231990</v>
      </c>
      <c r="E178" s="14" t="str">
        <v>C40HC</v>
      </c>
      <c r="F178" s="17" t="str">
        <v>22715SUPECIS73359</v>
      </c>
      <c r="G178" s="15">
        <v>46257</v>
      </c>
      <c r="H178" s="16">
        <v>0.26041666666666674</v>
      </c>
      <c r="I178" s="15">
        <v>46252</v>
      </c>
      <c r="J178" s="17">
        <v>0</v>
      </c>
      <c r="K178" s="15">
        <v>46249</v>
      </c>
      <c r="L178" s="17" t="str">
        <v>373-STO-S10000030725</v>
      </c>
      <c r="M178" s="14" t="str">
        <v>400</v>
      </c>
      <c r="N178" s="14" t="str">
        <v>037TSOS10000661691</v>
      </c>
      <c r="O178" s="14" t="str">
        <v>300</v>
      </c>
      <c r="P178" s="14" t="str">
        <v>JIZHU80</v>
      </c>
      <c r="Q178" s="14">
        <v>46220</v>
      </c>
      <c r="R178" s="14">
        <v>726</v>
      </c>
      <c r="S178" s="14" t="str">
        <v>STO</v>
      </c>
      <c r="T178" s="14">
        <v>728</v>
      </c>
      <c r="U178" s="14" t="str">
        <v>51.616492</v>
      </c>
      <c r="V178" s="14" t="str">
        <v>55.171091</v>
      </c>
      <c r="W178" s="14">
        <v>21973.77</v>
      </c>
      <c r="X178" s="14">
        <v>46244</v>
      </c>
      <c r="Y178" s="14">
        <v>46242</v>
      </c>
      <c r="Z178" s="14">
        <v>0</v>
      </c>
      <c r="AA178" s="14" t="str">
        <v>31676</v>
      </c>
      <c r="AB178" s="14" t="str">
        <v>HMM CO., LTD.</v>
      </c>
      <c r="AC178" s="14" t="str">
        <v>25H1423821</v>
      </c>
      <c r="AD178" s="14" t="str">
        <v>HMM TURQUOISE</v>
      </c>
      <c r="AE178" s="14" t="str">
        <v>0011E</v>
      </c>
      <c r="AF178" s="27" t="str">
        <v>CN</v>
      </c>
      <c r="AG178" s="27" t="str">
        <v>PRT</v>
      </c>
      <c r="AH178" s="14" t="str">
        <v>CNYAN</v>
      </c>
    </row>
    <row r="179" spans="1:34" ht="25.2" customHeight="1" x14ac:dyDescent="0.45">
      <c r="A179" s="17" t="str">
        <v>HF</v>
      </c>
      <c r="B179" s="14">
        <v>0</v>
      </c>
      <c r="C179" s="14" t="str">
        <v>MAEUIK0215789</v>
      </c>
      <c r="D179" s="17" t="str">
        <v>MRSU2590582</v>
      </c>
      <c r="E179" s="14" t="str">
        <v>C40HC</v>
      </c>
      <c r="F179" s="17" t="str">
        <v>258DT260723726846</v>
      </c>
      <c r="G179" s="15">
        <v>46256</v>
      </c>
      <c r="H179" s="16">
        <v>0.26041666666666674</v>
      </c>
      <c r="I179" s="15">
        <v>46244</v>
      </c>
      <c r="J179" s="17">
        <v>0</v>
      </c>
      <c r="K179" s="15">
        <v>46243</v>
      </c>
      <c r="L179" s="17" t="str">
        <v>373-STO-S10000030700</v>
      </c>
      <c r="M179" s="14" t="str">
        <v>400</v>
      </c>
      <c r="N179" s="14" t="str">
        <v>258DTS10000196219</v>
      </c>
      <c r="O179" s="14" t="str">
        <v>300</v>
      </c>
      <c r="P179" s="14">
        <v>0</v>
      </c>
      <c r="Q179" s="14">
        <v>46226</v>
      </c>
      <c r="R179" s="14">
        <v>726</v>
      </c>
      <c r="S179" s="14" t="str">
        <v>STO</v>
      </c>
      <c r="T179" s="14">
        <v>3953</v>
      </c>
      <c r="U179" s="14" t="str">
        <v>50.867254</v>
      </c>
      <c r="V179" s="14" t="str">
        <v>54.72965</v>
      </c>
      <c r="W179" s="14">
        <v>9592.5190000000002</v>
      </c>
      <c r="X179" s="14">
        <v>46237</v>
      </c>
      <c r="Y179" s="14">
        <v>46235</v>
      </c>
      <c r="Z179" s="14">
        <v>0</v>
      </c>
      <c r="AA179" s="14" t="str">
        <v>31825</v>
      </c>
      <c r="AB179" s="14" t="str">
        <v>MAERSK A/S</v>
      </c>
      <c r="AC179" s="14" t="str">
        <v>CN3562038</v>
      </c>
      <c r="AD179" s="14" t="str">
        <v>MERATUS JIMBARAN</v>
      </c>
      <c r="AE179" s="14" t="str">
        <v>630N</v>
      </c>
      <c r="AF179" s="27" t="str">
        <v>CN</v>
      </c>
      <c r="AG179" s="27" t="str">
        <v>PRT</v>
      </c>
      <c r="AH179" s="14" t="str">
        <v>CNSHA</v>
      </c>
    </row>
    <row r="180" spans="1:34" ht="25.2" customHeight="1" x14ac:dyDescent="0.45">
      <c r="A180" s="17" t="str">
        <v>HF</v>
      </c>
      <c r="B180" s="14">
        <v>0</v>
      </c>
      <c r="C180" s="14" t="str">
        <v>MAEUIK0215789</v>
      </c>
      <c r="D180" s="17" t="str">
        <v>MRSU2590582</v>
      </c>
      <c r="E180" s="14" t="str">
        <v>C40HC</v>
      </c>
      <c r="F180" s="17" t="str">
        <v>277DT260723726847</v>
      </c>
      <c r="G180" s="15">
        <v>46256</v>
      </c>
      <c r="H180" s="16">
        <v>0.26041666666666674</v>
      </c>
      <c r="I180" s="15">
        <v>46244</v>
      </c>
      <c r="J180" s="17">
        <v>0</v>
      </c>
      <c r="K180" s="15">
        <v>46243</v>
      </c>
      <c r="L180" s="17" t="str">
        <v>373-STO-S10000030700</v>
      </c>
      <c r="M180" s="14" t="str">
        <v>400</v>
      </c>
      <c r="N180" s="14" t="str">
        <v>258DTS10000196219</v>
      </c>
      <c r="O180" s="14" t="str">
        <v>300</v>
      </c>
      <c r="P180" s="14">
        <v>0</v>
      </c>
      <c r="Q180" s="14">
        <v>46226</v>
      </c>
      <c r="R180" s="14">
        <v>726</v>
      </c>
      <c r="S180" s="14" t="str">
        <v>STO</v>
      </c>
      <c r="T180" s="14">
        <v>3272</v>
      </c>
      <c r="U180" s="14" t="str">
        <v>5.17842</v>
      </c>
      <c r="V180" s="14" t="str">
        <v>5.58210611</v>
      </c>
      <c r="W180" s="14">
        <v>968.86800000000005</v>
      </c>
      <c r="X180" s="14">
        <v>46237</v>
      </c>
      <c r="Y180" s="14">
        <v>46235</v>
      </c>
      <c r="Z180" s="14">
        <v>0</v>
      </c>
      <c r="AA180" s="14" t="str">
        <v>31825</v>
      </c>
      <c r="AB180" s="14" t="str">
        <v>MAERSK A/S</v>
      </c>
      <c r="AC180" s="14" t="str">
        <v>CN3562038</v>
      </c>
      <c r="AD180" s="14" t="str">
        <v>MERATUS JIMBARAN</v>
      </c>
      <c r="AE180" s="14" t="str">
        <v>630N</v>
      </c>
      <c r="AF180" s="27" t="str">
        <v>CN</v>
      </c>
      <c r="AG180" s="27" t="str">
        <v>PRT</v>
      </c>
      <c r="AH180" s="14" t="str">
        <v>CNSHA</v>
      </c>
    </row>
    <row r="181" spans="1:34" ht="25.2" customHeight="1" x14ac:dyDescent="0.45">
      <c r="A181" s="17" t="str">
        <v>DD</v>
      </c>
      <c r="B181" s="14" t="str">
        <v>MILK RUN NOR</v>
      </c>
      <c r="C181" s="14" t="str">
        <v>OOLU2171708560</v>
      </c>
      <c r="D181" s="17" t="str">
        <v>OOCU5598107</v>
      </c>
      <c r="E181" s="14" t="str">
        <v>C40HC</v>
      </c>
      <c r="F181" s="17" t="str">
        <v>23273SUP3627989</v>
      </c>
      <c r="G181" s="15">
        <v>46255</v>
      </c>
      <c r="H181" s="16">
        <v>0.35416666666666674</v>
      </c>
      <c r="I181" s="15">
        <v>46245</v>
      </c>
      <c r="J181" s="17">
        <v>0</v>
      </c>
      <c r="K181" s="15">
        <v>46244</v>
      </c>
      <c r="L181" s="17" t="str">
        <v>373-STO-S10000030688</v>
      </c>
      <c r="M181" s="14" t="str">
        <v>400</v>
      </c>
      <c r="N181" s="14" t="str">
        <v>030TSOS10000126918</v>
      </c>
      <c r="O181" s="14" t="str">
        <v>350</v>
      </c>
      <c r="P181" s="14" t="str">
        <v>JEGAO9</v>
      </c>
      <c r="Q181" s="14">
        <v>46209</v>
      </c>
      <c r="R181" s="14">
        <v>726</v>
      </c>
      <c r="S181" s="14" t="str">
        <v>STO</v>
      </c>
      <c r="T181" s="14">
        <v>60</v>
      </c>
      <c r="U181" s="14" t="str">
        <v>9.577398</v>
      </c>
      <c r="V181" s="14" t="str">
        <v>10.007564</v>
      </c>
      <c r="W181" s="14">
        <v>1674.2159999999999</v>
      </c>
      <c r="X181" s="14">
        <v>46239</v>
      </c>
      <c r="Y181" s="14">
        <v>46233</v>
      </c>
      <c r="Z181" s="14">
        <v>0</v>
      </c>
      <c r="AA181" s="14" t="str">
        <v>30105</v>
      </c>
      <c r="AB181" s="14" t="str">
        <v>ORIENT OVERSEAS CONTAINER LINE LTD.</v>
      </c>
      <c r="AC181" s="14" t="str">
        <v>OOLKXP8963</v>
      </c>
      <c r="AD181" s="14" t="str">
        <v>OOCL MALAYSIA</v>
      </c>
      <c r="AE181" s="14" t="str">
        <v>072W</v>
      </c>
      <c r="AF181" s="27" t="str">
        <v>CN</v>
      </c>
      <c r="AG181" s="27" t="str">
        <v>PRT</v>
      </c>
      <c r="AH181" s="14" t="str">
        <v>CNTXG</v>
      </c>
    </row>
    <row r="182" spans="1:34" ht="25.2" customHeight="1" x14ac:dyDescent="0.45">
      <c r="A182" s="17" t="str">
        <v>LF</v>
      </c>
      <c r="B182" s="14">
        <v>0</v>
      </c>
      <c r="C182" s="14" t="str">
        <v>MAEUIK0214302</v>
      </c>
      <c r="D182" s="17" t="str">
        <v>MRSU4812077</v>
      </c>
      <c r="E182" s="14" t="str">
        <v>C40HC</v>
      </c>
      <c r="F182" s="17" t="str">
        <v>294DT260714726869</v>
      </c>
      <c r="G182" s="15">
        <v>46255</v>
      </c>
      <c r="H182" s="16">
        <v>0.27083333333333326</v>
      </c>
      <c r="I182" s="15">
        <v>46248</v>
      </c>
      <c r="J182" s="17">
        <v>46248</v>
      </c>
      <c r="K182" s="15">
        <v>46243</v>
      </c>
      <c r="L182" s="17" t="str">
        <v>373-STO-S10000030699</v>
      </c>
      <c r="M182" s="14" t="str">
        <v>400</v>
      </c>
      <c r="N182" s="14" t="str">
        <v>258DTS10000194704</v>
      </c>
      <c r="O182" s="14" t="str">
        <v>350</v>
      </c>
      <c r="P182" s="14" t="str">
        <v>LARXU</v>
      </c>
      <c r="Q182" s="14">
        <v>46217</v>
      </c>
      <c r="R182" s="14">
        <v>726</v>
      </c>
      <c r="S182" s="14" t="str">
        <v>STO</v>
      </c>
      <c r="T182" s="14">
        <v>3165</v>
      </c>
      <c r="U182" s="14" t="str">
        <v>11.184594</v>
      </c>
      <c r="V182" s="14" t="str">
        <v>12.14199604</v>
      </c>
      <c r="W182" s="14">
        <v>1864.453</v>
      </c>
      <c r="X182" s="14">
        <v>46229</v>
      </c>
      <c r="Y182" s="14">
        <v>46227</v>
      </c>
      <c r="Z182" s="14">
        <v>0</v>
      </c>
      <c r="AA182" s="14" t="str">
        <v>31825</v>
      </c>
      <c r="AB182" s="14" t="str">
        <v>MAERSK A/S</v>
      </c>
      <c r="AC182" s="14" t="str">
        <v>CN7895349</v>
      </c>
      <c r="AD182" s="14" t="str">
        <v>GSL ELEFTHERIA</v>
      </c>
      <c r="AE182" s="14" t="str">
        <v>629N</v>
      </c>
      <c r="AF182" s="27" t="str">
        <v>CN</v>
      </c>
      <c r="AG182" s="27" t="str">
        <v>PRT</v>
      </c>
      <c r="AH182" s="14" t="str">
        <v>CNSHA</v>
      </c>
    </row>
    <row r="183" spans="1:34" ht="25.2" customHeight="1" x14ac:dyDescent="0.45">
      <c r="A183" s="17" t="str">
        <v>LF</v>
      </c>
      <c r="B183" s="14">
        <v>0</v>
      </c>
      <c r="C183" s="14" t="str">
        <v>MAEUIK0214302</v>
      </c>
      <c r="D183" s="17" t="str">
        <v>MRSU4812077</v>
      </c>
      <c r="E183" s="14" t="str">
        <v>C40HC</v>
      </c>
      <c r="F183" s="17" t="str">
        <v>319DT260714726870</v>
      </c>
      <c r="G183" s="15">
        <v>46255</v>
      </c>
      <c r="H183" s="16">
        <v>0.27083333333333326</v>
      </c>
      <c r="I183" s="15">
        <v>46248</v>
      </c>
      <c r="J183" s="17">
        <v>46248</v>
      </c>
      <c r="K183" s="15">
        <v>46243</v>
      </c>
      <c r="L183" s="17" t="str">
        <v>373-STO-S10000030699</v>
      </c>
      <c r="M183" s="14" t="str">
        <v>400</v>
      </c>
      <c r="N183" s="14" t="str">
        <v>258DTS10000194704</v>
      </c>
      <c r="O183" s="14" t="str">
        <v>350</v>
      </c>
      <c r="P183" s="14" t="str">
        <v>LARXU</v>
      </c>
      <c r="Q183" s="14">
        <v>46217</v>
      </c>
      <c r="R183" s="14">
        <v>726</v>
      </c>
      <c r="S183" s="14" t="str">
        <v>STO</v>
      </c>
      <c r="T183" s="14">
        <v>15130</v>
      </c>
      <c r="U183" s="14" t="str">
        <v>37.25391</v>
      </c>
      <c r="V183" s="14" t="str">
        <v>40.39744428</v>
      </c>
      <c r="W183" s="14">
        <v>9766.35</v>
      </c>
      <c r="X183" s="14">
        <v>46229</v>
      </c>
      <c r="Y183" s="14">
        <v>46227</v>
      </c>
      <c r="Z183" s="14">
        <v>0</v>
      </c>
      <c r="AA183" s="14" t="str">
        <v>31825</v>
      </c>
      <c r="AB183" s="14" t="str">
        <v>MAERSK A/S</v>
      </c>
      <c r="AC183" s="14" t="str">
        <v>CN7895349</v>
      </c>
      <c r="AD183" s="14" t="str">
        <v>GSL ELEFTHERIA</v>
      </c>
      <c r="AE183" s="14" t="str">
        <v>629N</v>
      </c>
      <c r="AF183" s="27" t="str">
        <v>CN</v>
      </c>
      <c r="AG183" s="27" t="str">
        <v>PRT</v>
      </c>
      <c r="AH183" s="14" t="str">
        <v>CNSHA</v>
      </c>
    </row>
    <row r="184" spans="1:34" ht="25.2" customHeight="1" x14ac:dyDescent="0.45">
      <c r="A184" s="17" t="str">
        <v>DD</v>
      </c>
      <c r="B184" s="14" t="str">
        <v>MILK RUN NOR</v>
      </c>
      <c r="C184" s="14" t="str">
        <v>OOLU2171731350</v>
      </c>
      <c r="D184" s="17" t="str">
        <v>OOCU8965612</v>
      </c>
      <c r="E184" s="14" t="str">
        <v>C40HC</v>
      </c>
      <c r="F184" s="17" t="str">
        <v>23273SUP3626611</v>
      </c>
      <c r="G184" s="15">
        <v>46254</v>
      </c>
      <c r="H184" s="16">
        <v>0.35416666666666674</v>
      </c>
      <c r="I184" s="15">
        <v>46245</v>
      </c>
      <c r="J184" s="17">
        <v>0</v>
      </c>
      <c r="K184" s="15">
        <v>46244</v>
      </c>
      <c r="L184" s="17" t="str">
        <v>373-STO-S10000030663</v>
      </c>
      <c r="M184" s="14" t="str">
        <v>400</v>
      </c>
      <c r="N184" s="14" t="str">
        <v>030TSOS10000127028</v>
      </c>
      <c r="O184" s="14" t="str">
        <v>350</v>
      </c>
      <c r="P184" s="14" t="str">
        <v>JEGAO9</v>
      </c>
      <c r="Q184" s="14">
        <v>46209</v>
      </c>
      <c r="R184" s="14">
        <v>726</v>
      </c>
      <c r="S184" s="14" t="str">
        <v>STO</v>
      </c>
      <c r="T184" s="14">
        <v>24</v>
      </c>
      <c r="U184" s="14" t="str">
        <v>4.14396</v>
      </c>
      <c r="V184" s="14" t="str">
        <v>4.321282</v>
      </c>
      <c r="W184" s="14">
        <v>633.55799999999999</v>
      </c>
      <c r="X184" s="14">
        <v>46221</v>
      </c>
      <c r="Y184" s="14">
        <v>46233</v>
      </c>
      <c r="Z184" s="14">
        <v>0</v>
      </c>
      <c r="AA184" s="14" t="str">
        <v>30105</v>
      </c>
      <c r="AB184" s="14" t="str">
        <v>ORIENT OVERSEAS CONTAINER LINE LTD.</v>
      </c>
      <c r="AC184" s="14" t="str">
        <v>OOLKXP8869</v>
      </c>
      <c r="AD184" s="14" t="str">
        <v>OOCL MALAYSIA</v>
      </c>
      <c r="AE184" s="14" t="str">
        <v>072West</v>
      </c>
      <c r="AF184" s="27" t="str">
        <v>CN</v>
      </c>
      <c r="AG184" s="27" t="str">
        <v>PRT</v>
      </c>
      <c r="AH184" s="14" t="str">
        <v>CNTXG</v>
      </c>
    </row>
    <row r="185" spans="1:34" ht="25.2" customHeight="1" x14ac:dyDescent="0.45">
      <c r="A185" s="17" t="str">
        <v>HF</v>
      </c>
      <c r="B185" s="14">
        <v>0</v>
      </c>
      <c r="C185" s="14" t="str">
        <v>MAEUIK0214760</v>
      </c>
      <c r="D185" s="17" t="str">
        <v>MRKU2666242</v>
      </c>
      <c r="E185" s="14" t="str">
        <v>C40HC</v>
      </c>
      <c r="F185" s="17" t="str">
        <v>258DT260716726437</v>
      </c>
      <c r="G185" s="15">
        <v>46254</v>
      </c>
      <c r="H185" s="16">
        <v>0.27083333333333326</v>
      </c>
      <c r="I185" s="15">
        <v>46245</v>
      </c>
      <c r="J185" s="17">
        <v>0</v>
      </c>
      <c r="K185" s="15">
        <v>46243</v>
      </c>
      <c r="L185" s="17" t="str">
        <v>373-STO-S10000030679</v>
      </c>
      <c r="M185" s="14" t="str">
        <v>400</v>
      </c>
      <c r="N185" s="14" t="str">
        <v>258DTS10000195198</v>
      </c>
      <c r="O185" s="14" t="str">
        <v>300</v>
      </c>
      <c r="P185" s="14">
        <v>0</v>
      </c>
      <c r="Q185" s="14">
        <v>46219</v>
      </c>
      <c r="R185" s="14">
        <v>726</v>
      </c>
      <c r="S185" s="14" t="str">
        <v>STO</v>
      </c>
      <c r="T185" s="14">
        <v>12033</v>
      </c>
      <c r="U185" s="14" t="str">
        <v>54.727126</v>
      </c>
      <c r="V185" s="14" t="str">
        <v>59.02269262</v>
      </c>
      <c r="W185" s="14">
        <v>11601.325000000001</v>
      </c>
      <c r="X185" s="14">
        <v>46229</v>
      </c>
      <c r="Y185" s="14">
        <v>46227</v>
      </c>
      <c r="Z185" s="14">
        <v>0</v>
      </c>
      <c r="AA185" s="14" t="str">
        <v>31825</v>
      </c>
      <c r="AB185" s="14" t="str">
        <v>MAERSK A/S</v>
      </c>
      <c r="AC185" s="14" t="str">
        <v>CN7875809</v>
      </c>
      <c r="AD185" s="14" t="str">
        <v>GSL ELEFTHERIA</v>
      </c>
      <c r="AE185" s="14" t="str">
        <v>629N</v>
      </c>
      <c r="AF185" s="27" t="str">
        <v>CN</v>
      </c>
      <c r="AG185" s="27" t="str">
        <v>PRT</v>
      </c>
      <c r="AH185" s="14" t="str">
        <v>CNSHA</v>
      </c>
    </row>
    <row r="186" spans="1:34" ht="25.2" customHeight="1" x14ac:dyDescent="0.45">
      <c r="A186" s="17" t="str">
        <v>DD</v>
      </c>
      <c r="B186" s="14" t="str">
        <v>MILK RUN NOR</v>
      </c>
      <c r="C186" s="14" t="str">
        <v>OOLU2171667000</v>
      </c>
      <c r="D186" s="17" t="str">
        <v>OOCU5860454</v>
      </c>
      <c r="E186" s="14" t="str">
        <v>C40HC</v>
      </c>
      <c r="F186" s="17" t="str">
        <v>23273SUP3626294</v>
      </c>
      <c r="G186" s="15">
        <v>46253</v>
      </c>
      <c r="H186" s="16">
        <v>0.35416666666666674</v>
      </c>
      <c r="I186" s="15">
        <v>46245</v>
      </c>
      <c r="J186" s="17">
        <v>0</v>
      </c>
      <c r="K186" s="15">
        <v>46244</v>
      </c>
      <c r="L186" s="17" t="str">
        <v>373-STO-S10000030659</v>
      </c>
      <c r="M186" s="14" t="str">
        <v>400</v>
      </c>
      <c r="N186" s="14" t="str">
        <v>030TSOS10000126790</v>
      </c>
      <c r="O186" s="14" t="str">
        <v>300</v>
      </c>
      <c r="P186" s="14" t="str">
        <v>JOWAN57</v>
      </c>
      <c r="Q186" s="14">
        <v>46206</v>
      </c>
      <c r="R186" s="14">
        <v>726</v>
      </c>
      <c r="S186" s="14" t="str">
        <v>STO</v>
      </c>
      <c r="T186" s="14">
        <v>24</v>
      </c>
      <c r="U186" s="14" t="str">
        <v>3.526242</v>
      </c>
      <c r="V186" s="14" t="str">
        <v>3.695937</v>
      </c>
      <c r="W186" s="14">
        <v>659.45399999999995</v>
      </c>
      <c r="X186" s="14">
        <v>46239</v>
      </c>
      <c r="Y186" s="14">
        <v>46237</v>
      </c>
      <c r="Z186" s="14">
        <v>0</v>
      </c>
      <c r="AA186" s="14" t="str">
        <v>30105</v>
      </c>
      <c r="AB186" s="14" t="str">
        <v>ORIENT OVERSEAS CONTAINER LINE LTD.</v>
      </c>
      <c r="AC186" s="14" t="str">
        <v>OOLKXP8970</v>
      </c>
      <c r="AD186" s="14" t="str">
        <v>OOCL MALAYSIA</v>
      </c>
      <c r="AE186" s="14" t="str">
        <v>072W</v>
      </c>
      <c r="AF186" s="27" t="str">
        <v>CN</v>
      </c>
      <c r="AG186" s="27" t="str">
        <v>PRT</v>
      </c>
      <c r="AH186" s="14" t="str">
        <v>CNTXG</v>
      </c>
    </row>
    <row r="187" spans="1:34" ht="25.2" customHeight="1" x14ac:dyDescent="0.45">
      <c r="A187" s="17" t="str">
        <v>LF</v>
      </c>
      <c r="B187" s="14">
        <v>0</v>
      </c>
      <c r="C187" s="14" t="str">
        <v>MAEUIK0215570</v>
      </c>
      <c r="D187" s="17" t="str">
        <v>GCXU5558019</v>
      </c>
      <c r="E187" s="14" t="str">
        <v>C40HC</v>
      </c>
      <c r="F187" s="17" t="str">
        <v>294DT260722726954</v>
      </c>
      <c r="G187" s="15">
        <v>46253</v>
      </c>
      <c r="H187" s="16">
        <v>0.27083333333333326</v>
      </c>
      <c r="I187" s="15">
        <v>46245</v>
      </c>
      <c r="J187" s="17">
        <v>0</v>
      </c>
      <c r="K187" s="15">
        <v>46243</v>
      </c>
      <c r="L187" s="17" t="str">
        <v>373-STO-S10000030678</v>
      </c>
      <c r="M187" s="14" t="str">
        <v>400</v>
      </c>
      <c r="N187" s="14" t="str">
        <v>258DTS10000195900</v>
      </c>
      <c r="O187" s="14" t="str">
        <v>350</v>
      </c>
      <c r="P187" s="14">
        <v>0</v>
      </c>
      <c r="Q187" s="14">
        <v>46225</v>
      </c>
      <c r="R187" s="14">
        <v>726</v>
      </c>
      <c r="S187" s="14" t="str">
        <v>STO</v>
      </c>
      <c r="T187" s="14">
        <v>9689</v>
      </c>
      <c r="U187" s="14" t="str">
        <v>9.783074</v>
      </c>
      <c r="V187" s="14" t="str">
        <v>10.51334836</v>
      </c>
      <c r="W187" s="14">
        <v>2166.4319999999998</v>
      </c>
      <c r="X187" s="14">
        <v>46237</v>
      </c>
      <c r="Y187" s="14">
        <v>46235</v>
      </c>
      <c r="Z187" s="14">
        <v>0</v>
      </c>
      <c r="AA187" s="14" t="str">
        <v>31825</v>
      </c>
      <c r="AB187" s="14" t="str">
        <v>MAERSK A/S</v>
      </c>
      <c r="AC187" s="14" t="str">
        <v>CN4466970</v>
      </c>
      <c r="AD187" s="14" t="str">
        <v>MERATUS JIMBARAN</v>
      </c>
      <c r="AE187" s="14" t="str">
        <v>630N</v>
      </c>
      <c r="AF187" s="27" t="str">
        <v>CN</v>
      </c>
      <c r="AG187" s="27" t="str">
        <v>PRT</v>
      </c>
      <c r="AH187" s="14" t="str">
        <v>CNSHA</v>
      </c>
    </row>
    <row r="188" spans="1:34" ht="25.2" customHeight="1" x14ac:dyDescent="0.45">
      <c r="A188" s="17" t="str">
        <v>LF</v>
      </c>
      <c r="B188" s="14">
        <v>0</v>
      </c>
      <c r="C188" s="14" t="str">
        <v>MAEUIK0215570</v>
      </c>
      <c r="D188" s="17" t="str">
        <v>GCXU5558019</v>
      </c>
      <c r="E188" s="14" t="str">
        <v>C40HC</v>
      </c>
      <c r="F188" s="17" t="str">
        <v>319DT260722726955</v>
      </c>
      <c r="G188" s="15">
        <v>46253</v>
      </c>
      <c r="H188" s="16">
        <v>0.27083333333333326</v>
      </c>
      <c r="I188" s="15">
        <v>46245</v>
      </c>
      <c r="J188" s="17">
        <v>0</v>
      </c>
      <c r="K188" s="15">
        <v>46243</v>
      </c>
      <c r="L188" s="17" t="str">
        <v>373-STO-S10000030678</v>
      </c>
      <c r="M188" s="14" t="str">
        <v>400</v>
      </c>
      <c r="N188" s="14" t="str">
        <v>258DTS10000195900</v>
      </c>
      <c r="O188" s="14" t="str">
        <v>350</v>
      </c>
      <c r="P188" s="14">
        <v>0</v>
      </c>
      <c r="Q188" s="14">
        <v>46225</v>
      </c>
      <c r="R188" s="14">
        <v>726</v>
      </c>
      <c r="S188" s="14" t="str">
        <v>STO</v>
      </c>
      <c r="T188" s="14">
        <v>14688</v>
      </c>
      <c r="U188" s="14" t="str">
        <v>38.349317</v>
      </c>
      <c r="V188" s="14" t="str">
        <v>41.39467373</v>
      </c>
      <c r="W188" s="14">
        <v>8107.5460000000003</v>
      </c>
      <c r="X188" s="14">
        <v>46237</v>
      </c>
      <c r="Y188" s="14">
        <v>46235</v>
      </c>
      <c r="Z188" s="14">
        <v>0</v>
      </c>
      <c r="AA188" s="14" t="str">
        <v>31825</v>
      </c>
      <c r="AB188" s="14" t="str">
        <v>MAERSK A/S</v>
      </c>
      <c r="AC188" s="14" t="str">
        <v>CN4466970</v>
      </c>
      <c r="AD188" s="14" t="str">
        <v>MERATUS JIMBARAN</v>
      </c>
      <c r="AE188" s="14" t="str">
        <v>630N</v>
      </c>
      <c r="AF188" s="27" t="str">
        <v>CN</v>
      </c>
      <c r="AG188" s="27" t="str">
        <v>PRT</v>
      </c>
      <c r="AH188" s="14" t="str">
        <v>CNSHA</v>
      </c>
    </row>
    <row r="189" spans="1:34" ht="25.2" customHeight="1" x14ac:dyDescent="0.45">
      <c r="A189" s="17" t="str">
        <v>HF</v>
      </c>
      <c r="B189" s="14" t="str">
        <v/>
      </c>
      <c r="C189" s="14" t="str">
        <v>HDMUSHAA89466900</v>
      </c>
      <c r="D189" s="17" t="str">
        <v>HMMU4774155</v>
      </c>
      <c r="E189" s="14" t="str">
        <v>C40HC</v>
      </c>
      <c r="F189" s="17" t="str">
        <v>258DT260716726464</v>
      </c>
      <c r="G189" s="15">
        <v>46252</v>
      </c>
      <c r="H189" s="16">
        <v>0.625</v>
      </c>
      <c r="I189" s="15">
        <v>46245</v>
      </c>
      <c r="J189" s="17">
        <v>0</v>
      </c>
      <c r="K189" s="15">
        <v>46242</v>
      </c>
      <c r="L189" s="17" t="str">
        <v>373-STO-S10000030639</v>
      </c>
      <c r="M189" s="14" t="str">
        <v>400</v>
      </c>
      <c r="N189" s="14" t="str">
        <v>258DTS10000195182</v>
      </c>
      <c r="O189" s="14" t="str">
        <v>350</v>
      </c>
      <c r="P189" s="14">
        <v>0</v>
      </c>
      <c r="Q189" s="14">
        <v>46219</v>
      </c>
      <c r="R189" s="14">
        <v>726</v>
      </c>
      <c r="S189" s="14" t="str">
        <v>STO</v>
      </c>
      <c r="T189" s="14">
        <v>7718</v>
      </c>
      <c r="U189" s="14" t="str">
        <v>49.190707</v>
      </c>
      <c r="V189" s="14" t="str">
        <v>52.965579</v>
      </c>
      <c r="W189" s="14">
        <v>9945.9809999999998</v>
      </c>
      <c r="X189" s="14">
        <v>46241</v>
      </c>
      <c r="Y189" s="14">
        <v>46240</v>
      </c>
      <c r="Z189" s="14">
        <v>0</v>
      </c>
      <c r="AA189" s="14" t="str">
        <v>31676</v>
      </c>
      <c r="AB189" s="14" t="str">
        <v>HMM CO., LTD.</v>
      </c>
      <c r="AC189" s="14" t="str">
        <v>25H1010901</v>
      </c>
      <c r="AD189" s="14" t="str">
        <v>HMM RUBY</v>
      </c>
      <c r="AE189" s="14" t="str">
        <v>0014E</v>
      </c>
      <c r="AF189" s="27" t="str">
        <v>CN</v>
      </c>
      <c r="AG189" s="27" t="str">
        <v>PRT</v>
      </c>
      <c r="AH189" s="14" t="str">
        <v>CNYAN</v>
      </c>
    </row>
    <row r="190" spans="1:34" ht="25.2" customHeight="1" x14ac:dyDescent="0.45">
      <c r="A190" s="17" t="str">
        <v>HF</v>
      </c>
      <c r="B190" s="14" t="str">
        <v/>
      </c>
      <c r="C190" s="14" t="str">
        <v>HDMUSHAA89466900</v>
      </c>
      <c r="D190" s="17" t="str">
        <v>HMMU4774155</v>
      </c>
      <c r="E190" s="14" t="str">
        <v>C40HC</v>
      </c>
      <c r="F190" s="17" t="str">
        <v>277DT260716726465</v>
      </c>
      <c r="G190" s="15">
        <v>46252</v>
      </c>
      <c r="H190" s="16">
        <v>0.625</v>
      </c>
      <c r="I190" s="15">
        <v>46245</v>
      </c>
      <c r="J190" s="17">
        <v>0</v>
      </c>
      <c r="K190" s="15">
        <v>46242</v>
      </c>
      <c r="L190" s="17" t="str">
        <v>373-STO-S10000030639</v>
      </c>
      <c r="M190" s="14" t="str">
        <v>400</v>
      </c>
      <c r="N190" s="14" t="str">
        <v>258DTS10000195182</v>
      </c>
      <c r="O190" s="14" t="str">
        <v>350</v>
      </c>
      <c r="P190" s="14">
        <v>0</v>
      </c>
      <c r="Q190" s="14">
        <v>46219</v>
      </c>
      <c r="R190" s="14">
        <v>726</v>
      </c>
      <c r="S190" s="14" t="str">
        <v>STO</v>
      </c>
      <c r="T190" s="14">
        <v>3722</v>
      </c>
      <c r="U190" s="14" t="str">
        <v>6.038399</v>
      </c>
      <c r="V190" s="14" t="str">
        <v>6.52885</v>
      </c>
      <c r="W190" s="14">
        <v>1069.018</v>
      </c>
      <c r="X190" s="14">
        <v>46241</v>
      </c>
      <c r="Y190" s="14">
        <v>46240</v>
      </c>
      <c r="Z190" s="14">
        <v>0</v>
      </c>
      <c r="AA190" s="14" t="str">
        <v>31676</v>
      </c>
      <c r="AB190" s="14" t="str">
        <v>HMM CO., LTD.</v>
      </c>
      <c r="AC190" s="14" t="str">
        <v>25H1010901</v>
      </c>
      <c r="AD190" s="14" t="str">
        <v>HMM RUBY</v>
      </c>
      <c r="AE190" s="14" t="str">
        <v>0014E</v>
      </c>
      <c r="AF190" s="27" t="str">
        <v>CN</v>
      </c>
      <c r="AG190" s="27" t="str">
        <v>PRT</v>
      </c>
      <c r="AH190" s="14" t="str">
        <v>CNYAN</v>
      </c>
    </row>
    <row r="191" spans="1:34" ht="25.2" customHeight="1" x14ac:dyDescent="0.45">
      <c r="A191" s="17" t="str">
        <v>DD</v>
      </c>
      <c r="B191" s="14" t="str">
        <v>MILK RUN NOR</v>
      </c>
      <c r="C191" s="14" t="str">
        <v>MAEUIK0214906</v>
      </c>
      <c r="D191" s="17" t="str">
        <v>MRSU4078045</v>
      </c>
      <c r="E191" s="14" t="str">
        <v>C40HC</v>
      </c>
      <c r="F191" s="17" t="str">
        <v>21985SUPECIS42051</v>
      </c>
      <c r="G191" s="15">
        <v>46252</v>
      </c>
      <c r="H191" s="16">
        <v>0.35416666666666674</v>
      </c>
      <c r="I191" s="15">
        <v>46244</v>
      </c>
      <c r="J191" s="17">
        <v>0</v>
      </c>
      <c r="K191" s="15">
        <v>46242</v>
      </c>
      <c r="L191" s="17" t="str">
        <v>373-STO-S10000030621</v>
      </c>
      <c r="M191" s="14" t="str">
        <v>420</v>
      </c>
      <c r="N191" s="14" t="str">
        <v>037TSOS10000660991</v>
      </c>
      <c r="O191" s="14" t="str">
        <v>300</v>
      </c>
      <c r="P191" s="14" t="str">
        <v>JUWAN78</v>
      </c>
      <c r="Q191" s="14">
        <v>46220</v>
      </c>
      <c r="R191" s="14">
        <v>726</v>
      </c>
      <c r="S191" s="14" t="str">
        <v>STO</v>
      </c>
      <c r="T191" s="14">
        <v>244</v>
      </c>
      <c r="U191" s="14" t="str">
        <v>3.749176</v>
      </c>
      <c r="V191" s="14" t="str">
        <v>4.139618</v>
      </c>
      <c r="W191" s="14">
        <v>981.2</v>
      </c>
      <c r="X191" s="14">
        <v>46241</v>
      </c>
      <c r="Y191" s="14">
        <v>46239</v>
      </c>
      <c r="Z191" s="14">
        <v>0</v>
      </c>
      <c r="AA191" s="14" t="str">
        <v>31825</v>
      </c>
      <c r="AB191" s="14" t="str">
        <v>MAERSK A/S</v>
      </c>
      <c r="AC191" s="14" t="str">
        <v>CN7978177</v>
      </c>
      <c r="AD191" s="14" t="str">
        <v>MTT SAPANGAR</v>
      </c>
      <c r="AE191" s="14" t="str">
        <v>629N</v>
      </c>
      <c r="AF191" s="27" t="str">
        <v>CN</v>
      </c>
      <c r="AG191" s="27" t="str">
        <v>PRT</v>
      </c>
      <c r="AH191" s="14" t="str">
        <v>CNSHA</v>
      </c>
    </row>
    <row r="192" spans="1:34" ht="25.2" customHeight="1" x14ac:dyDescent="0.45">
      <c r="A192" s="17" t="str">
        <v>DD</v>
      </c>
      <c r="B192" s="14" t="str">
        <v>MILK RUN NOR</v>
      </c>
      <c r="C192" s="14" t="str">
        <v>MAEUIK0214906</v>
      </c>
      <c r="D192" s="17" t="str">
        <v>MRSU4078045</v>
      </c>
      <c r="E192" s="14" t="str">
        <v>C40HC</v>
      </c>
      <c r="F192" s="17" t="str">
        <v>22075SUP2600116371</v>
      </c>
      <c r="G192" s="15">
        <v>46252</v>
      </c>
      <c r="H192" s="16">
        <v>0.35416666666666674</v>
      </c>
      <c r="I192" s="15">
        <v>46244</v>
      </c>
      <c r="J192" s="17">
        <v>0</v>
      </c>
      <c r="K192" s="15">
        <v>46242</v>
      </c>
      <c r="L192" s="17" t="str">
        <v>373-STO-S10000030621</v>
      </c>
      <c r="M192" s="14" t="str">
        <v>420</v>
      </c>
      <c r="N192" s="14" t="str">
        <v>037TSOS10000660991</v>
      </c>
      <c r="O192" s="14" t="str">
        <v>300</v>
      </c>
      <c r="P192" s="14" t="str">
        <v>JUWAN78</v>
      </c>
      <c r="Q192" s="14">
        <v>46220</v>
      </c>
      <c r="R192" s="14">
        <v>726</v>
      </c>
      <c r="S192" s="14" t="str">
        <v>STO</v>
      </c>
      <c r="T192" s="14">
        <v>66</v>
      </c>
      <c r="U192" s="14" t="str">
        <v>5.285514</v>
      </c>
      <c r="V192" s="14" t="str">
        <v>5.677026</v>
      </c>
      <c r="W192" s="14">
        <v>1475.838</v>
      </c>
      <c r="X192" s="14">
        <v>46258</v>
      </c>
      <c r="Y192" s="14">
        <v>46239</v>
      </c>
      <c r="Z192" s="14">
        <v>0</v>
      </c>
      <c r="AA192" s="14" t="str">
        <v>31825</v>
      </c>
      <c r="AB192" s="14" t="str">
        <v>MAERSK A/S</v>
      </c>
      <c r="AC192" s="14" t="str">
        <v>CN7978177</v>
      </c>
      <c r="AD192" s="14" t="str">
        <v>MTT SAPANGAR</v>
      </c>
      <c r="AE192" s="14" t="str">
        <v>629N</v>
      </c>
      <c r="AF192" s="27" t="str">
        <v>CN</v>
      </c>
      <c r="AG192" s="27" t="str">
        <v>PRT</v>
      </c>
      <c r="AH192" s="14" t="str">
        <v>CNSHA</v>
      </c>
    </row>
    <row r="193" spans="1:34" ht="25.2" customHeight="1" x14ac:dyDescent="0.45">
      <c r="A193" s="17" t="str">
        <v>DD</v>
      </c>
      <c r="B193" s="14" t="str">
        <v>MILK RUN NOR</v>
      </c>
      <c r="C193" s="14" t="str">
        <v>MAEUIK0214906</v>
      </c>
      <c r="D193" s="17" t="str">
        <v>MRSU4078045</v>
      </c>
      <c r="E193" s="14" t="str">
        <v>C40HC</v>
      </c>
      <c r="F193" s="17" t="str">
        <v>22121SUPUE065431</v>
      </c>
      <c r="G193" s="15">
        <v>46252</v>
      </c>
      <c r="H193" s="16">
        <v>0.35416666666666674</v>
      </c>
      <c r="I193" s="15">
        <v>46244</v>
      </c>
      <c r="J193" s="17">
        <v>0</v>
      </c>
      <c r="K193" s="15">
        <v>46242</v>
      </c>
      <c r="L193" s="17" t="str">
        <v>373-STO-S10000030621</v>
      </c>
      <c r="M193" s="14" t="str">
        <v>420</v>
      </c>
      <c r="N193" s="14" t="str">
        <v>037TSOS10000660991</v>
      </c>
      <c r="O193" s="14" t="str">
        <v>300</v>
      </c>
      <c r="P193" s="14" t="str">
        <v>JUWAN78</v>
      </c>
      <c r="Q193" s="14">
        <v>46220</v>
      </c>
      <c r="R193" s="14">
        <v>726</v>
      </c>
      <c r="S193" s="14" t="str">
        <v>STO</v>
      </c>
      <c r="T193" s="14">
        <v>40</v>
      </c>
      <c r="U193" s="14" t="str">
        <v>2.36493</v>
      </c>
      <c r="V193" s="14" t="str">
        <v>2.576159</v>
      </c>
      <c r="W193" s="14">
        <v>444.72</v>
      </c>
      <c r="X193" s="14">
        <v>46256</v>
      </c>
      <c r="Y193" s="14">
        <v>46239</v>
      </c>
      <c r="Z193" s="14">
        <v>0</v>
      </c>
      <c r="AA193" s="14" t="str">
        <v>31825</v>
      </c>
      <c r="AB193" s="14" t="str">
        <v>MAERSK A/S</v>
      </c>
      <c r="AC193" s="14" t="str">
        <v>CN7978177</v>
      </c>
      <c r="AD193" s="14" t="str">
        <v>MTT SAPANGAR</v>
      </c>
      <c r="AE193" s="14" t="str">
        <v>629N</v>
      </c>
      <c r="AF193" s="27" t="str">
        <v>CN</v>
      </c>
      <c r="AG193" s="27" t="str">
        <v>PRT</v>
      </c>
      <c r="AH193" s="14" t="str">
        <v>CNSHA</v>
      </c>
    </row>
    <row r="194" spans="1:34" ht="25.2" customHeight="1" x14ac:dyDescent="0.45">
      <c r="A194" s="17" t="str">
        <v>DD</v>
      </c>
      <c r="B194" s="14" t="str">
        <v>MILK RUN NOR</v>
      </c>
      <c r="C194" s="14" t="str">
        <v>MAEUIK0213848</v>
      </c>
      <c r="D194" s="17" t="str">
        <v>CAAU6878179</v>
      </c>
      <c r="E194" s="14" t="str">
        <v>C40HC</v>
      </c>
      <c r="F194" s="17" t="str">
        <v>21985SUPECIS41860</v>
      </c>
      <c r="G194" s="15">
        <v>46251</v>
      </c>
      <c r="H194" s="16">
        <v>0.35416666666666674</v>
      </c>
      <c r="I194" s="15">
        <v>46244</v>
      </c>
      <c r="J194" s="17">
        <v>0</v>
      </c>
      <c r="K194" s="15">
        <v>46242</v>
      </c>
      <c r="L194" s="17" t="str">
        <v>373-STO-S10000030617</v>
      </c>
      <c r="M194" s="14" t="str">
        <v>420</v>
      </c>
      <c r="N194" s="14" t="str">
        <v>037TSOS10000657118</v>
      </c>
      <c r="O194" s="14" t="str">
        <v>300</v>
      </c>
      <c r="P194" s="14" t="str">
        <v>JUWAN78</v>
      </c>
      <c r="Q194" s="14">
        <v>46213</v>
      </c>
      <c r="R194" s="14">
        <v>726</v>
      </c>
      <c r="S194" s="14" t="str">
        <v>STO</v>
      </c>
      <c r="T194" s="14">
        <v>64</v>
      </c>
      <c r="U194" s="14" t="str">
        <v>1.128384</v>
      </c>
      <c r="V194" s="14" t="str">
        <v>1.269308</v>
      </c>
      <c r="W194" s="14">
        <v>366</v>
      </c>
      <c r="X194" s="14">
        <v>46241</v>
      </c>
      <c r="Y194" s="14">
        <v>46239</v>
      </c>
      <c r="Z194" s="14">
        <v>0</v>
      </c>
      <c r="AA194" s="14" t="str">
        <v>31825</v>
      </c>
      <c r="AB194" s="14" t="str">
        <v>MAERSK A/S</v>
      </c>
      <c r="AC194" s="14" t="str">
        <v>CN7950676</v>
      </c>
      <c r="AD194" s="14" t="str">
        <v>MTT SAPANGAR</v>
      </c>
      <c r="AE194" s="14" t="str">
        <v>629N</v>
      </c>
      <c r="AF194" s="27" t="str">
        <v>CN</v>
      </c>
      <c r="AG194" s="27" t="str">
        <v>PRT</v>
      </c>
      <c r="AH194" s="14" t="str">
        <v>CNSHA</v>
      </c>
    </row>
    <row r="195" spans="1:34" ht="25.2" customHeight="1" x14ac:dyDescent="0.45">
      <c r="A195" s="17" t="str">
        <v>DD</v>
      </c>
      <c r="B195" s="14" t="str">
        <v>MILK RUN NOR</v>
      </c>
      <c r="C195" s="14" t="str">
        <v>MAEUIK0213848</v>
      </c>
      <c r="D195" s="17" t="str">
        <v>CAAU6878179</v>
      </c>
      <c r="E195" s="14" t="str">
        <v>C40HC</v>
      </c>
      <c r="F195" s="17" t="str">
        <v>22075SUP2600116191</v>
      </c>
      <c r="G195" s="15">
        <v>46251</v>
      </c>
      <c r="H195" s="16">
        <v>0.35416666666666674</v>
      </c>
      <c r="I195" s="15">
        <v>46244</v>
      </c>
      <c r="J195" s="17">
        <v>0</v>
      </c>
      <c r="K195" s="15">
        <v>46242</v>
      </c>
      <c r="L195" s="17" t="str">
        <v>373-STO-S10000030617</v>
      </c>
      <c r="M195" s="14" t="str">
        <v>420</v>
      </c>
      <c r="N195" s="14" t="str">
        <v>037TSOS10000657118</v>
      </c>
      <c r="O195" s="14" t="str">
        <v>300</v>
      </c>
      <c r="P195" s="14" t="str">
        <v>JUWAN78</v>
      </c>
      <c r="Q195" s="14">
        <v>46213</v>
      </c>
      <c r="R195" s="14">
        <v>726</v>
      </c>
      <c r="S195" s="14" t="str">
        <v>STO</v>
      </c>
      <c r="T195" s="14">
        <v>50</v>
      </c>
      <c r="U195" s="14" t="str">
        <v>2.83533</v>
      </c>
      <c r="V195" s="14" t="str">
        <v>3.035282</v>
      </c>
      <c r="W195" s="14">
        <v>893.91399999999999</v>
      </c>
      <c r="X195" s="14">
        <v>46251</v>
      </c>
      <c r="Y195" s="14">
        <v>46239</v>
      </c>
      <c r="Z195" s="14">
        <v>0</v>
      </c>
      <c r="AA195" s="14" t="str">
        <v>31825</v>
      </c>
      <c r="AB195" s="14" t="str">
        <v>MAERSK A/S</v>
      </c>
      <c r="AC195" s="14" t="str">
        <v>CN7950676</v>
      </c>
      <c r="AD195" s="14" t="str">
        <v>MTT SAPANGAR</v>
      </c>
      <c r="AE195" s="14" t="str">
        <v>629N</v>
      </c>
      <c r="AF195" s="27" t="str">
        <v>CN</v>
      </c>
      <c r="AG195" s="27" t="str">
        <v>PRT</v>
      </c>
      <c r="AH195" s="14" t="str">
        <v>CNSHA</v>
      </c>
    </row>
    <row r="196" spans="1:34" ht="25.2" customHeight="1" x14ac:dyDescent="0.45">
      <c r="A196" s="17" t="str">
        <v>DD</v>
      </c>
      <c r="B196" s="14" t="str">
        <v>MILK RUN NOR</v>
      </c>
      <c r="C196" s="14" t="str">
        <v>MAEUIK0213848</v>
      </c>
      <c r="D196" s="17" t="str">
        <v>CAAU6878179</v>
      </c>
      <c r="E196" s="14" t="str">
        <v>C40HC</v>
      </c>
      <c r="F196" s="17" t="str">
        <v>22121SUPUE065105</v>
      </c>
      <c r="G196" s="15">
        <v>46251</v>
      </c>
      <c r="H196" s="16">
        <v>0.35416666666666674</v>
      </c>
      <c r="I196" s="15">
        <v>46244</v>
      </c>
      <c r="J196" s="17">
        <v>0</v>
      </c>
      <c r="K196" s="15">
        <v>46242</v>
      </c>
      <c r="L196" s="17" t="str">
        <v>373-STO-S10000030617</v>
      </c>
      <c r="M196" s="14" t="str">
        <v>420</v>
      </c>
      <c r="N196" s="14" t="str">
        <v>037TSOS10000657118</v>
      </c>
      <c r="O196" s="14" t="str">
        <v>300</v>
      </c>
      <c r="P196" s="14" t="str">
        <v>JUWAN78</v>
      </c>
      <c r="Q196" s="14">
        <v>46213</v>
      </c>
      <c r="R196" s="14">
        <v>726</v>
      </c>
      <c r="S196" s="14" t="str">
        <v>STO</v>
      </c>
      <c r="T196" s="14">
        <v>56</v>
      </c>
      <c r="U196" s="14" t="str">
        <v>8.87902</v>
      </c>
      <c r="V196" s="14" t="str">
        <v>9.653765</v>
      </c>
      <c r="W196" s="14">
        <v>662.08</v>
      </c>
      <c r="X196" s="14">
        <v>46249</v>
      </c>
      <c r="Y196" s="14">
        <v>46239</v>
      </c>
      <c r="Z196" s="14">
        <v>0</v>
      </c>
      <c r="AA196" s="14" t="str">
        <v>31825</v>
      </c>
      <c r="AB196" s="14" t="str">
        <v>MAERSK A/S</v>
      </c>
      <c r="AC196" s="14" t="str">
        <v>CN7950676</v>
      </c>
      <c r="AD196" s="14" t="str">
        <v>MTT SAPANGAR</v>
      </c>
      <c r="AE196" s="14" t="str">
        <v>629N</v>
      </c>
      <c r="AF196" s="27" t="str">
        <v>CN</v>
      </c>
      <c r="AG196" s="27" t="str">
        <v>PRT</v>
      </c>
      <c r="AH196" s="14" t="str">
        <v>CNSHA</v>
      </c>
    </row>
    <row r="197" spans="1:34" ht="25.2" customHeight="1" x14ac:dyDescent="0.45">
      <c r="A197" s="17" t="str">
        <v>LF</v>
      </c>
      <c r="B197" s="14">
        <v>0</v>
      </c>
      <c r="C197" s="14" t="str">
        <v>MAEUIK0214091</v>
      </c>
      <c r="D197" s="17" t="str">
        <v>MRSU3814795</v>
      </c>
      <c r="E197" s="14" t="str">
        <v>C40HC</v>
      </c>
      <c r="F197" s="17" t="str">
        <v>294DT260713726735</v>
      </c>
      <c r="G197" s="15">
        <v>46251</v>
      </c>
      <c r="H197" s="16">
        <v>0.26041666666666674</v>
      </c>
      <c r="I197" s="15">
        <v>46245</v>
      </c>
      <c r="J197" s="17">
        <v>0</v>
      </c>
      <c r="K197" s="15">
        <v>46243</v>
      </c>
      <c r="L197" s="17" t="str">
        <v>373-STO-S10000030638</v>
      </c>
      <c r="M197" s="14" t="str">
        <v>400</v>
      </c>
      <c r="N197" s="14" t="str">
        <v>258DTS10000194561</v>
      </c>
      <c r="O197" s="14" t="str">
        <v>350</v>
      </c>
      <c r="P197" s="14" t="str">
        <v>LARXU</v>
      </c>
      <c r="Q197" s="14">
        <v>46216</v>
      </c>
      <c r="R197" s="14">
        <v>726</v>
      </c>
      <c r="S197" s="14" t="str">
        <v>STO</v>
      </c>
      <c r="T197" s="14">
        <v>6398</v>
      </c>
      <c r="U197" s="14" t="str">
        <v>10.120285</v>
      </c>
      <c r="V197" s="14" t="str">
        <v>10.95470168</v>
      </c>
      <c r="W197" s="14">
        <v>2055.0630000000001</v>
      </c>
      <c r="X197" s="14">
        <v>46229</v>
      </c>
      <c r="Y197" s="14">
        <v>46227</v>
      </c>
      <c r="Z197" s="14">
        <v>0</v>
      </c>
      <c r="AA197" s="14" t="str">
        <v>31825</v>
      </c>
      <c r="AB197" s="14" t="str">
        <v>MAERSK A/S</v>
      </c>
      <c r="AC197" s="14" t="str">
        <v>CN7895321</v>
      </c>
      <c r="AD197" s="14" t="str">
        <v>GSL ELEFTHERIA</v>
      </c>
      <c r="AE197" s="14" t="str">
        <v>629N</v>
      </c>
      <c r="AF197" s="27" t="str">
        <v>CN</v>
      </c>
      <c r="AG197" s="27" t="str">
        <v>PRT</v>
      </c>
      <c r="AH197" s="14" t="str">
        <v>CNSHA</v>
      </c>
    </row>
    <row r="198" spans="1:34" ht="25.2" customHeight="1" x14ac:dyDescent="0.45">
      <c r="A198" s="17" t="str">
        <v>LF</v>
      </c>
      <c r="B198" s="14">
        <v>0</v>
      </c>
      <c r="C198" s="14" t="str">
        <v>MAEUIK0214091</v>
      </c>
      <c r="D198" s="17" t="str">
        <v>MRSU3814795</v>
      </c>
      <c r="E198" s="14" t="str">
        <v>C40HC</v>
      </c>
      <c r="F198" s="17" t="str">
        <v>319DT260713726736</v>
      </c>
      <c r="G198" s="15">
        <v>46251</v>
      </c>
      <c r="H198" s="16">
        <v>0.26041666666666674</v>
      </c>
      <c r="I198" s="15">
        <v>46245</v>
      </c>
      <c r="J198" s="17">
        <v>0</v>
      </c>
      <c r="K198" s="15">
        <v>46243</v>
      </c>
      <c r="L198" s="17" t="str">
        <v>373-STO-S10000030638</v>
      </c>
      <c r="M198" s="14" t="str">
        <v>400</v>
      </c>
      <c r="N198" s="14" t="str">
        <v>258DTS10000194561</v>
      </c>
      <c r="O198" s="14" t="str">
        <v>350</v>
      </c>
      <c r="P198" s="14" t="str">
        <v>LARXU</v>
      </c>
      <c r="Q198" s="14">
        <v>46216</v>
      </c>
      <c r="R198" s="14">
        <v>726</v>
      </c>
      <c r="S198" s="14" t="str">
        <v>STO</v>
      </c>
      <c r="T198" s="14">
        <v>11779</v>
      </c>
      <c r="U198" s="14" t="str">
        <v>38.492478</v>
      </c>
      <c r="V198" s="14" t="str">
        <v>41.60063812</v>
      </c>
      <c r="W198" s="14">
        <v>6119.35</v>
      </c>
      <c r="X198" s="14">
        <v>46229</v>
      </c>
      <c r="Y198" s="14">
        <v>46227</v>
      </c>
      <c r="Z198" s="14">
        <v>0</v>
      </c>
      <c r="AA198" s="14" t="str">
        <v>31825</v>
      </c>
      <c r="AB198" s="14" t="str">
        <v>MAERSK A/S</v>
      </c>
      <c r="AC198" s="14" t="str">
        <v>CN7895321</v>
      </c>
      <c r="AD198" s="14" t="str">
        <v>GSL ELEFTHERIA</v>
      </c>
      <c r="AE198" s="14" t="str">
        <v>629N</v>
      </c>
      <c r="AF198" s="27" t="str">
        <v>CN</v>
      </c>
      <c r="AG198" s="27" t="str">
        <v>PRT</v>
      </c>
      <c r="AH198" s="14" t="str">
        <v>CNSHA</v>
      </c>
    </row>
    <row r="199" spans="1:34" ht="25.2" customHeight="1" x14ac:dyDescent="0.45">
      <c r="A199" s="17" t="str">
        <v>HF</v>
      </c>
      <c r="B199" s="14" t="str">
        <v/>
      </c>
      <c r="C199" s="14" t="str">
        <v>PLISH7H37524</v>
      </c>
      <c r="D199" s="17" t="str">
        <v>HMMU4317375</v>
      </c>
      <c r="E199" s="14" t="str">
        <v>C40HC</v>
      </c>
      <c r="F199" s="17" t="str">
        <v>258DT260720726600</v>
      </c>
      <c r="G199" s="15">
        <v>46250</v>
      </c>
      <c r="H199" s="16">
        <v>0.26041666666666674</v>
      </c>
      <c r="I199" s="15">
        <v>46244</v>
      </c>
      <c r="J199" s="17">
        <v>0</v>
      </c>
      <c r="K199" s="15">
        <v>46242</v>
      </c>
      <c r="L199" s="17" t="str">
        <v>373-STO-S10000030598</v>
      </c>
      <c r="M199" s="14" t="str">
        <v>400</v>
      </c>
      <c r="N199" s="14" t="str">
        <v>258DTS10000195572</v>
      </c>
      <c r="O199" s="14" t="str">
        <v>400</v>
      </c>
      <c r="P199" s="14">
        <v>0</v>
      </c>
      <c r="Q199" s="14">
        <v>46223</v>
      </c>
      <c r="R199" s="14">
        <v>726</v>
      </c>
      <c r="S199" s="14" t="str">
        <v>STO</v>
      </c>
      <c r="T199" s="14">
        <v>6050</v>
      </c>
      <c r="U199" s="14" t="str">
        <v>49.66951</v>
      </c>
      <c r="V199" s="14" t="str">
        <v>53.60237008</v>
      </c>
      <c r="W199" s="14">
        <v>9436.3819999999996</v>
      </c>
      <c r="X199" s="14">
        <v>46240</v>
      </c>
      <c r="Y199" s="14">
        <v>46238</v>
      </c>
      <c r="Z199" s="14">
        <v>46233</v>
      </c>
      <c r="AA199" s="14" t="str">
        <v>33300</v>
      </c>
      <c r="AB199" s="14" t="str">
        <v>LX PANTOS CO., LTD.</v>
      </c>
      <c r="AC199" s="14" t="str">
        <v>26H0072953</v>
      </c>
      <c r="AD199" s="14" t="str">
        <v>HMM RUBY</v>
      </c>
      <c r="AE199" s="14" t="str">
        <v>0014E</v>
      </c>
      <c r="AF199" s="27" t="str">
        <v>CN</v>
      </c>
      <c r="AG199" s="27" t="str">
        <v>PRT</v>
      </c>
      <c r="AH199" s="14" t="str">
        <v>CNYAN</v>
      </c>
    </row>
    <row r="200" spans="1:34" ht="25.2" customHeight="1" x14ac:dyDescent="0.45">
      <c r="A200" s="17" t="str">
        <v>HF</v>
      </c>
      <c r="B200" s="14" t="str">
        <v/>
      </c>
      <c r="C200" s="14" t="str">
        <v>PLISH7H37524</v>
      </c>
      <c r="D200" s="17" t="str">
        <v>HMMU4317375</v>
      </c>
      <c r="E200" s="14" t="str">
        <v>C40HC</v>
      </c>
      <c r="F200" s="17" t="str">
        <v>277DT260720726601</v>
      </c>
      <c r="G200" s="15">
        <v>46250</v>
      </c>
      <c r="H200" s="16">
        <v>0.26041666666666674</v>
      </c>
      <c r="I200" s="15">
        <v>46244</v>
      </c>
      <c r="J200" s="17">
        <v>0</v>
      </c>
      <c r="K200" s="15">
        <v>46242</v>
      </c>
      <c r="L200" s="17" t="str">
        <v>373-STO-S10000030598</v>
      </c>
      <c r="M200" s="14" t="str">
        <v>400</v>
      </c>
      <c r="N200" s="14" t="str">
        <v>258DTS10000195572</v>
      </c>
      <c r="O200" s="14" t="str">
        <v>400</v>
      </c>
      <c r="P200" s="14">
        <v>0</v>
      </c>
      <c r="Q200" s="14">
        <v>46223</v>
      </c>
      <c r="R200" s="14">
        <v>726</v>
      </c>
      <c r="S200" s="14" t="str">
        <v>STO</v>
      </c>
      <c r="T200" s="14">
        <v>6678</v>
      </c>
      <c r="U200" s="14" t="str">
        <v>5.663264</v>
      </c>
      <c r="V200" s="14" t="str">
        <v>6.14630232</v>
      </c>
      <c r="W200" s="14">
        <v>1300.0139999999999</v>
      </c>
      <c r="X200" s="14">
        <v>46240</v>
      </c>
      <c r="Y200" s="14">
        <v>46238</v>
      </c>
      <c r="Z200" s="14">
        <v>46233</v>
      </c>
      <c r="AA200" s="14" t="str">
        <v>33300</v>
      </c>
      <c r="AB200" s="14" t="str">
        <v>LX PANTOS CO., LTD.</v>
      </c>
      <c r="AC200" s="14" t="str">
        <v>26H0072953</v>
      </c>
      <c r="AD200" s="14" t="str">
        <v>HMM RUBY</v>
      </c>
      <c r="AE200" s="14" t="str">
        <v>0014E</v>
      </c>
      <c r="AF200" s="27" t="str">
        <v>CN</v>
      </c>
      <c r="AG200" s="27" t="str">
        <v>PRT</v>
      </c>
      <c r="AH200" s="14" t="str">
        <v>CNYAN</v>
      </c>
    </row>
    <row r="201" spans="1:34" ht="25.2" customHeight="1" x14ac:dyDescent="0.45">
      <c r="A201" s="17" t="str">
        <v>HF</v>
      </c>
      <c r="B201" s="14">
        <v>0</v>
      </c>
      <c r="C201" s="14" t="str">
        <v>MAEUIK0214327</v>
      </c>
      <c r="D201" s="17" t="str">
        <v>MRSU3636311</v>
      </c>
      <c r="E201" s="14" t="str">
        <v>C40HC</v>
      </c>
      <c r="F201" s="17" t="str">
        <v>258DT260714726268</v>
      </c>
      <c r="G201" s="15">
        <v>46249</v>
      </c>
      <c r="H201" s="16">
        <v>0.26041666666666674</v>
      </c>
      <c r="I201" s="15">
        <v>46244</v>
      </c>
      <c r="J201" s="17">
        <v>0</v>
      </c>
      <c r="K201" s="15">
        <v>46243</v>
      </c>
      <c r="L201" s="17" t="str">
        <v>373-STO-S10000030597</v>
      </c>
      <c r="M201" s="14" t="str">
        <v>400</v>
      </c>
      <c r="N201" s="14" t="str">
        <v>258DTS10000194751</v>
      </c>
      <c r="O201" s="14" t="str">
        <v>300</v>
      </c>
      <c r="P201" s="14">
        <v>0</v>
      </c>
      <c r="Q201" s="14">
        <v>46217</v>
      </c>
      <c r="R201" s="14">
        <v>726</v>
      </c>
      <c r="S201" s="14" t="str">
        <v>STO</v>
      </c>
      <c r="T201" s="14">
        <v>11880</v>
      </c>
      <c r="U201" s="14" t="str">
        <v>49.545136</v>
      </c>
      <c r="V201" s="14" t="str">
        <v>53.25812958</v>
      </c>
      <c r="W201" s="14">
        <v>9676.8709999999992</v>
      </c>
      <c r="X201" s="14">
        <v>46229</v>
      </c>
      <c r="Y201" s="14">
        <v>46227</v>
      </c>
      <c r="Z201" s="14">
        <v>0</v>
      </c>
      <c r="AA201" s="14" t="str">
        <v>31825</v>
      </c>
      <c r="AB201" s="14" t="str">
        <v>MAERSK A/S</v>
      </c>
      <c r="AC201" s="14" t="str">
        <v>CN7875862</v>
      </c>
      <c r="AD201" s="14" t="str">
        <v>GSL ELEFTHERIA</v>
      </c>
      <c r="AE201" s="14" t="str">
        <v>629N</v>
      </c>
      <c r="AF201" s="27" t="str">
        <v>CN</v>
      </c>
      <c r="AG201" s="27" t="str">
        <v>PRT</v>
      </c>
      <c r="AH201" s="14" t="str">
        <v>CNSHA</v>
      </c>
    </row>
    <row r="202" spans="1:34" ht="25.2" customHeight="1" x14ac:dyDescent="0.45">
      <c r="A202" s="17" t="str">
        <v>HF</v>
      </c>
      <c r="B202" s="14">
        <v>0</v>
      </c>
      <c r="C202" s="14" t="str">
        <v>MAEUIK0214327</v>
      </c>
      <c r="D202" s="17" t="str">
        <v>MRSU3636311</v>
      </c>
      <c r="E202" s="14" t="str">
        <v>C40HC</v>
      </c>
      <c r="F202" s="17" t="str">
        <v>277DT260714726269</v>
      </c>
      <c r="G202" s="15">
        <v>46249</v>
      </c>
      <c r="H202" s="16">
        <v>0.26041666666666674</v>
      </c>
      <c r="I202" s="15">
        <v>46244</v>
      </c>
      <c r="J202" s="17">
        <v>0</v>
      </c>
      <c r="K202" s="15">
        <v>46243</v>
      </c>
      <c r="L202" s="17" t="str">
        <v>373-STO-S10000030597</v>
      </c>
      <c r="M202" s="14" t="str">
        <v>400</v>
      </c>
      <c r="N202" s="14" t="str">
        <v>258DTS10000194751</v>
      </c>
      <c r="O202" s="14" t="str">
        <v>300</v>
      </c>
      <c r="P202" s="14">
        <v>0</v>
      </c>
      <c r="Q202" s="14">
        <v>46217</v>
      </c>
      <c r="R202" s="14">
        <v>726</v>
      </c>
      <c r="S202" s="14" t="str">
        <v>STO</v>
      </c>
      <c r="T202" s="14">
        <v>2599</v>
      </c>
      <c r="U202" s="14" t="str">
        <v>5.706487</v>
      </c>
      <c r="V202" s="14" t="str">
        <v>6.11225125</v>
      </c>
      <c r="W202" s="14">
        <v>1118.2260000000001</v>
      </c>
      <c r="X202" s="14">
        <v>46229</v>
      </c>
      <c r="Y202" s="14">
        <v>46227</v>
      </c>
      <c r="Z202" s="14">
        <v>0</v>
      </c>
      <c r="AA202" s="14" t="str">
        <v>31825</v>
      </c>
      <c r="AB202" s="14" t="str">
        <v>MAERSK A/S</v>
      </c>
      <c r="AC202" s="14" t="str">
        <v>CN7875862</v>
      </c>
      <c r="AD202" s="14" t="str">
        <v>GSL ELEFTHERIA</v>
      </c>
      <c r="AE202" s="14" t="str">
        <v>629N</v>
      </c>
      <c r="AF202" s="27" t="str">
        <v>CN</v>
      </c>
      <c r="AG202" s="27" t="str">
        <v>PRT</v>
      </c>
      <c r="AH202" s="14" t="str">
        <v>CNSHA</v>
      </c>
    </row>
    <row r="203" spans="1:34" ht="25.2" customHeight="1" x14ac:dyDescent="0.45">
      <c r="A203" s="17" t="str">
        <v>DD</v>
      </c>
      <c r="B203" s="14" t="str">
        <v>MILK RUN NOR</v>
      </c>
      <c r="C203" s="14" t="str">
        <v>MAEUIK0213899</v>
      </c>
      <c r="D203" s="17" t="str">
        <v>MIEU3613674</v>
      </c>
      <c r="E203" s="14" t="str">
        <v>C40HC</v>
      </c>
      <c r="F203" s="17" t="str">
        <v>19720SUPECIS211826</v>
      </c>
      <c r="G203" s="15">
        <v>46248</v>
      </c>
      <c r="H203" s="16">
        <v>0.35416666666666674</v>
      </c>
      <c r="I203" s="15">
        <v>46240</v>
      </c>
      <c r="J203" s="17">
        <v>0</v>
      </c>
      <c r="K203" s="15">
        <v>46239</v>
      </c>
      <c r="L203" s="17" t="str">
        <v>373-STO-S10000030534</v>
      </c>
      <c r="M203" s="14" t="str">
        <v>400</v>
      </c>
      <c r="N203" s="14" t="str">
        <v>012TSOS10000382132</v>
      </c>
      <c r="O203" s="14" t="str">
        <v>350</v>
      </c>
      <c r="P203" s="14" t="str">
        <v>VILIU20</v>
      </c>
      <c r="Q203" s="14">
        <v>46213</v>
      </c>
      <c r="R203" s="14">
        <v>726</v>
      </c>
      <c r="S203" s="14" t="str">
        <v>STO</v>
      </c>
      <c r="T203" s="14">
        <v>4435</v>
      </c>
      <c r="U203" s="14" t="str">
        <v>17.456127</v>
      </c>
      <c r="V203" s="14" t="str">
        <v>18.68778</v>
      </c>
      <c r="W203" s="14">
        <v>1962.55</v>
      </c>
      <c r="X203" s="14">
        <v>46264</v>
      </c>
      <c r="Y203" s="14">
        <v>46239</v>
      </c>
      <c r="Z203" s="14">
        <v>0</v>
      </c>
      <c r="AA203" s="14" t="str">
        <v>31825</v>
      </c>
      <c r="AB203" s="14" t="str">
        <v>MAERSK A/S</v>
      </c>
      <c r="AC203" s="14" t="str">
        <v>CN7087183</v>
      </c>
      <c r="AD203" s="14" t="str">
        <v>XIN BIN ZHOU</v>
      </c>
      <c r="AE203" s="14" t="str">
        <v>630N</v>
      </c>
      <c r="AF203" s="27" t="str">
        <v>CN</v>
      </c>
      <c r="AG203" s="27" t="str">
        <v>PRT</v>
      </c>
      <c r="AH203" s="14" t="str">
        <v>CNNSA</v>
      </c>
    </row>
    <row r="204" spans="1:34" ht="25.2" customHeight="1" x14ac:dyDescent="0.45">
      <c r="A204" s="17" t="str">
        <v>DD</v>
      </c>
      <c r="B204" s="14" t="str">
        <v>MILK RUN NOR</v>
      </c>
      <c r="C204" s="14" t="str">
        <v>PLISH7H37982</v>
      </c>
      <c r="D204" s="17" t="str">
        <v>FCIU7273563</v>
      </c>
      <c r="E204" s="14" t="str">
        <v>C40HC</v>
      </c>
      <c r="F204" s="17" t="str">
        <v>21072SUPECIS74703</v>
      </c>
      <c r="G204" s="15">
        <v>46248</v>
      </c>
      <c r="H204" s="16">
        <v>0.35416666666666674</v>
      </c>
      <c r="I204" s="15">
        <v>46241</v>
      </c>
      <c r="J204" s="17">
        <v>0</v>
      </c>
      <c r="K204" s="15">
        <v>46239</v>
      </c>
      <c r="L204" s="17" t="str">
        <v>373-STO-S10000030557</v>
      </c>
      <c r="M204" s="14" t="str">
        <v>400</v>
      </c>
      <c r="N204" s="14" t="str">
        <v>037TSOS10000664008</v>
      </c>
      <c r="O204" s="14" t="str">
        <v>300</v>
      </c>
      <c r="P204" s="14" t="str">
        <v>LINLI65</v>
      </c>
      <c r="Q204" s="14">
        <v>46224</v>
      </c>
      <c r="R204" s="14">
        <v>726</v>
      </c>
      <c r="S204" s="14" t="str">
        <v>STO</v>
      </c>
      <c r="T204" s="14">
        <v>322</v>
      </c>
      <c r="U204" s="14" t="str">
        <v>14.596316</v>
      </c>
      <c r="V204" s="14" t="str">
        <v>15.542588</v>
      </c>
      <c r="W204" s="14">
        <v>6503.07</v>
      </c>
      <c r="X204" s="14">
        <v>46239</v>
      </c>
      <c r="Y204" s="14">
        <v>46237</v>
      </c>
      <c r="Z204" s="14">
        <v>0</v>
      </c>
      <c r="AA204" s="14" t="str">
        <v>33300</v>
      </c>
      <c r="AB204" s="14" t="str">
        <v>LX PANTOS CO., LTD.</v>
      </c>
      <c r="AC204" s="14" t="str">
        <v>144826</v>
      </c>
      <c r="AD204" s="14" t="str">
        <v>PACIFIC BEIJING</v>
      </c>
      <c r="AE204" s="14" t="str">
        <v>2614E</v>
      </c>
      <c r="AF204" s="27" t="str">
        <v>CN</v>
      </c>
      <c r="AG204" s="27" t="str">
        <v>PRT</v>
      </c>
      <c r="AH204" s="14" t="str">
        <v>CNNGB</v>
      </c>
    </row>
    <row r="205" spans="1:34" ht="25.2" customHeight="1" x14ac:dyDescent="0.45">
      <c r="A205" s="17" t="str">
        <v>LF</v>
      </c>
      <c r="B205" s="14">
        <v>0</v>
      </c>
      <c r="C205" s="14" t="str">
        <v>MAEUIK0213030</v>
      </c>
      <c r="D205" s="17" t="str">
        <v>MSKU1576275</v>
      </c>
      <c r="E205" s="14" t="str">
        <v>C40HC</v>
      </c>
      <c r="F205" s="17" t="str">
        <v>294DT260706726074</v>
      </c>
      <c r="G205" s="15">
        <v>46248</v>
      </c>
      <c r="H205" s="16">
        <v>0.27083333333333326</v>
      </c>
      <c r="I205" s="15">
        <v>46244</v>
      </c>
      <c r="J205" s="17">
        <v>0</v>
      </c>
      <c r="K205" s="15">
        <v>46243</v>
      </c>
      <c r="L205" s="17" t="str">
        <v>373-STO-S10000030596</v>
      </c>
      <c r="M205" s="14" t="str">
        <v>400</v>
      </c>
      <c r="N205" s="14" t="str">
        <v>258DTS10000193585</v>
      </c>
      <c r="O205" s="14" t="str">
        <v>350</v>
      </c>
      <c r="P205" s="14" t="str">
        <v>LARXU</v>
      </c>
      <c r="Q205" s="14">
        <v>46209</v>
      </c>
      <c r="R205" s="14">
        <v>726</v>
      </c>
      <c r="S205" s="14" t="str">
        <v>STO</v>
      </c>
      <c r="T205" s="14">
        <v>2776</v>
      </c>
      <c r="U205" s="14" t="str">
        <v>12.337354</v>
      </c>
      <c r="V205" s="14" t="str">
        <v>13.485567</v>
      </c>
      <c r="W205" s="14">
        <v>2512.0540000000001</v>
      </c>
      <c r="X205" s="14">
        <v>46229</v>
      </c>
      <c r="Y205" s="14">
        <v>46227</v>
      </c>
      <c r="Z205" s="14">
        <v>0</v>
      </c>
      <c r="AA205" s="14" t="str">
        <v>31825</v>
      </c>
      <c r="AB205" s="14" t="str">
        <v>MAERSK A/S</v>
      </c>
      <c r="AC205" s="14" t="str">
        <v>CN7895291</v>
      </c>
      <c r="AD205" s="14" t="str">
        <v>GSL ELEFTHERIA</v>
      </c>
      <c r="AE205" s="14" t="str">
        <v>629N</v>
      </c>
      <c r="AF205" s="27" t="str">
        <v>CN</v>
      </c>
      <c r="AG205" s="27" t="str">
        <v>PRT</v>
      </c>
      <c r="AH205" s="14" t="str">
        <v>CNSHA</v>
      </c>
    </row>
    <row r="206" spans="1:34" ht="25.2" customHeight="1" x14ac:dyDescent="0.45">
      <c r="A206" s="17" t="str">
        <v>LF</v>
      </c>
      <c r="B206" s="14">
        <v>0</v>
      </c>
      <c r="C206" s="14" t="str">
        <v>MAEUIK0213030</v>
      </c>
      <c r="D206" s="17" t="str">
        <v>MSKU1576275</v>
      </c>
      <c r="E206" s="14" t="str">
        <v>C40HC</v>
      </c>
      <c r="F206" s="17" t="str">
        <v>319DT260706726075</v>
      </c>
      <c r="G206" s="15">
        <v>46248</v>
      </c>
      <c r="H206" s="16">
        <v>0.27083333333333326</v>
      </c>
      <c r="I206" s="15">
        <v>46244</v>
      </c>
      <c r="J206" s="17">
        <v>0</v>
      </c>
      <c r="K206" s="15">
        <v>46243</v>
      </c>
      <c r="L206" s="17" t="str">
        <v>373-STO-S10000030596</v>
      </c>
      <c r="M206" s="14" t="str">
        <v>400</v>
      </c>
      <c r="N206" s="14" t="str">
        <v>258DTS10000193585</v>
      </c>
      <c r="O206" s="14" t="str">
        <v>350</v>
      </c>
      <c r="P206" s="14" t="str">
        <v>LARXU</v>
      </c>
      <c r="Q206" s="14">
        <v>46209</v>
      </c>
      <c r="R206" s="14">
        <v>726</v>
      </c>
      <c r="S206" s="14" t="str">
        <v>STO</v>
      </c>
      <c r="T206" s="14">
        <v>13149</v>
      </c>
      <c r="U206" s="14" t="str">
        <v>35.854988</v>
      </c>
      <c r="V206" s="14" t="str">
        <v>38.78614749</v>
      </c>
      <c r="W206" s="14">
        <v>7585.933</v>
      </c>
      <c r="X206" s="14">
        <v>46229</v>
      </c>
      <c r="Y206" s="14">
        <v>46227</v>
      </c>
      <c r="Z206" s="14">
        <v>0</v>
      </c>
      <c r="AA206" s="14" t="str">
        <v>31825</v>
      </c>
      <c r="AB206" s="14" t="str">
        <v>MAERSK A/S</v>
      </c>
      <c r="AC206" s="14" t="str">
        <v>CN7895291</v>
      </c>
      <c r="AD206" s="14" t="str">
        <v>GSL ELEFTHERIA</v>
      </c>
      <c r="AE206" s="14" t="str">
        <v>629N</v>
      </c>
      <c r="AF206" s="27" t="str">
        <v>CN</v>
      </c>
      <c r="AG206" s="27" t="str">
        <v>PRT</v>
      </c>
      <c r="AH206" s="14" t="str">
        <v>CNSHA</v>
      </c>
    </row>
    <row r="207" spans="1:34" ht="25.2" customHeight="1" x14ac:dyDescent="0.45">
      <c r="A207" s="17" t="str">
        <v>DD</v>
      </c>
      <c r="B207" s="14" t="str">
        <v>MILK RUN NOR</v>
      </c>
      <c r="C207" s="14" t="str">
        <v>MAEUIK0214683</v>
      </c>
      <c r="D207" s="17" t="str">
        <v>MRKU2720810</v>
      </c>
      <c r="E207" s="14" t="str">
        <v>C40HC</v>
      </c>
      <c r="F207" s="17" t="str">
        <v>21072SUPECIS74543</v>
      </c>
      <c r="G207" s="15">
        <v>46247</v>
      </c>
      <c r="H207" s="16">
        <v>0.35416666666666674</v>
      </c>
      <c r="I207" s="15">
        <v>46240</v>
      </c>
      <c r="J207" s="17">
        <v>0</v>
      </c>
      <c r="K207" s="15">
        <v>46239</v>
      </c>
      <c r="L207" s="17" t="str">
        <v>373-STO-S10000030533</v>
      </c>
      <c r="M207" s="14" t="str">
        <v>400</v>
      </c>
      <c r="N207" s="14" t="str">
        <v>037TSOS10000660245</v>
      </c>
      <c r="O207" s="14" t="str">
        <v>350</v>
      </c>
      <c r="P207" s="14" t="str">
        <v>LINLI65</v>
      </c>
      <c r="Q207" s="14">
        <v>46218</v>
      </c>
      <c r="R207" s="14">
        <v>726</v>
      </c>
      <c r="S207" s="14" t="str">
        <v>STO</v>
      </c>
      <c r="T207" s="14">
        <v>111</v>
      </c>
      <c r="U207" s="14" t="str">
        <v>4.553643</v>
      </c>
      <c r="V207" s="14" t="str">
        <v>4.845725</v>
      </c>
      <c r="W207" s="14">
        <v>1727.46</v>
      </c>
      <c r="X207" s="14">
        <v>46240</v>
      </c>
      <c r="Y207" s="14">
        <v>46238</v>
      </c>
      <c r="Z207" s="14">
        <v>0</v>
      </c>
      <c r="AA207" s="14" t="str">
        <v>31825</v>
      </c>
      <c r="AB207" s="14" t="str">
        <v>MAERSK A/S</v>
      </c>
      <c r="AC207" s="14" t="str">
        <v>CN3726438</v>
      </c>
      <c r="AD207" s="14" t="str">
        <v>VIENNA EXPRESS</v>
      </c>
      <c r="AE207" s="14" t="str">
        <v>631E</v>
      </c>
      <c r="AF207" s="27" t="str">
        <v>CN</v>
      </c>
      <c r="AG207" s="27" t="str">
        <v>PRT</v>
      </c>
      <c r="AH207" s="14" t="str">
        <v>CNNGB</v>
      </c>
    </row>
    <row r="208" spans="1:34" ht="25.2" customHeight="1" x14ac:dyDescent="0.45">
      <c r="A208" s="17" t="str">
        <v>DD</v>
      </c>
      <c r="B208" s="14" t="str">
        <v>MILK RUN NOR</v>
      </c>
      <c r="C208" s="14" t="str">
        <v>PLISH7H35134</v>
      </c>
      <c r="D208" s="17" t="str">
        <v>HMMU4612719</v>
      </c>
      <c r="E208" s="14" t="str">
        <v>C40HC</v>
      </c>
      <c r="F208" s="17" t="str">
        <v>22715SUPECIS73018</v>
      </c>
      <c r="G208" s="15">
        <v>46247</v>
      </c>
      <c r="H208" s="16">
        <v>0.35416666666666674</v>
      </c>
      <c r="I208" s="15">
        <v>46239</v>
      </c>
      <c r="J208" s="17">
        <v>0</v>
      </c>
      <c r="K208" s="15">
        <v>46239</v>
      </c>
      <c r="L208" s="17" t="str">
        <v>373-STO-S10000030522</v>
      </c>
      <c r="M208" s="14" t="str">
        <v>400</v>
      </c>
      <c r="N208" s="14" t="str">
        <v>037TSOS10000652093</v>
      </c>
      <c r="O208" s="14" t="str">
        <v>350</v>
      </c>
      <c r="P208" s="14" t="str">
        <v>JIZHU80</v>
      </c>
      <c r="Q208" s="14">
        <v>46205</v>
      </c>
      <c r="R208" s="14">
        <v>726</v>
      </c>
      <c r="S208" s="14" t="str">
        <v>STO</v>
      </c>
      <c r="T208" s="14">
        <v>324</v>
      </c>
      <c r="U208" s="14" t="str">
        <v>15.387144</v>
      </c>
      <c r="V208" s="14" t="str">
        <v>16.612204</v>
      </c>
      <c r="W208" s="14">
        <v>6078.5</v>
      </c>
      <c r="X208" s="14">
        <v>46237</v>
      </c>
      <c r="Y208" s="14">
        <v>46235</v>
      </c>
      <c r="Z208" s="14">
        <v>0</v>
      </c>
      <c r="AA208" s="14" t="str">
        <v>33300</v>
      </c>
      <c r="AB208" s="14" t="str">
        <v>LX PANTOS CO., LTD.</v>
      </c>
      <c r="AC208" s="14" t="str">
        <v>25H1423826</v>
      </c>
      <c r="AD208" s="14" t="str">
        <v>HMM RAON</v>
      </c>
      <c r="AE208" s="14" t="str">
        <v>0025E</v>
      </c>
      <c r="AF208" s="27" t="str">
        <v>CN</v>
      </c>
      <c r="AG208" s="27" t="str">
        <v>PRT</v>
      </c>
      <c r="AH208" s="14" t="str">
        <v>CNYAN</v>
      </c>
    </row>
    <row r="209" spans="1:34" ht="25.2" customHeight="1" x14ac:dyDescent="0.45">
      <c r="A209" s="17" t="str">
        <v>HF</v>
      </c>
      <c r="B209" s="14">
        <v>0</v>
      </c>
      <c r="C209" s="14" t="str">
        <v>MAEUIK0214575</v>
      </c>
      <c r="D209" s="17" t="str">
        <v>MRSU5573629</v>
      </c>
      <c r="E209" s="14" t="str">
        <v>C40HC</v>
      </c>
      <c r="F209" s="17" t="str">
        <v>258DT260715726351</v>
      </c>
      <c r="G209" s="15">
        <v>46247</v>
      </c>
      <c r="H209" s="16">
        <v>0.27083333333333326</v>
      </c>
      <c r="I209" s="15">
        <v>46244</v>
      </c>
      <c r="J209" s="17">
        <v>0</v>
      </c>
      <c r="K209" s="15">
        <v>46243</v>
      </c>
      <c r="L209" s="17" t="str">
        <v>373-STO-S10000030566</v>
      </c>
      <c r="M209" s="14" t="str">
        <v>400</v>
      </c>
      <c r="N209" s="14" t="str">
        <v>258DTS10000195029</v>
      </c>
      <c r="O209" s="14" t="str">
        <v>300</v>
      </c>
      <c r="P209" s="14">
        <v>0</v>
      </c>
      <c r="Q209" s="14">
        <v>46218</v>
      </c>
      <c r="R209" s="14">
        <v>726</v>
      </c>
      <c r="S209" s="14" t="str">
        <v>STO</v>
      </c>
      <c r="T209" s="14">
        <v>6457</v>
      </c>
      <c r="U209" s="14" t="str">
        <v>47.60743</v>
      </c>
      <c r="V209" s="14" t="str">
        <v>51.60115276</v>
      </c>
      <c r="W209" s="14">
        <v>10814.171</v>
      </c>
      <c r="X209" s="14">
        <v>46229</v>
      </c>
      <c r="Y209" s="14">
        <v>46227</v>
      </c>
      <c r="Z209" s="14">
        <v>0</v>
      </c>
      <c r="AA209" s="14" t="str">
        <v>31825</v>
      </c>
      <c r="AB209" s="14" t="str">
        <v>MAERSK A/S</v>
      </c>
      <c r="AC209" s="14" t="str">
        <v>CN7875853</v>
      </c>
      <c r="AD209" s="14" t="str">
        <v>GSL ELEFTHERIA</v>
      </c>
      <c r="AE209" s="14" t="str">
        <v>629N</v>
      </c>
      <c r="AF209" s="27" t="str">
        <v>CN</v>
      </c>
      <c r="AG209" s="27" t="str">
        <v>PRT</v>
      </c>
      <c r="AH209" s="14" t="str">
        <v>CNSHA</v>
      </c>
    </row>
    <row r="210" spans="1:34" ht="25.2" customHeight="1" x14ac:dyDescent="0.45">
      <c r="A210" s="17" t="str">
        <v>HF</v>
      </c>
      <c r="B210" s="14">
        <v>0</v>
      </c>
      <c r="C210" s="14" t="str">
        <v>MAEUIK0214575</v>
      </c>
      <c r="D210" s="17" t="str">
        <v>MRSU5573629</v>
      </c>
      <c r="E210" s="14" t="str">
        <v>C40HC</v>
      </c>
      <c r="F210" s="17" t="str">
        <v>277DT260715726352</v>
      </c>
      <c r="G210" s="15">
        <v>46247</v>
      </c>
      <c r="H210" s="16">
        <v>0.27083333333333326</v>
      </c>
      <c r="I210" s="15">
        <v>46244</v>
      </c>
      <c r="J210" s="17">
        <v>0</v>
      </c>
      <c r="K210" s="15">
        <v>46243</v>
      </c>
      <c r="L210" s="17" t="str">
        <v>373-STO-S10000030566</v>
      </c>
      <c r="M210" s="14" t="str">
        <v>400</v>
      </c>
      <c r="N210" s="14" t="str">
        <v>258DTS10000195029</v>
      </c>
      <c r="O210" s="14" t="str">
        <v>300</v>
      </c>
      <c r="P210" s="14">
        <v>0</v>
      </c>
      <c r="Q210" s="14">
        <v>46218</v>
      </c>
      <c r="R210" s="14">
        <v>726</v>
      </c>
      <c r="S210" s="14" t="str">
        <v>STO</v>
      </c>
      <c r="T210" s="14">
        <v>4999</v>
      </c>
      <c r="U210" s="14" t="str">
        <v>7.667618</v>
      </c>
      <c r="V210" s="14" t="str">
        <v>8.244484</v>
      </c>
      <c r="W210" s="14">
        <v>1137.79</v>
      </c>
      <c r="X210" s="14">
        <v>46229</v>
      </c>
      <c r="Y210" s="14">
        <v>46227</v>
      </c>
      <c r="Z210" s="14">
        <v>0</v>
      </c>
      <c r="AA210" s="14" t="str">
        <v>31825</v>
      </c>
      <c r="AB210" s="14" t="str">
        <v>MAERSK A/S</v>
      </c>
      <c r="AC210" s="14" t="str">
        <v>CN7875853</v>
      </c>
      <c r="AD210" s="14" t="str">
        <v>GSL ELEFTHERIA</v>
      </c>
      <c r="AE210" s="14" t="str">
        <v>629N</v>
      </c>
      <c r="AF210" s="27" t="str">
        <v>CN</v>
      </c>
      <c r="AG210" s="27" t="str">
        <v>PRT</v>
      </c>
      <c r="AH210" s="14" t="str">
        <v>CNSHA</v>
      </c>
    </row>
    <row r="211" spans="1:34" ht="25.2" customHeight="1" x14ac:dyDescent="0.45">
      <c r="A211" s="17" t="str">
        <v>DD</v>
      </c>
      <c r="B211" s="14" t="str">
        <v>MILK RUN NOR</v>
      </c>
      <c r="C211" s="14" t="str">
        <v>MAEUIK0214032</v>
      </c>
      <c r="D211" s="17" t="str">
        <v>MRSU2863542</v>
      </c>
      <c r="E211" s="14" t="str">
        <v>C40HC</v>
      </c>
      <c r="F211" s="17" t="str">
        <v>21072SUPECIS74426</v>
      </c>
      <c r="G211" s="15">
        <v>46246</v>
      </c>
      <c r="H211" s="16">
        <v>0.35416666666666674</v>
      </c>
      <c r="I211" s="15">
        <v>46240</v>
      </c>
      <c r="J211" s="17">
        <v>0</v>
      </c>
      <c r="K211" s="15">
        <v>46239</v>
      </c>
      <c r="L211" s="17" t="str">
        <v>373-STO-S10000030532</v>
      </c>
      <c r="M211" s="14" t="str">
        <v>400</v>
      </c>
      <c r="N211" s="14" t="str">
        <v>037TSOS10000657723</v>
      </c>
      <c r="O211" s="14" t="str">
        <v>350</v>
      </c>
      <c r="P211" s="14" t="str">
        <v>LINLI65</v>
      </c>
      <c r="Q211" s="14">
        <v>46215</v>
      </c>
      <c r="R211" s="14">
        <v>726</v>
      </c>
      <c r="S211" s="14" t="str">
        <v>STO</v>
      </c>
      <c r="T211" s="14">
        <v>71</v>
      </c>
      <c r="U211" s="14" t="str">
        <v>4.617921</v>
      </c>
      <c r="V211" s="14" t="str">
        <v>4.912623</v>
      </c>
      <c r="W211" s="14">
        <v>1931.47</v>
      </c>
      <c r="X211" s="14">
        <v>46240</v>
      </c>
      <c r="Y211" s="14">
        <v>46238</v>
      </c>
      <c r="Z211" s="14">
        <v>0</v>
      </c>
      <c r="AA211" s="14" t="str">
        <v>31825</v>
      </c>
      <c r="AB211" s="14" t="str">
        <v>MAERSK A/S</v>
      </c>
      <c r="AC211" s="14" t="str">
        <v>CN6492381</v>
      </c>
      <c r="AD211" s="14" t="str">
        <v>VIENNA EXPRESS</v>
      </c>
      <c r="AE211" s="14" t="str">
        <v>631E</v>
      </c>
      <c r="AF211" s="27" t="str">
        <v>CN</v>
      </c>
      <c r="AG211" s="27" t="str">
        <v>PRT</v>
      </c>
      <c r="AH211" s="14" t="str">
        <v>CNNGB</v>
      </c>
    </row>
    <row r="212" spans="1:34" ht="25.2" customHeight="1" x14ac:dyDescent="0.45">
      <c r="A212" s="17" t="str">
        <v>HF</v>
      </c>
      <c r="B212" s="14">
        <v>0</v>
      </c>
      <c r="C212" s="14" t="str">
        <v>MAEUIK0214086</v>
      </c>
      <c r="D212" s="17" t="str">
        <v>CAAU7159971</v>
      </c>
      <c r="E212" s="14" t="str">
        <v>C40HC</v>
      </c>
      <c r="F212" s="17" t="str">
        <v>258DT260713726198</v>
      </c>
      <c r="G212" s="15">
        <v>46246</v>
      </c>
      <c r="H212" s="16">
        <v>0.27083333333333326</v>
      </c>
      <c r="I212" s="15">
        <v>46244</v>
      </c>
      <c r="J212" s="17">
        <v>0</v>
      </c>
      <c r="K212" s="15">
        <v>46243</v>
      </c>
      <c r="L212" s="17" t="str">
        <v>373-STO-S10000030565</v>
      </c>
      <c r="M212" s="14" t="str">
        <v>400</v>
      </c>
      <c r="N212" s="14" t="str">
        <v>258DTS10000194545</v>
      </c>
      <c r="O212" s="14" t="str">
        <v>300</v>
      </c>
      <c r="P212" s="14">
        <v>0</v>
      </c>
      <c r="Q212" s="14">
        <v>46216</v>
      </c>
      <c r="R212" s="14">
        <v>726</v>
      </c>
      <c r="S212" s="14" t="str">
        <v>STO</v>
      </c>
      <c r="T212" s="14">
        <v>7934</v>
      </c>
      <c r="U212" s="14" t="str">
        <v>55.752322</v>
      </c>
      <c r="V212" s="14" t="str">
        <v>60.08548117</v>
      </c>
      <c r="W212" s="14">
        <v>10362.721</v>
      </c>
      <c r="X212" s="14">
        <v>46229</v>
      </c>
      <c r="Y212" s="14">
        <v>46227</v>
      </c>
      <c r="Z212" s="14">
        <v>0</v>
      </c>
      <c r="AA212" s="14" t="str">
        <v>31825</v>
      </c>
      <c r="AB212" s="14" t="str">
        <v>MAERSK A/S</v>
      </c>
      <c r="AC212" s="14" t="str">
        <v>CN9661293</v>
      </c>
      <c r="AD212" s="14" t="str">
        <v>GSL ELEFTHERIA</v>
      </c>
      <c r="AE212" s="14" t="str">
        <v>629N</v>
      </c>
      <c r="AF212" s="27" t="str">
        <v>CN</v>
      </c>
      <c r="AG212" s="27" t="str">
        <v>PRT</v>
      </c>
      <c r="AH212" s="14" t="str">
        <v>CNSHA</v>
      </c>
    </row>
    <row r="213" spans="1:34" ht="25.2" customHeight="1" x14ac:dyDescent="0.45">
      <c r="A213" s="17" t="str">
        <v>DD</v>
      </c>
      <c r="B213" s="14" t="str">
        <v>MILK RUN NOR</v>
      </c>
      <c r="C213" s="14" t="str">
        <v>EGLV003600762543</v>
      </c>
      <c r="D213" s="17" t="str">
        <v>EITU3226850</v>
      </c>
      <c r="E213" s="14" t="str">
        <v>C20DV</v>
      </c>
      <c r="F213" s="17" t="str">
        <v>22280SUP262672601CP</v>
      </c>
      <c r="G213" s="15">
        <v>46246</v>
      </c>
      <c r="H213" s="16">
        <v>0.35416666666666674</v>
      </c>
      <c r="I213" s="15">
        <v>46234</v>
      </c>
      <c r="J213" s="17">
        <v>0</v>
      </c>
      <c r="K213" s="15">
        <v>46233</v>
      </c>
      <c r="L213" s="17" t="str">
        <v>373-STO-S10000030497</v>
      </c>
      <c r="M213" s="14" t="str">
        <v>420</v>
      </c>
      <c r="N213" s="14" t="str">
        <v>012TSOS10000374815</v>
      </c>
      <c r="O213" s="14" t="str">
        <v>300</v>
      </c>
      <c r="P213" s="14" t="str">
        <v>PHWAN5</v>
      </c>
      <c r="Q213" s="14">
        <v>46191</v>
      </c>
      <c r="R213" s="14">
        <v>726</v>
      </c>
      <c r="S213" s="14" t="str">
        <v>STO</v>
      </c>
      <c r="T213" s="14">
        <v>68</v>
      </c>
      <c r="U213" s="14" t="str">
        <v>2.644528</v>
      </c>
      <c r="V213" s="14" t="str">
        <v>2.852229</v>
      </c>
      <c r="W213" s="14">
        <v>162.94</v>
      </c>
      <c r="X213" s="14">
        <v>46229</v>
      </c>
      <c r="Y213" s="14">
        <v>46231</v>
      </c>
      <c r="Z213" s="14">
        <v>0</v>
      </c>
      <c r="AA213" s="14" t="str">
        <v>31267</v>
      </c>
      <c r="AB213" s="14" t="str">
        <v>EVERGREEN LINE</v>
      </c>
      <c r="AC213" s="14" t="str">
        <v>EMCCQG0155</v>
      </c>
      <c r="AD213" s="14" t="str">
        <v>EVER VIBE</v>
      </c>
      <c r="AE213" s="14" t="str">
        <v>0291-007N</v>
      </c>
      <c r="AF213" s="27" t="str">
        <v>TW</v>
      </c>
      <c r="AG213" s="27" t="str">
        <v>PRT</v>
      </c>
      <c r="AH213" s="14" t="str">
        <v>TWTXG</v>
      </c>
    </row>
    <row r="214" spans="1:34" ht="25.2" customHeight="1" x14ac:dyDescent="0.45">
      <c r="A214" s="17" t="str">
        <v>DD</v>
      </c>
      <c r="B214" s="14" t="str">
        <v>MILK RUN NOR</v>
      </c>
      <c r="C214" s="14" t="str">
        <v>EGLV003600762543</v>
      </c>
      <c r="D214" s="17" t="str">
        <v>EITU3226850</v>
      </c>
      <c r="E214" s="14" t="str">
        <v>C20DV</v>
      </c>
      <c r="F214" s="17" t="str">
        <v>22280SUP262772601CP</v>
      </c>
      <c r="G214" s="15">
        <v>46246</v>
      </c>
      <c r="H214" s="16">
        <v>0.35416666666666674</v>
      </c>
      <c r="I214" s="15">
        <v>46234</v>
      </c>
      <c r="J214" s="17">
        <v>0</v>
      </c>
      <c r="K214" s="15">
        <v>46233</v>
      </c>
      <c r="L214" s="17" t="str">
        <v>373-STO-S10000030497</v>
      </c>
      <c r="M214" s="14" t="str">
        <v>420</v>
      </c>
      <c r="N214" s="14" t="str">
        <v>012TSOS10000374815</v>
      </c>
      <c r="O214" s="14" t="str">
        <v>300</v>
      </c>
      <c r="P214" s="14" t="str">
        <v>PHWAN5</v>
      </c>
      <c r="Q214" s="14">
        <v>46191</v>
      </c>
      <c r="R214" s="14">
        <v>726</v>
      </c>
      <c r="S214" s="14" t="str">
        <v>STO</v>
      </c>
      <c r="T214" s="14">
        <v>264</v>
      </c>
      <c r="U214" s="14" t="str">
        <v>6.756048</v>
      </c>
      <c r="V214" s="14" t="str">
        <v>7.290814</v>
      </c>
      <c r="W214" s="14">
        <v>452.43</v>
      </c>
      <c r="X214" s="14">
        <v>46229</v>
      </c>
      <c r="Y214" s="14">
        <v>46231</v>
      </c>
      <c r="Z214" s="14">
        <v>0</v>
      </c>
      <c r="AA214" s="14" t="str">
        <v>31267</v>
      </c>
      <c r="AB214" s="14" t="str">
        <v>EVERGREEN LINE</v>
      </c>
      <c r="AC214" s="14" t="str">
        <v>EMCCQG0155</v>
      </c>
      <c r="AD214" s="14" t="str">
        <v>EVER VIBE</v>
      </c>
      <c r="AE214" s="14" t="str">
        <v>0291-007N</v>
      </c>
      <c r="AF214" s="27" t="str">
        <v>TW</v>
      </c>
      <c r="AG214" s="27" t="str">
        <v>PRT</v>
      </c>
      <c r="AH214" s="14" t="str">
        <v>TWTXG</v>
      </c>
    </row>
    <row r="215" spans="1:34" ht="25.2" customHeight="1" x14ac:dyDescent="0.45">
      <c r="A215" s="17" t="str">
        <v>DD</v>
      </c>
      <c r="B215" s="14" t="str">
        <v>MILK RUN NOR</v>
      </c>
      <c r="C215" s="14" t="str">
        <v>MAEUIK0213505</v>
      </c>
      <c r="D215" s="17" t="str">
        <v>HASU5122190</v>
      </c>
      <c r="E215" s="14" t="str">
        <v>C40HC</v>
      </c>
      <c r="F215" s="17" t="str">
        <v>21072SUPECIS74283</v>
      </c>
      <c r="G215" s="15">
        <v>46245</v>
      </c>
      <c r="H215" s="16">
        <v>0.35416666666666674</v>
      </c>
      <c r="I215" s="15">
        <v>46240</v>
      </c>
      <c r="J215" s="17">
        <v>0</v>
      </c>
      <c r="K215" s="15">
        <v>46239</v>
      </c>
      <c r="L215" s="17" t="str">
        <v>373-STO-S10000030493</v>
      </c>
      <c r="M215" s="14" t="str">
        <v>400</v>
      </c>
      <c r="N215" s="14" t="str">
        <v>037TSOS10000655727</v>
      </c>
      <c r="O215" s="14" t="str">
        <v>350</v>
      </c>
      <c r="P215" s="14" t="str">
        <v>LINLI65</v>
      </c>
      <c r="Q215" s="14">
        <v>46211</v>
      </c>
      <c r="R215" s="14">
        <v>726</v>
      </c>
      <c r="S215" s="14" t="str">
        <v>STO</v>
      </c>
      <c r="T215" s="14">
        <v>102</v>
      </c>
      <c r="U215" s="14" t="str">
        <v>4.484568</v>
      </c>
      <c r="V215" s="14" t="str">
        <v>4.778609</v>
      </c>
      <c r="W215" s="14">
        <v>2033.25</v>
      </c>
      <c r="X215" s="14">
        <v>46240</v>
      </c>
      <c r="Y215" s="14">
        <v>46238</v>
      </c>
      <c r="Z215" s="14">
        <v>0</v>
      </c>
      <c r="AA215" s="14" t="str">
        <v>31825</v>
      </c>
      <c r="AB215" s="14" t="str">
        <v>MAERSK A/S</v>
      </c>
      <c r="AC215" s="14" t="str">
        <v>CN6549074</v>
      </c>
      <c r="AD215" s="14" t="str">
        <v>VIENNA EXPRESS</v>
      </c>
      <c r="AE215" s="14" t="str">
        <v>631E</v>
      </c>
      <c r="AF215" s="27" t="str">
        <v>CN</v>
      </c>
      <c r="AG215" s="27" t="str">
        <v>PRT</v>
      </c>
      <c r="AH215" s="14" t="str">
        <v>CNNGB</v>
      </c>
    </row>
    <row r="216" spans="1:34" ht="25.2" customHeight="1" x14ac:dyDescent="0.45">
      <c r="A216" s="17" t="str">
        <v>DD</v>
      </c>
      <c r="B216" s="14" t="str">
        <v>MILK RUN NOR</v>
      </c>
      <c r="C216" s="14" t="str">
        <v>MAEUIK0213454</v>
      </c>
      <c r="D216" s="17" t="str">
        <v>HASU4002097</v>
      </c>
      <c r="E216" s="14" t="str">
        <v>C40HC</v>
      </c>
      <c r="F216" s="17" t="str">
        <v>21072SUPECIS74274</v>
      </c>
      <c r="G216" s="15">
        <v>46245</v>
      </c>
      <c r="H216" s="16">
        <v>0.35416666666666674</v>
      </c>
      <c r="I216" s="15">
        <v>46233</v>
      </c>
      <c r="J216" s="17">
        <v>0</v>
      </c>
      <c r="K216" s="15">
        <v>46232</v>
      </c>
      <c r="L216" s="17" t="str">
        <v>373-STO-S10000030493</v>
      </c>
      <c r="M216" s="14" t="str">
        <v>400</v>
      </c>
      <c r="N216" s="14" t="str">
        <v>037TSOS10000655568</v>
      </c>
      <c r="O216" s="14" t="str">
        <v>350</v>
      </c>
      <c r="P216" s="14" t="str">
        <v>LINLI65</v>
      </c>
      <c r="Q216" s="14">
        <v>46211</v>
      </c>
      <c r="R216" s="14">
        <v>726</v>
      </c>
      <c r="S216" s="14" t="str">
        <v>STO</v>
      </c>
      <c r="T216" s="14">
        <v>262</v>
      </c>
      <c r="U216" s="14" t="str">
        <v>12.672084</v>
      </c>
      <c r="V216" s="14" t="str">
        <v>13.462512</v>
      </c>
      <c r="W216" s="14">
        <v>4297.29</v>
      </c>
      <c r="X216" s="14">
        <v>46230</v>
      </c>
      <c r="Y216" s="14">
        <v>46228</v>
      </c>
      <c r="Z216" s="14">
        <v>0</v>
      </c>
      <c r="AA216" s="14" t="str">
        <v>31825</v>
      </c>
      <c r="AB216" s="14" t="str">
        <v>MAERSK A/S</v>
      </c>
      <c r="AC216" s="14" t="str">
        <v>CN8980565</v>
      </c>
      <c r="AD216" s="14" t="str">
        <v>NAVIOS UNISON</v>
      </c>
      <c r="AE216" s="14" t="str">
        <v>629E</v>
      </c>
      <c r="AF216" s="27" t="str">
        <v>CN</v>
      </c>
      <c r="AG216" s="27" t="str">
        <v>PRT</v>
      </c>
      <c r="AH216" s="14" t="str">
        <v>CNNGB</v>
      </c>
    </row>
    <row r="217" spans="1:34" ht="25.2" customHeight="1" x14ac:dyDescent="0.45">
      <c r="A217" s="17" t="str">
        <v>LF</v>
      </c>
      <c r="B217" s="14" t="str">
        <v>F/C</v>
      </c>
      <c r="C217" s="14" t="str">
        <v>MAEUIK0212235</v>
      </c>
      <c r="D217" s="17" t="str">
        <v>MRSU0307523</v>
      </c>
      <c r="E217" s="14" t="str">
        <v>C20DV</v>
      </c>
      <c r="F217" s="17" t="str">
        <v>294DT260630726534</v>
      </c>
      <c r="G217" s="15">
        <v>46245</v>
      </c>
      <c r="H217" s="16">
        <v>0.27083333333333326</v>
      </c>
      <c r="I217" s="15">
        <v>46238</v>
      </c>
      <c r="J217" s="17">
        <v>46237</v>
      </c>
      <c r="K217" s="15">
        <v>46222</v>
      </c>
      <c r="L217" s="17" t="str">
        <v>373-STO-S10000030511</v>
      </c>
      <c r="M217" s="14" t="str">
        <v>400</v>
      </c>
      <c r="N217" s="14" t="str">
        <v>258DTS10000192866</v>
      </c>
      <c r="O217" s="14" t="str">
        <v>300</v>
      </c>
      <c r="P217" s="14" t="str">
        <v>SEZHA1</v>
      </c>
      <c r="Q217" s="14">
        <v>46203</v>
      </c>
      <c r="R217" s="14">
        <v>726</v>
      </c>
      <c r="S217" s="14" t="str">
        <v>STO</v>
      </c>
      <c r="T217" s="14">
        <v>12672</v>
      </c>
      <c r="U217" s="14" t="str">
        <v>9.257904</v>
      </c>
      <c r="V217" s="14" t="str">
        <v>10.00617546</v>
      </c>
      <c r="W217" s="14">
        <v>2936.6990000000001</v>
      </c>
      <c r="X217" s="14">
        <v>46222</v>
      </c>
      <c r="Y217" s="14">
        <v>46220</v>
      </c>
      <c r="Z217" s="14">
        <v>0</v>
      </c>
      <c r="AA217" s="14" t="str">
        <v>31825</v>
      </c>
      <c r="AB217" s="14" t="str">
        <v>MAERSK A/S</v>
      </c>
      <c r="AC217" s="14" t="str">
        <v>CN7935943</v>
      </c>
      <c r="AD217" s="14" t="str">
        <v>MERATUS TOMINI</v>
      </c>
      <c r="AE217" s="14" t="str">
        <v>628N</v>
      </c>
      <c r="AF217" s="27" t="str">
        <v>CN</v>
      </c>
      <c r="AG217" s="27" t="str">
        <v>PRT</v>
      </c>
      <c r="AH217" s="14" t="str">
        <v>CNSHA</v>
      </c>
    </row>
    <row r="218" spans="1:34" ht="25.2" customHeight="1" x14ac:dyDescent="0.45">
      <c r="A218" s="17" t="str">
        <v>LF</v>
      </c>
      <c r="B218" s="14" t="str">
        <v>F/C</v>
      </c>
      <c r="C218" s="14" t="str">
        <v>MAEUIK0212235</v>
      </c>
      <c r="D218" s="17" t="str">
        <v>MRSU0307523</v>
      </c>
      <c r="E218" s="14" t="str">
        <v>C20DV</v>
      </c>
      <c r="F218" s="17" t="str">
        <v>319DT260630726535</v>
      </c>
      <c r="G218" s="15">
        <v>46245</v>
      </c>
      <c r="H218" s="16">
        <v>0.27083333333333326</v>
      </c>
      <c r="I218" s="15">
        <v>46238</v>
      </c>
      <c r="J218" s="17">
        <v>46237</v>
      </c>
      <c r="K218" s="15">
        <v>46222</v>
      </c>
      <c r="L218" s="17" t="str">
        <v>373-STO-S10000030511</v>
      </c>
      <c r="M218" s="14" t="str">
        <v>400</v>
      </c>
      <c r="N218" s="14" t="str">
        <v>258DTS10000192866</v>
      </c>
      <c r="O218" s="14" t="str">
        <v>300</v>
      </c>
      <c r="P218" s="14" t="str">
        <v>SEZHA1</v>
      </c>
      <c r="Q218" s="14">
        <v>46203</v>
      </c>
      <c r="R218" s="14">
        <v>726</v>
      </c>
      <c r="S218" s="14" t="str">
        <v>STO</v>
      </c>
      <c r="T218" s="14">
        <v>11272</v>
      </c>
      <c r="U218" s="14" t="str">
        <v>11.842792</v>
      </c>
      <c r="V218" s="14" t="str">
        <v>12.81923222</v>
      </c>
      <c r="W218" s="14">
        <v>2704.098</v>
      </c>
      <c r="X218" s="14">
        <v>46222</v>
      </c>
      <c r="Y218" s="14">
        <v>46220</v>
      </c>
      <c r="Z218" s="14">
        <v>0</v>
      </c>
      <c r="AA218" s="14" t="str">
        <v>31825</v>
      </c>
      <c r="AB218" s="14" t="str">
        <v>MAERSK A/S</v>
      </c>
      <c r="AC218" s="14" t="str">
        <v>CN7935943</v>
      </c>
      <c r="AD218" s="14" t="str">
        <v>MERATUS TOMINI</v>
      </c>
      <c r="AE218" s="14" t="str">
        <v>628N</v>
      </c>
      <c r="AF218" s="27" t="str">
        <v>CN</v>
      </c>
      <c r="AG218" s="27" t="str">
        <v>PRT</v>
      </c>
      <c r="AH218" s="14" t="str">
        <v>CNSHA</v>
      </c>
    </row>
    <row r="219" spans="1:34" ht="25.2" customHeight="1" x14ac:dyDescent="0.45">
      <c r="A219" s="17" t="str">
        <v>DD</v>
      </c>
      <c r="B219" s="14" t="str">
        <v>MILK RUN NOR</v>
      </c>
      <c r="C219" s="14" t="str">
        <v>MAEUIK0213002</v>
      </c>
      <c r="D219" s="17" t="str">
        <v>MRKU5339726</v>
      </c>
      <c r="E219" s="14" t="str">
        <v>C40HC</v>
      </c>
      <c r="F219" s="17" t="str">
        <v>21072SUPECIS74172</v>
      </c>
      <c r="G219" s="15">
        <v>46244</v>
      </c>
      <c r="H219" s="16">
        <v>0.35416666666666674</v>
      </c>
      <c r="I219" s="15">
        <v>46232</v>
      </c>
      <c r="J219" s="17">
        <v>0</v>
      </c>
      <c r="K219" s="15">
        <v>46232</v>
      </c>
      <c r="L219" s="17" t="str">
        <v>373-STO-S10000030477</v>
      </c>
      <c r="M219" s="14" t="str">
        <v>400</v>
      </c>
      <c r="N219" s="14" t="str">
        <v>037TSOS10000653201</v>
      </c>
      <c r="O219" s="14" t="str">
        <v>350</v>
      </c>
      <c r="P219" s="14" t="str">
        <v>LINLI65</v>
      </c>
      <c r="Q219" s="14">
        <v>46208</v>
      </c>
      <c r="R219" s="14">
        <v>726</v>
      </c>
      <c r="S219" s="14" t="str">
        <v>STO</v>
      </c>
      <c r="T219" s="14">
        <v>113</v>
      </c>
      <c r="U219" s="14" t="str">
        <v>5.630021</v>
      </c>
      <c r="V219" s="14" t="str">
        <v>5.987075</v>
      </c>
      <c r="W219" s="14">
        <v>2231.4</v>
      </c>
      <c r="X219" s="14">
        <v>46230</v>
      </c>
      <c r="Y219" s="14">
        <v>46228</v>
      </c>
      <c r="Z219" s="14">
        <v>0</v>
      </c>
      <c r="AA219" s="14" t="str">
        <v>31825</v>
      </c>
      <c r="AB219" s="14" t="str">
        <v>MAERSK A/S</v>
      </c>
      <c r="AC219" s="14" t="str">
        <v>CN9016500</v>
      </c>
      <c r="AD219" s="14" t="str">
        <v>NAVIOS UNISON</v>
      </c>
      <c r="AE219" s="14" t="str">
        <v>629E</v>
      </c>
      <c r="AF219" s="27" t="str">
        <v>CN</v>
      </c>
      <c r="AG219" s="27" t="str">
        <v>PRT</v>
      </c>
      <c r="AH219" s="14" t="str">
        <v>CNNGB</v>
      </c>
    </row>
    <row r="220" spans="1:34" ht="25.2" customHeight="1" x14ac:dyDescent="0.45">
      <c r="A220" s="17" t="str">
        <v>DD</v>
      </c>
      <c r="B220" s="14" t="str">
        <v>MILK RUN NOR</v>
      </c>
      <c r="C220" s="14" t="str">
        <v>MAEUIK0213650</v>
      </c>
      <c r="D220" s="17" t="str">
        <v>CAAU9973117</v>
      </c>
      <c r="E220" s="14" t="str">
        <v>C40HC</v>
      </c>
      <c r="F220" s="17" t="str">
        <v>22715SUPECIS73255</v>
      </c>
      <c r="G220" s="15">
        <v>46241</v>
      </c>
      <c r="H220" s="16">
        <v>0.35416666666666674</v>
      </c>
      <c r="I220" s="15">
        <v>46232</v>
      </c>
      <c r="J220" s="17">
        <v>0</v>
      </c>
      <c r="K220" s="15">
        <v>46231</v>
      </c>
      <c r="L220" s="17" t="str">
        <v>373-STO-S10000030428</v>
      </c>
      <c r="M220" s="14" t="str">
        <v>400</v>
      </c>
      <c r="N220" s="14" t="str">
        <v>037TSOS10000656497</v>
      </c>
      <c r="O220" s="14" t="str">
        <v>300</v>
      </c>
      <c r="P220" s="14" t="str">
        <v>JIZHU80</v>
      </c>
      <c r="Q220" s="14">
        <v>46212</v>
      </c>
      <c r="R220" s="14">
        <v>726</v>
      </c>
      <c r="S220" s="14" t="str">
        <v>STO</v>
      </c>
      <c r="T220" s="14">
        <v>166</v>
      </c>
      <c r="U220" s="14" t="str">
        <v>9.642388</v>
      </c>
      <c r="V220" s="14" t="str">
        <v>10.362846</v>
      </c>
      <c r="W220" s="14">
        <v>3820.62</v>
      </c>
      <c r="X220" s="14">
        <v>46231</v>
      </c>
      <c r="Y220" s="14">
        <v>46229</v>
      </c>
      <c r="Z220" s="14">
        <v>0</v>
      </c>
      <c r="AA220" s="14" t="str">
        <v>31825</v>
      </c>
      <c r="AB220" s="14" t="str">
        <v>MAERSK A/S</v>
      </c>
      <c r="AC220" s="14" t="str">
        <v>CN7937608</v>
      </c>
      <c r="AD220" s="14" t="str">
        <v>ERASMUS ICON</v>
      </c>
      <c r="AE220" s="14" t="str">
        <v>627N</v>
      </c>
      <c r="AF220" s="27" t="str">
        <v>CN</v>
      </c>
      <c r="AG220" s="27" t="str">
        <v>PRT</v>
      </c>
      <c r="AH220" s="14" t="str">
        <v>CNSHA</v>
      </c>
    </row>
    <row r="221" spans="1:34" ht="25.2" customHeight="1" x14ac:dyDescent="0.45">
      <c r="A221" s="17" t="str">
        <v>HF</v>
      </c>
      <c r="B221" s="14" t="str">
        <v/>
      </c>
      <c r="C221" s="14" t="str">
        <v>HDMUSHAA83911400</v>
      </c>
      <c r="D221" s="17" t="str">
        <v>KOCU4072160</v>
      </c>
      <c r="E221" s="14" t="str">
        <v>C40HC</v>
      </c>
      <c r="F221" s="17" t="str">
        <v>258DT260703726710</v>
      </c>
      <c r="G221" s="15">
        <v>46240</v>
      </c>
      <c r="H221" s="16">
        <v>0.27083333333333326</v>
      </c>
      <c r="I221" s="15">
        <v>46234</v>
      </c>
      <c r="J221" s="17">
        <v>0</v>
      </c>
      <c r="K221" s="15">
        <v>46233</v>
      </c>
      <c r="L221" s="17" t="str">
        <v>373-STO-S10000030444</v>
      </c>
      <c r="M221" s="14" t="str">
        <v>400</v>
      </c>
      <c r="N221" s="14" t="str">
        <v>258DTS10000193380</v>
      </c>
      <c r="O221" s="14" t="str">
        <v>350</v>
      </c>
      <c r="P221" s="14">
        <v>0</v>
      </c>
      <c r="Q221" s="14">
        <v>46206</v>
      </c>
      <c r="R221" s="14">
        <v>726</v>
      </c>
      <c r="S221" s="14" t="str">
        <v>STO</v>
      </c>
      <c r="T221" s="14">
        <v>8117</v>
      </c>
      <c r="U221" s="14" t="str">
        <v>51.966713</v>
      </c>
      <c r="V221" s="14" t="str">
        <v>56.02422946</v>
      </c>
      <c r="W221" s="14">
        <v>11171.324000000001</v>
      </c>
      <c r="X221" s="14">
        <v>46227</v>
      </c>
      <c r="Y221" s="14">
        <v>46225</v>
      </c>
      <c r="Z221" s="14">
        <v>0</v>
      </c>
      <c r="AA221" s="14" t="str">
        <v>31676</v>
      </c>
      <c r="AB221" s="14" t="str">
        <v>HMM CO., LTD.</v>
      </c>
      <c r="AC221" s="14" t="str">
        <v>26H0270976</v>
      </c>
      <c r="AD221" s="14" t="str">
        <v>HMM DIAMOND</v>
      </c>
      <c r="AE221" s="14" t="str">
        <v>0011E</v>
      </c>
      <c r="AF221" s="27" t="str">
        <v>CN</v>
      </c>
      <c r="AG221" s="27" t="str">
        <v>PRT</v>
      </c>
      <c r="AH221" s="14" t="str">
        <v>CNYAN</v>
      </c>
    </row>
    <row r="222" spans="1:34" ht="25.2" customHeight="1" x14ac:dyDescent="0.45">
      <c r="A222" s="17" t="str">
        <v>HF</v>
      </c>
      <c r="B222" s="14" t="str">
        <v/>
      </c>
      <c r="C222" s="14" t="str">
        <v>HDMUSHAA83911400</v>
      </c>
      <c r="D222" s="17" t="str">
        <v>KOCU4072160</v>
      </c>
      <c r="E222" s="14" t="str">
        <v>C40HC</v>
      </c>
      <c r="F222" s="17" t="str">
        <v>258DT260703726712</v>
      </c>
      <c r="G222" s="15">
        <v>46240</v>
      </c>
      <c r="H222" s="16">
        <v>0.27083333333333326</v>
      </c>
      <c r="I222" s="15">
        <v>46234</v>
      </c>
      <c r="J222" s="17">
        <v>0</v>
      </c>
      <c r="K222" s="15">
        <v>46233</v>
      </c>
      <c r="L222" s="17" t="str">
        <v>373-STO-S10000030444</v>
      </c>
      <c r="M222" s="14" t="str">
        <v>400</v>
      </c>
      <c r="N222" s="14" t="str">
        <v>258DTS10000193380</v>
      </c>
      <c r="O222" s="14" t="str">
        <v>350</v>
      </c>
      <c r="P222" s="14">
        <v>0</v>
      </c>
      <c r="Q222" s="14">
        <v>46206</v>
      </c>
      <c r="R222" s="14">
        <v>726</v>
      </c>
      <c r="S222" s="14" t="str">
        <v>STO</v>
      </c>
      <c r="T222" s="14">
        <v>104</v>
      </c>
      <c r="U222" s="14" t="str">
        <v>1.5366</v>
      </c>
      <c r="V222" s="14" t="str">
        <v>1.634944</v>
      </c>
      <c r="W222" s="14">
        <v>351.10399999999998</v>
      </c>
      <c r="X222" s="14">
        <v>46227</v>
      </c>
      <c r="Y222" s="14">
        <v>46225</v>
      </c>
      <c r="Z222" s="14">
        <v>0</v>
      </c>
      <c r="AA222" s="14" t="str">
        <v>31676</v>
      </c>
      <c r="AB222" s="14" t="str">
        <v>HMM CO., LTD.</v>
      </c>
      <c r="AC222" s="14" t="str">
        <v>26H0270976</v>
      </c>
      <c r="AD222" s="14" t="str">
        <v>HMM DIAMOND</v>
      </c>
      <c r="AE222" s="14" t="str">
        <v>0011E</v>
      </c>
      <c r="AF222" s="27" t="str">
        <v>CN</v>
      </c>
      <c r="AG222" s="27" t="str">
        <v>PRT</v>
      </c>
      <c r="AH222" s="14" t="str">
        <v>CNYAN</v>
      </c>
    </row>
    <row r="223" spans="1:34" ht="25.2" customHeight="1" x14ac:dyDescent="0.45">
      <c r="A223" s="17" t="str">
        <v>HF</v>
      </c>
      <c r="B223" s="14" t="str">
        <v/>
      </c>
      <c r="C223" s="14" t="str">
        <v>HDMUSHAA83911400</v>
      </c>
      <c r="D223" s="17" t="str">
        <v>KOCU4072160</v>
      </c>
      <c r="E223" s="14" t="str">
        <v>C40HC</v>
      </c>
      <c r="F223" s="17" t="str">
        <v>277DT260703726713</v>
      </c>
      <c r="G223" s="15">
        <v>46240</v>
      </c>
      <c r="H223" s="16">
        <v>0.27083333333333326</v>
      </c>
      <c r="I223" s="15">
        <v>46234</v>
      </c>
      <c r="J223" s="17">
        <v>0</v>
      </c>
      <c r="K223" s="15">
        <v>46233</v>
      </c>
      <c r="L223" s="17" t="str">
        <v>373-STO-S10000030444</v>
      </c>
      <c r="M223" s="14" t="str">
        <v>400</v>
      </c>
      <c r="N223" s="14" t="str">
        <v>258DTS10000193380</v>
      </c>
      <c r="O223" s="14" t="str">
        <v>350</v>
      </c>
      <c r="P223" s="14">
        <v>0</v>
      </c>
      <c r="Q223" s="14">
        <v>46206</v>
      </c>
      <c r="R223" s="14">
        <v>726</v>
      </c>
      <c r="S223" s="14" t="str">
        <v>STO</v>
      </c>
      <c r="T223" s="14">
        <v>158</v>
      </c>
      <c r="U223" s="14" t="str">
        <v>0.870098</v>
      </c>
      <c r="V223" s="14" t="str">
        <v>0.933875</v>
      </c>
      <c r="W223" s="14">
        <v>108.56</v>
      </c>
      <c r="X223" s="14">
        <v>46227</v>
      </c>
      <c r="Y223" s="14">
        <v>46225</v>
      </c>
      <c r="Z223" s="14">
        <v>0</v>
      </c>
      <c r="AA223" s="14" t="str">
        <v>31676</v>
      </c>
      <c r="AB223" s="14" t="str">
        <v>HMM CO., LTD.</v>
      </c>
      <c r="AC223" s="14" t="str">
        <v>26H0270976</v>
      </c>
      <c r="AD223" s="14" t="str">
        <v>HMM DIAMOND</v>
      </c>
      <c r="AE223" s="14" t="str">
        <v>0011E</v>
      </c>
      <c r="AF223" s="27" t="str">
        <v>CN</v>
      </c>
      <c r="AG223" s="27" t="str">
        <v>PRT</v>
      </c>
      <c r="AH223" s="14" t="str">
        <v>CNYAN</v>
      </c>
    </row>
    <row r="224" spans="1:34" ht="25.2" customHeight="1" x14ac:dyDescent="0.45">
      <c r="A224" s="17" t="str">
        <v>DD</v>
      </c>
      <c r="B224" s="14" t="str">
        <v>MILK RUN NOR</v>
      </c>
      <c r="C224" s="14" t="str">
        <v>MAEUIK0213427</v>
      </c>
      <c r="D224" s="17" t="str">
        <v>TCNU6774777</v>
      </c>
      <c r="E224" s="14" t="str">
        <v>C40HC</v>
      </c>
      <c r="F224" s="17" t="str">
        <v>22075SUP2600115745</v>
      </c>
      <c r="G224" s="15">
        <v>46240</v>
      </c>
      <c r="H224" s="16">
        <v>0.35416666666666674</v>
      </c>
      <c r="I224" s="15">
        <v>46232</v>
      </c>
      <c r="J224" s="17">
        <v>0</v>
      </c>
      <c r="K224" s="15">
        <v>46231</v>
      </c>
      <c r="L224" s="17" t="str">
        <v>373-STO-S10000030424</v>
      </c>
      <c r="M224" s="14" t="str">
        <v>440</v>
      </c>
      <c r="N224" s="14" t="str">
        <v>037TSOS10000655302</v>
      </c>
      <c r="O224" s="14" t="str">
        <v>350</v>
      </c>
      <c r="P224" s="14" t="str">
        <v>JUWAN78</v>
      </c>
      <c r="Q224" s="14">
        <v>46211</v>
      </c>
      <c r="R224" s="14">
        <v>726</v>
      </c>
      <c r="S224" s="14" t="str">
        <v>STO</v>
      </c>
      <c r="T224" s="14">
        <v>90</v>
      </c>
      <c r="U224" s="14" t="str">
        <v>7.348906</v>
      </c>
      <c r="V224" s="14" t="str">
        <v>7.886649</v>
      </c>
      <c r="W224" s="14">
        <v>2014.82</v>
      </c>
      <c r="X224" s="14">
        <v>46227</v>
      </c>
      <c r="Y224" s="14">
        <v>46229</v>
      </c>
      <c r="Z224" s="14">
        <v>0</v>
      </c>
      <c r="AA224" s="14" t="str">
        <v>31825</v>
      </c>
      <c r="AB224" s="14" t="str">
        <v>MAERSK A/S</v>
      </c>
      <c r="AC224" s="14" t="str">
        <v>CN7962609</v>
      </c>
      <c r="AD224" s="14" t="str">
        <v>ERASMUS ICON</v>
      </c>
      <c r="AE224" s="14" t="str">
        <v>627N</v>
      </c>
      <c r="AF224" s="27" t="str">
        <v>CN</v>
      </c>
      <c r="AG224" s="27" t="str">
        <v>PRT</v>
      </c>
      <c r="AH224" s="14" t="str">
        <v>CNSHA</v>
      </c>
    </row>
    <row r="225" spans="1:34" ht="25.2" customHeight="1" x14ac:dyDescent="0.45">
      <c r="A225" s="17" t="str">
        <v>DD</v>
      </c>
      <c r="B225" s="14" t="str">
        <v>MILK RUN NOR</v>
      </c>
      <c r="C225" s="14" t="str">
        <v>MAEUIK0212433</v>
      </c>
      <c r="D225" s="17" t="str">
        <v>TRHU5905921</v>
      </c>
      <c r="E225" s="14" t="str">
        <v>C40HC</v>
      </c>
      <c r="F225" s="17" t="str">
        <v>22121SUPUE064863</v>
      </c>
      <c r="G225" s="15">
        <v>46239</v>
      </c>
      <c r="H225" s="16">
        <v>0.35416666666666674</v>
      </c>
      <c r="I225" s="15">
        <v>46231</v>
      </c>
      <c r="J225" s="17">
        <v>0</v>
      </c>
      <c r="K225" s="15">
        <v>46231</v>
      </c>
      <c r="L225" s="17" t="str">
        <v>373-STO-S10000030389</v>
      </c>
      <c r="M225" s="14" t="str">
        <v>420</v>
      </c>
      <c r="N225" s="14" t="str">
        <v>037TSOS10000650983</v>
      </c>
      <c r="O225" s="14" t="str">
        <v>300</v>
      </c>
      <c r="P225" s="14" t="str">
        <v>JUWAN78</v>
      </c>
      <c r="Q225" s="14">
        <v>46204</v>
      </c>
      <c r="R225" s="14">
        <v>726</v>
      </c>
      <c r="S225" s="14" t="str">
        <v>STO</v>
      </c>
      <c r="T225" s="14">
        <v>116</v>
      </c>
      <c r="U225" s="14" t="str">
        <v>12.017708</v>
      </c>
      <c r="V225" s="14" t="str">
        <v>13.133662</v>
      </c>
      <c r="W225" s="14">
        <v>1567.34</v>
      </c>
      <c r="X225" s="14">
        <v>46235</v>
      </c>
      <c r="Y225" s="14">
        <v>46220</v>
      </c>
      <c r="Z225" s="14">
        <v>0</v>
      </c>
      <c r="AA225" s="14" t="str">
        <v>31825</v>
      </c>
      <c r="AB225" s="14" t="str">
        <v>MAERSK A/S</v>
      </c>
      <c r="AC225" s="14" t="str">
        <v>CN7978640</v>
      </c>
      <c r="AD225" s="14" t="str">
        <v>AS SIMONE</v>
      </c>
      <c r="AE225" s="14" t="str">
        <v>626N</v>
      </c>
      <c r="AF225" s="27" t="str">
        <v>CN</v>
      </c>
      <c r="AG225" s="27" t="str">
        <v>PRT</v>
      </c>
      <c r="AH225" s="14" t="str">
        <v>CNSHA</v>
      </c>
    </row>
    <row r="226" spans="1:34" ht="25.2" customHeight="1" x14ac:dyDescent="0.45">
      <c r="A226" s="17" t="str">
        <v>HF</v>
      </c>
      <c r="B226" s="14" t="str">
        <v>F/C</v>
      </c>
      <c r="C226" s="14" t="str">
        <v>MAEUIK0212241</v>
      </c>
      <c r="D226" s="17" t="str">
        <v>GCXU5675226</v>
      </c>
      <c r="E226" s="14" t="str">
        <v>C40HC</v>
      </c>
      <c r="F226" s="17" t="str">
        <v>258DT260630726508</v>
      </c>
      <c r="G226" s="15">
        <v>46239</v>
      </c>
      <c r="H226" s="16">
        <v>0.27083333333333326</v>
      </c>
      <c r="I226" s="15">
        <v>46231</v>
      </c>
      <c r="J226" s="17">
        <v>0</v>
      </c>
      <c r="K226" s="15">
        <v>46215</v>
      </c>
      <c r="L226" s="17" t="str">
        <v>373-STO-S10000030408</v>
      </c>
      <c r="M226" s="14" t="str">
        <v>400</v>
      </c>
      <c r="N226" s="14" t="str">
        <v>258DTS10000192876</v>
      </c>
      <c r="O226" s="14" t="str">
        <v>350</v>
      </c>
      <c r="P226" s="14">
        <v>0</v>
      </c>
      <c r="Q226" s="14">
        <v>46203</v>
      </c>
      <c r="R226" s="14">
        <v>726</v>
      </c>
      <c r="S226" s="14" t="str">
        <v>STO</v>
      </c>
      <c r="T226" s="14">
        <v>12407</v>
      </c>
      <c r="U226" s="14" t="str">
        <v>33.423082</v>
      </c>
      <c r="V226" s="14" t="str">
        <v>36.11873621</v>
      </c>
      <c r="W226" s="14">
        <v>5671.6080000000002</v>
      </c>
      <c r="X226" s="14">
        <v>46215</v>
      </c>
      <c r="Y226" s="14">
        <v>46213</v>
      </c>
      <c r="Z226" s="14">
        <v>0</v>
      </c>
      <c r="AA226" s="14" t="str">
        <v>31825</v>
      </c>
      <c r="AB226" s="14" t="str">
        <v>MAERSK A/S</v>
      </c>
      <c r="AC226" s="14" t="str">
        <v>CN2262837</v>
      </c>
      <c r="AD226" s="14" t="str">
        <v>TS MELBOURNE</v>
      </c>
      <c r="AE226" s="14" t="str">
        <v>627N</v>
      </c>
      <c r="AF226" s="27" t="str">
        <v>CN</v>
      </c>
      <c r="AG226" s="27" t="str">
        <v>PRT</v>
      </c>
      <c r="AH226" s="14" t="str">
        <v>CNSHA</v>
      </c>
    </row>
    <row r="227" spans="1:34" ht="25.2" customHeight="1" x14ac:dyDescent="0.45">
      <c r="A227" s="17" t="str">
        <v>HF</v>
      </c>
      <c r="B227" s="14" t="str">
        <v>F/C</v>
      </c>
      <c r="C227" s="14" t="str">
        <v>MAEUIK0212241</v>
      </c>
      <c r="D227" s="17" t="str">
        <v>GCXU5675226</v>
      </c>
      <c r="E227" s="14" t="str">
        <v>C40HC</v>
      </c>
      <c r="F227" s="17" t="str">
        <v>277DT260630726509</v>
      </c>
      <c r="G227" s="15">
        <v>46239</v>
      </c>
      <c r="H227" s="16">
        <v>0.27083333333333326</v>
      </c>
      <c r="I227" s="15">
        <v>46231</v>
      </c>
      <c r="J227" s="17">
        <v>0</v>
      </c>
      <c r="K227" s="15">
        <v>46215</v>
      </c>
      <c r="L227" s="17" t="str">
        <v>373-STO-S10000030408</v>
      </c>
      <c r="M227" s="14" t="str">
        <v>400</v>
      </c>
      <c r="N227" s="14" t="str">
        <v>258DTS10000192876</v>
      </c>
      <c r="O227" s="14" t="str">
        <v>350</v>
      </c>
      <c r="P227" s="14">
        <v>0</v>
      </c>
      <c r="Q227" s="14">
        <v>46203</v>
      </c>
      <c r="R227" s="14">
        <v>726</v>
      </c>
      <c r="S227" s="14" t="str">
        <v>STO</v>
      </c>
      <c r="T227" s="14">
        <v>15656</v>
      </c>
      <c r="U227" s="14" t="str">
        <v>21.774512</v>
      </c>
      <c r="V227" s="14" t="str">
        <v>23.371155</v>
      </c>
      <c r="W227" s="14">
        <v>4905.7939999999999</v>
      </c>
      <c r="X227" s="14">
        <v>46215</v>
      </c>
      <c r="Y227" s="14">
        <v>46213</v>
      </c>
      <c r="Z227" s="14">
        <v>0</v>
      </c>
      <c r="AA227" s="14" t="str">
        <v>31825</v>
      </c>
      <c r="AB227" s="14" t="str">
        <v>MAERSK A/S</v>
      </c>
      <c r="AC227" s="14" t="str">
        <v>CN2262837</v>
      </c>
      <c r="AD227" s="14" t="str">
        <v>TS MELBOURNE</v>
      </c>
      <c r="AE227" s="14" t="str">
        <v>627N</v>
      </c>
      <c r="AF227" s="27" t="str">
        <v>CN</v>
      </c>
      <c r="AG227" s="27" t="str">
        <v>PRT</v>
      </c>
      <c r="AH227" s="14" t="str">
        <v>CNSHA</v>
      </c>
    </row>
    <row r="228" spans="1:34" ht="25.2" customHeight="1" x14ac:dyDescent="0.45">
      <c r="A228" s="17" t="str">
        <v>DD</v>
      </c>
      <c r="B228" s="14" t="str">
        <v>MILK RUN NOR</v>
      </c>
      <c r="C228" s="14" t="str">
        <v>PLISH7H36420</v>
      </c>
      <c r="D228" s="17" t="str">
        <v>SKHU6373767</v>
      </c>
      <c r="E228" s="14" t="str">
        <v>C40HC</v>
      </c>
      <c r="F228" s="17" t="str">
        <v>21072SUPECIS74464</v>
      </c>
      <c r="G228" s="15">
        <v>46238</v>
      </c>
      <c r="H228" s="16">
        <v>0.35416666666666674</v>
      </c>
      <c r="I228" s="15">
        <v>46230</v>
      </c>
      <c r="J228" s="17">
        <v>0</v>
      </c>
      <c r="K228" s="15">
        <v>46230</v>
      </c>
      <c r="L228" s="17" t="str">
        <v>373-STO-S10000030384</v>
      </c>
      <c r="M228" s="14" t="str">
        <v>400</v>
      </c>
      <c r="N228" s="14" t="str">
        <v>037TSOS10000659102</v>
      </c>
      <c r="O228" s="14" t="str">
        <v>300</v>
      </c>
      <c r="P228" s="14" t="str">
        <v>LINLI65</v>
      </c>
      <c r="Q228" s="14">
        <v>46217</v>
      </c>
      <c r="R228" s="14">
        <v>726</v>
      </c>
      <c r="S228" s="14" t="str">
        <v>STO</v>
      </c>
      <c r="T228" s="14">
        <v>138</v>
      </c>
      <c r="U228" s="14" t="str">
        <v>5.683842</v>
      </c>
      <c r="V228" s="14" t="str">
        <v>6.053839</v>
      </c>
      <c r="W228" s="14">
        <v>2608.79</v>
      </c>
      <c r="X228" s="14">
        <v>46231</v>
      </c>
      <c r="Y228" s="14">
        <v>46229</v>
      </c>
      <c r="Z228" s="14">
        <v>0</v>
      </c>
      <c r="AA228" s="14" t="str">
        <v>33300</v>
      </c>
      <c r="AB228" s="14" t="str">
        <v>LX PANTOS CO., LTD.</v>
      </c>
      <c r="AC228" s="14" t="str">
        <v>144958</v>
      </c>
      <c r="AD228" s="14" t="str">
        <v>PACIFIC BEIJING</v>
      </c>
      <c r="AE228" s="14" t="str">
        <v>2613E</v>
      </c>
      <c r="AF228" s="27" t="str">
        <v>CN</v>
      </c>
      <c r="AG228" s="27" t="str">
        <v>PRT</v>
      </c>
      <c r="AH228" s="14" t="str">
        <v>CNNGB</v>
      </c>
    </row>
    <row r="229" spans="1:34" ht="25.2" customHeight="1" x14ac:dyDescent="0.45">
      <c r="A229" s="17" t="str">
        <v>LF</v>
      </c>
      <c r="B229" s="14" t="str">
        <v>F/C</v>
      </c>
      <c r="C229" s="14" t="str">
        <v>MAEUIK0209788</v>
      </c>
      <c r="D229" s="17" t="str">
        <v>MRKU9180822</v>
      </c>
      <c r="E229" s="14" t="str">
        <v>C20DV</v>
      </c>
      <c r="F229" s="17" t="str">
        <v>294DT260615726200</v>
      </c>
      <c r="G229" s="15">
        <v>46238</v>
      </c>
      <c r="H229" s="16">
        <v>0.27083333333333326</v>
      </c>
      <c r="I229" s="15">
        <v>46231</v>
      </c>
      <c r="J229" s="17">
        <v>0</v>
      </c>
      <c r="K229" s="15">
        <v>46214</v>
      </c>
      <c r="L229" s="17" t="str">
        <v>373-STO-S10000030407</v>
      </c>
      <c r="M229" s="14" t="str">
        <v>400</v>
      </c>
      <c r="N229" s="14" t="str">
        <v>258DTS10000190845</v>
      </c>
      <c r="O229" s="14" t="str">
        <v>350</v>
      </c>
      <c r="P229" s="14" t="str">
        <v>SEZHA1</v>
      </c>
      <c r="Q229" s="14">
        <v>46188</v>
      </c>
      <c r="R229" s="14">
        <v>726</v>
      </c>
      <c r="S229" s="14" t="str">
        <v>STO</v>
      </c>
      <c r="T229" s="14">
        <v>13659</v>
      </c>
      <c r="U229" s="14" t="str">
        <v>10.699541</v>
      </c>
      <c r="V229" s="14" t="str">
        <v>11.55475478</v>
      </c>
      <c r="W229" s="14">
        <v>2929.3989999999999</v>
      </c>
      <c r="X229" s="14">
        <v>46209</v>
      </c>
      <c r="Y229" s="14">
        <v>46206</v>
      </c>
      <c r="Z229" s="14">
        <v>0</v>
      </c>
      <c r="AA229" s="14" t="str">
        <v>31825</v>
      </c>
      <c r="AB229" s="14" t="str">
        <v>MAERSK A/S</v>
      </c>
      <c r="AC229" s="14" t="str">
        <v>CN3378262</v>
      </c>
      <c r="AD229" s="14" t="str">
        <v>JPO AQUARIUS</v>
      </c>
      <c r="AE229" s="14" t="str">
        <v>626N</v>
      </c>
      <c r="AF229" s="27" t="str">
        <v>CN</v>
      </c>
      <c r="AG229" s="27" t="str">
        <v>PRT</v>
      </c>
      <c r="AH229" s="14" t="str">
        <v>CNSHA</v>
      </c>
    </row>
    <row r="230" spans="1:34" ht="25.2" customHeight="1" x14ac:dyDescent="0.45">
      <c r="A230" s="17" t="str">
        <v>LF</v>
      </c>
      <c r="B230" s="14" t="str">
        <v>F/C</v>
      </c>
      <c r="C230" s="14" t="str">
        <v>MAEUIK0209788</v>
      </c>
      <c r="D230" s="17" t="str">
        <v>MRKU9180822</v>
      </c>
      <c r="E230" s="14" t="str">
        <v>C20DV</v>
      </c>
      <c r="F230" s="17" t="str">
        <v>319DT260615726201</v>
      </c>
      <c r="G230" s="15">
        <v>46238</v>
      </c>
      <c r="H230" s="16">
        <v>0.27083333333333326</v>
      </c>
      <c r="I230" s="15">
        <v>46231</v>
      </c>
      <c r="J230" s="17">
        <v>0</v>
      </c>
      <c r="K230" s="15">
        <v>46214</v>
      </c>
      <c r="L230" s="17" t="str">
        <v>373-STO-S10000030407</v>
      </c>
      <c r="M230" s="14" t="str">
        <v>400</v>
      </c>
      <c r="N230" s="14" t="str">
        <v>258DTS10000190845</v>
      </c>
      <c r="O230" s="14" t="str">
        <v>350</v>
      </c>
      <c r="P230" s="14" t="str">
        <v>SEZHA1</v>
      </c>
      <c r="Q230" s="14">
        <v>46188</v>
      </c>
      <c r="R230" s="14">
        <v>726</v>
      </c>
      <c r="S230" s="14" t="str">
        <v>STO</v>
      </c>
      <c r="T230" s="14">
        <v>8900</v>
      </c>
      <c r="U230" s="14" t="str">
        <v>10.361721</v>
      </c>
      <c r="V230" s="14" t="str">
        <v>11.19463125</v>
      </c>
      <c r="W230" s="14">
        <v>2333.9540000000002</v>
      </c>
      <c r="X230" s="14">
        <v>46209</v>
      </c>
      <c r="Y230" s="14">
        <v>46206</v>
      </c>
      <c r="Z230" s="14">
        <v>0</v>
      </c>
      <c r="AA230" s="14" t="str">
        <v>31825</v>
      </c>
      <c r="AB230" s="14" t="str">
        <v>MAERSK A/S</v>
      </c>
      <c r="AC230" s="14" t="str">
        <v>CN3378262</v>
      </c>
      <c r="AD230" s="14" t="str">
        <v>JPO AQUARIUS</v>
      </c>
      <c r="AE230" s="14" t="str">
        <v>626N</v>
      </c>
      <c r="AF230" s="27" t="str">
        <v>CN</v>
      </c>
      <c r="AG230" s="27" t="str">
        <v>PRT</v>
      </c>
      <c r="AH230" s="14" t="str">
        <v>CNSHA</v>
      </c>
    </row>
    <row r="231" spans="1:34" ht="25.2" customHeight="1" x14ac:dyDescent="0.45">
      <c r="A231" s="17" t="str">
        <v>HF</v>
      </c>
      <c r="B231" s="14" t="str">
        <v/>
      </c>
      <c r="C231" s="14" t="str">
        <v>MAEUIK0213053</v>
      </c>
      <c r="D231" s="17" t="str">
        <v>MRSU2310819</v>
      </c>
      <c r="E231" s="14" t="str">
        <v>C40HC</v>
      </c>
      <c r="F231" s="17" t="str">
        <v>258DT260706726856</v>
      </c>
      <c r="G231" s="15">
        <v>46237</v>
      </c>
      <c r="H231" s="16">
        <v>0.27083333333333326</v>
      </c>
      <c r="I231" s="15">
        <v>46232</v>
      </c>
      <c r="J231" s="17">
        <v>0</v>
      </c>
      <c r="K231" s="15">
        <v>46231</v>
      </c>
      <c r="L231" s="17" t="str">
        <v>373-STO-S10000030406</v>
      </c>
      <c r="M231" s="14" t="str">
        <v>400</v>
      </c>
      <c r="N231" s="14" t="str">
        <v>258DTS10000193650</v>
      </c>
      <c r="O231" s="14" t="str">
        <v>300</v>
      </c>
      <c r="P231" s="14">
        <v>0</v>
      </c>
      <c r="Q231" s="14">
        <v>46209</v>
      </c>
      <c r="R231" s="14">
        <v>726</v>
      </c>
      <c r="S231" s="14" t="str">
        <v>STO</v>
      </c>
      <c r="T231" s="14">
        <v>4424</v>
      </c>
      <c r="U231" s="14" t="str">
        <v>44.119798</v>
      </c>
      <c r="V231" s="14" t="str">
        <v>47.64789846</v>
      </c>
      <c r="W231" s="14">
        <v>8068.4530000000004</v>
      </c>
      <c r="X231" s="14">
        <v>46222</v>
      </c>
      <c r="Y231" s="14">
        <v>46220</v>
      </c>
      <c r="Z231" s="14">
        <v>0</v>
      </c>
      <c r="AA231" s="14" t="str">
        <v>31825</v>
      </c>
      <c r="AB231" s="14" t="str">
        <v>MAERSK A/S</v>
      </c>
      <c r="AC231" s="14" t="str">
        <v>CN3554988</v>
      </c>
      <c r="AD231" s="14" t="str">
        <v>AS SIMONE</v>
      </c>
      <c r="AE231" s="14" t="str">
        <v>626N</v>
      </c>
      <c r="AF231" s="27" t="str">
        <v>CN</v>
      </c>
      <c r="AG231" s="27" t="str">
        <v>PRT</v>
      </c>
      <c r="AH231" s="14" t="str">
        <v>CNSHA</v>
      </c>
    </row>
    <row r="232" spans="1:34" ht="25.2" customHeight="1" x14ac:dyDescent="0.45">
      <c r="A232" s="17" t="str">
        <v>HF</v>
      </c>
      <c r="B232" s="14" t="str">
        <v/>
      </c>
      <c r="C232" s="14" t="str">
        <v>MAEUIK0213053</v>
      </c>
      <c r="D232" s="17" t="str">
        <v>MRSU2310819</v>
      </c>
      <c r="E232" s="14" t="str">
        <v>C40HC</v>
      </c>
      <c r="F232" s="17" t="str">
        <v>277DT260706726857</v>
      </c>
      <c r="G232" s="15">
        <v>46237</v>
      </c>
      <c r="H232" s="16">
        <v>0.27083333333333326</v>
      </c>
      <c r="I232" s="15">
        <v>46232</v>
      </c>
      <c r="J232" s="17">
        <v>0</v>
      </c>
      <c r="K232" s="15">
        <v>46231</v>
      </c>
      <c r="L232" s="17" t="str">
        <v>373-STO-S10000030406</v>
      </c>
      <c r="M232" s="14" t="str">
        <v>400</v>
      </c>
      <c r="N232" s="14" t="str">
        <v>258DTS10000193650</v>
      </c>
      <c r="O232" s="14" t="str">
        <v>300</v>
      </c>
      <c r="P232" s="14">
        <v>0</v>
      </c>
      <c r="Q232" s="14">
        <v>46209</v>
      </c>
      <c r="R232" s="14">
        <v>726</v>
      </c>
      <c r="S232" s="14" t="str">
        <v>STO</v>
      </c>
      <c r="T232" s="14">
        <v>3028</v>
      </c>
      <c r="U232" s="14" t="str">
        <v>10.486981</v>
      </c>
      <c r="V232" s="14" t="str">
        <v>11.324272</v>
      </c>
      <c r="W232" s="14">
        <v>1632.4760000000001</v>
      </c>
      <c r="X232" s="14">
        <v>46222</v>
      </c>
      <c r="Y232" s="14">
        <v>46220</v>
      </c>
      <c r="Z232" s="14">
        <v>0</v>
      </c>
      <c r="AA232" s="14" t="str">
        <v>31825</v>
      </c>
      <c r="AB232" s="14" t="str">
        <v>MAERSK A/S</v>
      </c>
      <c r="AC232" s="14" t="str">
        <v>CN3554988</v>
      </c>
      <c r="AD232" s="14" t="str">
        <v>AS SIMONE</v>
      </c>
      <c r="AE232" s="14" t="str">
        <v>626N</v>
      </c>
      <c r="AF232" s="27" t="str">
        <v>CN</v>
      </c>
      <c r="AG232" s="27" t="str">
        <v>PRT</v>
      </c>
      <c r="AH232" s="14" t="str">
        <v>CNSHA</v>
      </c>
    </row>
    <row r="233" spans="1:34" ht="25.2" customHeight="1" x14ac:dyDescent="0.45">
      <c r="A233" s="17" t="str">
        <v>DD</v>
      </c>
      <c r="B233" s="14" t="str">
        <v>MILK RUN NOR</v>
      </c>
      <c r="C233" s="14" t="str">
        <v>MAEUIK0213541</v>
      </c>
      <c r="D233" s="17" t="str">
        <v>MRSU4366566</v>
      </c>
      <c r="E233" s="14" t="str">
        <v>C40HC</v>
      </c>
      <c r="F233" s="17" t="str">
        <v>19720SUPECIS211491</v>
      </c>
      <c r="G233" s="15">
        <v>46237</v>
      </c>
      <c r="H233" s="16">
        <v>0.25</v>
      </c>
      <c r="I233" s="15">
        <v>46230</v>
      </c>
      <c r="J233" s="17">
        <v>0</v>
      </c>
      <c r="K233" s="15">
        <v>46228</v>
      </c>
      <c r="L233" s="17" t="str">
        <v>373-STO-S10000030362</v>
      </c>
      <c r="M233" s="14" t="str">
        <v>400</v>
      </c>
      <c r="N233" s="14" t="str">
        <v>012TSOS10000381100</v>
      </c>
      <c r="O233" s="14" t="str">
        <v>350</v>
      </c>
      <c r="P233" s="14" t="str">
        <v>WIWEN8</v>
      </c>
      <c r="Q233" s="14">
        <v>46211</v>
      </c>
      <c r="R233" s="14">
        <v>726</v>
      </c>
      <c r="S233" s="14" t="str">
        <v>STO</v>
      </c>
      <c r="T233" s="14">
        <v>8430</v>
      </c>
      <c r="U233" s="14" t="str">
        <v>24.813638</v>
      </c>
      <c r="V233" s="14" t="str">
        <v>26.63083</v>
      </c>
      <c r="W233" s="14">
        <v>3218.44</v>
      </c>
      <c r="X233" s="14">
        <v>46224</v>
      </c>
      <c r="Y233" s="14">
        <v>46225</v>
      </c>
      <c r="Z233" s="14">
        <v>0</v>
      </c>
      <c r="AA233" s="14" t="str">
        <v>31825</v>
      </c>
      <c r="AB233" s="14" t="str">
        <v>MAERSK A/S</v>
      </c>
      <c r="AC233" s="14" t="str">
        <v>CN5026306</v>
      </c>
      <c r="AD233" s="14" t="str">
        <v>AS NARA</v>
      </c>
      <c r="AE233" s="14" t="str">
        <v>628N</v>
      </c>
      <c r="AF233" s="27" t="str">
        <v>CN</v>
      </c>
      <c r="AG233" s="27" t="str">
        <v>PRT</v>
      </c>
      <c r="AH233" s="14" t="str">
        <v>CNNSA</v>
      </c>
    </row>
    <row r="234" spans="1:34" ht="25.2" customHeight="1" x14ac:dyDescent="0.45">
      <c r="A234" s="17" t="str">
        <v>DD</v>
      </c>
      <c r="B234" s="14" t="str">
        <v>MILK RUN NOR</v>
      </c>
      <c r="C234" s="14" t="str">
        <v>HDMUSHAA71744900</v>
      </c>
      <c r="D234" s="17" t="str">
        <v>BSIU9947121</v>
      </c>
      <c r="E234" s="14" t="str">
        <v>C40HC</v>
      </c>
      <c r="F234" s="17" t="str">
        <v>22715SUPECIS72795</v>
      </c>
      <c r="G234" s="15">
        <v>46236</v>
      </c>
      <c r="H234" s="16">
        <v>0.35416666666666674</v>
      </c>
      <c r="I234" s="15">
        <v>46224</v>
      </c>
      <c r="J234" s="17">
        <v>0</v>
      </c>
      <c r="K234" s="15">
        <v>46224</v>
      </c>
      <c r="L234" s="17" t="str">
        <v>373-STO-S10000030338</v>
      </c>
      <c r="M234" s="14" t="str">
        <v>400</v>
      </c>
      <c r="N234" s="14" t="str">
        <v>037TSOS10000646386</v>
      </c>
      <c r="O234" s="14" t="str">
        <v>350</v>
      </c>
      <c r="P234" s="14" t="str">
        <v>LARXU</v>
      </c>
      <c r="Q234" s="14">
        <v>46196</v>
      </c>
      <c r="R234" s="14">
        <v>726</v>
      </c>
      <c r="S234" s="14" t="str">
        <v>STO</v>
      </c>
      <c r="T234" s="14">
        <v>282</v>
      </c>
      <c r="U234" s="14" t="str">
        <v>10.661876</v>
      </c>
      <c r="V234" s="14" t="str">
        <v>11.515201</v>
      </c>
      <c r="W234" s="14">
        <v>4431.1000000000004</v>
      </c>
      <c r="X234" s="14">
        <v>46232</v>
      </c>
      <c r="Y234" s="14">
        <v>46216</v>
      </c>
      <c r="Z234" s="14">
        <v>0</v>
      </c>
      <c r="AA234" s="14" t="str">
        <v>31676</v>
      </c>
      <c r="AB234" s="14" t="str">
        <v>HMM CO., LTD.</v>
      </c>
      <c r="AC234" s="14" t="str">
        <v>25H1424199</v>
      </c>
      <c r="AD234" s="14" t="str">
        <v>HMM NURI</v>
      </c>
      <c r="AE234" s="14" t="str">
        <v>0020E</v>
      </c>
      <c r="AF234" s="27" t="str">
        <v>CN</v>
      </c>
      <c r="AG234" s="27" t="str">
        <v>PRT</v>
      </c>
      <c r="AH234" s="14" t="str">
        <v>CNYAN</v>
      </c>
    </row>
    <row r="235" spans="1:34" ht="25.2" customHeight="1" x14ac:dyDescent="0.45">
      <c r="A235" s="17" t="str">
        <v>HF</v>
      </c>
      <c r="B235" s="14">
        <v>0</v>
      </c>
      <c r="C235" s="14" t="str">
        <v>MAEUIK0213461</v>
      </c>
      <c r="D235" s="17" t="str">
        <v>MRKU4731326</v>
      </c>
      <c r="E235" s="14" t="str">
        <v>C40HC</v>
      </c>
      <c r="F235" s="17" t="str">
        <v>258DT260708726997</v>
      </c>
      <c r="G235" s="15">
        <v>46236</v>
      </c>
      <c r="H235" s="16">
        <v>0.26041666666666674</v>
      </c>
      <c r="I235" s="15">
        <v>46225</v>
      </c>
      <c r="J235" s="17">
        <v>0</v>
      </c>
      <c r="K235" s="15">
        <v>46222</v>
      </c>
      <c r="L235" s="17" t="str">
        <v>373-STO-S10000030337</v>
      </c>
      <c r="M235" s="14" t="str">
        <v>400</v>
      </c>
      <c r="N235" s="14" t="str">
        <v>258DTS10000194080</v>
      </c>
      <c r="O235" s="14" t="str">
        <v>300</v>
      </c>
      <c r="P235" s="14">
        <v>0</v>
      </c>
      <c r="Q235" s="14">
        <v>46211</v>
      </c>
      <c r="R235" s="14">
        <v>726</v>
      </c>
      <c r="S235" s="14" t="str">
        <v>STO</v>
      </c>
      <c r="T235" s="14">
        <v>7284</v>
      </c>
      <c r="U235" s="14" t="str">
        <v>53.741909</v>
      </c>
      <c r="V235" s="14" t="str">
        <v>58.09361063</v>
      </c>
      <c r="W235" s="14">
        <v>10456.752</v>
      </c>
      <c r="X235" s="14">
        <v>46223</v>
      </c>
      <c r="Y235" s="14">
        <v>46221</v>
      </c>
      <c r="Z235" s="14">
        <v>0</v>
      </c>
      <c r="AA235" s="14" t="str">
        <v>31825</v>
      </c>
      <c r="AB235" s="14" t="str">
        <v>MAERSK A/S</v>
      </c>
      <c r="AC235" s="14" t="str">
        <v>CN9765184</v>
      </c>
      <c r="AD235" s="14" t="str">
        <v>MERATUS TOMINI</v>
      </c>
      <c r="AE235" s="14" t="str">
        <v>628N</v>
      </c>
      <c r="AF235" s="27" t="str">
        <v>CN</v>
      </c>
      <c r="AG235" s="27" t="str">
        <v>PRT</v>
      </c>
      <c r="AH235" s="14" t="str">
        <v>CNSHA</v>
      </c>
    </row>
    <row r="236" spans="1:34" ht="25.2" customHeight="1" x14ac:dyDescent="0.45">
      <c r="A236" s="17" t="str">
        <v>HF</v>
      </c>
      <c r="B236" s="14">
        <v>0</v>
      </c>
      <c r="C236" s="14" t="str">
        <v>MAEUIK0213456</v>
      </c>
      <c r="D236" s="17" t="str">
        <v>FDCU0249225</v>
      </c>
      <c r="E236" s="14" t="str">
        <v>C40HC</v>
      </c>
      <c r="F236" s="17" t="str">
        <v>258DT260708726999</v>
      </c>
      <c r="G236" s="15">
        <v>46235</v>
      </c>
      <c r="H236" s="16">
        <v>0.26041666666666674</v>
      </c>
      <c r="I236" s="15">
        <v>46225</v>
      </c>
      <c r="J236" s="17">
        <v>0</v>
      </c>
      <c r="K236" s="15">
        <v>46222</v>
      </c>
      <c r="L236" s="17" t="str">
        <v>373-STO-S10000030321</v>
      </c>
      <c r="M236" s="14" t="str">
        <v>400</v>
      </c>
      <c r="N236" s="14" t="str">
        <v>258DTS10000194084</v>
      </c>
      <c r="O236" s="14" t="str">
        <v>300</v>
      </c>
      <c r="P236" s="14">
        <v>0</v>
      </c>
      <c r="Q236" s="14">
        <v>46211</v>
      </c>
      <c r="R236" s="14">
        <v>726</v>
      </c>
      <c r="S236" s="14" t="str">
        <v>STO</v>
      </c>
      <c r="T236" s="14">
        <v>7720</v>
      </c>
      <c r="U236" s="14" t="str">
        <v>47.02351</v>
      </c>
      <c r="V236" s="14" t="str">
        <v>50.5839865</v>
      </c>
      <c r="W236" s="14">
        <v>7900.7089999999998</v>
      </c>
      <c r="X236" s="14">
        <v>46223</v>
      </c>
      <c r="Y236" s="14">
        <v>46221</v>
      </c>
      <c r="Z236" s="14">
        <v>0</v>
      </c>
      <c r="AA236" s="14" t="str">
        <v>31825</v>
      </c>
      <c r="AB236" s="14" t="str">
        <v>MAERSK A/S</v>
      </c>
      <c r="AC236" s="14" t="str">
        <v>CN9765187</v>
      </c>
      <c r="AD236" s="14" t="str">
        <v>MERATUS TOMINI</v>
      </c>
      <c r="AE236" s="14" t="str">
        <v>628N</v>
      </c>
      <c r="AF236" s="27" t="str">
        <v>CN</v>
      </c>
      <c r="AG236" s="27" t="str">
        <v>PRT</v>
      </c>
      <c r="AH236" s="14" t="str">
        <v>CNSHA</v>
      </c>
    </row>
    <row r="237" spans="1:34" ht="25.2" customHeight="1" x14ac:dyDescent="0.45">
      <c r="A237" s="17" t="str">
        <v>HF</v>
      </c>
      <c r="B237" s="14">
        <v>0</v>
      </c>
      <c r="C237" s="14" t="str">
        <v>MAEUIK0213456</v>
      </c>
      <c r="D237" s="17" t="str">
        <v>FDCU0249225</v>
      </c>
      <c r="E237" s="14" t="str">
        <v>C40HC</v>
      </c>
      <c r="F237" s="17" t="str">
        <v>277DT260708726001</v>
      </c>
      <c r="G237" s="15">
        <v>46235</v>
      </c>
      <c r="H237" s="16">
        <v>0.26041666666666674</v>
      </c>
      <c r="I237" s="15">
        <v>46225</v>
      </c>
      <c r="J237" s="17">
        <v>0</v>
      </c>
      <c r="K237" s="15">
        <v>46222</v>
      </c>
      <c r="L237" s="17" t="str">
        <v>373-STO-S10000030321</v>
      </c>
      <c r="M237" s="14" t="str">
        <v>400</v>
      </c>
      <c r="N237" s="14" t="str">
        <v>258DTS10000194084</v>
      </c>
      <c r="O237" s="14" t="str">
        <v>300</v>
      </c>
      <c r="P237" s="14">
        <v>0</v>
      </c>
      <c r="Q237" s="14">
        <v>46211</v>
      </c>
      <c r="R237" s="14">
        <v>726</v>
      </c>
      <c r="S237" s="14" t="str">
        <v>STO</v>
      </c>
      <c r="T237" s="14">
        <v>2828</v>
      </c>
      <c r="U237" s="14" t="str">
        <v>7.214499</v>
      </c>
      <c r="V237" s="14" t="str">
        <v>7.727709</v>
      </c>
      <c r="W237" s="14">
        <v>782.40200000000004</v>
      </c>
      <c r="X237" s="14">
        <v>46223</v>
      </c>
      <c r="Y237" s="14">
        <v>46221</v>
      </c>
      <c r="Z237" s="14">
        <v>0</v>
      </c>
      <c r="AA237" s="14" t="str">
        <v>31825</v>
      </c>
      <c r="AB237" s="14" t="str">
        <v>MAERSK A/S</v>
      </c>
      <c r="AC237" s="14" t="str">
        <v>CN9765187</v>
      </c>
      <c r="AD237" s="14" t="str">
        <v>MERATUS TOMINI</v>
      </c>
      <c r="AE237" s="14" t="str">
        <v>628N</v>
      </c>
      <c r="AF237" s="27" t="str">
        <v>CN</v>
      </c>
      <c r="AG237" s="27" t="str">
        <v>PRT</v>
      </c>
      <c r="AH237" s="14" t="str">
        <v>CNSHA</v>
      </c>
    </row>
    <row r="238" spans="1:34" ht="25.2" customHeight="1" x14ac:dyDescent="0.45">
      <c r="A238" s="17" t="str">
        <v>DD</v>
      </c>
      <c r="B238" s="14" t="str">
        <v>MILK RUN NOR</v>
      </c>
      <c r="C238" s="14" t="str">
        <v>PLISH7H52581</v>
      </c>
      <c r="D238" s="17" t="str">
        <v>BMOU6922551</v>
      </c>
      <c r="E238" s="14" t="str">
        <v>C40HC</v>
      </c>
      <c r="F238" s="17" t="str">
        <v>21072SUPECIS76737</v>
      </c>
      <c r="G238" s="15">
        <v>0</v>
      </c>
      <c r="H238" s="16">
        <v>0</v>
      </c>
      <c r="I238" s="15">
        <v>0</v>
      </c>
      <c r="J238" s="17">
        <v>0</v>
      </c>
      <c r="K238" s="15">
        <v>0</v>
      </c>
      <c r="L238" s="17">
        <v>0</v>
      </c>
      <c r="M238" s="14" t="str">
        <v>400</v>
      </c>
      <c r="N238" s="14" t="str">
        <v>037TSOS10000715132</v>
      </c>
      <c r="O238" s="14" t="str">
        <v>300</v>
      </c>
      <c r="P238" s="14" t="str">
        <v>LINLI65</v>
      </c>
      <c r="Q238" s="14">
        <v>46300</v>
      </c>
      <c r="R238" s="14">
        <v>726</v>
      </c>
      <c r="S238" s="14" t="str">
        <v>STO</v>
      </c>
      <c r="T238" s="14">
        <v>117</v>
      </c>
      <c r="U238" s="14" t="str">
        <v>2.305053</v>
      </c>
      <c r="V238" s="14" t="str">
        <v>2.449623</v>
      </c>
      <c r="W238" s="14">
        <v>729.98</v>
      </c>
      <c r="X238" s="14">
        <v>46317</v>
      </c>
      <c r="Y238" s="14">
        <v>46315</v>
      </c>
      <c r="Z238" s="14">
        <v>0</v>
      </c>
      <c r="AA238" s="14" t="str">
        <v>33300</v>
      </c>
      <c r="AB238" s="14" t="str">
        <v>LX PANTOS CO., LTD.</v>
      </c>
      <c r="AC238" s="14">
        <v>0</v>
      </c>
      <c r="AD238" s="14" t="str">
        <v>STAR CHASER</v>
      </c>
      <c r="AE238" s="14" t="str">
        <v>2611E</v>
      </c>
      <c r="AF238" s="27" t="str">
        <v>CN</v>
      </c>
      <c r="AG238" s="27" t="str">
        <v>PRT</v>
      </c>
      <c r="AH238" s="14" t="str">
        <v>CNNGB</v>
      </c>
    </row>
    <row r="239" spans="1:34" ht="25.2" customHeight="1" x14ac:dyDescent="0.45">
      <c r="A239" s="17" t="str">
        <v>DD</v>
      </c>
      <c r="B239" s="14" t="str">
        <v>MILK RUN NOR</v>
      </c>
      <c r="C239" s="14" t="str">
        <v>OOLU2175164580</v>
      </c>
      <c r="D239" s="17" t="str">
        <v>FFAU3176568</v>
      </c>
      <c r="E239" s="14" t="str">
        <v>C40HC</v>
      </c>
      <c r="F239" s="17" t="str">
        <v>23273SUP3654140</v>
      </c>
      <c r="G239" s="15">
        <v>0</v>
      </c>
      <c r="H239" s="16">
        <v>0</v>
      </c>
      <c r="I239" s="15">
        <v>0</v>
      </c>
      <c r="J239" s="17">
        <v>0</v>
      </c>
      <c r="K239" s="15">
        <v>0</v>
      </c>
      <c r="L239" s="17">
        <v>0</v>
      </c>
      <c r="M239" s="14" t="str">
        <v>400</v>
      </c>
      <c r="N239" s="14" t="str">
        <v>030TSOS10000139244</v>
      </c>
      <c r="O239" s="14" t="str">
        <v>300</v>
      </c>
      <c r="P239" s="14" t="str">
        <v>RIHUA11</v>
      </c>
      <c r="Q239" s="14">
        <v>46304</v>
      </c>
      <c r="R239" s="14">
        <v>726</v>
      </c>
      <c r="S239" s="14" t="str">
        <v>STO</v>
      </c>
      <c r="T239" s="14">
        <v>12</v>
      </c>
      <c r="U239" s="14" t="str">
        <v>1.770564</v>
      </c>
      <c r="V239" s="14" t="str">
        <v>1.855413</v>
      </c>
      <c r="W239" s="14">
        <v>333.30599999999998</v>
      </c>
      <c r="X239" s="14">
        <v>46321</v>
      </c>
      <c r="Y239" s="14">
        <v>46319</v>
      </c>
      <c r="Z239" s="14">
        <v>0</v>
      </c>
      <c r="AA239" s="14" t="str">
        <v>30105</v>
      </c>
      <c r="AB239" s="14" t="str">
        <v>ORIENT OVERSEAS CONTAINER LINE LTD.</v>
      </c>
      <c r="AC239" s="14" t="str">
        <v>OOLLGT6587</v>
      </c>
      <c r="AD239" s="14" t="str">
        <v>OOCL TAIPEI</v>
      </c>
      <c r="AE239" s="14" t="str">
        <v>094W</v>
      </c>
      <c r="AF239" s="27" t="str">
        <v>CN</v>
      </c>
      <c r="AG239" s="27" t="str">
        <v>PRT</v>
      </c>
      <c r="AH239" s="14" t="str">
        <v>CNTXG</v>
      </c>
    </row>
    <row r="240" spans="1:34" ht="25.2" customHeight="1" x14ac:dyDescent="0.45">
      <c r="A240" s="17" t="str">
        <v>DD</v>
      </c>
      <c r="B240" s="14" t="str">
        <v>MILK RUN NOR</v>
      </c>
      <c r="C240" s="14" t="str">
        <v>MAEUIK0226093</v>
      </c>
      <c r="D240" s="17" t="str">
        <v>MRSU8576200</v>
      </c>
      <c r="E240" s="14" t="str">
        <v>C40HC</v>
      </c>
      <c r="F240" s="17" t="str">
        <v>19720SUPECIS214865</v>
      </c>
      <c r="G240" s="15">
        <v>0</v>
      </c>
      <c r="H240" s="16">
        <v>0</v>
      </c>
      <c r="I240" s="15">
        <v>0</v>
      </c>
      <c r="J240" s="17">
        <v>0</v>
      </c>
      <c r="K240" s="15">
        <v>0</v>
      </c>
      <c r="L240" s="17">
        <v>0</v>
      </c>
      <c r="M240" s="14" t="str">
        <v>400</v>
      </c>
      <c r="N240" s="14" t="str">
        <v>012TSOS10000414557</v>
      </c>
      <c r="O240" s="14" t="str">
        <v>350</v>
      </c>
      <c r="P240" s="14" t="str">
        <v>HEDXU</v>
      </c>
      <c r="Q240" s="14">
        <v>46300</v>
      </c>
      <c r="R240" s="14">
        <v>726</v>
      </c>
      <c r="S240" s="14" t="str">
        <v>STO</v>
      </c>
      <c r="T240" s="14">
        <v>5302</v>
      </c>
      <c r="U240" s="14" t="str">
        <v>20.94066</v>
      </c>
      <c r="V240" s="14" t="str">
        <v>22.477067</v>
      </c>
      <c r="W240" s="14">
        <v>2701.57</v>
      </c>
      <c r="X240" s="14">
        <v>46339</v>
      </c>
      <c r="Y240" s="14">
        <v>46316</v>
      </c>
      <c r="Z240" s="14">
        <v>0</v>
      </c>
      <c r="AA240" s="14" t="str">
        <v>31825</v>
      </c>
      <c r="AB240" s="14" t="str">
        <v>MAERSK A/S</v>
      </c>
      <c r="AC240" s="14" t="str">
        <v>CN7083805</v>
      </c>
      <c r="AD240" s="14" t="str">
        <v>CELSIUS EMMEN</v>
      </c>
      <c r="AE240" s="14" t="str">
        <v>643X</v>
      </c>
      <c r="AF240" s="27" t="str">
        <v>CN</v>
      </c>
      <c r="AG240" s="27" t="str">
        <v>PRT</v>
      </c>
      <c r="AH240" s="14" t="str">
        <v>CNNSA</v>
      </c>
    </row>
    <row r="241" spans="1:34" ht="25.2" customHeight="1" x14ac:dyDescent="0.45">
      <c r="A241" s="17" t="str">
        <v>DD</v>
      </c>
      <c r="B241" s="14" t="str">
        <v>MILK RUN NOR</v>
      </c>
      <c r="C241" s="14" t="str">
        <v>MAEUIK0225564</v>
      </c>
      <c r="D241" s="17" t="str">
        <v>TLLU4707723</v>
      </c>
      <c r="E241" s="14" t="str">
        <v>C40HC</v>
      </c>
      <c r="F241" s="17" t="str">
        <v>21072SUPECIS76672</v>
      </c>
      <c r="G241" s="15">
        <v>0</v>
      </c>
      <c r="H241" s="16">
        <v>0</v>
      </c>
      <c r="I241" s="15">
        <v>0</v>
      </c>
      <c r="J241" s="17">
        <v>0</v>
      </c>
      <c r="K241" s="15">
        <v>0</v>
      </c>
      <c r="L241" s="17">
        <v>0</v>
      </c>
      <c r="M241" s="14" t="str">
        <v>400</v>
      </c>
      <c r="N241" s="14" t="str">
        <v>037TSOS10000714233</v>
      </c>
      <c r="O241" s="14" t="str">
        <v>350</v>
      </c>
      <c r="P241" s="14" t="str">
        <v>LINLI65</v>
      </c>
      <c r="Q241" s="14">
        <v>46295</v>
      </c>
      <c r="R241" s="14">
        <v>726</v>
      </c>
      <c r="S241" s="14" t="str">
        <v>STO</v>
      </c>
      <c r="T241" s="14">
        <v>98</v>
      </c>
      <c r="U241" s="14" t="str">
        <v>4.940766</v>
      </c>
      <c r="V241" s="14" t="str">
        <v>5.25636</v>
      </c>
      <c r="W241" s="14">
        <v>2243.08</v>
      </c>
      <c r="X241" s="14">
        <v>46321</v>
      </c>
      <c r="Y241" s="14">
        <v>46319</v>
      </c>
      <c r="Z241" s="14">
        <v>0</v>
      </c>
      <c r="AA241" s="14" t="str">
        <v>31825</v>
      </c>
      <c r="AB241" s="14" t="str">
        <v>MAERSK A/S</v>
      </c>
      <c r="AC241" s="14" t="str">
        <v>CN9180138</v>
      </c>
      <c r="AD241" s="14" t="str">
        <v>NAVIOS UNISON</v>
      </c>
      <c r="AE241" s="14" t="str">
        <v>642E</v>
      </c>
      <c r="AF241" s="27" t="str">
        <v>CN</v>
      </c>
      <c r="AG241" s="27" t="str">
        <v>PRT</v>
      </c>
      <c r="AH241" s="14" t="str">
        <v>CNNGB</v>
      </c>
    </row>
    <row r="242" spans="1:34" ht="25.2" customHeight="1" x14ac:dyDescent="0.45">
      <c r="A242" s="17" t="str">
        <v>DD</v>
      </c>
      <c r="B242" s="14" t="str">
        <v>MILK RUN NOR</v>
      </c>
      <c r="C242" s="14" t="str">
        <v>OOLU2174802540</v>
      </c>
      <c r="D242" s="17" t="str">
        <v>OOCU8697042</v>
      </c>
      <c r="E242" s="14" t="str">
        <v>C40HC</v>
      </c>
      <c r="F242" s="17" t="str">
        <v>23273SUP3650820</v>
      </c>
      <c r="G242" s="15">
        <v>0</v>
      </c>
      <c r="H242" s="16">
        <v>0</v>
      </c>
      <c r="I242" s="15">
        <v>0</v>
      </c>
      <c r="J242" s="17">
        <v>0</v>
      </c>
      <c r="K242" s="15">
        <v>0</v>
      </c>
      <c r="L242" s="17">
        <v>0</v>
      </c>
      <c r="M242" s="14" t="str">
        <v>400</v>
      </c>
      <c r="N242" s="14" t="str">
        <v>030TSOS10000137793</v>
      </c>
      <c r="O242" s="14" t="str">
        <v>350</v>
      </c>
      <c r="P242" s="14" t="str">
        <v>JEGAO9</v>
      </c>
      <c r="Q242" s="14">
        <v>46293</v>
      </c>
      <c r="R242" s="14">
        <v>726</v>
      </c>
      <c r="S242" s="14" t="str">
        <v>STO</v>
      </c>
      <c r="T242" s="14">
        <v>33</v>
      </c>
      <c r="U242" s="14" t="str">
        <v>4.079298</v>
      </c>
      <c r="V242" s="14" t="str">
        <v>4.27595</v>
      </c>
      <c r="W242" s="14">
        <v>478.46100000000001</v>
      </c>
      <c r="X242" s="14">
        <v>46320</v>
      </c>
      <c r="Y242" s="14">
        <v>46319</v>
      </c>
      <c r="Z242" s="14">
        <v>0</v>
      </c>
      <c r="AA242" s="14" t="str">
        <v>30105</v>
      </c>
      <c r="AB242" s="14" t="str">
        <v>ORIENT OVERSEAS CONTAINER LINE LTD.</v>
      </c>
      <c r="AC242" s="14" t="str">
        <v>OOLLGT9086</v>
      </c>
      <c r="AD242" s="14" t="str">
        <v>OOCL TAIPEI</v>
      </c>
      <c r="AE242" s="14" t="str">
        <v>094W</v>
      </c>
      <c r="AF242" s="27" t="str">
        <v>CN</v>
      </c>
      <c r="AG242" s="27" t="str">
        <v>PRT</v>
      </c>
      <c r="AH242" s="14" t="str">
        <v>CNTXG</v>
      </c>
    </row>
    <row r="243" spans="1:34" ht="25.2" customHeight="1" x14ac:dyDescent="0.45">
      <c r="A243" s="17" t="str">
        <v>HF</v>
      </c>
      <c r="B243" s="14" t="str">
        <v/>
      </c>
      <c r="C243" s="14" t="str">
        <v>HDMUSHAA59734500</v>
      </c>
      <c r="D243" s="17" t="str">
        <v>DRYU9714758</v>
      </c>
      <c r="E243" s="14" t="str">
        <v>C40HC</v>
      </c>
      <c r="F243" s="17" t="str">
        <v>258DT260921726283</v>
      </c>
      <c r="G243" s="15">
        <v>0</v>
      </c>
      <c r="H243" s="16">
        <v>0</v>
      </c>
      <c r="I243" s="15">
        <v>0</v>
      </c>
      <c r="J243" s="17">
        <v>0</v>
      </c>
      <c r="K243" s="15">
        <v>0</v>
      </c>
      <c r="L243" s="17">
        <v>0</v>
      </c>
      <c r="M243" s="14" t="str">
        <v>400</v>
      </c>
      <c r="N243" s="14" t="str">
        <v>258DTS10000205247</v>
      </c>
      <c r="O243" s="14" t="str">
        <v>350</v>
      </c>
      <c r="P243" s="14">
        <v>0</v>
      </c>
      <c r="Q243" s="14">
        <v>46286</v>
      </c>
      <c r="R243" s="14">
        <v>726</v>
      </c>
      <c r="S243" s="14" t="str">
        <v>STO</v>
      </c>
      <c r="T243" s="14">
        <v>8180</v>
      </c>
      <c r="U243" s="14" t="str">
        <v>54.51868</v>
      </c>
      <c r="V243" s="14" t="str">
        <v>58.92846941</v>
      </c>
      <c r="W243" s="14">
        <v>7830.134</v>
      </c>
      <c r="X243" s="14">
        <v>46322</v>
      </c>
      <c r="Y243" s="14">
        <v>46316</v>
      </c>
      <c r="Z243" s="14">
        <v>0</v>
      </c>
      <c r="AA243" s="14" t="str">
        <v>31676</v>
      </c>
      <c r="AB243" s="14" t="str">
        <v>HMM CO., LTD.</v>
      </c>
      <c r="AC243" s="14" t="str">
        <v>25H1005263</v>
      </c>
      <c r="AD243" s="14" t="str">
        <v>HMM TURQUOISE</v>
      </c>
      <c r="AE243" s="14" t="str">
        <v>0012E</v>
      </c>
      <c r="AF243" s="27" t="str">
        <v>CN</v>
      </c>
      <c r="AG243" s="27" t="str">
        <v>PRT</v>
      </c>
      <c r="AH243" s="14" t="str">
        <v>CNYAN</v>
      </c>
    </row>
    <row r="244" spans="1:34" ht="25.2" customHeight="1" x14ac:dyDescent="0.45">
      <c r="A244" s="17" t="str">
        <v>HF</v>
      </c>
      <c r="B244" s="14" t="str">
        <v/>
      </c>
      <c r="C244" s="14" t="str">
        <v>MAEUIK0225592</v>
      </c>
      <c r="D244" s="17" t="str">
        <v>TIIU8418223</v>
      </c>
      <c r="E244" s="14" t="str">
        <v>C40HC</v>
      </c>
      <c r="F244" s="17" t="str">
        <v>258DT260930726823</v>
      </c>
      <c r="G244" s="15">
        <v>0</v>
      </c>
      <c r="H244" s="16">
        <v>0</v>
      </c>
      <c r="I244" s="15">
        <v>0</v>
      </c>
      <c r="J244" s="17">
        <v>0</v>
      </c>
      <c r="K244" s="15">
        <v>0</v>
      </c>
      <c r="L244" s="17">
        <v>0</v>
      </c>
      <c r="M244" s="14" t="str">
        <v>400</v>
      </c>
      <c r="N244" s="14" t="str">
        <v>258DTS10000206973</v>
      </c>
      <c r="O244" s="14" t="str">
        <v>350</v>
      </c>
      <c r="P244" s="14">
        <v>0</v>
      </c>
      <c r="Q244" s="14">
        <v>46295</v>
      </c>
      <c r="R244" s="14">
        <v>726</v>
      </c>
      <c r="S244" s="14" t="str">
        <v>STO</v>
      </c>
      <c r="T244" s="14">
        <v>14038</v>
      </c>
      <c r="U244" s="14" t="str">
        <v>55.014954</v>
      </c>
      <c r="V244" s="14" t="str">
        <v>59.32219893</v>
      </c>
      <c r="W244" s="14">
        <v>10975.815000000001</v>
      </c>
      <c r="X244" s="14">
        <v>46311</v>
      </c>
      <c r="Y244" s="14">
        <v>46315</v>
      </c>
      <c r="Z244" s="14">
        <v>0</v>
      </c>
      <c r="AA244" s="14" t="str">
        <v>31825</v>
      </c>
      <c r="AB244" s="14" t="str">
        <v>MAERSK A/S</v>
      </c>
      <c r="AC244" s="14" t="str">
        <v>CN8215670</v>
      </c>
      <c r="AD244" s="14" t="str">
        <v>MAERSK VIGO</v>
      </c>
      <c r="AE244" s="14" t="str">
        <v>639N</v>
      </c>
      <c r="AF244" s="27" t="str">
        <v>CN</v>
      </c>
      <c r="AG244" s="27" t="str">
        <v>PRT</v>
      </c>
      <c r="AH244" s="14" t="str">
        <v>CNSHA</v>
      </c>
    </row>
    <row r="245" spans="1:34" ht="25.2" customHeight="1" x14ac:dyDescent="0.45">
      <c r="A245" s="17" t="str">
        <v>DD</v>
      </c>
      <c r="B245" s="14" t="str">
        <v>MILK RUN NOR</v>
      </c>
      <c r="C245" s="14" t="str">
        <v>MAEUIK0221781</v>
      </c>
      <c r="D245" s="17" t="str">
        <v>MRSU8207201</v>
      </c>
      <c r="E245" s="14" t="str">
        <v>C40HC</v>
      </c>
      <c r="F245" s="17" t="str">
        <v>21985SUPECIS43133</v>
      </c>
      <c r="G245" s="15">
        <v>0</v>
      </c>
      <c r="H245" s="16">
        <v>0</v>
      </c>
      <c r="I245" s="15">
        <v>0</v>
      </c>
      <c r="J245" s="17">
        <v>0</v>
      </c>
      <c r="K245" s="15">
        <v>0</v>
      </c>
      <c r="L245" s="17">
        <v>0</v>
      </c>
      <c r="M245" s="14" t="str">
        <v>420</v>
      </c>
      <c r="N245" s="14" t="str">
        <v>037TSOS10000696885</v>
      </c>
      <c r="O245" s="14" t="str">
        <v>300</v>
      </c>
      <c r="P245" s="14" t="str">
        <v>JUWAN78</v>
      </c>
      <c r="Q245" s="14">
        <v>46268</v>
      </c>
      <c r="R245" s="14">
        <v>726</v>
      </c>
      <c r="S245" s="14" t="str">
        <v>STO</v>
      </c>
      <c r="T245" s="14">
        <v>90</v>
      </c>
      <c r="U245" s="14" t="str">
        <v>1.654892</v>
      </c>
      <c r="V245" s="14" t="str">
        <v>1.816962</v>
      </c>
      <c r="W245" s="14">
        <v>402.6</v>
      </c>
      <c r="X245" s="14">
        <v>46327</v>
      </c>
      <c r="Y245" s="14">
        <v>46312</v>
      </c>
      <c r="Z245" s="14">
        <v>0</v>
      </c>
      <c r="AA245" s="14" t="str">
        <v>31825</v>
      </c>
      <c r="AB245" s="14" t="str">
        <v>MAERSK A/S</v>
      </c>
      <c r="AC245" s="14" t="str">
        <v>CN0128528</v>
      </c>
      <c r="AD245" s="14" t="str">
        <v>AS SOPHIA</v>
      </c>
      <c r="AE245" s="14" t="str">
        <v>641W</v>
      </c>
      <c r="AF245" s="27" t="str">
        <v>CN</v>
      </c>
      <c r="AG245" s="27" t="str">
        <v>PRT</v>
      </c>
      <c r="AH245" s="14" t="str">
        <v>CNSHA</v>
      </c>
    </row>
    <row r="246" spans="1:34" ht="25.2" customHeight="1" x14ac:dyDescent="0.45">
      <c r="A246" s="17" t="str">
        <v>DD</v>
      </c>
      <c r="B246" s="14" t="str">
        <v>MILK RUN NOR</v>
      </c>
      <c r="C246" s="14" t="str">
        <v>MAEUIK0221781</v>
      </c>
      <c r="D246" s="17" t="str">
        <v>MRSU8207201</v>
      </c>
      <c r="E246" s="14" t="str">
        <v>C40HC</v>
      </c>
      <c r="F246" s="17" t="str">
        <v>22075SUP2600118866</v>
      </c>
      <c r="G246" s="15">
        <v>0</v>
      </c>
      <c r="H246" s="16">
        <v>0</v>
      </c>
      <c r="I246" s="15">
        <v>0</v>
      </c>
      <c r="J246" s="17">
        <v>0</v>
      </c>
      <c r="K246" s="15">
        <v>0</v>
      </c>
      <c r="L246" s="17">
        <v>0</v>
      </c>
      <c r="M246" s="14" t="str">
        <v>420</v>
      </c>
      <c r="N246" s="14" t="str">
        <v>037TSOS10000696885</v>
      </c>
      <c r="O246" s="14" t="str">
        <v>300</v>
      </c>
      <c r="P246" s="14" t="str">
        <v>JUWAN78</v>
      </c>
      <c r="Q246" s="14">
        <v>46268</v>
      </c>
      <c r="R246" s="14">
        <v>726</v>
      </c>
      <c r="S246" s="14" t="str">
        <v>STO</v>
      </c>
      <c r="T246" s="14">
        <v>54</v>
      </c>
      <c r="U246" s="14" t="str">
        <v>4.543746</v>
      </c>
      <c r="V246" s="14" t="str">
        <v>4.876912</v>
      </c>
      <c r="W246" s="14">
        <v>1280.0640000000001</v>
      </c>
      <c r="X246" s="14">
        <v>46319</v>
      </c>
      <c r="Y246" s="14">
        <v>46312</v>
      </c>
      <c r="Z246" s="14">
        <v>0</v>
      </c>
      <c r="AA246" s="14" t="str">
        <v>31825</v>
      </c>
      <c r="AB246" s="14" t="str">
        <v>MAERSK A/S</v>
      </c>
      <c r="AC246" s="14" t="str">
        <v>CN0128528</v>
      </c>
      <c r="AD246" s="14" t="str">
        <v>AS SOPHIA</v>
      </c>
      <c r="AE246" s="14" t="str">
        <v>641W</v>
      </c>
      <c r="AF246" s="27" t="str">
        <v>CN</v>
      </c>
      <c r="AG246" s="27" t="str">
        <v>PRT</v>
      </c>
      <c r="AH246" s="14" t="str">
        <v>CNSHA</v>
      </c>
    </row>
    <row r="247" spans="1:34" ht="25.2" customHeight="1" x14ac:dyDescent="0.45">
      <c r="A247" s="17" t="str">
        <v>DD</v>
      </c>
      <c r="B247" s="14" t="str">
        <v>MILK RUN NOR</v>
      </c>
      <c r="C247" s="14" t="str">
        <v>MAEUIK0221781</v>
      </c>
      <c r="D247" s="17" t="str">
        <v>MRSU8207201</v>
      </c>
      <c r="E247" s="14" t="str">
        <v>C40HC</v>
      </c>
      <c r="F247" s="17" t="str">
        <v>22075SUP2600119204</v>
      </c>
      <c r="G247" s="15">
        <v>0</v>
      </c>
      <c r="H247" s="16">
        <v>0</v>
      </c>
      <c r="I247" s="15">
        <v>0</v>
      </c>
      <c r="J247" s="17">
        <v>0</v>
      </c>
      <c r="K247" s="15">
        <v>0</v>
      </c>
      <c r="L247" s="17">
        <v>0</v>
      </c>
      <c r="M247" s="14" t="str">
        <v>420</v>
      </c>
      <c r="N247" s="14" t="str">
        <v>037TSOS10000696885</v>
      </c>
      <c r="O247" s="14" t="str">
        <v>300</v>
      </c>
      <c r="P247" s="14" t="str">
        <v>JUWAN78</v>
      </c>
      <c r="Q247" s="14">
        <v>46268</v>
      </c>
      <c r="R247" s="14">
        <v>726</v>
      </c>
      <c r="S247" s="14" t="str">
        <v>STO</v>
      </c>
      <c r="T247" s="14">
        <v>92</v>
      </c>
      <c r="U247" s="14" t="str">
        <v>5.38544</v>
      </c>
      <c r="V247" s="14" t="str">
        <v>5.778072</v>
      </c>
      <c r="W247" s="14">
        <v>1474.3920000000001</v>
      </c>
      <c r="X247" s="14">
        <v>46319</v>
      </c>
      <c r="Y247" s="14">
        <v>46312</v>
      </c>
      <c r="Z247" s="14">
        <v>0</v>
      </c>
      <c r="AA247" s="14" t="str">
        <v>31825</v>
      </c>
      <c r="AB247" s="14" t="str">
        <v>MAERSK A/S</v>
      </c>
      <c r="AC247" s="14" t="str">
        <v>CN0128528</v>
      </c>
      <c r="AD247" s="14" t="str">
        <v>AS SOPHIA</v>
      </c>
      <c r="AE247" s="14" t="str">
        <v>641W</v>
      </c>
      <c r="AF247" s="27" t="str">
        <v>CN</v>
      </c>
      <c r="AG247" s="27" t="str">
        <v>PRT</v>
      </c>
      <c r="AH247" s="14" t="str">
        <v>CNSHA</v>
      </c>
    </row>
    <row r="248" spans="1:34" ht="25.2" customHeight="1" x14ac:dyDescent="0.45">
      <c r="A248" s="17" t="str">
        <v>DD</v>
      </c>
      <c r="B248" s="14" t="str">
        <v>MILK RUN NOR</v>
      </c>
      <c r="C248" s="14" t="str">
        <v>MAEUIK0221781</v>
      </c>
      <c r="D248" s="17" t="str">
        <v>MRSU8207201</v>
      </c>
      <c r="E248" s="14" t="str">
        <v>C40HC</v>
      </c>
      <c r="F248" s="17" t="str">
        <v>22121SUPUE068623</v>
      </c>
      <c r="G248" s="15">
        <v>0</v>
      </c>
      <c r="H248" s="16">
        <v>0</v>
      </c>
      <c r="I248" s="15">
        <v>0</v>
      </c>
      <c r="J248" s="17">
        <v>0</v>
      </c>
      <c r="K248" s="15">
        <v>0</v>
      </c>
      <c r="L248" s="17">
        <v>0</v>
      </c>
      <c r="M248" s="14" t="str">
        <v>420</v>
      </c>
      <c r="N248" s="14" t="str">
        <v>037TSOS10000696885</v>
      </c>
      <c r="O248" s="14" t="str">
        <v>300</v>
      </c>
      <c r="P248" s="14" t="str">
        <v>JUWAN78</v>
      </c>
      <c r="Q248" s="14">
        <v>46268</v>
      </c>
      <c r="R248" s="14">
        <v>726</v>
      </c>
      <c r="S248" s="14" t="str">
        <v>STO</v>
      </c>
      <c r="T248" s="14">
        <v>40</v>
      </c>
      <c r="U248" s="14" t="str">
        <v>5.450924</v>
      </c>
      <c r="V248" s="14" t="str">
        <v>5.964042</v>
      </c>
      <c r="W248" s="14">
        <v>667.51</v>
      </c>
      <c r="X248" s="14">
        <v>46319</v>
      </c>
      <c r="Y248" s="14">
        <v>46312</v>
      </c>
      <c r="Z248" s="14">
        <v>0</v>
      </c>
      <c r="AA248" s="14" t="str">
        <v>31825</v>
      </c>
      <c r="AB248" s="14" t="str">
        <v>MAERSK A/S</v>
      </c>
      <c r="AC248" s="14" t="str">
        <v>CN0128528</v>
      </c>
      <c r="AD248" s="14" t="str">
        <v>AS SOPHIA</v>
      </c>
      <c r="AE248" s="14" t="str">
        <v>641W</v>
      </c>
      <c r="AF248" s="27" t="str">
        <v>CN</v>
      </c>
      <c r="AG248" s="27" t="str">
        <v>PRT</v>
      </c>
      <c r="AH248" s="14" t="str">
        <v>CNSHA</v>
      </c>
    </row>
    <row r="249" spans="1:34" ht="25.2" customHeight="1" x14ac:dyDescent="0.45">
      <c r="A249" s="17" t="str">
        <v>DD</v>
      </c>
      <c r="B249" s="14" t="str">
        <v>MILK RUN NOR</v>
      </c>
      <c r="C249" s="14" t="str">
        <v>MAEUIK0221781</v>
      </c>
      <c r="D249" s="17" t="str">
        <v>MRSU8207201</v>
      </c>
      <c r="E249" s="14" t="str">
        <v>C40HC</v>
      </c>
      <c r="F249" s="17" t="str">
        <v>22121SUPUE068881</v>
      </c>
      <c r="G249" s="15">
        <v>0</v>
      </c>
      <c r="H249" s="16">
        <v>0</v>
      </c>
      <c r="I249" s="15">
        <v>0</v>
      </c>
      <c r="J249" s="17">
        <v>0</v>
      </c>
      <c r="K249" s="15">
        <v>0</v>
      </c>
      <c r="L249" s="17">
        <v>0</v>
      </c>
      <c r="M249" s="14" t="str">
        <v>420</v>
      </c>
      <c r="N249" s="14" t="str">
        <v>037TSOS10000696885</v>
      </c>
      <c r="O249" s="14" t="str">
        <v>300</v>
      </c>
      <c r="P249" s="14" t="str">
        <v>JUWAN78</v>
      </c>
      <c r="Q249" s="14">
        <v>46268</v>
      </c>
      <c r="R249" s="14">
        <v>726</v>
      </c>
      <c r="S249" s="14" t="str">
        <v>STO</v>
      </c>
      <c r="T249" s="14">
        <v>52</v>
      </c>
      <c r="U249" s="14" t="str">
        <v>7.162512</v>
      </c>
      <c r="V249" s="14" t="str">
        <v>7.840485</v>
      </c>
      <c r="W249" s="14">
        <v>890.8</v>
      </c>
      <c r="X249" s="14">
        <v>46319</v>
      </c>
      <c r="Y249" s="14">
        <v>46312</v>
      </c>
      <c r="Z249" s="14">
        <v>0</v>
      </c>
      <c r="AA249" s="14" t="str">
        <v>31825</v>
      </c>
      <c r="AB249" s="14" t="str">
        <v>MAERSK A/S</v>
      </c>
      <c r="AC249" s="14" t="str">
        <v>CN0128528</v>
      </c>
      <c r="AD249" s="14" t="str">
        <v>AS SOPHIA</v>
      </c>
      <c r="AE249" s="14" t="str">
        <v>641W</v>
      </c>
      <c r="AF249" s="27" t="str">
        <v>CN</v>
      </c>
      <c r="AG249" s="27" t="str">
        <v>PRT</v>
      </c>
      <c r="AH249" s="14" t="str">
        <v>CNSHA</v>
      </c>
    </row>
    <row r="250" spans="1:34" ht="25.2" customHeight="1" x14ac:dyDescent="0.45">
      <c r="A250" s="17" t="str">
        <v>HF</v>
      </c>
      <c r="B250" s="14" t="str">
        <v/>
      </c>
      <c r="C250" s="14" t="str">
        <v>HDMUSHAA76297500</v>
      </c>
      <c r="D250" s="17" t="str">
        <v>HMMU6402820</v>
      </c>
      <c r="E250" s="14" t="str">
        <v>C40HC</v>
      </c>
      <c r="F250" s="17" t="str">
        <v>258DT260910726707</v>
      </c>
      <c r="G250" s="15">
        <v>0</v>
      </c>
      <c r="H250" s="16">
        <v>0</v>
      </c>
      <c r="I250" s="15">
        <v>0</v>
      </c>
      <c r="J250" s="17">
        <v>0</v>
      </c>
      <c r="K250" s="15">
        <v>0</v>
      </c>
      <c r="L250" s="17">
        <v>0</v>
      </c>
      <c r="M250" s="14" t="str">
        <v>400</v>
      </c>
      <c r="N250" s="14" t="str">
        <v>258DTS10000203479</v>
      </c>
      <c r="O250" s="14" t="str">
        <v>350</v>
      </c>
      <c r="P250" s="14">
        <v>0</v>
      </c>
      <c r="Q250" s="14">
        <v>46275</v>
      </c>
      <c r="R250" s="14">
        <v>726</v>
      </c>
      <c r="S250" s="14" t="str">
        <v>STO</v>
      </c>
      <c r="T250" s="14">
        <v>6516</v>
      </c>
      <c r="U250" s="14" t="str">
        <v>51.017335</v>
      </c>
      <c r="V250" s="14" t="str">
        <v>54.77982433</v>
      </c>
      <c r="W250" s="14">
        <v>7068.5020000000004</v>
      </c>
      <c r="X250" s="14">
        <v>46310</v>
      </c>
      <c r="Y250" s="14">
        <v>46312</v>
      </c>
      <c r="Z250" s="14">
        <v>0</v>
      </c>
      <c r="AA250" s="14" t="str">
        <v>31676</v>
      </c>
      <c r="AB250" s="14" t="str">
        <v>HMM CO., LTD.</v>
      </c>
      <c r="AC250" s="14" t="str">
        <v>26H0550620</v>
      </c>
      <c r="AD250" s="14" t="str">
        <v>HMM DAON</v>
      </c>
      <c r="AE250" s="14" t="str">
        <v>0023E</v>
      </c>
      <c r="AF250" s="27" t="str">
        <v>CN</v>
      </c>
      <c r="AG250" s="27" t="str">
        <v>PRT</v>
      </c>
      <c r="AH250" s="14" t="str">
        <v>CNYAN</v>
      </c>
    </row>
    <row r="251" spans="1:34" ht="25.2" customHeight="1" x14ac:dyDescent="0.45">
      <c r="A251" s="17" t="str">
        <v>HF</v>
      </c>
      <c r="B251" s="14" t="str">
        <v/>
      </c>
      <c r="C251" s="14" t="str">
        <v>HDMUSHAA76297500</v>
      </c>
      <c r="D251" s="17" t="str">
        <v>HMMU6402820</v>
      </c>
      <c r="E251" s="14" t="str">
        <v>C40HC</v>
      </c>
      <c r="F251" s="17" t="str">
        <v>277DT260910726708</v>
      </c>
      <c r="G251" s="15">
        <v>0</v>
      </c>
      <c r="H251" s="16">
        <v>0</v>
      </c>
      <c r="I251" s="15">
        <v>0</v>
      </c>
      <c r="J251" s="17">
        <v>0</v>
      </c>
      <c r="K251" s="15">
        <v>0</v>
      </c>
      <c r="L251" s="17">
        <v>0</v>
      </c>
      <c r="M251" s="14" t="str">
        <v>400</v>
      </c>
      <c r="N251" s="14" t="str">
        <v>258DTS10000203479</v>
      </c>
      <c r="O251" s="14" t="str">
        <v>350</v>
      </c>
      <c r="P251" s="14">
        <v>0</v>
      </c>
      <c r="Q251" s="14">
        <v>46275</v>
      </c>
      <c r="R251" s="14">
        <v>726</v>
      </c>
      <c r="S251" s="14" t="str">
        <v>STO</v>
      </c>
      <c r="T251" s="14">
        <v>2693</v>
      </c>
      <c r="U251" s="14" t="str">
        <v>4.080723</v>
      </c>
      <c r="V251" s="14" t="str">
        <v>4.382969</v>
      </c>
      <c r="W251" s="14">
        <v>522.81899999999996</v>
      </c>
      <c r="X251" s="14">
        <v>46310</v>
      </c>
      <c r="Y251" s="14">
        <v>46312</v>
      </c>
      <c r="Z251" s="14">
        <v>0</v>
      </c>
      <c r="AA251" s="14" t="str">
        <v>31676</v>
      </c>
      <c r="AB251" s="14" t="str">
        <v>HMM CO., LTD.</v>
      </c>
      <c r="AC251" s="14" t="str">
        <v>26H0550620</v>
      </c>
      <c r="AD251" s="14" t="str">
        <v>HMM DAON</v>
      </c>
      <c r="AE251" s="14" t="str">
        <v>0023E</v>
      </c>
      <c r="AF251" s="27" t="str">
        <v>CN</v>
      </c>
      <c r="AG251" s="27" t="str">
        <v>PRT</v>
      </c>
      <c r="AH251" s="14" t="str">
        <v>CNYAN</v>
      </c>
    </row>
    <row r="252" spans="1:34" ht="25.2" customHeight="1" x14ac:dyDescent="0.45">
      <c r="A252" s="17" t="str">
        <v>DD</v>
      </c>
      <c r="B252" s="14" t="str">
        <v>MILK RUN NOR</v>
      </c>
      <c r="C252" s="14" t="str">
        <v>MAEUIK0221971</v>
      </c>
      <c r="D252" s="17" t="str">
        <v>MRSU8925955</v>
      </c>
      <c r="E252" s="14" t="str">
        <v>C40HC</v>
      </c>
      <c r="F252" s="17" t="str">
        <v>19369SUPVAN00069250</v>
      </c>
      <c r="G252" s="15">
        <v>0</v>
      </c>
      <c r="H252" s="16">
        <v>0</v>
      </c>
      <c r="I252" s="15">
        <v>0</v>
      </c>
      <c r="J252" s="17">
        <v>0</v>
      </c>
      <c r="K252" s="15">
        <v>0</v>
      </c>
      <c r="L252" s="17">
        <v>0</v>
      </c>
      <c r="M252" s="14" t="str">
        <v>400</v>
      </c>
      <c r="N252" s="14" t="str">
        <v>037TSOS10000697558</v>
      </c>
      <c r="O252" s="14" t="str">
        <v>400</v>
      </c>
      <c r="P252" s="14" t="str">
        <v>ANLIU52</v>
      </c>
      <c r="Q252" s="14">
        <v>46269</v>
      </c>
      <c r="R252" s="14">
        <v>726</v>
      </c>
      <c r="S252" s="14" t="str">
        <v>STO</v>
      </c>
      <c r="T252" s="14">
        <v>42</v>
      </c>
      <c r="U252" s="14" t="str">
        <v>3.150468</v>
      </c>
      <c r="V252" s="14" t="str">
        <v>3.612943</v>
      </c>
      <c r="W252" s="14">
        <v>318.32</v>
      </c>
      <c r="X252" s="14">
        <v>46317</v>
      </c>
      <c r="Y252" s="14">
        <v>46317</v>
      </c>
      <c r="Z252" s="14">
        <v>46292</v>
      </c>
      <c r="AA252" s="14" t="str">
        <v>31825</v>
      </c>
      <c r="AB252" s="14" t="str">
        <v>MAERSK A/S</v>
      </c>
      <c r="AC252" s="14" t="str">
        <v>CN9114017</v>
      </c>
      <c r="AD252" s="14" t="str">
        <v>OSAKA EXPRESS</v>
      </c>
      <c r="AE252" s="14" t="str">
        <v>640E</v>
      </c>
      <c r="AF252" s="27" t="str">
        <v>CN</v>
      </c>
      <c r="AG252" s="27" t="str">
        <v>PRT</v>
      </c>
      <c r="AH252" s="14" t="str">
        <v>CNZPU</v>
      </c>
    </row>
    <row r="253" spans="1:34" ht="25.2" customHeight="1" x14ac:dyDescent="0.45">
      <c r="A253" s="17" t="str">
        <v>DD</v>
      </c>
      <c r="B253" s="14" t="str">
        <v>MILK RUN NOR</v>
      </c>
      <c r="C253" s="14" t="str">
        <v>MAEUIK0222989</v>
      </c>
      <c r="D253" s="17" t="str">
        <v>MRSU4757956</v>
      </c>
      <c r="E253" s="14" t="str">
        <v>C40HC</v>
      </c>
      <c r="F253" s="17" t="str">
        <v>21072SUPECIS76215</v>
      </c>
      <c r="G253" s="15">
        <v>0</v>
      </c>
      <c r="H253" s="16">
        <v>0</v>
      </c>
      <c r="I253" s="15">
        <v>0</v>
      </c>
      <c r="J253" s="17">
        <v>0</v>
      </c>
      <c r="K253" s="15">
        <v>0</v>
      </c>
      <c r="L253" s="17">
        <v>0</v>
      </c>
      <c r="M253" s="14" t="str">
        <v>400</v>
      </c>
      <c r="N253" s="14" t="str">
        <v>037TSOS10000702946</v>
      </c>
      <c r="O253" s="14" t="str">
        <v>300</v>
      </c>
      <c r="P253" s="14" t="str">
        <v>LINLI65</v>
      </c>
      <c r="Q253" s="14">
        <v>46275</v>
      </c>
      <c r="R253" s="14">
        <v>726</v>
      </c>
      <c r="S253" s="14" t="str">
        <v>STO</v>
      </c>
      <c r="T253" s="14">
        <v>65</v>
      </c>
      <c r="U253" s="14" t="str">
        <v>2.850017</v>
      </c>
      <c r="V253" s="14" t="str">
        <v>3.039572</v>
      </c>
      <c r="W253" s="14">
        <v>1106.6199999999999</v>
      </c>
      <c r="X253" s="14">
        <v>46312</v>
      </c>
      <c r="Y253" s="14">
        <v>46317</v>
      </c>
      <c r="Z253" s="14">
        <v>0</v>
      </c>
      <c r="AA253" s="14" t="str">
        <v>31825</v>
      </c>
      <c r="AB253" s="14" t="str">
        <v>MAERSK A/S</v>
      </c>
      <c r="AC253" s="14" t="str">
        <v>CN9162044</v>
      </c>
      <c r="AD253" s="14" t="str">
        <v>OSAKA EXPRESS</v>
      </c>
      <c r="AE253" s="14" t="str">
        <v>640E</v>
      </c>
      <c r="AF253" s="27" t="str">
        <v>CN</v>
      </c>
      <c r="AG253" s="27" t="str">
        <v>PRT</v>
      </c>
      <c r="AH253" s="14" t="str">
        <v>CNNGB</v>
      </c>
    </row>
    <row r="254" spans="1:34" ht="25.2" customHeight="1" x14ac:dyDescent="0.45">
      <c r="A254" s="17" t="str">
        <v>DD</v>
      </c>
      <c r="B254" s="14" t="str">
        <v>MILK RUN NOR</v>
      </c>
      <c r="C254" s="14" t="str">
        <v>MAEUIK0223705</v>
      </c>
      <c r="D254" s="17" t="str">
        <v>SEKU4693020</v>
      </c>
      <c r="E254" s="14" t="str">
        <v>C40HC</v>
      </c>
      <c r="F254" s="17" t="str">
        <v>21072SUPECIS76330</v>
      </c>
      <c r="G254" s="15">
        <v>0</v>
      </c>
      <c r="H254" s="16">
        <v>0</v>
      </c>
      <c r="I254" s="15">
        <v>0</v>
      </c>
      <c r="J254" s="17">
        <v>0</v>
      </c>
      <c r="K254" s="15">
        <v>0</v>
      </c>
      <c r="L254" s="17">
        <v>0</v>
      </c>
      <c r="M254" s="14" t="str">
        <v>400</v>
      </c>
      <c r="N254" s="14" t="str">
        <v>037TSOS10000706357</v>
      </c>
      <c r="O254" s="14" t="str">
        <v>300</v>
      </c>
      <c r="P254" s="14" t="str">
        <v>STCHE41</v>
      </c>
      <c r="Q254" s="14">
        <v>46281</v>
      </c>
      <c r="R254" s="14">
        <v>726</v>
      </c>
      <c r="S254" s="14" t="str">
        <v>STO</v>
      </c>
      <c r="T254" s="14">
        <v>70</v>
      </c>
      <c r="U254" s="14" t="str">
        <v>3.210258</v>
      </c>
      <c r="V254" s="14" t="str">
        <v>3.416365</v>
      </c>
      <c r="W254" s="14">
        <v>1566.02</v>
      </c>
      <c r="X254" s="14">
        <v>46312</v>
      </c>
      <c r="Y254" s="14">
        <v>46317</v>
      </c>
      <c r="Z254" s="14">
        <v>0</v>
      </c>
      <c r="AA254" s="14" t="str">
        <v>31825</v>
      </c>
      <c r="AB254" s="14" t="str">
        <v>MAERSK A/S</v>
      </c>
      <c r="AC254" s="14" t="str">
        <v>CN9221895</v>
      </c>
      <c r="AD254" s="14" t="str">
        <v>OSAKA EXPRESS</v>
      </c>
      <c r="AE254" s="14" t="str">
        <v>640E</v>
      </c>
      <c r="AF254" s="27" t="str">
        <v>CN</v>
      </c>
      <c r="AG254" s="27" t="str">
        <v>PRT</v>
      </c>
      <c r="AH254" s="14" t="str">
        <v>CNNGB</v>
      </c>
    </row>
    <row r="255" spans="1:34" ht="25.2" customHeight="1" x14ac:dyDescent="0.45">
      <c r="A255" s="17" t="str">
        <v>DD</v>
      </c>
      <c r="B255" s="14" t="str">
        <v/>
      </c>
      <c r="C255" s="14" t="str">
        <v>MAEUIK0222290</v>
      </c>
      <c r="D255" s="17" t="str">
        <v>MRKU6578047</v>
      </c>
      <c r="E255" s="14" t="str">
        <v>C20DV</v>
      </c>
      <c r="F255" s="17" t="str">
        <v>17596SUPECIS43000</v>
      </c>
      <c r="G255" s="15">
        <v>0</v>
      </c>
      <c r="H255" s="16">
        <v>0</v>
      </c>
      <c r="I255" s="15">
        <v>0</v>
      </c>
      <c r="J255" s="17">
        <v>0</v>
      </c>
      <c r="K255" s="15">
        <v>0</v>
      </c>
      <c r="L255" s="17">
        <v>0</v>
      </c>
      <c r="M255" s="14" t="str">
        <v>400</v>
      </c>
      <c r="N255" s="14" t="str">
        <v>041TSOS10000280938</v>
      </c>
      <c r="O255" s="14" t="str">
        <v>350</v>
      </c>
      <c r="P255" s="14" t="str">
        <v>ELZHE</v>
      </c>
      <c r="Q255" s="14">
        <v>46272</v>
      </c>
      <c r="R255" s="14">
        <v>726</v>
      </c>
      <c r="S255" s="14" t="str">
        <v>STO</v>
      </c>
      <c r="T255" s="14">
        <v>3068</v>
      </c>
      <c r="U255" s="14" t="str">
        <v>25.306768</v>
      </c>
      <c r="V255" s="14" t="str">
        <v>26.900483</v>
      </c>
      <c r="W255" s="14">
        <v>1420.86</v>
      </c>
      <c r="X255" s="14">
        <v>46311</v>
      </c>
      <c r="Y255" s="14">
        <v>46309</v>
      </c>
      <c r="Z255" s="14">
        <v>0</v>
      </c>
      <c r="AA255" s="14" t="str">
        <v>31825</v>
      </c>
      <c r="AB255" s="14" t="str">
        <v>MAERSK A/S</v>
      </c>
      <c r="AC255" s="14" t="str">
        <v>ID1188776</v>
      </c>
      <c r="AD255" s="14" t="str">
        <v>MERATUS JAYAWIJAYA</v>
      </c>
      <c r="AE255" s="14" t="str">
        <v>636N</v>
      </c>
      <c r="AF255" s="27" t="str">
        <v>ID</v>
      </c>
      <c r="AG255" s="27" t="str">
        <v>PRT</v>
      </c>
      <c r="AH255" s="14" t="str">
        <v>IDJKT</v>
      </c>
    </row>
    <row r="256" spans="1:34" ht="25.2" customHeight="1" x14ac:dyDescent="0.45">
      <c r="A256" s="17" t="str">
        <v>HF</v>
      </c>
      <c r="B256" s="14">
        <v>0</v>
      </c>
      <c r="C256" s="14" t="str">
        <v>MAEUIK0226685</v>
      </c>
      <c r="D256" s="17" t="str">
        <v>TIIU8715509</v>
      </c>
      <c r="E256" s="14" t="str">
        <v>C40HC</v>
      </c>
      <c r="F256" s="17" t="str">
        <v>258DT261009726215</v>
      </c>
      <c r="G256" s="15">
        <v>0</v>
      </c>
      <c r="H256" s="16">
        <v>0</v>
      </c>
      <c r="I256" s="15">
        <v>0</v>
      </c>
      <c r="J256" s="17">
        <v>0</v>
      </c>
      <c r="K256" s="15">
        <v>0</v>
      </c>
      <c r="L256" s="17">
        <v>0</v>
      </c>
      <c r="M256" s="14" t="str">
        <v>400</v>
      </c>
      <c r="N256" s="14" t="str">
        <v>258DTS10000208214</v>
      </c>
      <c r="O256" s="14" t="str">
        <v>350</v>
      </c>
      <c r="P256" s="14" t="str">
        <v>JEGAO9</v>
      </c>
      <c r="Q256" s="14">
        <v>46304</v>
      </c>
      <c r="R256" s="14">
        <v>726</v>
      </c>
      <c r="S256" s="14" t="str">
        <v>STO</v>
      </c>
      <c r="T256" s="14">
        <v>11292</v>
      </c>
      <c r="U256" s="14" t="str">
        <v>53.713428</v>
      </c>
      <c r="V256" s="14" t="str">
        <v>57.8910978</v>
      </c>
      <c r="W256" s="14">
        <v>11076.9</v>
      </c>
      <c r="X256" s="14">
        <v>46322</v>
      </c>
      <c r="Y256" s="14">
        <v>46322</v>
      </c>
      <c r="Z256" s="14">
        <v>0</v>
      </c>
      <c r="AA256" s="14" t="str">
        <v>31825</v>
      </c>
      <c r="AB256" s="14" t="str">
        <v>MAERSK A/S</v>
      </c>
      <c r="AC256" s="14" t="str">
        <v>CN0133275</v>
      </c>
      <c r="AD256" s="14" t="str">
        <v>HUA XIN 758</v>
      </c>
      <c r="AE256" s="14" t="str">
        <v>642N</v>
      </c>
      <c r="AF256" s="27" t="str">
        <v>CN</v>
      </c>
      <c r="AG256" s="27" t="str">
        <v>PRT</v>
      </c>
      <c r="AH256" s="14" t="str">
        <v>CNSHA</v>
      </c>
    </row>
    <row r="257" spans="1:34" ht="25.2" customHeight="1" x14ac:dyDescent="0.45">
      <c r="A257" s="17" t="str">
        <v>HF</v>
      </c>
      <c r="B257" s="14">
        <v>0</v>
      </c>
      <c r="C257" s="14" t="str">
        <v>MAEUIK0226685</v>
      </c>
      <c r="D257" s="17" t="str">
        <v>TIIU8715509</v>
      </c>
      <c r="E257" s="14" t="str">
        <v>C40HC</v>
      </c>
      <c r="F257" s="17" t="str">
        <v>258DT261009726217</v>
      </c>
      <c r="G257" s="15">
        <v>0</v>
      </c>
      <c r="H257" s="16">
        <v>0</v>
      </c>
      <c r="I257" s="15">
        <v>0</v>
      </c>
      <c r="J257" s="17">
        <v>0</v>
      </c>
      <c r="K257" s="15">
        <v>0</v>
      </c>
      <c r="L257" s="17">
        <v>0</v>
      </c>
      <c r="M257" s="14" t="str">
        <v>400</v>
      </c>
      <c r="N257" s="14" t="str">
        <v>258DTS10000208214</v>
      </c>
      <c r="O257" s="14" t="str">
        <v>350</v>
      </c>
      <c r="P257" s="14" t="str">
        <v>JEGAO9</v>
      </c>
      <c r="Q257" s="14">
        <v>46304</v>
      </c>
      <c r="R257" s="14">
        <v>726</v>
      </c>
      <c r="S257" s="14" t="str">
        <v>STO</v>
      </c>
      <c r="T257" s="14">
        <v>52</v>
      </c>
      <c r="U257" s="14" t="str">
        <v>0.774514</v>
      </c>
      <c r="V257" s="14" t="str">
        <v>0.824356</v>
      </c>
      <c r="W257" s="14">
        <v>179.76400000000001</v>
      </c>
      <c r="X257" s="14">
        <v>46322</v>
      </c>
      <c r="Y257" s="14">
        <v>46322</v>
      </c>
      <c r="Z257" s="14">
        <v>0</v>
      </c>
      <c r="AA257" s="14" t="str">
        <v>31825</v>
      </c>
      <c r="AB257" s="14" t="str">
        <v>MAERSK A/S</v>
      </c>
      <c r="AC257" s="14" t="str">
        <v>CN0133275</v>
      </c>
      <c r="AD257" s="14" t="str">
        <v>HUA XIN 758</v>
      </c>
      <c r="AE257" s="14" t="str">
        <v>642N</v>
      </c>
      <c r="AF257" s="27" t="str">
        <v>CN</v>
      </c>
      <c r="AG257" s="27" t="str">
        <v>PRT</v>
      </c>
      <c r="AH257" s="14" t="str">
        <v>CNSHA</v>
      </c>
    </row>
    <row r="258" spans="1:34" ht="25.2" customHeight="1" x14ac:dyDescent="0.45">
      <c r="A258" s="17" t="str">
        <v>HF</v>
      </c>
      <c r="B258" s="14">
        <v>0</v>
      </c>
      <c r="C258" s="14" t="str">
        <v>MAEUIK0223255</v>
      </c>
      <c r="D258" s="17" t="str">
        <v>TIIU8412930</v>
      </c>
      <c r="E258" s="14" t="str">
        <v>C40HC</v>
      </c>
      <c r="F258" s="17" t="str">
        <v>258DT260914726883</v>
      </c>
      <c r="G258" s="15">
        <v>0</v>
      </c>
      <c r="H258" s="16">
        <v>0</v>
      </c>
      <c r="I258" s="15">
        <v>46308</v>
      </c>
      <c r="J258" s="17">
        <v>0</v>
      </c>
      <c r="K258" s="15">
        <v>46305</v>
      </c>
      <c r="L258" s="17">
        <v>0</v>
      </c>
      <c r="M258" s="14" t="str">
        <v>400</v>
      </c>
      <c r="N258" s="14" t="str">
        <v>258DTS10000203910</v>
      </c>
      <c r="O258" s="14" t="str">
        <v>350</v>
      </c>
      <c r="P258" s="14">
        <v>0</v>
      </c>
      <c r="Q258" s="14">
        <v>46279</v>
      </c>
      <c r="R258" s="14">
        <v>726</v>
      </c>
      <c r="S258" s="14" t="str">
        <v>STO</v>
      </c>
      <c r="T258" s="14">
        <v>6167</v>
      </c>
      <c r="U258" s="14" t="str">
        <v>51.709412</v>
      </c>
      <c r="V258" s="14" t="str">
        <v>55.7052354</v>
      </c>
      <c r="W258" s="14">
        <v>7481.8419999999996</v>
      </c>
      <c r="X258" s="14">
        <v>46301</v>
      </c>
      <c r="Y258" s="14">
        <v>46305</v>
      </c>
      <c r="Z258" s="14">
        <v>0</v>
      </c>
      <c r="AA258" s="14" t="str">
        <v>31825</v>
      </c>
      <c r="AB258" s="14" t="str">
        <v>MAERSK A/S</v>
      </c>
      <c r="AC258" s="14" t="str">
        <v>CN8244905</v>
      </c>
      <c r="AD258" s="14" t="str">
        <v>MERATUS JIMBARAN</v>
      </c>
      <c r="AE258" s="14" t="str">
        <v>638N</v>
      </c>
      <c r="AF258" s="27" t="str">
        <v>CN</v>
      </c>
      <c r="AG258" s="27" t="str">
        <v>PRT</v>
      </c>
      <c r="AH258" s="14" t="str">
        <v>CNSHA</v>
      </c>
    </row>
    <row r="259" spans="1:34" ht="25.2" customHeight="1" x14ac:dyDescent="0.45">
      <c r="A259" s="17" t="str">
        <v>HF</v>
      </c>
      <c r="B259" s="14">
        <v>0</v>
      </c>
      <c r="C259" s="14" t="str">
        <v>MAEUIK0223255</v>
      </c>
      <c r="D259" s="17" t="str">
        <v>TIIU8412930</v>
      </c>
      <c r="E259" s="14" t="str">
        <v>C40HC</v>
      </c>
      <c r="F259" s="17" t="str">
        <v>277DT260914726884</v>
      </c>
      <c r="G259" s="15">
        <v>0</v>
      </c>
      <c r="H259" s="16">
        <v>0</v>
      </c>
      <c r="I259" s="15">
        <v>46308</v>
      </c>
      <c r="J259" s="17">
        <v>0</v>
      </c>
      <c r="K259" s="15">
        <v>46305</v>
      </c>
      <c r="L259" s="17">
        <v>0</v>
      </c>
      <c r="M259" s="14" t="str">
        <v>400</v>
      </c>
      <c r="N259" s="14" t="str">
        <v>258DTS10000203910</v>
      </c>
      <c r="O259" s="14" t="str">
        <v>350</v>
      </c>
      <c r="P259" s="14">
        <v>0</v>
      </c>
      <c r="Q259" s="14">
        <v>46279</v>
      </c>
      <c r="R259" s="14">
        <v>726</v>
      </c>
      <c r="S259" s="14" t="str">
        <v>STO</v>
      </c>
      <c r="T259" s="14">
        <v>383</v>
      </c>
      <c r="U259" s="14" t="str">
        <v>3.659762</v>
      </c>
      <c r="V259" s="14" t="str">
        <v>3.94948725</v>
      </c>
      <c r="W259" s="14">
        <v>1035.904</v>
      </c>
      <c r="X259" s="14">
        <v>46301</v>
      </c>
      <c r="Y259" s="14">
        <v>46305</v>
      </c>
      <c r="Z259" s="14">
        <v>0</v>
      </c>
      <c r="AA259" s="14" t="str">
        <v>31825</v>
      </c>
      <c r="AB259" s="14" t="str">
        <v>MAERSK A/S</v>
      </c>
      <c r="AC259" s="14" t="str">
        <v>CN8244905</v>
      </c>
      <c r="AD259" s="14" t="str">
        <v>MERATUS JIMBARAN</v>
      </c>
      <c r="AE259" s="14" t="str">
        <v>638N</v>
      </c>
      <c r="AF259" s="27" t="str">
        <v>CN</v>
      </c>
      <c r="AG259" s="27" t="str">
        <v>PRT</v>
      </c>
      <c r="AH259" s="14" t="str">
        <v>CNSHA</v>
      </c>
    </row>
    <row r="260" spans="1:34" ht="25.2" customHeight="1" x14ac:dyDescent="0.45">
      <c r="A260" s="17" t="str">
        <v>LF</v>
      </c>
      <c r="B260" s="14">
        <v>0</v>
      </c>
      <c r="C260" s="14" t="str">
        <v>MAEUIK0222792</v>
      </c>
      <c r="D260" s="17" t="str">
        <v>CAAU8927570</v>
      </c>
      <c r="E260" s="14" t="str">
        <v>C40HC</v>
      </c>
      <c r="F260" s="17" t="str">
        <v>294DT260909726254</v>
      </c>
      <c r="G260" s="15">
        <v>0</v>
      </c>
      <c r="H260" s="16">
        <v>0</v>
      </c>
      <c r="I260" s="15">
        <v>0</v>
      </c>
      <c r="J260" s="17">
        <v>0</v>
      </c>
      <c r="K260" s="15">
        <v>0</v>
      </c>
      <c r="L260" s="17">
        <v>0</v>
      </c>
      <c r="M260" s="14" t="str">
        <v>400</v>
      </c>
      <c r="N260" s="14" t="str">
        <v>258DTS10000203376</v>
      </c>
      <c r="O260" s="14" t="str">
        <v>350</v>
      </c>
      <c r="P260" s="14" t="str">
        <v>LARXU</v>
      </c>
      <c r="Q260" s="14">
        <v>46274</v>
      </c>
      <c r="R260" s="14">
        <v>726</v>
      </c>
      <c r="S260" s="14" t="str">
        <v>STO</v>
      </c>
      <c r="T260" s="14">
        <v>5015</v>
      </c>
      <c r="U260" s="14" t="str">
        <v>10.349116</v>
      </c>
      <c r="V260" s="14" t="str">
        <v>11.08927403</v>
      </c>
      <c r="W260" s="14">
        <v>1930.45</v>
      </c>
      <c r="X260" s="14">
        <v>46313</v>
      </c>
      <c r="Y260" s="14">
        <v>46311</v>
      </c>
      <c r="Z260" s="14">
        <v>0</v>
      </c>
      <c r="AA260" s="14" t="str">
        <v>31825</v>
      </c>
      <c r="AB260" s="14" t="str">
        <v>MAERSK A/S</v>
      </c>
      <c r="AC260" s="14" t="str">
        <v>CN8198800</v>
      </c>
      <c r="AD260" s="14" t="str">
        <v>MERATUS TOMINI</v>
      </c>
      <c r="AE260" s="14" t="str">
        <v>641N</v>
      </c>
      <c r="AF260" s="27" t="str">
        <v>CN</v>
      </c>
      <c r="AG260" s="27" t="str">
        <v>PRT</v>
      </c>
      <c r="AH260" s="14" t="str">
        <v>CNSHA</v>
      </c>
    </row>
    <row r="261" spans="1:34" ht="25.2" customHeight="1" x14ac:dyDescent="0.45">
      <c r="A261" s="17" t="str">
        <v>LF</v>
      </c>
      <c r="B261" s="14">
        <v>0</v>
      </c>
      <c r="C261" s="14" t="str">
        <v>MAEUIK0222792</v>
      </c>
      <c r="D261" s="17" t="str">
        <v>CAAU8927570</v>
      </c>
      <c r="E261" s="14" t="str">
        <v>C40HC</v>
      </c>
      <c r="F261" s="17" t="str">
        <v>319DT260909726255</v>
      </c>
      <c r="G261" s="15">
        <v>0</v>
      </c>
      <c r="H261" s="16">
        <v>0</v>
      </c>
      <c r="I261" s="15">
        <v>0</v>
      </c>
      <c r="J261" s="17">
        <v>0</v>
      </c>
      <c r="K261" s="15">
        <v>0</v>
      </c>
      <c r="L261" s="17">
        <v>0</v>
      </c>
      <c r="M261" s="14" t="str">
        <v>400</v>
      </c>
      <c r="N261" s="14" t="str">
        <v>258DTS10000203376</v>
      </c>
      <c r="O261" s="14" t="str">
        <v>350</v>
      </c>
      <c r="P261" s="14" t="str">
        <v>LARXU</v>
      </c>
      <c r="Q261" s="14">
        <v>46274</v>
      </c>
      <c r="R261" s="14">
        <v>726</v>
      </c>
      <c r="S261" s="14" t="str">
        <v>STO</v>
      </c>
      <c r="T261" s="14">
        <v>8722</v>
      </c>
      <c r="U261" s="14" t="str">
        <v>37.805388</v>
      </c>
      <c r="V261" s="14" t="str">
        <v>40.60301603</v>
      </c>
      <c r="W261" s="14">
        <v>7791.5860000000002</v>
      </c>
      <c r="X261" s="14">
        <v>46313</v>
      </c>
      <c r="Y261" s="14">
        <v>46311</v>
      </c>
      <c r="Z261" s="14">
        <v>0</v>
      </c>
      <c r="AA261" s="14" t="str">
        <v>31825</v>
      </c>
      <c r="AB261" s="14" t="str">
        <v>MAERSK A/S</v>
      </c>
      <c r="AC261" s="14" t="str">
        <v>CN8198800</v>
      </c>
      <c r="AD261" s="14" t="str">
        <v>MERATUS TOMINI</v>
      </c>
      <c r="AE261" s="14" t="str">
        <v>641N</v>
      </c>
      <c r="AF261" s="27" t="str">
        <v>CN</v>
      </c>
      <c r="AG261" s="27" t="str">
        <v>PRT</v>
      </c>
      <c r="AH261" s="14" t="str">
        <v>CNSHA</v>
      </c>
    </row>
    <row r="262" spans="1:34" ht="25.2" customHeight="1" x14ac:dyDescent="0.45">
      <c r="A262" s="17" t="str">
        <v>LF</v>
      </c>
      <c r="B262" s="14">
        <v>0</v>
      </c>
      <c r="C262" s="14" t="str">
        <v>MAEUIK0222793</v>
      </c>
      <c r="D262" s="17" t="str">
        <v>CAJU5747904</v>
      </c>
      <c r="E262" s="14" t="str">
        <v>C40HC</v>
      </c>
      <c r="F262" s="17" t="str">
        <v>294DT260909726251</v>
      </c>
      <c r="G262" s="15">
        <v>0</v>
      </c>
      <c r="H262" s="16">
        <v>0</v>
      </c>
      <c r="I262" s="15">
        <v>0</v>
      </c>
      <c r="J262" s="17">
        <v>0</v>
      </c>
      <c r="K262" s="15">
        <v>0</v>
      </c>
      <c r="L262" s="17">
        <v>0</v>
      </c>
      <c r="M262" s="14" t="str">
        <v>400</v>
      </c>
      <c r="N262" s="14" t="str">
        <v>258DTS10000203378</v>
      </c>
      <c r="O262" s="14" t="str">
        <v>350</v>
      </c>
      <c r="P262" s="14" t="str">
        <v>LARXU</v>
      </c>
      <c r="Q262" s="14">
        <v>46274</v>
      </c>
      <c r="R262" s="14">
        <v>726</v>
      </c>
      <c r="S262" s="14" t="str">
        <v>STO</v>
      </c>
      <c r="T262" s="14">
        <v>1374</v>
      </c>
      <c r="U262" s="14" t="str">
        <v>4.310367</v>
      </c>
      <c r="V262" s="14" t="str">
        <v>4.62134466</v>
      </c>
      <c r="W262" s="14">
        <v>517.81399999999996</v>
      </c>
      <c r="X262" s="14">
        <v>46313</v>
      </c>
      <c r="Y262" s="14">
        <v>46311</v>
      </c>
      <c r="Z262" s="14">
        <v>0</v>
      </c>
      <c r="AA262" s="14" t="str">
        <v>31825</v>
      </c>
      <c r="AB262" s="14" t="str">
        <v>MAERSK A/S</v>
      </c>
      <c r="AC262" s="14" t="str">
        <v>CN8242011</v>
      </c>
      <c r="AD262" s="14" t="str">
        <v>MERATUS TOMINI</v>
      </c>
      <c r="AE262" s="14" t="str">
        <v>641N</v>
      </c>
      <c r="AF262" s="27" t="str">
        <v>CN</v>
      </c>
      <c r="AG262" s="27" t="str">
        <v>PRT</v>
      </c>
      <c r="AH262" s="14" t="str">
        <v>CNSHA</v>
      </c>
    </row>
    <row r="263" spans="1:34" ht="25.2" customHeight="1" x14ac:dyDescent="0.45">
      <c r="A263" s="17" t="str">
        <v>LF</v>
      </c>
      <c r="B263" s="14">
        <v>0</v>
      </c>
      <c r="C263" s="14" t="str">
        <v>MAEUIK0222793</v>
      </c>
      <c r="D263" s="17" t="str">
        <v>CAJU5747904</v>
      </c>
      <c r="E263" s="14" t="str">
        <v>C40HC</v>
      </c>
      <c r="F263" s="17" t="str">
        <v>319DT260909726252</v>
      </c>
      <c r="G263" s="15">
        <v>0</v>
      </c>
      <c r="H263" s="16">
        <v>0</v>
      </c>
      <c r="I263" s="15">
        <v>0</v>
      </c>
      <c r="J263" s="17">
        <v>0</v>
      </c>
      <c r="K263" s="15">
        <v>0</v>
      </c>
      <c r="L263" s="17">
        <v>0</v>
      </c>
      <c r="M263" s="14" t="str">
        <v>400</v>
      </c>
      <c r="N263" s="14" t="str">
        <v>258DTS10000203378</v>
      </c>
      <c r="O263" s="14" t="str">
        <v>350</v>
      </c>
      <c r="P263" s="14" t="str">
        <v>LARXU</v>
      </c>
      <c r="Q263" s="14">
        <v>46274</v>
      </c>
      <c r="R263" s="14">
        <v>726</v>
      </c>
      <c r="S263" s="14" t="str">
        <v>STO</v>
      </c>
      <c r="T263" s="14">
        <v>14306</v>
      </c>
      <c r="U263" s="14" t="str">
        <v>43.688558</v>
      </c>
      <c r="V263" s="14" t="str">
        <v>47.1030194</v>
      </c>
      <c r="W263" s="14">
        <v>9193.2890000000007</v>
      </c>
      <c r="X263" s="14">
        <v>46313</v>
      </c>
      <c r="Y263" s="14">
        <v>46311</v>
      </c>
      <c r="Z263" s="14">
        <v>0</v>
      </c>
      <c r="AA263" s="14" t="str">
        <v>31825</v>
      </c>
      <c r="AB263" s="14" t="str">
        <v>MAERSK A/S</v>
      </c>
      <c r="AC263" s="14" t="str">
        <v>CN8242011</v>
      </c>
      <c r="AD263" s="14" t="str">
        <v>MERATUS TOMINI</v>
      </c>
      <c r="AE263" s="14" t="str">
        <v>641N</v>
      </c>
      <c r="AF263" s="27" t="str">
        <v>CN</v>
      </c>
      <c r="AG263" s="27" t="str">
        <v>PRT</v>
      </c>
      <c r="AH263" s="14" t="str">
        <v>CNSHA</v>
      </c>
    </row>
    <row r="264" spans="1:34" ht="25.2" customHeight="1" x14ac:dyDescent="0.45">
      <c r="A264" s="17" t="str">
        <v>LF</v>
      </c>
      <c r="B264" s="14">
        <v>0</v>
      </c>
      <c r="C264" s="14" t="str">
        <v>MAEUIK0222889</v>
      </c>
      <c r="D264" s="17" t="str">
        <v>MRSU9558221</v>
      </c>
      <c r="E264" s="14" t="str">
        <v>C40HC</v>
      </c>
      <c r="F264" s="17" t="str">
        <v>294DT260902726471</v>
      </c>
      <c r="G264" s="15">
        <v>0</v>
      </c>
      <c r="H264" s="16">
        <v>0</v>
      </c>
      <c r="I264" s="15">
        <v>0</v>
      </c>
      <c r="J264" s="17">
        <v>0</v>
      </c>
      <c r="K264" s="15">
        <v>0</v>
      </c>
      <c r="L264" s="17">
        <v>0</v>
      </c>
      <c r="M264" s="14" t="str">
        <v>400</v>
      </c>
      <c r="N264" s="14" t="str">
        <v>258DTS10000203566</v>
      </c>
      <c r="O264" s="14" t="str">
        <v>350</v>
      </c>
      <c r="P264" s="14" t="str">
        <v>LARXU</v>
      </c>
      <c r="Q264" s="14">
        <v>46275</v>
      </c>
      <c r="R264" s="14">
        <v>726</v>
      </c>
      <c r="S264" s="14" t="str">
        <v>STO</v>
      </c>
      <c r="T264" s="14">
        <v>2896</v>
      </c>
      <c r="U264" s="14" t="str">
        <v>9.970949</v>
      </c>
      <c r="V264" s="14" t="str">
        <v>10.79053155</v>
      </c>
      <c r="W264" s="14">
        <v>1804.634</v>
      </c>
      <c r="X264" s="14">
        <v>46313</v>
      </c>
      <c r="Y264" s="14">
        <v>46311</v>
      </c>
      <c r="Z264" s="14">
        <v>0</v>
      </c>
      <c r="AA264" s="14" t="str">
        <v>31825</v>
      </c>
      <c r="AB264" s="14" t="str">
        <v>MAERSK A/S</v>
      </c>
      <c r="AC264" s="14" t="str">
        <v>CN8157354</v>
      </c>
      <c r="AD264" s="14" t="str">
        <v>MERATUS TOMINI</v>
      </c>
      <c r="AE264" s="14" t="str">
        <v>641N</v>
      </c>
      <c r="AF264" s="27" t="str">
        <v>CN</v>
      </c>
      <c r="AG264" s="27" t="str">
        <v>PRT</v>
      </c>
      <c r="AH264" s="14" t="str">
        <v>CNSHA</v>
      </c>
    </row>
    <row r="265" spans="1:34" ht="25.2" customHeight="1" x14ac:dyDescent="0.45">
      <c r="A265" s="17" t="str">
        <v>LF</v>
      </c>
      <c r="B265" s="14">
        <v>0</v>
      </c>
      <c r="C265" s="14" t="str">
        <v>MAEUIK0222889</v>
      </c>
      <c r="D265" s="17" t="str">
        <v>MRSU9558221</v>
      </c>
      <c r="E265" s="14" t="str">
        <v>C40HC</v>
      </c>
      <c r="F265" s="17" t="str">
        <v>319DT260902726472</v>
      </c>
      <c r="G265" s="15">
        <v>0</v>
      </c>
      <c r="H265" s="16">
        <v>0</v>
      </c>
      <c r="I265" s="15">
        <v>0</v>
      </c>
      <c r="J265" s="17">
        <v>0</v>
      </c>
      <c r="K265" s="15">
        <v>0</v>
      </c>
      <c r="L265" s="17">
        <v>0</v>
      </c>
      <c r="M265" s="14" t="str">
        <v>400</v>
      </c>
      <c r="N265" s="14" t="str">
        <v>258DTS10000203566</v>
      </c>
      <c r="O265" s="14" t="str">
        <v>350</v>
      </c>
      <c r="P265" s="14" t="str">
        <v>LARXU</v>
      </c>
      <c r="Q265" s="14">
        <v>46275</v>
      </c>
      <c r="R265" s="14">
        <v>726</v>
      </c>
      <c r="S265" s="14" t="str">
        <v>STO</v>
      </c>
      <c r="T265" s="14">
        <v>11160</v>
      </c>
      <c r="U265" s="14" t="str">
        <v>38.465538</v>
      </c>
      <c r="V265" s="14" t="str">
        <v>41.29880105</v>
      </c>
      <c r="W265" s="14">
        <v>6763.01</v>
      </c>
      <c r="X265" s="14">
        <v>46313</v>
      </c>
      <c r="Y265" s="14">
        <v>46311</v>
      </c>
      <c r="Z265" s="14">
        <v>0</v>
      </c>
      <c r="AA265" s="14" t="str">
        <v>31825</v>
      </c>
      <c r="AB265" s="14" t="str">
        <v>MAERSK A/S</v>
      </c>
      <c r="AC265" s="14" t="str">
        <v>CN8157354</v>
      </c>
      <c r="AD265" s="14" t="str">
        <v>MERATUS TOMINI</v>
      </c>
      <c r="AE265" s="14" t="str">
        <v>641N</v>
      </c>
      <c r="AF265" s="27" t="str">
        <v>CN</v>
      </c>
      <c r="AG265" s="27" t="str">
        <v>PRT</v>
      </c>
      <c r="AH265" s="14" t="str">
        <v>CNSHA</v>
      </c>
    </row>
    <row r="266" spans="1:34" ht="25.2" customHeight="1" x14ac:dyDescent="0.45">
      <c r="A266" s="17" t="str">
        <v>LF</v>
      </c>
      <c r="B266" s="14">
        <v>0</v>
      </c>
      <c r="C266" s="14" t="str">
        <v>MAEUIK0222892</v>
      </c>
      <c r="D266" s="17" t="str">
        <v>TRHU5617632</v>
      </c>
      <c r="E266" s="14" t="str">
        <v>C40HC</v>
      </c>
      <c r="F266" s="17" t="str">
        <v>294DT260902726467</v>
      </c>
      <c r="G266" s="15">
        <v>0</v>
      </c>
      <c r="H266" s="16">
        <v>0</v>
      </c>
      <c r="I266" s="15">
        <v>0</v>
      </c>
      <c r="J266" s="17">
        <v>0</v>
      </c>
      <c r="K266" s="15">
        <v>0</v>
      </c>
      <c r="L266" s="17">
        <v>0</v>
      </c>
      <c r="M266" s="14" t="str">
        <v>400</v>
      </c>
      <c r="N266" s="14" t="str">
        <v>258DTS10000203575</v>
      </c>
      <c r="O266" s="14" t="str">
        <v>350</v>
      </c>
      <c r="P266" s="14" t="str">
        <v>LARXU</v>
      </c>
      <c r="Q266" s="14">
        <v>46275</v>
      </c>
      <c r="R266" s="14">
        <v>726</v>
      </c>
      <c r="S266" s="14" t="str">
        <v>STO</v>
      </c>
      <c r="T266" s="14">
        <v>6796</v>
      </c>
      <c r="U266" s="14" t="str">
        <v>15.511823</v>
      </c>
      <c r="V266" s="14" t="str">
        <v>16.72611076</v>
      </c>
      <c r="W266" s="14">
        <v>2540.962</v>
      </c>
      <c r="X266" s="14">
        <v>46313</v>
      </c>
      <c r="Y266" s="14">
        <v>46311</v>
      </c>
      <c r="Z266" s="14">
        <v>0</v>
      </c>
      <c r="AA266" s="14" t="str">
        <v>31825</v>
      </c>
      <c r="AB266" s="14" t="str">
        <v>MAERSK A/S</v>
      </c>
      <c r="AC266" s="14" t="str">
        <v>CN8157209</v>
      </c>
      <c r="AD266" s="14" t="str">
        <v>MERATUS TOMINI</v>
      </c>
      <c r="AE266" s="14" t="str">
        <v>641N</v>
      </c>
      <c r="AF266" s="27" t="str">
        <v>CN</v>
      </c>
      <c r="AG266" s="27" t="str">
        <v>PRT</v>
      </c>
      <c r="AH266" s="14" t="str">
        <v>CNSHA</v>
      </c>
    </row>
    <row r="267" spans="1:34" ht="25.2" customHeight="1" x14ac:dyDescent="0.45">
      <c r="A267" s="17" t="str">
        <v>LF</v>
      </c>
      <c r="B267" s="14">
        <v>0</v>
      </c>
      <c r="C267" s="14" t="str">
        <v>MAEUIK0222892</v>
      </c>
      <c r="D267" s="17" t="str">
        <v>TRHU5617632</v>
      </c>
      <c r="E267" s="14" t="str">
        <v>C40HC</v>
      </c>
      <c r="F267" s="17" t="str">
        <v>319DT260902726468</v>
      </c>
      <c r="G267" s="15">
        <v>0</v>
      </c>
      <c r="H267" s="16">
        <v>0</v>
      </c>
      <c r="I267" s="15">
        <v>0</v>
      </c>
      <c r="J267" s="17">
        <v>0</v>
      </c>
      <c r="K267" s="15">
        <v>0</v>
      </c>
      <c r="L267" s="17">
        <v>0</v>
      </c>
      <c r="M267" s="14" t="str">
        <v>400</v>
      </c>
      <c r="N267" s="14" t="str">
        <v>258DTS10000203575</v>
      </c>
      <c r="O267" s="14" t="str">
        <v>350</v>
      </c>
      <c r="P267" s="14" t="str">
        <v>LARXU</v>
      </c>
      <c r="Q267" s="14">
        <v>46275</v>
      </c>
      <c r="R267" s="14">
        <v>726</v>
      </c>
      <c r="S267" s="14" t="str">
        <v>STO</v>
      </c>
      <c r="T267" s="14">
        <v>12990</v>
      </c>
      <c r="U267" s="14" t="str">
        <v>33.100796</v>
      </c>
      <c r="V267" s="14" t="str">
        <v>35.60262615</v>
      </c>
      <c r="W267" s="14">
        <v>6407.5219999999999</v>
      </c>
      <c r="X267" s="14">
        <v>46313</v>
      </c>
      <c r="Y267" s="14">
        <v>46311</v>
      </c>
      <c r="Z267" s="14">
        <v>0</v>
      </c>
      <c r="AA267" s="14" t="str">
        <v>31825</v>
      </c>
      <c r="AB267" s="14" t="str">
        <v>MAERSK A/S</v>
      </c>
      <c r="AC267" s="14" t="str">
        <v>CN8157209</v>
      </c>
      <c r="AD267" s="14" t="str">
        <v>MERATUS TOMINI</v>
      </c>
      <c r="AE267" s="14" t="str">
        <v>641N</v>
      </c>
      <c r="AF267" s="27" t="str">
        <v>CN</v>
      </c>
      <c r="AG267" s="27" t="str">
        <v>PRT</v>
      </c>
      <c r="AH267" s="14" t="str">
        <v>CNSHA</v>
      </c>
    </row>
    <row r="268" spans="1:34" ht="25.2" customHeight="1" x14ac:dyDescent="0.45">
      <c r="A268" s="17" t="str">
        <v>LF</v>
      </c>
      <c r="B268" s="14">
        <v>0</v>
      </c>
      <c r="C268" s="14" t="str">
        <v>MAEUIK0223570</v>
      </c>
      <c r="D268" s="17" t="str">
        <v>MIEU3938216</v>
      </c>
      <c r="E268" s="14" t="str">
        <v>C40HC</v>
      </c>
      <c r="F268" s="17" t="str">
        <v>294DT260915726858</v>
      </c>
      <c r="G268" s="15">
        <v>0</v>
      </c>
      <c r="H268" s="16">
        <v>0</v>
      </c>
      <c r="I268" s="15">
        <v>0</v>
      </c>
      <c r="J268" s="17">
        <v>0</v>
      </c>
      <c r="K268" s="15">
        <v>0</v>
      </c>
      <c r="L268" s="17">
        <v>0</v>
      </c>
      <c r="M268" s="14" t="str">
        <v>400</v>
      </c>
      <c r="N268" s="14" t="str">
        <v>258DTS10000204281</v>
      </c>
      <c r="O268" s="14" t="str">
        <v>350</v>
      </c>
      <c r="P268" s="14" t="str">
        <v>LARXU</v>
      </c>
      <c r="Q268" s="14">
        <v>46281</v>
      </c>
      <c r="R268" s="14">
        <v>726</v>
      </c>
      <c r="S268" s="14" t="str">
        <v>STO</v>
      </c>
      <c r="T268" s="14">
        <v>4310</v>
      </c>
      <c r="U268" s="14" t="str">
        <v>11.145541</v>
      </c>
      <c r="V268" s="14" t="str">
        <v>12.01766714</v>
      </c>
      <c r="W268" s="14">
        <v>1481.64</v>
      </c>
      <c r="X268" s="14">
        <v>46313</v>
      </c>
      <c r="Y268" s="14">
        <v>46311</v>
      </c>
      <c r="Z268" s="14">
        <v>0</v>
      </c>
      <c r="AA268" s="14" t="str">
        <v>31825</v>
      </c>
      <c r="AB268" s="14" t="str">
        <v>MAERSK A/S</v>
      </c>
      <c r="AC268" s="14" t="str">
        <v>CN8242306</v>
      </c>
      <c r="AD268" s="14" t="str">
        <v>MERATUS TOMINI</v>
      </c>
      <c r="AE268" s="14" t="str">
        <v>641N</v>
      </c>
      <c r="AF268" s="27" t="str">
        <v>CN</v>
      </c>
      <c r="AG268" s="27" t="str">
        <v>PRT</v>
      </c>
      <c r="AH268" s="14" t="str">
        <v>CNSHA</v>
      </c>
    </row>
    <row r="269" spans="1:34" ht="25.2" customHeight="1" x14ac:dyDescent="0.45">
      <c r="A269" s="17" t="str">
        <v>LF</v>
      </c>
      <c r="B269" s="14">
        <v>0</v>
      </c>
      <c r="C269" s="14" t="str">
        <v>MAEUIK0223570</v>
      </c>
      <c r="D269" s="17" t="str">
        <v>MIEU3938216</v>
      </c>
      <c r="E269" s="14" t="str">
        <v>C40HC</v>
      </c>
      <c r="F269" s="17" t="str">
        <v>319DT260915726859</v>
      </c>
      <c r="G269" s="15">
        <v>0</v>
      </c>
      <c r="H269" s="16">
        <v>0</v>
      </c>
      <c r="I269" s="15">
        <v>0</v>
      </c>
      <c r="J269" s="17">
        <v>0</v>
      </c>
      <c r="K269" s="15">
        <v>0</v>
      </c>
      <c r="L269" s="17">
        <v>0</v>
      </c>
      <c r="M269" s="14" t="str">
        <v>400</v>
      </c>
      <c r="N269" s="14" t="str">
        <v>258DTS10000204281</v>
      </c>
      <c r="O269" s="14" t="str">
        <v>350</v>
      </c>
      <c r="P269" s="14" t="str">
        <v>LARXU</v>
      </c>
      <c r="Q269" s="14">
        <v>46281</v>
      </c>
      <c r="R269" s="14">
        <v>726</v>
      </c>
      <c r="S269" s="14" t="str">
        <v>STO</v>
      </c>
      <c r="T269" s="14">
        <v>10794</v>
      </c>
      <c r="U269" s="14" t="str">
        <v>37.124245</v>
      </c>
      <c r="V269" s="14" t="str">
        <v>39.97103811</v>
      </c>
      <c r="W269" s="14">
        <v>7376.8119999999999</v>
      </c>
      <c r="X269" s="14">
        <v>46313</v>
      </c>
      <c r="Y269" s="14">
        <v>46311</v>
      </c>
      <c r="Z269" s="14">
        <v>0</v>
      </c>
      <c r="AA269" s="14" t="str">
        <v>31825</v>
      </c>
      <c r="AB269" s="14" t="str">
        <v>MAERSK A/S</v>
      </c>
      <c r="AC269" s="14" t="str">
        <v>CN8242306</v>
      </c>
      <c r="AD269" s="14" t="str">
        <v>MERATUS TOMINI</v>
      </c>
      <c r="AE269" s="14" t="str">
        <v>641N</v>
      </c>
      <c r="AF269" s="27" t="str">
        <v>CN</v>
      </c>
      <c r="AG269" s="27" t="str">
        <v>PRT</v>
      </c>
      <c r="AH269" s="14" t="str">
        <v>CNSHA</v>
      </c>
    </row>
    <row r="270" spans="1:34" ht="25.2" customHeight="1" x14ac:dyDescent="0.45">
      <c r="A270" s="17" t="str">
        <v>LF</v>
      </c>
      <c r="B270" s="14">
        <v>0</v>
      </c>
      <c r="C270" s="14" t="str">
        <v>MAEUIK0223570</v>
      </c>
      <c r="D270" s="17" t="str">
        <v>MIEU3938216</v>
      </c>
      <c r="E270" s="14" t="str">
        <v>C40HC</v>
      </c>
      <c r="F270" s="17" t="str">
        <v>319DT260915726861</v>
      </c>
      <c r="G270" s="15">
        <v>0</v>
      </c>
      <c r="H270" s="16">
        <v>0</v>
      </c>
      <c r="I270" s="15">
        <v>0</v>
      </c>
      <c r="J270" s="17">
        <v>0</v>
      </c>
      <c r="K270" s="15">
        <v>0</v>
      </c>
      <c r="L270" s="17">
        <v>0</v>
      </c>
      <c r="M270" s="14" t="str">
        <v>400</v>
      </c>
      <c r="N270" s="14" t="str">
        <v>258DTS10000204281</v>
      </c>
      <c r="O270" s="14" t="str">
        <v>350</v>
      </c>
      <c r="P270" s="14" t="str">
        <v>LARXU</v>
      </c>
      <c r="Q270" s="14">
        <v>46281</v>
      </c>
      <c r="R270" s="14">
        <v>726</v>
      </c>
      <c r="S270" s="14" t="str">
        <v>STO</v>
      </c>
      <c r="T270" s="14">
        <v>56</v>
      </c>
      <c r="U270" s="14" t="str">
        <v>0.1834</v>
      </c>
      <c r="V270" s="14" t="str">
        <v>0.19812693</v>
      </c>
      <c r="W270" s="14">
        <v>53.591999999999999</v>
      </c>
      <c r="X270" s="14">
        <v>46313</v>
      </c>
      <c r="Y270" s="14">
        <v>46311</v>
      </c>
      <c r="Z270" s="14">
        <v>0</v>
      </c>
      <c r="AA270" s="14" t="str">
        <v>31825</v>
      </c>
      <c r="AB270" s="14" t="str">
        <v>MAERSK A/S</v>
      </c>
      <c r="AC270" s="14" t="str">
        <v>CN8242306</v>
      </c>
      <c r="AD270" s="14" t="str">
        <v>MERATUS TOMINI</v>
      </c>
      <c r="AE270" s="14" t="str">
        <v>641N</v>
      </c>
      <c r="AF270" s="27" t="str">
        <v>CN</v>
      </c>
      <c r="AG270" s="27" t="str">
        <v>PRT</v>
      </c>
      <c r="AH270" s="14" t="str">
        <v>CNSHA</v>
      </c>
    </row>
    <row r="271" spans="1:34" ht="25.2" customHeight="1" x14ac:dyDescent="0.45">
      <c r="A271" s="17" t="str">
        <v>LF</v>
      </c>
      <c r="B271" s="14">
        <v>0</v>
      </c>
      <c r="C271" s="14" t="str">
        <v>MAEUIK0223712</v>
      </c>
      <c r="D271" s="17" t="str">
        <v>MRSU2568423</v>
      </c>
      <c r="E271" s="14" t="str">
        <v>C40HC</v>
      </c>
      <c r="F271" s="17" t="str">
        <v>294DT260916726232</v>
      </c>
      <c r="G271" s="15">
        <v>0</v>
      </c>
      <c r="H271" s="16">
        <v>0</v>
      </c>
      <c r="I271" s="15">
        <v>0</v>
      </c>
      <c r="J271" s="17">
        <v>0</v>
      </c>
      <c r="K271" s="15">
        <v>0</v>
      </c>
      <c r="L271" s="17">
        <v>0</v>
      </c>
      <c r="M271" s="14" t="str">
        <v>400</v>
      </c>
      <c r="N271" s="14" t="str">
        <v>258DTS10000204544</v>
      </c>
      <c r="O271" s="14" t="str">
        <v>350</v>
      </c>
      <c r="P271" s="14" t="str">
        <v>LARXU</v>
      </c>
      <c r="Q271" s="14">
        <v>46281</v>
      </c>
      <c r="R271" s="14">
        <v>726</v>
      </c>
      <c r="S271" s="14" t="str">
        <v>STO</v>
      </c>
      <c r="T271" s="14">
        <v>3836</v>
      </c>
      <c r="U271" s="14" t="str">
        <v>11.981734</v>
      </c>
      <c r="V271" s="14" t="str">
        <v>12.88120709</v>
      </c>
      <c r="W271" s="14">
        <v>1642.037</v>
      </c>
      <c r="X271" s="14">
        <v>46313</v>
      </c>
      <c r="Y271" s="14">
        <v>46311</v>
      </c>
      <c r="Z271" s="14">
        <v>0</v>
      </c>
      <c r="AA271" s="14" t="str">
        <v>31825</v>
      </c>
      <c r="AB271" s="14" t="str">
        <v>MAERSK A/S</v>
      </c>
      <c r="AC271" s="14" t="str">
        <v>CN0167007</v>
      </c>
      <c r="AD271" s="14" t="str">
        <v>MERATUS TOMINI</v>
      </c>
      <c r="AE271" s="14" t="str">
        <v>641N</v>
      </c>
      <c r="AF271" s="27" t="str">
        <v>CN</v>
      </c>
      <c r="AG271" s="27" t="str">
        <v>PRT</v>
      </c>
      <c r="AH271" s="14" t="str">
        <v>CNSHA</v>
      </c>
    </row>
    <row r="272" spans="1:34" ht="25.2" customHeight="1" x14ac:dyDescent="0.45">
      <c r="A272" s="17" t="str">
        <v>LF</v>
      </c>
      <c r="B272" s="14">
        <v>0</v>
      </c>
      <c r="C272" s="14" t="str">
        <v>MAEUIK0223712</v>
      </c>
      <c r="D272" s="17" t="str">
        <v>MRSU2568423</v>
      </c>
      <c r="E272" s="14" t="str">
        <v>C40HC</v>
      </c>
      <c r="F272" s="17" t="str">
        <v>319DT260916726233</v>
      </c>
      <c r="G272" s="15">
        <v>0</v>
      </c>
      <c r="H272" s="16">
        <v>0</v>
      </c>
      <c r="I272" s="15">
        <v>0</v>
      </c>
      <c r="J272" s="17">
        <v>0</v>
      </c>
      <c r="K272" s="15">
        <v>0</v>
      </c>
      <c r="L272" s="17">
        <v>0</v>
      </c>
      <c r="M272" s="14" t="str">
        <v>400</v>
      </c>
      <c r="N272" s="14" t="str">
        <v>258DTS10000204544</v>
      </c>
      <c r="O272" s="14" t="str">
        <v>350</v>
      </c>
      <c r="P272" s="14" t="str">
        <v>LARXU</v>
      </c>
      <c r="Q272" s="14">
        <v>46281</v>
      </c>
      <c r="R272" s="14">
        <v>726</v>
      </c>
      <c r="S272" s="14" t="str">
        <v>STO</v>
      </c>
      <c r="T272" s="14">
        <v>9941</v>
      </c>
      <c r="U272" s="14" t="str">
        <v>36.202942</v>
      </c>
      <c r="V272" s="14" t="str">
        <v>39.00333607</v>
      </c>
      <c r="W272" s="14">
        <v>7705.2950000000001</v>
      </c>
      <c r="X272" s="14">
        <v>46313</v>
      </c>
      <c r="Y272" s="14">
        <v>46311</v>
      </c>
      <c r="Z272" s="14">
        <v>0</v>
      </c>
      <c r="AA272" s="14" t="str">
        <v>31825</v>
      </c>
      <c r="AB272" s="14" t="str">
        <v>MAERSK A/S</v>
      </c>
      <c r="AC272" s="14" t="str">
        <v>CN0167007</v>
      </c>
      <c r="AD272" s="14" t="str">
        <v>MERATUS TOMINI</v>
      </c>
      <c r="AE272" s="14" t="str">
        <v>641N</v>
      </c>
      <c r="AF272" s="27" t="str">
        <v>CN</v>
      </c>
      <c r="AG272" s="27" t="str">
        <v>PRT</v>
      </c>
      <c r="AH272" s="14" t="str">
        <v>CNSHA</v>
      </c>
    </row>
    <row r="273" spans="1:34" ht="25.2" customHeight="1" x14ac:dyDescent="0.45">
      <c r="A273" s="17" t="str">
        <v>LF</v>
      </c>
      <c r="B273" s="14">
        <v>0</v>
      </c>
      <c r="C273" s="14" t="str">
        <v>MAEUIK0224015</v>
      </c>
      <c r="D273" s="17" t="str">
        <v>FFAU4799198</v>
      </c>
      <c r="E273" s="14" t="str">
        <v>C40HC</v>
      </c>
      <c r="F273" s="17" t="str">
        <v>294DT260916726235</v>
      </c>
      <c r="G273" s="15">
        <v>0</v>
      </c>
      <c r="H273" s="16">
        <v>0</v>
      </c>
      <c r="I273" s="15">
        <v>0</v>
      </c>
      <c r="J273" s="17">
        <v>0</v>
      </c>
      <c r="K273" s="15">
        <v>0</v>
      </c>
      <c r="L273" s="17">
        <v>0</v>
      </c>
      <c r="M273" s="14" t="str">
        <v>400</v>
      </c>
      <c r="N273" s="14" t="str">
        <v>258DTS10000204940</v>
      </c>
      <c r="O273" s="14" t="str">
        <v>350</v>
      </c>
      <c r="P273" s="14" t="str">
        <v>LARXU</v>
      </c>
      <c r="Q273" s="14">
        <v>46283</v>
      </c>
      <c r="R273" s="14">
        <v>726</v>
      </c>
      <c r="S273" s="14" t="str">
        <v>STO</v>
      </c>
      <c r="T273" s="14">
        <v>5367</v>
      </c>
      <c r="U273" s="14" t="str">
        <v>14.925767</v>
      </c>
      <c r="V273" s="14" t="str">
        <v>16.11441961</v>
      </c>
      <c r="W273" s="14">
        <v>2624.663</v>
      </c>
      <c r="X273" s="14">
        <v>46313</v>
      </c>
      <c r="Y273" s="14">
        <v>46311</v>
      </c>
      <c r="Z273" s="14">
        <v>0</v>
      </c>
      <c r="AA273" s="14" t="str">
        <v>31825</v>
      </c>
      <c r="AB273" s="14" t="str">
        <v>MAERSK A/S</v>
      </c>
      <c r="AC273" s="14" t="str">
        <v>CN8198705</v>
      </c>
      <c r="AD273" s="14" t="str">
        <v>MERATUS TOMINI</v>
      </c>
      <c r="AE273" s="14" t="str">
        <v>641N</v>
      </c>
      <c r="AF273" s="27" t="str">
        <v>CN</v>
      </c>
      <c r="AG273" s="27" t="str">
        <v>PRT</v>
      </c>
      <c r="AH273" s="14" t="str">
        <v>CNSHA</v>
      </c>
    </row>
    <row r="274" spans="1:34" ht="25.2" customHeight="1" x14ac:dyDescent="0.45">
      <c r="A274" s="17" t="str">
        <v>LF</v>
      </c>
      <c r="B274" s="14">
        <v>0</v>
      </c>
      <c r="C274" s="14" t="str">
        <v>MAEUIK0224015</v>
      </c>
      <c r="D274" s="17" t="str">
        <v>FFAU4799198</v>
      </c>
      <c r="E274" s="14" t="str">
        <v>C40HC</v>
      </c>
      <c r="F274" s="17" t="str">
        <v>319DT260916726236</v>
      </c>
      <c r="G274" s="15">
        <v>0</v>
      </c>
      <c r="H274" s="16">
        <v>0</v>
      </c>
      <c r="I274" s="15">
        <v>0</v>
      </c>
      <c r="J274" s="17">
        <v>0</v>
      </c>
      <c r="K274" s="15">
        <v>0</v>
      </c>
      <c r="L274" s="17">
        <v>0</v>
      </c>
      <c r="M274" s="14" t="str">
        <v>400</v>
      </c>
      <c r="N274" s="14" t="str">
        <v>258DTS10000204940</v>
      </c>
      <c r="O274" s="14" t="str">
        <v>350</v>
      </c>
      <c r="P274" s="14" t="str">
        <v>LARXU</v>
      </c>
      <c r="Q274" s="14">
        <v>46283</v>
      </c>
      <c r="R274" s="14">
        <v>726</v>
      </c>
      <c r="S274" s="14" t="str">
        <v>STO</v>
      </c>
      <c r="T274" s="14">
        <v>11394</v>
      </c>
      <c r="U274" s="14" t="str">
        <v>33.372931</v>
      </c>
      <c r="V274" s="14" t="str">
        <v>35.98567759</v>
      </c>
      <c r="W274" s="14">
        <v>5480.0259999999998</v>
      </c>
      <c r="X274" s="14">
        <v>46313</v>
      </c>
      <c r="Y274" s="14">
        <v>46311</v>
      </c>
      <c r="Z274" s="14">
        <v>0</v>
      </c>
      <c r="AA274" s="14" t="str">
        <v>31825</v>
      </c>
      <c r="AB274" s="14" t="str">
        <v>MAERSK A/S</v>
      </c>
      <c r="AC274" s="14" t="str">
        <v>CN8198705</v>
      </c>
      <c r="AD274" s="14" t="str">
        <v>MERATUS TOMINI</v>
      </c>
      <c r="AE274" s="14" t="str">
        <v>641N</v>
      </c>
      <c r="AF274" s="27" t="str">
        <v>CN</v>
      </c>
      <c r="AG274" s="27" t="str">
        <v>PRT</v>
      </c>
      <c r="AH274" s="14" t="str">
        <v>CNSHA</v>
      </c>
    </row>
    <row r="275" spans="1:34" ht="25.2" customHeight="1" x14ac:dyDescent="0.45">
      <c r="A275" s="17" t="str">
        <v>HF</v>
      </c>
      <c r="B275" s="14">
        <v>0</v>
      </c>
      <c r="C275" s="14" t="str">
        <v>MAEUIK0224017</v>
      </c>
      <c r="D275" s="17" t="str">
        <v>MRKU2338900</v>
      </c>
      <c r="E275" s="14" t="str">
        <v>C40HC</v>
      </c>
      <c r="F275" s="17" t="str">
        <v>258DT260918726201</v>
      </c>
      <c r="G275" s="15">
        <v>0</v>
      </c>
      <c r="H275" s="16">
        <v>0</v>
      </c>
      <c r="I275" s="15">
        <v>0</v>
      </c>
      <c r="J275" s="17">
        <v>0</v>
      </c>
      <c r="K275" s="15">
        <v>0</v>
      </c>
      <c r="L275" s="17">
        <v>0</v>
      </c>
      <c r="M275" s="14" t="str">
        <v>400</v>
      </c>
      <c r="N275" s="14" t="str">
        <v>258DTS10000204934</v>
      </c>
      <c r="O275" s="14" t="str">
        <v>350</v>
      </c>
      <c r="P275" s="14">
        <v>0</v>
      </c>
      <c r="Q275" s="14">
        <v>46283</v>
      </c>
      <c r="R275" s="14">
        <v>726</v>
      </c>
      <c r="S275" s="14" t="str">
        <v>STO</v>
      </c>
      <c r="T275" s="14">
        <v>6429</v>
      </c>
      <c r="U275" s="14" t="str">
        <v>55.176729</v>
      </c>
      <c r="V275" s="14" t="str">
        <v>59.40889961</v>
      </c>
      <c r="W275" s="14">
        <v>10170.107</v>
      </c>
      <c r="X275" s="14">
        <v>46313</v>
      </c>
      <c r="Y275" s="14">
        <v>46311</v>
      </c>
      <c r="Z275" s="14">
        <v>0</v>
      </c>
      <c r="AA275" s="14" t="str">
        <v>31825</v>
      </c>
      <c r="AB275" s="14" t="str">
        <v>MAERSK A/S</v>
      </c>
      <c r="AC275" s="14" t="str">
        <v>CN0167143</v>
      </c>
      <c r="AD275" s="14" t="str">
        <v>MERATUS TOMINI</v>
      </c>
      <c r="AE275" s="14" t="str">
        <v>641N</v>
      </c>
      <c r="AF275" s="27" t="str">
        <v>CN</v>
      </c>
      <c r="AG275" s="27" t="str">
        <v>PRT</v>
      </c>
      <c r="AH275" s="14" t="str">
        <v>CNSHA</v>
      </c>
    </row>
    <row r="276" spans="1:34" x14ac:dyDescent="0.45">
      <c r="A276" s="11" t="str">
        <v>LF</v>
      </c>
      <c r="B276">
        <v>0</v>
      </c>
      <c r="C276" t="str">
        <v>MAEUIK0224077</v>
      </c>
      <c r="D276" s="11" t="str">
        <v>TCNU1707117</v>
      </c>
      <c r="E276" t="str">
        <v>C40HC</v>
      </c>
      <c r="F276" s="11" t="str">
        <v>294DT260917726491</v>
      </c>
      <c r="G276" s="12">
        <v>0</v>
      </c>
      <c r="H276" s="13">
        <v>0</v>
      </c>
      <c r="I276" s="12">
        <v>0</v>
      </c>
      <c r="J276" s="11">
        <v>0</v>
      </c>
      <c r="K276" s="12">
        <v>0</v>
      </c>
      <c r="L276" s="11">
        <v>0</v>
      </c>
      <c r="M276" t="str">
        <v>400</v>
      </c>
      <c r="N276" t="str">
        <v>258DTS10000205097</v>
      </c>
      <c r="O276" t="str">
        <v>350</v>
      </c>
      <c r="P276" t="str">
        <v>LARXU</v>
      </c>
      <c r="Q276">
        <v>46283</v>
      </c>
      <c r="R276">
        <v>726</v>
      </c>
      <c r="S276" t="str">
        <v>STO</v>
      </c>
      <c r="T276">
        <v>5527</v>
      </c>
      <c r="U276" t="str">
        <v>22.923508</v>
      </c>
      <c r="V276" t="str">
        <v>24.64020612</v>
      </c>
      <c r="W276">
        <v>3684.873</v>
      </c>
      <c r="X276">
        <v>46313</v>
      </c>
      <c r="Y276">
        <v>46311</v>
      </c>
      <c r="Z276">
        <v>0</v>
      </c>
      <c r="AA276" t="str">
        <v>31825</v>
      </c>
      <c r="AB276" t="str">
        <v>MAERSK A/S</v>
      </c>
      <c r="AC276" t="str">
        <v>CN8242257</v>
      </c>
      <c r="AD276" t="str">
        <v>MERATUS TOMINI</v>
      </c>
      <c r="AE276" t="str">
        <v>641N</v>
      </c>
      <c r="AF276" s="28" t="str">
        <v>CN</v>
      </c>
      <c r="AG276" s="28" t="str">
        <v>PRT</v>
      </c>
      <c r="AH276" t="str">
        <v>CNSHA</v>
      </c>
    </row>
    <row r="277" spans="1:34" x14ac:dyDescent="0.45">
      <c r="A277" s="11" t="str">
        <v>LF</v>
      </c>
      <c r="B277">
        <v>0</v>
      </c>
      <c r="C277" t="str">
        <v>MAEUIK0224077</v>
      </c>
      <c r="D277" s="11" t="str">
        <v>TCNU1707117</v>
      </c>
      <c r="E277" t="str">
        <v>C40HC</v>
      </c>
      <c r="F277" s="11" t="str">
        <v>319DT260917726492</v>
      </c>
      <c r="G277" s="12">
        <v>0</v>
      </c>
      <c r="H277" s="13">
        <v>0</v>
      </c>
      <c r="I277" s="12">
        <v>0</v>
      </c>
      <c r="J277" s="11">
        <v>0</v>
      </c>
      <c r="K277" s="12">
        <v>0</v>
      </c>
      <c r="L277" s="11">
        <v>0</v>
      </c>
      <c r="M277" t="str">
        <v>400</v>
      </c>
      <c r="N277" t="str">
        <v>258DTS10000205097</v>
      </c>
      <c r="O277" t="str">
        <v>350</v>
      </c>
      <c r="P277" t="str">
        <v>LARXU</v>
      </c>
      <c r="Q277">
        <v>46283</v>
      </c>
      <c r="R277">
        <v>726</v>
      </c>
      <c r="S277" t="str">
        <v>STO</v>
      </c>
      <c r="T277">
        <v>7006</v>
      </c>
      <c r="U277" t="str">
        <v>25.482276</v>
      </c>
      <c r="V277" t="str">
        <v>27.44165849</v>
      </c>
      <c r="W277">
        <v>4707.1639999999998</v>
      </c>
      <c r="X277">
        <v>46313</v>
      </c>
      <c r="Y277">
        <v>46311</v>
      </c>
      <c r="Z277">
        <v>0</v>
      </c>
      <c r="AA277" t="str">
        <v>31825</v>
      </c>
      <c r="AB277" t="str">
        <v>MAERSK A/S</v>
      </c>
      <c r="AC277" t="str">
        <v>CN8242257</v>
      </c>
      <c r="AD277" t="str">
        <v>MERATUS TOMINI</v>
      </c>
      <c r="AE277" t="str">
        <v>641N</v>
      </c>
      <c r="AF277" s="28" t="str">
        <v>CN</v>
      </c>
      <c r="AG277" s="28" t="str">
        <v>PRT</v>
      </c>
      <c r="AH277" t="str">
        <v>CNSHA</v>
      </c>
    </row>
    <row r="278" spans="1:34" x14ac:dyDescent="0.45">
      <c r="A278" s="11" t="str">
        <v>HF</v>
      </c>
      <c r="B278">
        <v>0</v>
      </c>
      <c r="C278" t="str">
        <v>MAEUIK0225195</v>
      </c>
      <c r="D278" s="11" t="str">
        <v>MRSU6357959</v>
      </c>
      <c r="E278" t="str">
        <v>C40HC</v>
      </c>
      <c r="F278" s="11" t="str">
        <v>258DT260928726674</v>
      </c>
      <c r="G278" s="12">
        <v>0</v>
      </c>
      <c r="H278" s="13">
        <v>0</v>
      </c>
      <c r="I278" s="12">
        <v>0</v>
      </c>
      <c r="J278" s="11">
        <v>0</v>
      </c>
      <c r="K278" s="12">
        <v>0</v>
      </c>
      <c r="L278" s="11">
        <v>0</v>
      </c>
      <c r="M278" t="str">
        <v>400</v>
      </c>
      <c r="N278" t="str">
        <v>258DTS10000206425</v>
      </c>
      <c r="O278" t="str">
        <v>350</v>
      </c>
      <c r="P278">
        <v>0</v>
      </c>
      <c r="Q278">
        <v>46293</v>
      </c>
      <c r="R278">
        <v>726</v>
      </c>
      <c r="S278" t="str">
        <v>STO</v>
      </c>
      <c r="T278">
        <v>7610</v>
      </c>
      <c r="U278" t="str">
        <v>55.318827</v>
      </c>
      <c r="V278" t="str">
        <v>59.65059377</v>
      </c>
      <c r="W278">
        <v>11318.261</v>
      </c>
      <c r="X278">
        <v>46313</v>
      </c>
      <c r="Y278">
        <v>46311</v>
      </c>
      <c r="Z278">
        <v>0</v>
      </c>
      <c r="AA278" t="str">
        <v>31825</v>
      </c>
      <c r="AB278" t="str">
        <v>MAERSK A/S</v>
      </c>
      <c r="AC278" t="str">
        <v>CN8208085</v>
      </c>
      <c r="AD278" t="str">
        <v>MERATUS TOMINI</v>
      </c>
      <c r="AE278" t="str">
        <v>641N</v>
      </c>
      <c r="AF278" s="28" t="str">
        <v>CN</v>
      </c>
      <c r="AG278" s="28" t="str">
        <v>PRT</v>
      </c>
      <c r="AH278" t="str">
        <v>CNSHA</v>
      </c>
    </row>
    <row r="279" spans="1:34" x14ac:dyDescent="0.45">
      <c r="A279" s="11" t="str">
        <v>HF</v>
      </c>
      <c r="B279" t="str">
        <v>F/C</v>
      </c>
      <c r="C279" t="str">
        <v>MAEUIK0225588</v>
      </c>
      <c r="D279" s="11" t="str">
        <v>MIEU4036427</v>
      </c>
      <c r="E279" t="str">
        <v>C40HC</v>
      </c>
      <c r="F279" s="11" t="str">
        <v>258DT260930726825</v>
      </c>
      <c r="G279" s="12">
        <v>0</v>
      </c>
      <c r="H279" s="13">
        <v>0</v>
      </c>
      <c r="I279" s="12">
        <v>0</v>
      </c>
      <c r="J279" s="11">
        <v>0</v>
      </c>
      <c r="K279" s="12">
        <v>0</v>
      </c>
      <c r="L279" s="11">
        <v>0</v>
      </c>
      <c r="M279" t="str">
        <v>400</v>
      </c>
      <c r="N279" t="str">
        <v>258DTS10000206977</v>
      </c>
      <c r="O279" t="str">
        <v>350</v>
      </c>
      <c r="P279">
        <v>0</v>
      </c>
      <c r="Q279">
        <v>46295</v>
      </c>
      <c r="R279">
        <v>726</v>
      </c>
      <c r="S279" t="str">
        <v>STO</v>
      </c>
      <c r="T279">
        <v>23893</v>
      </c>
      <c r="U279" t="str">
        <v>54.751079</v>
      </c>
      <c r="V279" t="str">
        <v>59.20365495</v>
      </c>
      <c r="W279">
        <v>10859.633</v>
      </c>
      <c r="X279">
        <v>46313</v>
      </c>
      <c r="Y279">
        <v>46311</v>
      </c>
      <c r="Z279">
        <v>0</v>
      </c>
      <c r="AA279" t="str">
        <v>31825</v>
      </c>
      <c r="AB279" t="str">
        <v>MAERSK A/S</v>
      </c>
      <c r="AC279" t="str">
        <v>CN8062229</v>
      </c>
      <c r="AD279" t="str">
        <v>MERATUS TOMINI</v>
      </c>
      <c r="AE279" t="str">
        <v>641N</v>
      </c>
      <c r="AF279" s="28" t="str">
        <v>CN</v>
      </c>
      <c r="AG279" s="28" t="str">
        <v>PRT</v>
      </c>
      <c r="AH279" t="str">
        <v>CNSHA</v>
      </c>
    </row>
    <row r="280" spans="1:34" x14ac:dyDescent="0.45">
      <c r="A280" s="11" t="str">
        <v>HF</v>
      </c>
      <c r="B280">
        <v>0</v>
      </c>
      <c r="C280" t="str">
        <v>MAEUIK0225591</v>
      </c>
      <c r="D280" s="11" t="str">
        <v>MIEU3034986</v>
      </c>
      <c r="E280" t="str">
        <v>C40HC</v>
      </c>
      <c r="F280" s="11" t="str">
        <v>258DT260930726853</v>
      </c>
      <c r="G280" s="12">
        <v>0</v>
      </c>
      <c r="H280" s="13">
        <v>0</v>
      </c>
      <c r="I280" s="12">
        <v>0</v>
      </c>
      <c r="J280" s="11">
        <v>0</v>
      </c>
      <c r="K280" s="12">
        <v>0</v>
      </c>
      <c r="L280" s="11">
        <v>0</v>
      </c>
      <c r="M280" t="str">
        <v>400</v>
      </c>
      <c r="N280" t="str">
        <v>258DTS10000206956</v>
      </c>
      <c r="O280" t="str">
        <v>350</v>
      </c>
      <c r="P280">
        <v>0</v>
      </c>
      <c r="Q280">
        <v>46295</v>
      </c>
      <c r="R280">
        <v>726</v>
      </c>
      <c r="S280" t="str">
        <v>STO</v>
      </c>
      <c r="T280">
        <v>11393</v>
      </c>
      <c r="U280" t="str">
        <v>55.246621</v>
      </c>
      <c r="V280" t="str">
        <v>59.56148233</v>
      </c>
      <c r="W280">
        <v>11916.781000000001</v>
      </c>
      <c r="X280">
        <v>46313</v>
      </c>
      <c r="Y280">
        <v>46311</v>
      </c>
      <c r="Z280">
        <v>0</v>
      </c>
      <c r="AA280" t="str">
        <v>31825</v>
      </c>
      <c r="AB280" t="str">
        <v>MAERSK A/S</v>
      </c>
      <c r="AC280" t="str">
        <v>CN0167161</v>
      </c>
      <c r="AD280" t="str">
        <v>MERATUS TOMINI</v>
      </c>
      <c r="AE280" t="str">
        <v>641N</v>
      </c>
      <c r="AF280" s="28" t="str">
        <v>CN</v>
      </c>
      <c r="AG280" s="28" t="str">
        <v>PRT</v>
      </c>
      <c r="AH280" t="str">
        <v>CNSHA</v>
      </c>
    </row>
    <row r="281" spans="1:34" x14ac:dyDescent="0.45">
      <c r="A281" s="11" t="str">
        <v>DD</v>
      </c>
      <c r="B281" t="str">
        <v>MILK RUN NOR</v>
      </c>
      <c r="C281" t="str">
        <v>EGLV003601232700</v>
      </c>
      <c r="D281" s="11" t="str">
        <v>EGSU2400975</v>
      </c>
      <c r="E281" t="str">
        <v>C20DV</v>
      </c>
      <c r="F281" s="11" t="str">
        <v>22280SUP263772601CP</v>
      </c>
      <c r="G281" s="12">
        <v>0</v>
      </c>
      <c r="H281" s="13">
        <v>0</v>
      </c>
      <c r="I281" s="12">
        <v>0</v>
      </c>
      <c r="J281" s="11">
        <v>0</v>
      </c>
      <c r="K281" s="12">
        <v>0</v>
      </c>
      <c r="L281" s="11">
        <v>0</v>
      </c>
      <c r="M281" t="str">
        <v>420</v>
      </c>
      <c r="N281" t="str">
        <v>012TSOS10000411204</v>
      </c>
      <c r="O281" t="str">
        <v>300</v>
      </c>
      <c r="P281" t="str">
        <v>PHWAN5</v>
      </c>
      <c r="Q281">
        <v>46288</v>
      </c>
      <c r="R281">
        <v>726</v>
      </c>
      <c r="S281" t="str">
        <v>STO</v>
      </c>
      <c r="T281">
        <v>264</v>
      </c>
      <c r="U281" t="str">
        <v>7.421112</v>
      </c>
      <c r="V281" t="str">
        <v>8.020413</v>
      </c>
      <c r="W281">
        <v>507.05</v>
      </c>
      <c r="X281">
        <v>46322</v>
      </c>
      <c r="Y281">
        <v>46325</v>
      </c>
      <c r="Z281">
        <v>0</v>
      </c>
      <c r="AA281" t="str">
        <v>31267</v>
      </c>
      <c r="AB281" t="str">
        <v>EVERGREEN LINE</v>
      </c>
      <c r="AC281" t="str">
        <v>EMCCRV5815</v>
      </c>
      <c r="AD281" t="str">
        <v>EVER CONFORM</v>
      </c>
      <c r="AE281" t="str">
        <v>0173-090N</v>
      </c>
      <c r="AF281" s="28" t="str">
        <v>TW</v>
      </c>
      <c r="AG281" s="28" t="str">
        <v>PRT</v>
      </c>
      <c r="AH281" t="str">
        <v>TWTXG</v>
      </c>
    </row>
    <row r="282" spans="1:34" x14ac:dyDescent="0.45">
      <c r="A282" s="11" t="str">
        <v>DD</v>
      </c>
      <c r="B282" t="str">
        <v>MILK RUN NOR</v>
      </c>
      <c r="C282" t="str">
        <v>EGLV003601232700</v>
      </c>
      <c r="D282" s="11" t="str">
        <v>EGSU2400975</v>
      </c>
      <c r="E282" t="str">
        <v>C20DV</v>
      </c>
      <c r="F282" s="11" t="str">
        <v>22280SUP264072601CP</v>
      </c>
      <c r="G282" s="12">
        <v>0</v>
      </c>
      <c r="H282" s="13">
        <v>0</v>
      </c>
      <c r="I282" s="12">
        <v>0</v>
      </c>
      <c r="J282" s="11">
        <v>0</v>
      </c>
      <c r="K282" s="12">
        <v>0</v>
      </c>
      <c r="L282" s="11">
        <v>0</v>
      </c>
      <c r="M282" t="str">
        <v>420</v>
      </c>
      <c r="N282" t="str">
        <v>012TSOS10000411204</v>
      </c>
      <c r="O282" t="str">
        <v>300</v>
      </c>
      <c r="P282" t="str">
        <v>PHWAN5</v>
      </c>
      <c r="Q282">
        <v>46288</v>
      </c>
      <c r="R282">
        <v>726</v>
      </c>
      <c r="S282" t="str">
        <v>STO</v>
      </c>
      <c r="T282">
        <v>980</v>
      </c>
      <c r="U282" t="str">
        <v>3.559504</v>
      </c>
      <c r="V282" t="str">
        <v>3.878283</v>
      </c>
      <c r="W282">
        <v>339.26</v>
      </c>
      <c r="X282">
        <v>46322</v>
      </c>
      <c r="Y282">
        <v>46325</v>
      </c>
      <c r="Z282">
        <v>0</v>
      </c>
      <c r="AA282" t="str">
        <v>31267</v>
      </c>
      <c r="AB282" t="str">
        <v>EVERGREEN LINE</v>
      </c>
      <c r="AC282" t="str">
        <v>EMCCRV5815</v>
      </c>
      <c r="AD282" t="str">
        <v>EVER CONFORM</v>
      </c>
      <c r="AE282" t="str">
        <v>0173-090N</v>
      </c>
      <c r="AF282" s="28" t="str">
        <v>TW</v>
      </c>
      <c r="AG282" s="28" t="str">
        <v>PRT</v>
      </c>
      <c r="AH282" t="str">
        <v>TWTXG</v>
      </c>
    </row>
    <row r="283" spans="1:34" x14ac:dyDescent="0.45">
      <c r="A283" s="11" t="str">
        <v>LF</v>
      </c>
      <c r="B283">
        <v>0</v>
      </c>
      <c r="C283" t="str">
        <v>MAEUIK0223577</v>
      </c>
      <c r="D283" s="11" t="str">
        <v>MRSU5757550</v>
      </c>
      <c r="E283" t="str">
        <v>C40HC</v>
      </c>
      <c r="F283" s="11" t="str">
        <v>294DT260915726855</v>
      </c>
      <c r="G283" s="12">
        <v>0</v>
      </c>
      <c r="H283" s="13">
        <v>0</v>
      </c>
      <c r="I283" s="12">
        <v>0</v>
      </c>
      <c r="J283" s="11">
        <v>0</v>
      </c>
      <c r="K283" s="12">
        <v>0</v>
      </c>
      <c r="L283" s="11">
        <v>0</v>
      </c>
      <c r="M283" t="str">
        <v>400</v>
      </c>
      <c r="N283" t="str">
        <v>258DTS10000204304</v>
      </c>
      <c r="O283" t="str">
        <v>350</v>
      </c>
      <c r="P283" t="str">
        <v>LARXU</v>
      </c>
      <c r="Q283">
        <v>46281</v>
      </c>
      <c r="R283">
        <v>726</v>
      </c>
      <c r="S283" t="str">
        <v>STO</v>
      </c>
      <c r="T283">
        <v>8901</v>
      </c>
      <c r="U283" t="str">
        <v>19.32211</v>
      </c>
      <c r="V283" t="str">
        <v>20.8353857</v>
      </c>
      <c r="W283">
        <v>2643.8710000000001</v>
      </c>
      <c r="X283">
        <v>46313</v>
      </c>
      <c r="Y283">
        <v>46311</v>
      </c>
      <c r="Z283">
        <v>0</v>
      </c>
      <c r="AA283" t="str">
        <v>31825</v>
      </c>
      <c r="AB283" t="str">
        <v>MAERSK A/S</v>
      </c>
      <c r="AC283" t="str">
        <v>CN8156664</v>
      </c>
      <c r="AD283" t="str">
        <v>MERATUS TOMINI</v>
      </c>
      <c r="AE283" t="str">
        <v>641N</v>
      </c>
      <c r="AF283" s="28" t="str">
        <v>CN</v>
      </c>
      <c r="AG283" s="28" t="str">
        <v>PRT</v>
      </c>
      <c r="AH283" t="str">
        <v>CNSHA</v>
      </c>
    </row>
    <row r="284" spans="1:34" x14ac:dyDescent="0.45">
      <c r="A284" s="11" t="str">
        <v>LF</v>
      </c>
      <c r="B284">
        <v>0</v>
      </c>
      <c r="C284" t="str">
        <v>MAEUIK0223577</v>
      </c>
      <c r="D284" s="11" t="str">
        <v>MRSU5757550</v>
      </c>
      <c r="E284" t="str">
        <v>C40HC</v>
      </c>
      <c r="F284" s="11" t="str">
        <v>319DT260915726856</v>
      </c>
      <c r="G284" s="12">
        <v>0</v>
      </c>
      <c r="H284" s="13">
        <v>0</v>
      </c>
      <c r="I284" s="12">
        <v>0</v>
      </c>
      <c r="J284" s="11">
        <v>0</v>
      </c>
      <c r="K284" s="12">
        <v>0</v>
      </c>
      <c r="L284" s="11">
        <v>0</v>
      </c>
      <c r="M284" t="str">
        <v>400</v>
      </c>
      <c r="N284" t="str">
        <v>258DTS10000204304</v>
      </c>
      <c r="O284" t="str">
        <v>350</v>
      </c>
      <c r="P284" t="str">
        <v>LARXU</v>
      </c>
      <c r="Q284">
        <v>46281</v>
      </c>
      <c r="R284">
        <v>726</v>
      </c>
      <c r="S284" t="str">
        <v>STO</v>
      </c>
      <c r="T284">
        <v>8887</v>
      </c>
      <c r="U284" t="str">
        <v>28.816277</v>
      </c>
      <c r="V284" t="str">
        <v>31.0254344</v>
      </c>
      <c r="W284">
        <v>5728.3140000000003</v>
      </c>
      <c r="X284">
        <v>46313</v>
      </c>
      <c r="Y284">
        <v>46311</v>
      </c>
      <c r="Z284">
        <v>0</v>
      </c>
      <c r="AA284" t="str">
        <v>31825</v>
      </c>
      <c r="AB284" t="str">
        <v>MAERSK A/S</v>
      </c>
      <c r="AC284" t="str">
        <v>CN8156664</v>
      </c>
      <c r="AD284" t="str">
        <v>MERATUS TOMINI</v>
      </c>
      <c r="AE284" t="str">
        <v>641N</v>
      </c>
      <c r="AF284" s="28" t="str">
        <v>CN</v>
      </c>
      <c r="AG284" s="28" t="str">
        <v>PRT</v>
      </c>
      <c r="AH284" t="str">
        <v>CNSHA</v>
      </c>
    </row>
    <row r="285" spans="1:34" x14ac:dyDescent="0.45">
      <c r="A285" s="11" t="str">
        <v>DD</v>
      </c>
      <c r="B285" t="str">
        <v>MILK RUN NOR</v>
      </c>
      <c r="C285" t="str">
        <v>MAEUIK0223461</v>
      </c>
      <c r="D285" s="11" t="str">
        <v>TIIU8681482</v>
      </c>
      <c r="E285" t="str">
        <v>C40HC</v>
      </c>
      <c r="F285" s="11" t="str">
        <v>22715SUPECIS75102</v>
      </c>
      <c r="G285" s="12">
        <v>0</v>
      </c>
      <c r="H285" s="13">
        <v>0</v>
      </c>
      <c r="I285" s="12">
        <v>46307</v>
      </c>
      <c r="J285" s="11">
        <v>0</v>
      </c>
      <c r="K285" s="12">
        <v>46305</v>
      </c>
      <c r="L285" s="11">
        <v>0</v>
      </c>
      <c r="M285" t="str">
        <v>400</v>
      </c>
      <c r="N285" t="str">
        <v>037TSOS10000705057</v>
      </c>
      <c r="O285" t="str">
        <v>350</v>
      </c>
      <c r="P285" t="str">
        <v>JIZHU80</v>
      </c>
      <c r="Q285">
        <v>46280</v>
      </c>
      <c r="R285">
        <v>726</v>
      </c>
      <c r="S285" t="str">
        <v>STO</v>
      </c>
      <c r="T285">
        <v>82</v>
      </c>
      <c r="U285" t="str">
        <v>9.975374</v>
      </c>
      <c r="V285" t="str">
        <v>10.633009</v>
      </c>
      <c r="W285">
        <v>4308.1099999999997</v>
      </c>
      <c r="X285">
        <v>46316</v>
      </c>
      <c r="Y285">
        <v>46305</v>
      </c>
      <c r="Z285">
        <v>0</v>
      </c>
      <c r="AA285" t="str">
        <v>31825</v>
      </c>
      <c r="AB285" t="str">
        <v>MAERSK A/S</v>
      </c>
      <c r="AC285" t="str">
        <v>CN8050045</v>
      </c>
      <c r="AD285" t="str">
        <v>MERATUS JIMBARAN</v>
      </c>
      <c r="AE285" t="str">
        <v>638N</v>
      </c>
      <c r="AF285" s="28" t="str">
        <v>CN</v>
      </c>
      <c r="AG285" s="28" t="str">
        <v>PRT</v>
      </c>
      <c r="AH285" t="str">
        <v>CNSHA</v>
      </c>
    </row>
    <row r="286" spans="1:34" x14ac:dyDescent="0.45">
      <c r="A286" s="11" t="str">
        <v>HF</v>
      </c>
      <c r="B286" t="str">
        <v/>
      </c>
      <c r="C286" t="str">
        <v>HDMUSHAA75080000</v>
      </c>
      <c r="D286" s="11" t="str">
        <v>HMMU4749785</v>
      </c>
      <c r="E286" t="str">
        <v>C40HC</v>
      </c>
      <c r="F286" s="11" t="str">
        <v>258DT260902726207</v>
      </c>
      <c r="G286" s="12">
        <v>0</v>
      </c>
      <c r="H286" s="13">
        <v>0</v>
      </c>
      <c r="I286" s="12">
        <v>46307</v>
      </c>
      <c r="J286" s="11">
        <v>0</v>
      </c>
      <c r="K286" s="12">
        <v>46306</v>
      </c>
      <c r="L286" s="11">
        <v>0</v>
      </c>
      <c r="M286" t="str">
        <v>400</v>
      </c>
      <c r="N286" t="str">
        <v>258DTS10000202331</v>
      </c>
      <c r="O286" t="str">
        <v>350</v>
      </c>
      <c r="P286" t="str">
        <v>JEGAO9</v>
      </c>
      <c r="Q286">
        <v>46268</v>
      </c>
      <c r="R286">
        <v>726</v>
      </c>
      <c r="S286" t="str">
        <v>STO</v>
      </c>
      <c r="T286">
        <v>6954</v>
      </c>
      <c r="U286" t="str">
        <v>44.367776</v>
      </c>
      <c r="V286" t="str">
        <v>47.6469915</v>
      </c>
      <c r="W286">
        <v>7868.8869999999997</v>
      </c>
      <c r="X286">
        <v>46298</v>
      </c>
      <c r="Y286">
        <v>46306</v>
      </c>
      <c r="Z286">
        <v>0</v>
      </c>
      <c r="AA286" t="str">
        <v>31676</v>
      </c>
      <c r="AB286" t="str">
        <v>HMM CO., LTD.</v>
      </c>
      <c r="AC286" t="str">
        <v>26H0386999</v>
      </c>
      <c r="AD286" t="str">
        <v>HMM DIAMOND</v>
      </c>
      <c r="AE286" t="str">
        <v>0012E</v>
      </c>
      <c r="AF286" s="28" t="str">
        <v>CN</v>
      </c>
      <c r="AG286" s="28" t="str">
        <v>PRT</v>
      </c>
      <c r="AH286" t="str">
        <v>CNYAN</v>
      </c>
    </row>
    <row r="287" spans="1:34" x14ac:dyDescent="0.45">
      <c r="A287" s="11" t="str">
        <v>HF</v>
      </c>
      <c r="B287" t="str">
        <v/>
      </c>
      <c r="C287" t="str">
        <v>HDMUSHAA75080000</v>
      </c>
      <c r="D287" s="11" t="str">
        <v>HMMU4749785</v>
      </c>
      <c r="E287" t="str">
        <v>C40HC</v>
      </c>
      <c r="F287" s="11" t="str">
        <v>277DT260902726208</v>
      </c>
      <c r="G287" s="12">
        <v>0</v>
      </c>
      <c r="H287" s="13">
        <v>0</v>
      </c>
      <c r="I287" s="12">
        <v>46307</v>
      </c>
      <c r="J287" s="11">
        <v>0</v>
      </c>
      <c r="K287" s="12">
        <v>46306</v>
      </c>
      <c r="L287" s="11">
        <v>0</v>
      </c>
      <c r="M287" t="str">
        <v>400</v>
      </c>
      <c r="N287" t="str">
        <v>258DTS10000202331</v>
      </c>
      <c r="O287" t="str">
        <v>350</v>
      </c>
      <c r="P287" t="str">
        <v>JEGAO9</v>
      </c>
      <c r="Q287">
        <v>46268</v>
      </c>
      <c r="R287">
        <v>726</v>
      </c>
      <c r="S287" t="str">
        <v>STO</v>
      </c>
      <c r="T287">
        <v>3505</v>
      </c>
      <c r="U287" t="str">
        <v>11.072354</v>
      </c>
      <c r="V287" t="str">
        <v>11.88376054</v>
      </c>
      <c r="W287">
        <v>1485.5719999999999</v>
      </c>
      <c r="X287">
        <v>46298</v>
      </c>
      <c r="Y287">
        <v>46306</v>
      </c>
      <c r="Z287">
        <v>0</v>
      </c>
      <c r="AA287" t="str">
        <v>31676</v>
      </c>
      <c r="AB287" t="str">
        <v>HMM CO., LTD.</v>
      </c>
      <c r="AC287" t="str">
        <v>26H0386999</v>
      </c>
      <c r="AD287" t="str">
        <v>HMM DIAMOND</v>
      </c>
      <c r="AE287" t="str">
        <v>0012E</v>
      </c>
      <c r="AF287" s="28" t="str">
        <v>CN</v>
      </c>
      <c r="AG287" s="28" t="str">
        <v>PRT</v>
      </c>
      <c r="AH287" t="str">
        <v>CNYAN</v>
      </c>
    </row>
    <row r="288" spans="1:34" x14ac:dyDescent="0.45">
      <c r="A288" s="11" t="str">
        <v>DD</v>
      </c>
      <c r="B288" t="str">
        <v>MILK RUN NOR</v>
      </c>
      <c r="C288" t="str">
        <v>MAEUIK0223462</v>
      </c>
      <c r="D288" s="11" t="str">
        <v>MRKU5372869</v>
      </c>
      <c r="E288" t="str">
        <v>C40HC</v>
      </c>
      <c r="F288" s="11" t="str">
        <v>21072SUPECIS76314</v>
      </c>
      <c r="G288" s="12">
        <v>0</v>
      </c>
      <c r="H288" s="13">
        <v>0</v>
      </c>
      <c r="I288" s="12">
        <v>46308</v>
      </c>
      <c r="J288" s="11">
        <v>0</v>
      </c>
      <c r="K288" s="12">
        <v>46307</v>
      </c>
      <c r="L288" s="11">
        <v>0</v>
      </c>
      <c r="M288" t="str">
        <v>400</v>
      </c>
      <c r="N288" t="str">
        <v>037TSOS10000705144</v>
      </c>
      <c r="O288" t="str">
        <v>400</v>
      </c>
      <c r="P288" t="str">
        <v>STCHE41</v>
      </c>
      <c r="Q288">
        <v>46280</v>
      </c>
      <c r="R288">
        <v>726</v>
      </c>
      <c r="S288" t="str">
        <v>STO</v>
      </c>
      <c r="T288">
        <v>68</v>
      </c>
      <c r="U288" t="str">
        <v>4.860378</v>
      </c>
      <c r="V288" t="str">
        <v>5.169508</v>
      </c>
      <c r="W288">
        <v>2313.8200000000002</v>
      </c>
      <c r="X288">
        <v>46306</v>
      </c>
      <c r="Y288">
        <v>46307</v>
      </c>
      <c r="Z288">
        <v>46291</v>
      </c>
      <c r="AA288" t="str">
        <v>31825</v>
      </c>
      <c r="AB288" t="str">
        <v>MAERSK A/S</v>
      </c>
      <c r="AC288" t="str">
        <v>CN9165179</v>
      </c>
      <c r="AD288" t="str">
        <v>GRETE MAERSK</v>
      </c>
      <c r="AE288" t="str">
        <v>639E</v>
      </c>
      <c r="AF288" s="28" t="str">
        <v>CN</v>
      </c>
      <c r="AG288" s="28" t="str">
        <v>PRT</v>
      </c>
      <c r="AH288" t="str">
        <v>CNNGB</v>
      </c>
    </row>
    <row r="289" spans="1:34" x14ac:dyDescent="0.45">
      <c r="A289" s="11" t="str">
        <v>DD</v>
      </c>
      <c r="B289" t="str">
        <v>MILK RUN NOR</v>
      </c>
      <c r="C289" t="str">
        <v>MAEUIK0220874</v>
      </c>
      <c r="D289" s="11" t="str">
        <v>TCKU6478195</v>
      </c>
      <c r="E289" t="str">
        <v>C40HC</v>
      </c>
      <c r="F289" s="11" t="str">
        <v>19369SUPVAN00068958</v>
      </c>
      <c r="G289" s="12">
        <v>0</v>
      </c>
      <c r="H289" s="13">
        <v>0</v>
      </c>
      <c r="I289" s="12">
        <v>46308</v>
      </c>
      <c r="J289" s="11">
        <v>0</v>
      </c>
      <c r="K289" s="12">
        <v>46307</v>
      </c>
      <c r="L289" s="11">
        <v>0</v>
      </c>
      <c r="M289" t="str">
        <v>400</v>
      </c>
      <c r="N289" t="str">
        <v>037TSOS10000691649</v>
      </c>
      <c r="O289" t="str">
        <v>350</v>
      </c>
      <c r="P289" t="str">
        <v>JOHUA31</v>
      </c>
      <c r="Q289">
        <v>46261</v>
      </c>
      <c r="R289">
        <v>726</v>
      </c>
      <c r="S289" t="str">
        <v>STO</v>
      </c>
      <c r="T289">
        <v>30</v>
      </c>
      <c r="U289" t="str">
        <v>2.347926</v>
      </c>
      <c r="V289" t="str">
        <v>2.747745</v>
      </c>
      <c r="W289">
        <v>258.85000000000002</v>
      </c>
      <c r="X289">
        <v>46310</v>
      </c>
      <c r="Y289">
        <v>46307</v>
      </c>
      <c r="Z289">
        <v>0</v>
      </c>
      <c r="AA289" t="str">
        <v>31825</v>
      </c>
      <c r="AB289" t="str">
        <v>MAERSK A/S</v>
      </c>
      <c r="AC289" t="str">
        <v>CN9108304</v>
      </c>
      <c r="AD289" t="str">
        <v>DUMMY BARGE</v>
      </c>
      <c r="AE289" t="str">
        <v>1234</v>
      </c>
      <c r="AF289" s="28" t="str">
        <v>CN</v>
      </c>
      <c r="AG289" s="28" t="str">
        <v>PRT</v>
      </c>
      <c r="AH289" t="str">
        <v>CNZPU</v>
      </c>
    </row>
    <row r="290" spans="1:34" x14ac:dyDescent="0.45">
      <c r="A290" s="11" t="str">
        <v>LF</v>
      </c>
      <c r="B290" t="str">
        <v>F/C</v>
      </c>
      <c r="C290" t="str">
        <v>MAEUIK0222710</v>
      </c>
      <c r="D290" s="11" t="str">
        <v>MRSU1022546</v>
      </c>
      <c r="E290" t="str">
        <v>C20DV</v>
      </c>
      <c r="F290" s="11" t="str">
        <v>294DT260909726421</v>
      </c>
      <c r="G290" s="12">
        <v>0</v>
      </c>
      <c r="H290" s="13">
        <v>0</v>
      </c>
      <c r="I290" s="12">
        <v>0</v>
      </c>
      <c r="J290" s="11">
        <v>0</v>
      </c>
      <c r="K290" s="12">
        <v>46305</v>
      </c>
      <c r="L290" s="11">
        <v>0</v>
      </c>
      <c r="M290" t="str">
        <v>400</v>
      </c>
      <c r="N290" t="str">
        <v>258DTS10000203337</v>
      </c>
      <c r="O290" t="str">
        <v>350</v>
      </c>
      <c r="P290" t="str">
        <v>LARXU</v>
      </c>
      <c r="Q290">
        <v>46274</v>
      </c>
      <c r="R290">
        <v>726</v>
      </c>
      <c r="S290" t="str">
        <v>STO</v>
      </c>
      <c r="T290">
        <v>5871</v>
      </c>
      <c r="U290" t="str">
        <v>6.149453</v>
      </c>
      <c r="V290" t="str">
        <v>6.65149144</v>
      </c>
      <c r="W290">
        <v>1429.538</v>
      </c>
      <c r="X290">
        <v>46300</v>
      </c>
      <c r="Y290">
        <v>46305</v>
      </c>
      <c r="Z290">
        <v>0</v>
      </c>
      <c r="AA290" t="str">
        <v>31825</v>
      </c>
      <c r="AB290" t="str">
        <v>MAERSK A/S</v>
      </c>
      <c r="AC290" t="str">
        <v>CN7985705</v>
      </c>
      <c r="AD290" t="str">
        <v>MERATUS JIMBARAN</v>
      </c>
      <c r="AE290" t="str">
        <v>638N</v>
      </c>
      <c r="AF290" s="28" t="str">
        <v>CN</v>
      </c>
      <c r="AG290" s="28" t="str">
        <v>PRT</v>
      </c>
      <c r="AH290" t="str">
        <v>CNSHA</v>
      </c>
    </row>
    <row r="291" spans="1:34" x14ac:dyDescent="0.45">
      <c r="A291" s="11" t="str">
        <v>LF</v>
      </c>
      <c r="B291" t="str">
        <v>F/C</v>
      </c>
      <c r="C291" t="str">
        <v>MAEUIK0222710</v>
      </c>
      <c r="D291" s="11" t="str">
        <v>MRSU1022546</v>
      </c>
      <c r="E291" t="str">
        <v>C20DV</v>
      </c>
      <c r="F291" s="11" t="str">
        <v>319DT260909726422</v>
      </c>
      <c r="G291" s="12">
        <v>0</v>
      </c>
      <c r="H291" s="13">
        <v>0</v>
      </c>
      <c r="I291" s="12">
        <v>0</v>
      </c>
      <c r="J291" s="11">
        <v>0</v>
      </c>
      <c r="K291" s="12">
        <v>46305</v>
      </c>
      <c r="L291" s="11">
        <v>0</v>
      </c>
      <c r="M291" t="str">
        <v>400</v>
      </c>
      <c r="N291" t="str">
        <v>258DTS10000203337</v>
      </c>
      <c r="O291" t="str">
        <v>350</v>
      </c>
      <c r="P291" t="str">
        <v>LARXU</v>
      </c>
      <c r="Q291">
        <v>46274</v>
      </c>
      <c r="R291">
        <v>726</v>
      </c>
      <c r="S291" t="str">
        <v>STO</v>
      </c>
      <c r="T291">
        <v>13703</v>
      </c>
      <c r="U291" t="str">
        <v>14.877858</v>
      </c>
      <c r="V291" t="str">
        <v>16.06395881</v>
      </c>
      <c r="W291">
        <v>3612.2530000000002</v>
      </c>
      <c r="X291">
        <v>46300</v>
      </c>
      <c r="Y291">
        <v>46305</v>
      </c>
      <c r="Z291">
        <v>0</v>
      </c>
      <c r="AA291" t="str">
        <v>31825</v>
      </c>
      <c r="AB291" t="str">
        <v>MAERSK A/S</v>
      </c>
      <c r="AC291" t="str">
        <v>CN7985705</v>
      </c>
      <c r="AD291" t="str">
        <v>MERATUS JIMBARAN</v>
      </c>
      <c r="AE291" t="str">
        <v>638N</v>
      </c>
      <c r="AF291" s="28" t="str">
        <v>CN</v>
      </c>
      <c r="AG291" s="28" t="str">
        <v>PRT</v>
      </c>
      <c r="AH291" t="str">
        <v>CNSHA</v>
      </c>
    </row>
    <row r="292" spans="1:34" x14ac:dyDescent="0.45">
      <c r="A292" s="11" t="str">
        <v>LF</v>
      </c>
      <c r="B292" t="str">
        <v>F/C</v>
      </c>
      <c r="C292" t="str">
        <v>MAEUIK0220463</v>
      </c>
      <c r="D292" s="11" t="str">
        <v>MRSU1256009</v>
      </c>
      <c r="E292" t="str">
        <v>C20DV</v>
      </c>
      <c r="F292" s="11" t="str">
        <v>294DT260825726436</v>
      </c>
      <c r="G292" s="12">
        <v>0</v>
      </c>
      <c r="H292" s="13">
        <v>0</v>
      </c>
      <c r="I292" s="12">
        <v>0</v>
      </c>
      <c r="J292" s="11">
        <v>0</v>
      </c>
      <c r="K292" s="12">
        <v>46300</v>
      </c>
      <c r="L292" s="11">
        <v>0</v>
      </c>
      <c r="M292" t="str">
        <v>400</v>
      </c>
      <c r="N292" t="str">
        <v>258DTS10000200883</v>
      </c>
      <c r="O292" t="str">
        <v>350</v>
      </c>
      <c r="P292" t="str">
        <v>LARXU</v>
      </c>
      <c r="Q292">
        <v>46259</v>
      </c>
      <c r="R292">
        <v>726</v>
      </c>
      <c r="S292" t="str">
        <v>STO</v>
      </c>
      <c r="T292">
        <v>10393</v>
      </c>
      <c r="U292" t="str">
        <v>9.7952</v>
      </c>
      <c r="V292" t="str">
        <v>10.57484006</v>
      </c>
      <c r="W292">
        <v>2362.7179999999998</v>
      </c>
      <c r="X292">
        <v>46290</v>
      </c>
      <c r="Y292">
        <v>46300</v>
      </c>
      <c r="Z292">
        <v>0</v>
      </c>
      <c r="AA292" t="str">
        <v>31825</v>
      </c>
      <c r="AB292" t="str">
        <v>MAERSK A/S</v>
      </c>
      <c r="AC292" t="str">
        <v>CN8120629</v>
      </c>
      <c r="AD292" t="str">
        <v>GSL ELEFTHERIA</v>
      </c>
      <c r="AE292" t="str">
        <v>637N</v>
      </c>
      <c r="AF292" s="28" t="str">
        <v>CN</v>
      </c>
      <c r="AG292" s="28" t="str">
        <v>PRT</v>
      </c>
      <c r="AH292" t="str">
        <v>CNSHA</v>
      </c>
    </row>
    <row r="293" spans="1:34" x14ac:dyDescent="0.45">
      <c r="A293" s="11" t="str">
        <v>LF</v>
      </c>
      <c r="B293" t="str">
        <v>F/C</v>
      </c>
      <c r="C293" t="str">
        <v>MAEUIK0220463</v>
      </c>
      <c r="D293" s="11" t="str">
        <v>MRSU1256009</v>
      </c>
      <c r="E293" t="str">
        <v>C20DV</v>
      </c>
      <c r="F293" s="11" t="str">
        <v>319DT260825726437</v>
      </c>
      <c r="G293" s="12">
        <v>0</v>
      </c>
      <c r="H293" s="13">
        <v>0</v>
      </c>
      <c r="I293" s="12">
        <v>0</v>
      </c>
      <c r="J293" s="11">
        <v>0</v>
      </c>
      <c r="K293" s="12">
        <v>46300</v>
      </c>
      <c r="L293" s="11">
        <v>0</v>
      </c>
      <c r="M293" t="str">
        <v>400</v>
      </c>
      <c r="N293" t="str">
        <v>258DTS10000200883</v>
      </c>
      <c r="O293" t="str">
        <v>350</v>
      </c>
      <c r="P293" t="str">
        <v>LARXU</v>
      </c>
      <c r="Q293">
        <v>46259</v>
      </c>
      <c r="R293">
        <v>726</v>
      </c>
      <c r="S293" t="str">
        <v>STO</v>
      </c>
      <c r="T293">
        <v>10070</v>
      </c>
      <c r="U293" t="str">
        <v>11.264752</v>
      </c>
      <c r="V293" t="str">
        <v>12.235586</v>
      </c>
      <c r="W293">
        <v>2963.8020000000001</v>
      </c>
      <c r="X293">
        <v>46290</v>
      </c>
      <c r="Y293">
        <v>46300</v>
      </c>
      <c r="Z293">
        <v>0</v>
      </c>
      <c r="AA293" t="str">
        <v>31825</v>
      </c>
      <c r="AB293" t="str">
        <v>MAERSK A/S</v>
      </c>
      <c r="AC293" t="str">
        <v>CN8120629</v>
      </c>
      <c r="AD293" t="str">
        <v>GSL ELEFTHERIA</v>
      </c>
      <c r="AE293" t="str">
        <v>637N</v>
      </c>
      <c r="AF293" s="28" t="str">
        <v>CN</v>
      </c>
      <c r="AG293" s="28" t="str">
        <v>PRT</v>
      </c>
      <c r="AH293" t="str">
        <v>CNSHA</v>
      </c>
    </row>
    <row r="294" spans="1:34" x14ac:dyDescent="0.45">
      <c r="A294" s="11" t="str">
        <v>HF</v>
      </c>
      <c r="B294" t="str">
        <v>F/C</v>
      </c>
      <c r="C294" t="str">
        <v>MAEUIK0221457</v>
      </c>
      <c r="D294" s="11" t="str">
        <v>MRSU3821583</v>
      </c>
      <c r="E294" t="str">
        <v>C40HC</v>
      </c>
      <c r="F294" s="11" t="str">
        <v>258DT260901726139</v>
      </c>
      <c r="G294" s="12">
        <v>0</v>
      </c>
      <c r="H294" s="13">
        <v>0</v>
      </c>
      <c r="I294" s="12">
        <v>0</v>
      </c>
      <c r="J294" s="11">
        <v>0</v>
      </c>
      <c r="K294" s="12">
        <v>46300</v>
      </c>
      <c r="L294" s="11">
        <v>0</v>
      </c>
      <c r="M294" t="str">
        <v>400</v>
      </c>
      <c r="N294" t="str">
        <v>258DTS10000201881</v>
      </c>
      <c r="O294" t="str">
        <v>350</v>
      </c>
      <c r="P294" t="str">
        <v>JEGAO9</v>
      </c>
      <c r="Q294">
        <v>46266</v>
      </c>
      <c r="R294">
        <v>726</v>
      </c>
      <c r="S294" t="str">
        <v>STO</v>
      </c>
      <c r="T294">
        <v>19362</v>
      </c>
      <c r="U294" t="str">
        <v>42.048568</v>
      </c>
      <c r="V294" t="str">
        <v>45.52277501</v>
      </c>
      <c r="W294">
        <v>8592.4339999999993</v>
      </c>
      <c r="X294">
        <v>46288</v>
      </c>
      <c r="Y294">
        <v>46300</v>
      </c>
      <c r="Z294">
        <v>0</v>
      </c>
      <c r="AA294" t="str">
        <v>31825</v>
      </c>
      <c r="AB294" t="str">
        <v>MAERSK A/S</v>
      </c>
      <c r="AC294" t="str">
        <v>CN8093612</v>
      </c>
      <c r="AD294" t="str">
        <v>GSL ELEFTHERIA</v>
      </c>
      <c r="AE294" t="str">
        <v>637N</v>
      </c>
      <c r="AF294" s="28" t="str">
        <v>CN</v>
      </c>
      <c r="AG294" s="28" t="str">
        <v>PRT</v>
      </c>
      <c r="AH294" t="str">
        <v>CNSHA</v>
      </c>
    </row>
    <row r="295" spans="1:34" x14ac:dyDescent="0.45">
      <c r="A295" s="11" t="str">
        <v>HF</v>
      </c>
      <c r="B295" t="str">
        <v>F/C</v>
      </c>
      <c r="C295" t="str">
        <v>MAEUIK0221457</v>
      </c>
      <c r="D295" s="11" t="str">
        <v>MRSU3821583</v>
      </c>
      <c r="E295" t="str">
        <v>C40HC</v>
      </c>
      <c r="F295" s="11" t="str">
        <v>277DT260901726140</v>
      </c>
      <c r="G295" s="12">
        <v>0</v>
      </c>
      <c r="H295" s="13">
        <v>0</v>
      </c>
      <c r="I295" s="12">
        <v>0</v>
      </c>
      <c r="J295" s="11">
        <v>0</v>
      </c>
      <c r="K295" s="12">
        <v>46300</v>
      </c>
      <c r="L295" s="11">
        <v>0</v>
      </c>
      <c r="M295" t="str">
        <v>400</v>
      </c>
      <c r="N295" t="str">
        <v>258DTS10000201881</v>
      </c>
      <c r="O295" t="str">
        <v>350</v>
      </c>
      <c r="P295" t="str">
        <v>JEGAO9</v>
      </c>
      <c r="Q295">
        <v>46266</v>
      </c>
      <c r="R295">
        <v>726</v>
      </c>
      <c r="S295" t="str">
        <v>STO</v>
      </c>
      <c r="T295">
        <v>11404</v>
      </c>
      <c r="U295" t="str">
        <v>12.864091</v>
      </c>
      <c r="V295" t="str">
        <v>13.866124</v>
      </c>
      <c r="W295">
        <v>3344.83</v>
      </c>
      <c r="X295">
        <v>46288</v>
      </c>
      <c r="Y295">
        <v>46300</v>
      </c>
      <c r="Z295">
        <v>0</v>
      </c>
      <c r="AA295" t="str">
        <v>31825</v>
      </c>
      <c r="AB295" t="str">
        <v>MAERSK A/S</v>
      </c>
      <c r="AC295" t="str">
        <v>CN8093612</v>
      </c>
      <c r="AD295" t="str">
        <v>GSL ELEFTHERIA</v>
      </c>
      <c r="AE295" t="str">
        <v>637N</v>
      </c>
      <c r="AF295" s="28" t="str">
        <v>CN</v>
      </c>
      <c r="AG295" s="28" t="str">
        <v>PRT</v>
      </c>
      <c r="AH295" t="str">
        <v>CNSHA</v>
      </c>
    </row>
    <row r="296" spans="1:34" x14ac:dyDescent="0.45">
      <c r="A296" s="11" t="str">
        <v>LF</v>
      </c>
      <c r="B296" t="str">
        <v>F/C</v>
      </c>
      <c r="C296" t="str">
        <v>PLISH7H48044</v>
      </c>
      <c r="D296" s="11" t="str">
        <v>KMTU7452850</v>
      </c>
      <c r="E296" t="str">
        <v>C20DV</v>
      </c>
      <c r="F296" s="11" t="str">
        <v>294DT260902726408</v>
      </c>
      <c r="G296" s="12">
        <v>0</v>
      </c>
      <c r="H296" s="13">
        <v>0</v>
      </c>
      <c r="I296" s="12">
        <v>0</v>
      </c>
      <c r="J296" s="11">
        <v>0</v>
      </c>
      <c r="K296" s="12">
        <v>46293</v>
      </c>
      <c r="L296" s="11">
        <v>0</v>
      </c>
      <c r="M296" t="str">
        <v>400</v>
      </c>
      <c r="N296" t="str">
        <v>258DTS10000202086</v>
      </c>
      <c r="O296" t="str">
        <v>350</v>
      </c>
      <c r="P296" t="str">
        <v>LARXU</v>
      </c>
      <c r="Q296">
        <v>46267</v>
      </c>
      <c r="R296">
        <v>726</v>
      </c>
      <c r="S296" t="str">
        <v>STO</v>
      </c>
      <c r="T296">
        <v>9608</v>
      </c>
      <c r="U296" t="str">
        <v>6.800467</v>
      </c>
      <c r="V296" t="str">
        <v>7.36884544</v>
      </c>
      <c r="W296">
        <v>2235.3240000000001</v>
      </c>
      <c r="X296">
        <v>46295</v>
      </c>
      <c r="Y296">
        <v>46293</v>
      </c>
      <c r="Z296">
        <v>0</v>
      </c>
      <c r="AA296" t="str">
        <v>33300</v>
      </c>
      <c r="AB296" t="str">
        <v>LX PANTOS CO., LTD.</v>
      </c>
      <c r="AC296" t="str">
        <v>CF948368</v>
      </c>
      <c r="AD296" t="str">
        <v>ZHONG SHENG TUO HAI</v>
      </c>
      <c r="AE296" t="str">
        <v>2625N</v>
      </c>
      <c r="AF296" s="28" t="str">
        <v>CN</v>
      </c>
      <c r="AG296" s="28" t="str">
        <v>PRT</v>
      </c>
      <c r="AH296" t="str">
        <v>CNSHA</v>
      </c>
    </row>
    <row r="297" spans="1:34" x14ac:dyDescent="0.45">
      <c r="A297" s="11" t="str">
        <v>LF</v>
      </c>
      <c r="B297" t="str">
        <v>F/C</v>
      </c>
      <c r="C297" t="str">
        <v>PLISH7H48044</v>
      </c>
      <c r="D297" s="11" t="str">
        <v>KMTU7452850</v>
      </c>
      <c r="E297" t="str">
        <v>C20DV</v>
      </c>
      <c r="F297" s="11" t="str">
        <v>319DT260902726409</v>
      </c>
      <c r="G297" s="12">
        <v>0</v>
      </c>
      <c r="H297" s="13">
        <v>0</v>
      </c>
      <c r="I297" s="12">
        <v>0</v>
      </c>
      <c r="J297" s="11">
        <v>0</v>
      </c>
      <c r="K297" s="12">
        <v>46293</v>
      </c>
      <c r="L297" s="11">
        <v>0</v>
      </c>
      <c r="M297" t="str">
        <v>400</v>
      </c>
      <c r="N297" t="str">
        <v>258DTS10000202086</v>
      </c>
      <c r="O297" t="str">
        <v>350</v>
      </c>
      <c r="P297" t="str">
        <v>LARXU</v>
      </c>
      <c r="Q297">
        <v>46267</v>
      </c>
      <c r="R297">
        <v>726</v>
      </c>
      <c r="S297" t="str">
        <v>STO</v>
      </c>
      <c r="T297">
        <v>10928</v>
      </c>
      <c r="U297" t="str">
        <v>14.314873</v>
      </c>
      <c r="V297" t="str">
        <v>15.52580118</v>
      </c>
      <c r="W297">
        <v>3503.9290000000001</v>
      </c>
      <c r="X297">
        <v>46295</v>
      </c>
      <c r="Y297">
        <v>46293</v>
      </c>
      <c r="Z297">
        <v>0</v>
      </c>
      <c r="AA297" t="str">
        <v>33300</v>
      </c>
      <c r="AB297" t="str">
        <v>LX PANTOS CO., LTD.</v>
      </c>
      <c r="AC297" t="str">
        <v>CF948368</v>
      </c>
      <c r="AD297" t="str">
        <v>ZHONG SHENG TUO HAI</v>
      </c>
      <c r="AE297" t="str">
        <v>2625N</v>
      </c>
      <c r="AF297" s="28" t="str">
        <v>CN</v>
      </c>
      <c r="AG297" s="28" t="str">
        <v>PRT</v>
      </c>
      <c r="AH297" t="str">
        <v>CNSHA</v>
      </c>
    </row>
  </sheetData>
  <autoFilter ref="A1:AH338" xr:uid="{0E59E2DF-DFB1-49C0-B9FF-1F6B15DE23E0}"/>
  <phoneticPr fontId="3" type="noConversion"/>
  <conditionalFormatting sqref="A1:A1048576">
    <cfRule type="cellIs" dxfId="47" priority="1" operator="equal">
      <formula>"LF"</formula>
    </cfRule>
  </conditionalFormatting>
  <conditionalFormatting sqref="G1:G1048576">
    <cfRule type="timePeriod" dxfId="46" priority="3" timePeriod="tomorrow">
      <formula>FLOOR(G1,1)=TODAY()+1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B57B-8A42-487F-9E0B-A1CA50FC152B}">
  <sheetPr codeName="Sheet3"/>
  <dimension ref="A1:EE297"/>
  <sheetViews>
    <sheetView zoomScale="85" zoomScaleNormal="85" workbookViewId="0">
      <pane ySplit="1" topLeftCell="A2" activePane="bottomLeft" state="frozen"/>
      <selection pane="bottomLeft" activeCell="EE1" sqref="EE1"/>
    </sheetView>
  </sheetViews>
  <sheetFormatPr defaultRowHeight="17.399999999999999" x14ac:dyDescent="0.45"/>
  <cols>
    <col min="1" max="1" width="9.5" bestFit="1" customWidth="1"/>
    <col min="2" max="2" width="13.09765625" bestFit="1" customWidth="1"/>
    <col min="3" max="3" width="18.69921875" bestFit="1" customWidth="1"/>
    <col min="4" max="4" width="17.19921875" bestFit="1" customWidth="1"/>
    <col min="5" max="5" width="12.796875" style="11" bestFit="1" customWidth="1"/>
    <col min="6" max="6" width="20.296875" bestFit="1" customWidth="1"/>
    <col min="7" max="7" width="33.8984375" style="1" bestFit="1" customWidth="1"/>
    <col min="8" max="8" width="34.09765625" style="2" bestFit="1" customWidth="1"/>
    <col min="9" max="9" width="13.19921875" style="12" bestFit="1" customWidth="1"/>
    <col min="10" max="10" width="26.296875" style="12" bestFit="1" customWidth="1"/>
    <col min="11" max="11" width="20.19921875" style="12" bestFit="1" customWidth="1"/>
    <col min="12" max="12" width="19.69921875" bestFit="1" customWidth="1"/>
    <col min="13" max="13" width="12.796875" bestFit="1" customWidth="1"/>
    <col min="14" max="14" width="18.69921875" bestFit="1" customWidth="1"/>
    <col min="15" max="15" width="10" bestFit="1" customWidth="1"/>
    <col min="16" max="16" width="18.19921875" bestFit="1" customWidth="1"/>
    <col min="17" max="17" width="12.59765625" bestFit="1" customWidth="1"/>
    <col min="18" max="18" width="14.09765625" bestFit="1" customWidth="1"/>
    <col min="19" max="19" width="13.8984375" bestFit="1" customWidth="1"/>
    <col min="20" max="20" width="20.59765625" bestFit="1" customWidth="1"/>
    <col min="21" max="22" width="17.8984375" bestFit="1" customWidth="1"/>
    <col min="23" max="23" width="18.296875" bestFit="1" customWidth="1"/>
    <col min="24" max="24" width="18.796875" bestFit="1" customWidth="1"/>
    <col min="25" max="25" width="24.3984375" bestFit="1" customWidth="1"/>
    <col min="26" max="26" width="18.5" bestFit="1" customWidth="1"/>
    <col min="27" max="27" width="13.59765625" bestFit="1" customWidth="1"/>
    <col min="28" max="28" width="33.8984375" bestFit="1" customWidth="1"/>
    <col min="29" max="29" width="12.09765625" bestFit="1" customWidth="1"/>
    <col min="30" max="30" width="22.19921875" bestFit="1" customWidth="1"/>
    <col min="31" max="31" width="12.09765625" bestFit="1" customWidth="1"/>
    <col min="32" max="32" width="10.296875" bestFit="1" customWidth="1"/>
    <col min="33" max="33" width="11.5" bestFit="1" customWidth="1"/>
    <col min="34" max="34" width="11.69921875" bestFit="1" customWidth="1"/>
    <col min="35" max="35" width="9.3984375" bestFit="1" customWidth="1"/>
    <col min="36" max="36" width="10.796875" bestFit="1" customWidth="1"/>
    <col min="37" max="37" width="14.5" bestFit="1" customWidth="1"/>
    <col min="38" max="38" width="11.59765625" bestFit="1" customWidth="1"/>
    <col min="39" max="39" width="22" bestFit="1" customWidth="1"/>
    <col min="40" max="40" width="15.3984375" bestFit="1" customWidth="1"/>
    <col min="41" max="41" width="25.59765625" bestFit="1" customWidth="1"/>
    <col min="42" max="42" width="23.796875" bestFit="1" customWidth="1"/>
    <col min="43" max="43" width="24.59765625" bestFit="1" customWidth="1"/>
    <col min="44" max="44" width="74.796875" bestFit="1" customWidth="1"/>
    <col min="45" max="45" width="39.3984375" bestFit="1" customWidth="1"/>
    <col min="46" max="46" width="24.19921875" bestFit="1" customWidth="1"/>
    <col min="47" max="47" width="48.8984375" bestFit="1" customWidth="1"/>
    <col min="48" max="48" width="52.8984375" bestFit="1" customWidth="1"/>
    <col min="49" max="49" width="14.69921875" bestFit="1" customWidth="1"/>
    <col min="50" max="50" width="14.5" bestFit="1" customWidth="1"/>
    <col min="51" max="51" width="13.796875" bestFit="1" customWidth="1"/>
    <col min="52" max="52" width="13.69921875" bestFit="1" customWidth="1"/>
    <col min="53" max="53" width="17.59765625" bestFit="1" customWidth="1"/>
    <col min="54" max="54" width="4.296875" bestFit="1" customWidth="1"/>
    <col min="55" max="55" width="8.796875" bestFit="1" customWidth="1"/>
    <col min="56" max="56" width="13.09765625" bestFit="1" customWidth="1"/>
    <col min="57" max="57" width="18.69921875" bestFit="1" customWidth="1"/>
    <col min="58" max="58" width="16.796875" bestFit="1" customWidth="1"/>
    <col min="59" max="59" width="12.09765625" bestFit="1" customWidth="1"/>
    <col min="60" max="60" width="12.59765625" bestFit="1" customWidth="1"/>
    <col min="61" max="61" width="11.59765625" bestFit="1" customWidth="1"/>
    <col min="62" max="62" width="11.5" bestFit="1" customWidth="1"/>
    <col min="63" max="63" width="15" bestFit="1" customWidth="1"/>
    <col min="64" max="64" width="14.296875" bestFit="1" customWidth="1"/>
    <col min="65" max="65" width="12.19921875" bestFit="1" customWidth="1"/>
    <col min="66" max="66" width="14.59765625" bestFit="1" customWidth="1"/>
    <col min="67" max="67" width="11.3984375" bestFit="1" customWidth="1"/>
    <col min="68" max="69" width="11.5" bestFit="1" customWidth="1"/>
    <col min="70" max="70" width="11.3984375" bestFit="1" customWidth="1"/>
    <col min="71" max="71" width="11.296875" bestFit="1" customWidth="1"/>
    <col min="72" max="76" width="11.3984375" bestFit="1" customWidth="1"/>
    <col min="77" max="77" width="11.296875" bestFit="1" customWidth="1"/>
    <col min="78" max="79" width="11.3984375" bestFit="1" customWidth="1"/>
    <col min="80" max="80" width="11.5" bestFit="1" customWidth="1"/>
    <col min="81" max="81" width="11.3984375" bestFit="1" customWidth="1"/>
    <col min="82" max="86" width="11.5" bestFit="1" customWidth="1"/>
    <col min="87" max="87" width="11.3984375" bestFit="1" customWidth="1"/>
    <col min="88" max="90" width="11.5" bestFit="1" customWidth="1"/>
    <col min="91" max="91" width="11.3984375" bestFit="1" customWidth="1"/>
    <col min="92" max="96" width="11.5" bestFit="1" customWidth="1"/>
    <col min="97" max="97" width="11.3984375" bestFit="1" customWidth="1"/>
    <col min="98" max="99" width="11.5" bestFit="1" customWidth="1"/>
    <col min="100" max="100" width="12.3984375" bestFit="1" customWidth="1"/>
    <col min="101" max="101" width="14.5" bestFit="1" customWidth="1"/>
    <col min="102" max="103" width="11.5" bestFit="1" customWidth="1"/>
    <col min="104" max="104" width="11.3984375" bestFit="1" customWidth="1"/>
    <col min="105" max="105" width="11.296875" bestFit="1" customWidth="1"/>
    <col min="106" max="110" width="11.3984375" bestFit="1" customWidth="1"/>
    <col min="111" max="111" width="11.296875" bestFit="1" customWidth="1"/>
    <col min="112" max="113" width="11.3984375" bestFit="1" customWidth="1"/>
    <col min="114" max="114" width="11.5" bestFit="1" customWidth="1"/>
    <col min="115" max="115" width="11.3984375" bestFit="1" customWidth="1"/>
    <col min="116" max="120" width="11.5" bestFit="1" customWidth="1"/>
    <col min="121" max="121" width="11.3984375" bestFit="1" customWidth="1"/>
    <col min="122" max="124" width="11.5" bestFit="1" customWidth="1"/>
    <col min="125" max="125" width="11.3984375" bestFit="1" customWidth="1"/>
    <col min="126" max="130" width="11.5" bestFit="1" customWidth="1"/>
    <col min="131" max="131" width="11.3984375" bestFit="1" customWidth="1"/>
    <col min="132" max="133" width="11.5" bestFit="1" customWidth="1"/>
    <col min="134" max="134" width="12.3984375" bestFit="1" customWidth="1"/>
    <col min="135" max="135" width="14.5" style="11" bestFit="1" customWidth="1"/>
  </cols>
  <sheetData>
    <row r="1" spans="1:101" s="6" customFormat="1" x14ac:dyDescent="0.45">
      <c r="A1" s="7" t="s">
        <v>12</v>
      </c>
      <c r="B1" s="7" t="s">
        <v>3749</v>
      </c>
      <c r="C1" s="7" t="s">
        <v>3750</v>
      </c>
      <c r="D1" s="7" t="s">
        <v>3751</v>
      </c>
      <c r="E1" s="7" t="s">
        <v>3752</v>
      </c>
      <c r="F1" s="8" t="s">
        <v>3753</v>
      </c>
      <c r="G1" s="9" t="s">
        <v>3</v>
      </c>
      <c r="H1" s="10" t="s">
        <v>3754</v>
      </c>
      <c r="I1" s="32" t="s">
        <v>3755</v>
      </c>
      <c r="J1" s="33" t="s">
        <v>3756</v>
      </c>
      <c r="K1" s="33" t="s">
        <v>3757</v>
      </c>
      <c r="L1" s="7" t="s">
        <v>3758</v>
      </c>
      <c r="M1" s="7" t="s">
        <v>3759</v>
      </c>
      <c r="N1" s="7" t="s">
        <v>3760</v>
      </c>
      <c r="O1" t="s">
        <v>3761</v>
      </c>
      <c r="P1" s="7" t="s">
        <v>3762</v>
      </c>
      <c r="Q1" t="s">
        <v>3763</v>
      </c>
      <c r="R1" s="7" t="s">
        <v>3764</v>
      </c>
      <c r="S1" s="7" t="s">
        <v>3765</v>
      </c>
      <c r="T1" s="7" t="s">
        <v>3766</v>
      </c>
      <c r="U1" s="7" t="s">
        <v>3767</v>
      </c>
      <c r="V1" s="7" t="s">
        <v>3768</v>
      </c>
      <c r="W1" s="7" t="s">
        <v>3769</v>
      </c>
      <c r="X1" s="7" t="s">
        <v>3770</v>
      </c>
      <c r="Y1" s="7" t="s">
        <v>3771</v>
      </c>
      <c r="Z1" t="s">
        <v>3772</v>
      </c>
      <c r="AA1" t="s">
        <v>3773</v>
      </c>
      <c r="AB1" t="s">
        <v>3774</v>
      </c>
      <c r="AC1" s="7" t="s">
        <v>3775</v>
      </c>
      <c r="AD1" t="s">
        <v>3776</v>
      </c>
      <c r="AE1" t="s">
        <v>3777</v>
      </c>
      <c r="AF1" t="s">
        <v>3778</v>
      </c>
      <c r="AG1" t="s">
        <v>3779</v>
      </c>
      <c r="AH1" t="s">
        <v>3780</v>
      </c>
      <c r="AI1" t="s">
        <v>3781</v>
      </c>
      <c r="AJ1" t="s">
        <v>3782</v>
      </c>
      <c r="AK1" t="s">
        <v>3783</v>
      </c>
      <c r="AL1" t="s">
        <v>3784</v>
      </c>
      <c r="AM1" s="7" t="s">
        <v>3785</v>
      </c>
      <c r="AN1" s="7" t="s">
        <v>3786</v>
      </c>
      <c r="AO1" s="7" t="s">
        <v>3787</v>
      </c>
      <c r="AP1" s="7" t="s">
        <v>3788</v>
      </c>
      <c r="AQ1" s="7" t="s">
        <v>3789</v>
      </c>
      <c r="AR1" s="7" t="s">
        <v>3790</v>
      </c>
      <c r="AS1" s="7" t="s">
        <v>3791</v>
      </c>
      <c r="AT1" s="7" t="s">
        <v>3792</v>
      </c>
      <c r="AU1" s="7" t="s">
        <v>3793</v>
      </c>
      <c r="AV1" s="7" t="s">
        <v>3794</v>
      </c>
      <c r="AW1" t="s">
        <v>3795</v>
      </c>
      <c r="AX1" t="s">
        <v>3796</v>
      </c>
      <c r="AY1" t="s">
        <v>3797</v>
      </c>
      <c r="AZ1" t="s">
        <v>3798</v>
      </c>
      <c r="BA1" t="s">
        <v>3799</v>
      </c>
      <c r="BB1" t="s">
        <v>3800</v>
      </c>
      <c r="BC1" t="s">
        <v>3801</v>
      </c>
      <c r="BD1" t="s">
        <v>3802</v>
      </c>
      <c r="BE1" t="s">
        <v>3803</v>
      </c>
      <c r="BF1" t="s">
        <v>3804</v>
      </c>
      <c r="BG1" t="s">
        <v>3805</v>
      </c>
      <c r="BH1" t="s">
        <v>3806</v>
      </c>
      <c r="BI1" t="s">
        <v>3807</v>
      </c>
      <c r="BJ1" t="s">
        <v>3808</v>
      </c>
      <c r="BK1" t="s">
        <v>3809</v>
      </c>
      <c r="BL1" t="s">
        <v>3810</v>
      </c>
      <c r="BM1" t="s">
        <v>3811</v>
      </c>
      <c r="BN1" t="s">
        <v>3812</v>
      </c>
      <c r="BO1" t="s">
        <v>5484</v>
      </c>
      <c r="BP1" t="s">
        <v>5485</v>
      </c>
      <c r="BQ1" t="s">
        <v>5486</v>
      </c>
      <c r="BR1" t="s">
        <v>5487</v>
      </c>
      <c r="BS1" t="s">
        <v>5488</v>
      </c>
      <c r="BT1" t="s">
        <v>5489</v>
      </c>
      <c r="BU1" t="s">
        <v>5490</v>
      </c>
      <c r="BV1" t="s">
        <v>5491</v>
      </c>
      <c r="BW1" t="s">
        <v>5492</v>
      </c>
      <c r="BX1" t="s">
        <v>5493</v>
      </c>
      <c r="BY1" t="s">
        <v>5494</v>
      </c>
      <c r="BZ1" t="s">
        <v>5495</v>
      </c>
      <c r="CA1" t="s">
        <v>5496</v>
      </c>
      <c r="CB1" t="s">
        <v>5497</v>
      </c>
      <c r="CC1" t="s">
        <v>5498</v>
      </c>
      <c r="CD1" t="s">
        <v>5499</v>
      </c>
      <c r="CE1" t="s">
        <v>5500</v>
      </c>
      <c r="CF1" t="s">
        <v>5501</v>
      </c>
      <c r="CG1" t="s">
        <v>5502</v>
      </c>
      <c r="CH1" t="s">
        <v>5503</v>
      </c>
      <c r="CI1" t="s">
        <v>5504</v>
      </c>
      <c r="CJ1" t="s">
        <v>5505</v>
      </c>
      <c r="CK1" t="s">
        <v>5506</v>
      </c>
      <c r="CL1" t="s">
        <v>5507</v>
      </c>
      <c r="CM1" t="s">
        <v>5508</v>
      </c>
      <c r="CN1" t="s">
        <v>5509</v>
      </c>
      <c r="CO1" t="s">
        <v>5510</v>
      </c>
      <c r="CP1" t="s">
        <v>5511</v>
      </c>
      <c r="CQ1" t="s">
        <v>5512</v>
      </c>
      <c r="CR1" t="s">
        <v>5513</v>
      </c>
      <c r="CS1" t="s">
        <v>5514</v>
      </c>
      <c r="CT1" t="s">
        <v>5515</v>
      </c>
      <c r="CU1" t="s">
        <v>5516</v>
      </c>
      <c r="CV1" t="s">
        <v>5517</v>
      </c>
      <c r="CW1" s="67" t="s">
        <v>3813</v>
      </c>
    </row>
    <row r="2" spans="1:101" s="29" customFormat="1" x14ac:dyDescent="0.45">
      <c r="A2" s="93" t="s">
        <v>32</v>
      </c>
      <c r="B2" s="93" t="s">
        <v>0</v>
      </c>
      <c r="C2" s="93" t="s">
        <v>6624</v>
      </c>
      <c r="D2" s="93" t="s">
        <v>6625</v>
      </c>
      <c r="E2" s="101" t="s">
        <v>3817</v>
      </c>
      <c r="F2" s="93" t="s">
        <v>5651</v>
      </c>
      <c r="G2" s="30">
        <v>46316</v>
      </c>
      <c r="H2" s="31">
        <v>0.27083333333333326</v>
      </c>
      <c r="I2" s="92">
        <v>46303</v>
      </c>
      <c r="J2" s="92"/>
      <c r="K2" s="92">
        <v>46303</v>
      </c>
      <c r="L2" s="93" t="s">
        <v>7929</v>
      </c>
      <c r="M2" s="93" t="s">
        <v>3819</v>
      </c>
      <c r="N2" s="93" t="s">
        <v>6626</v>
      </c>
      <c r="O2" t="s">
        <v>3819</v>
      </c>
      <c r="P2" s="93" t="s">
        <v>4127</v>
      </c>
      <c r="Q2">
        <v>46279</v>
      </c>
      <c r="R2" s="93">
        <v>726</v>
      </c>
      <c r="S2" s="93" t="s">
        <v>3823</v>
      </c>
      <c r="T2" s="93">
        <v>15061</v>
      </c>
      <c r="U2" s="93" t="s">
        <v>6627</v>
      </c>
      <c r="V2" s="93" t="s">
        <v>6628</v>
      </c>
      <c r="W2" s="93">
        <v>7562.76</v>
      </c>
      <c r="X2" s="93">
        <v>46304</v>
      </c>
      <c r="Y2" s="93">
        <v>46303</v>
      </c>
      <c r="Z2">
        <v>46292</v>
      </c>
      <c r="AA2" t="s">
        <v>3826</v>
      </c>
      <c r="AB2" t="s">
        <v>3827</v>
      </c>
      <c r="AC2" s="93" t="s">
        <v>6629</v>
      </c>
      <c r="AD2" t="s">
        <v>6630</v>
      </c>
      <c r="AE2" t="s">
        <v>6631</v>
      </c>
      <c r="AF2" t="s">
        <v>3831</v>
      </c>
      <c r="AG2" t="s">
        <v>3832</v>
      </c>
      <c r="AH2" t="s">
        <v>4132</v>
      </c>
      <c r="AI2" t="s">
        <v>3834</v>
      </c>
      <c r="AJ2" t="s">
        <v>3835</v>
      </c>
      <c r="AK2" t="s">
        <v>3832</v>
      </c>
      <c r="AL2"/>
      <c r="AM2" s="93" t="s">
        <v>6773</v>
      </c>
      <c r="AN2" s="93"/>
      <c r="AO2" s="93">
        <v>46302</v>
      </c>
      <c r="AP2" s="93"/>
      <c r="AQ2" s="93" t="s">
        <v>3837</v>
      </c>
      <c r="AR2" s="93"/>
      <c r="AS2" s="93"/>
      <c r="AT2" s="93">
        <v>46316</v>
      </c>
      <c r="AU2" s="93">
        <v>46348</v>
      </c>
      <c r="AV2" s="93"/>
      <c r="AW2" t="s">
        <v>3839</v>
      </c>
      <c r="AX2"/>
      <c r="AY2"/>
      <c r="AZ2"/>
      <c r="BA2"/>
      <c r="BB2"/>
      <c r="BC2" t="s">
        <v>32</v>
      </c>
      <c r="BD2" t="s">
        <v>0</v>
      </c>
      <c r="BE2" t="s">
        <v>6624</v>
      </c>
      <c r="BF2" t="s">
        <v>6625</v>
      </c>
      <c r="BG2" t="s">
        <v>3817</v>
      </c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 s="6" t="str" cm="1">
        <f t="array" ref="CW2">IFERROR(_xlfn.IFS(H2=TIME(7,0,0),"GY",H2=TIME(7,30,0),"GY",H2=TIME(9,0,0),"GY",H2=TIME(15,0,0),"GY",H2=TIME(8,30,0),"GY",H2=TIME(5,30,0),"GY",H2=TIME(6,0,0),"GD",H2=TIME(6,30,0),"GD",H2=TIME(8,0,0),"GY",H2=TIME(6,15,0),"GD"),"")</f>
        <v>GD</v>
      </c>
    </row>
    <row r="3" spans="1:101" s="29" customFormat="1" x14ac:dyDescent="0.45">
      <c r="A3" s="14" t="s">
        <v>32</v>
      </c>
      <c r="B3" s="14" t="s">
        <v>3814</v>
      </c>
      <c r="C3" s="14" t="s">
        <v>6718</v>
      </c>
      <c r="D3" s="14" t="s">
        <v>6719</v>
      </c>
      <c r="E3" s="100" t="s">
        <v>3817</v>
      </c>
      <c r="F3" s="14" t="s">
        <v>5476</v>
      </c>
      <c r="G3" s="4">
        <v>46316</v>
      </c>
      <c r="H3" s="5">
        <v>0.35416666666666674</v>
      </c>
      <c r="I3" s="91">
        <v>46307</v>
      </c>
      <c r="J3" s="91"/>
      <c r="K3" s="91">
        <v>46305</v>
      </c>
      <c r="L3" s="14" t="s">
        <v>7932</v>
      </c>
      <c r="M3" s="14" t="s">
        <v>3819</v>
      </c>
      <c r="N3" s="14" t="s">
        <v>6720</v>
      </c>
      <c r="O3" s="29" t="s">
        <v>3867</v>
      </c>
      <c r="P3" s="14" t="s">
        <v>4251</v>
      </c>
      <c r="Q3" s="29">
        <v>46275</v>
      </c>
      <c r="R3" s="14">
        <v>726</v>
      </c>
      <c r="S3" s="14" t="s">
        <v>3823</v>
      </c>
      <c r="T3" s="14">
        <v>164</v>
      </c>
      <c r="U3" s="14" t="s">
        <v>6721</v>
      </c>
      <c r="V3" s="14" t="s">
        <v>6722</v>
      </c>
      <c r="W3" s="14">
        <v>1983.56</v>
      </c>
      <c r="X3" s="14">
        <v>46311</v>
      </c>
      <c r="Y3" s="14">
        <v>46305</v>
      </c>
      <c r="AA3" s="29" t="s">
        <v>3826</v>
      </c>
      <c r="AB3" s="29" t="s">
        <v>3827</v>
      </c>
      <c r="AC3" s="14" t="s">
        <v>6723</v>
      </c>
      <c r="AD3" s="29" t="s">
        <v>3955</v>
      </c>
      <c r="AE3" s="29" t="s">
        <v>6631</v>
      </c>
      <c r="AF3" s="29" t="s">
        <v>3831</v>
      </c>
      <c r="AG3" s="29" t="s">
        <v>3832</v>
      </c>
      <c r="AH3" s="29" t="s">
        <v>3908</v>
      </c>
      <c r="AI3" s="29" t="s">
        <v>3834</v>
      </c>
      <c r="AJ3" s="29" t="s">
        <v>3956</v>
      </c>
      <c r="AK3" s="29" t="s">
        <v>3832</v>
      </c>
      <c r="AM3" s="14" t="s">
        <v>6796</v>
      </c>
      <c r="AN3" s="14"/>
      <c r="AO3" s="14">
        <v>46307</v>
      </c>
      <c r="AP3" s="14"/>
      <c r="AQ3" s="14" t="s">
        <v>4037</v>
      </c>
      <c r="AR3" s="14"/>
      <c r="AS3" s="14" t="s">
        <v>3961</v>
      </c>
      <c r="AT3" s="14">
        <v>46319</v>
      </c>
      <c r="AU3" s="14"/>
      <c r="AV3" s="14">
        <v>46322</v>
      </c>
      <c r="AW3" s="29" t="s">
        <v>3839</v>
      </c>
      <c r="BC3" s="29" t="s">
        <v>32</v>
      </c>
      <c r="BD3" s="29" t="s">
        <v>3814</v>
      </c>
      <c r="BE3" s="29" t="s">
        <v>6718</v>
      </c>
      <c r="BF3" s="29" t="s">
        <v>6719</v>
      </c>
      <c r="BG3" s="29" t="s">
        <v>3817</v>
      </c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 s="6" t="str" cm="1">
        <f t="array" ref="CW3">IFERROR(_xlfn.IFS(H3=TIME(7,0,0),"GY",H3=TIME(7,30,0),"GY",H3=TIME(9,0,0),"GY",H3=TIME(15,0,0),"GY",H3=TIME(8,30,0),"GY",H3=TIME(5,30,0),"GY",H3=TIME(6,0,0),"GD",H3=TIME(6,30,0),"GD",H3=TIME(8,0,0),"GY",H3=TIME(6,15,0),"GD"),"")</f>
        <v>GY</v>
      </c>
    </row>
    <row r="4" spans="1:101" s="29" customFormat="1" x14ac:dyDescent="0.45">
      <c r="A4" s="3" t="s">
        <v>63</v>
      </c>
      <c r="B4" s="3"/>
      <c r="C4" s="3" t="s">
        <v>6662</v>
      </c>
      <c r="D4" s="3" t="s">
        <v>6663</v>
      </c>
      <c r="E4" s="100" t="s">
        <v>3817</v>
      </c>
      <c r="F4" s="3" t="s">
        <v>5907</v>
      </c>
      <c r="G4" s="4">
        <v>46315</v>
      </c>
      <c r="H4" s="5">
        <v>0.27083333333333326</v>
      </c>
      <c r="I4" s="91">
        <v>46302</v>
      </c>
      <c r="J4" s="91"/>
      <c r="K4" s="91">
        <v>46300</v>
      </c>
      <c r="L4" s="3" t="s">
        <v>7928</v>
      </c>
      <c r="M4" s="3" t="s">
        <v>3819</v>
      </c>
      <c r="N4" s="3" t="s">
        <v>6664</v>
      </c>
      <c r="O4" t="s">
        <v>3867</v>
      </c>
      <c r="P4" s="3" t="s">
        <v>4030</v>
      </c>
      <c r="Q4">
        <v>46260</v>
      </c>
      <c r="R4" s="3">
        <v>726</v>
      </c>
      <c r="S4" s="3" t="s">
        <v>3823</v>
      </c>
      <c r="T4" s="3">
        <v>3377</v>
      </c>
      <c r="U4" s="3" t="s">
        <v>6665</v>
      </c>
      <c r="V4" s="3" t="s">
        <v>6666</v>
      </c>
      <c r="W4" s="3">
        <v>1509.796</v>
      </c>
      <c r="X4" s="3">
        <v>46299</v>
      </c>
      <c r="Y4" s="3">
        <v>46300</v>
      </c>
      <c r="Z4"/>
      <c r="AA4" t="s">
        <v>3826</v>
      </c>
      <c r="AB4" t="s">
        <v>3827</v>
      </c>
      <c r="AC4" s="3" t="s">
        <v>6667</v>
      </c>
      <c r="AD4" t="s">
        <v>4049</v>
      </c>
      <c r="AE4" t="s">
        <v>5258</v>
      </c>
      <c r="AF4" t="s">
        <v>3831</v>
      </c>
      <c r="AG4" t="s">
        <v>3832</v>
      </c>
      <c r="AH4" t="s">
        <v>3908</v>
      </c>
      <c r="AI4" t="s">
        <v>3834</v>
      </c>
      <c r="AJ4" t="s">
        <v>3956</v>
      </c>
      <c r="AK4" t="s">
        <v>3832</v>
      </c>
      <c r="AL4" t="s">
        <v>4245</v>
      </c>
      <c r="AM4" s="3" t="s">
        <v>6789</v>
      </c>
      <c r="AN4" s="3"/>
      <c r="AO4" s="3">
        <v>46302</v>
      </c>
      <c r="AP4" s="3"/>
      <c r="AQ4" s="3" t="s">
        <v>4037</v>
      </c>
      <c r="AR4" s="3"/>
      <c r="AS4" s="3" t="s">
        <v>3961</v>
      </c>
      <c r="AT4" s="3">
        <v>46314</v>
      </c>
      <c r="AU4" s="3"/>
      <c r="AV4" s="3"/>
      <c r="AW4" t="s">
        <v>3839</v>
      </c>
      <c r="AX4"/>
      <c r="AY4"/>
      <c r="AZ4"/>
      <c r="BA4"/>
      <c r="BB4"/>
      <c r="BC4" t="s">
        <v>63</v>
      </c>
      <c r="BD4"/>
      <c r="BE4" t="s">
        <v>6662</v>
      </c>
      <c r="BF4" t="s">
        <v>6663</v>
      </c>
      <c r="BG4" t="s">
        <v>3817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 s="6" t="str" cm="1">
        <f t="array" ref="CW4">IFERROR(_xlfn.IFS(H4=TIME(7,0,0),"GY",H4=TIME(7,30,0),"GY",H4=TIME(9,0,0),"GY",H4=TIME(15,0,0),"GY",H4=TIME(8,30,0),"GY",H4=TIME(5,30,0),"GY",H4=TIME(6,0,0),"GD",H4=TIME(6,30,0),"GD",H4=TIME(8,0,0),"GY",H4=TIME(6,15,0),"GD"),"")</f>
        <v>GD</v>
      </c>
    </row>
    <row r="5" spans="1:101" s="29" customFormat="1" x14ac:dyDescent="0.45">
      <c r="A5" s="3" t="s">
        <v>63</v>
      </c>
      <c r="B5" s="3"/>
      <c r="C5" s="3" t="s">
        <v>6662</v>
      </c>
      <c r="D5" s="3" t="s">
        <v>6663</v>
      </c>
      <c r="E5" s="100" t="s">
        <v>3817</v>
      </c>
      <c r="F5" s="3" t="s">
        <v>5905</v>
      </c>
      <c r="G5" s="4">
        <v>46315</v>
      </c>
      <c r="H5" s="5">
        <v>0.27083333333333326</v>
      </c>
      <c r="I5" s="91">
        <v>46302</v>
      </c>
      <c r="J5" s="91"/>
      <c r="K5" s="91">
        <v>46300</v>
      </c>
      <c r="L5" s="3" t="s">
        <v>7928</v>
      </c>
      <c r="M5" s="3" t="s">
        <v>3819</v>
      </c>
      <c r="N5" s="3" t="s">
        <v>6664</v>
      </c>
      <c r="O5" t="s">
        <v>3867</v>
      </c>
      <c r="P5" s="3" t="s">
        <v>4030</v>
      </c>
      <c r="Q5">
        <v>46260</v>
      </c>
      <c r="R5" s="3">
        <v>726</v>
      </c>
      <c r="S5" s="3" t="s">
        <v>3823</v>
      </c>
      <c r="T5" s="3">
        <v>13562</v>
      </c>
      <c r="U5" s="3" t="s">
        <v>6668</v>
      </c>
      <c r="V5" s="3" t="s">
        <v>6669</v>
      </c>
      <c r="W5" s="3">
        <v>9133.8790000000008</v>
      </c>
      <c r="X5" s="3">
        <v>46299</v>
      </c>
      <c r="Y5" s="3">
        <v>46300</v>
      </c>
      <c r="Z5"/>
      <c r="AA5" t="s">
        <v>3826</v>
      </c>
      <c r="AB5" t="s">
        <v>3827</v>
      </c>
      <c r="AC5" s="3" t="s">
        <v>6667</v>
      </c>
      <c r="AD5" t="s">
        <v>4049</v>
      </c>
      <c r="AE5" t="s">
        <v>5258</v>
      </c>
      <c r="AF5" t="s">
        <v>3831</v>
      </c>
      <c r="AG5" t="s">
        <v>3832</v>
      </c>
      <c r="AH5" t="s">
        <v>3908</v>
      </c>
      <c r="AI5" t="s">
        <v>3834</v>
      </c>
      <c r="AJ5" t="s">
        <v>3956</v>
      </c>
      <c r="AK5" t="s">
        <v>3832</v>
      </c>
      <c r="AL5" t="s">
        <v>4245</v>
      </c>
      <c r="AM5" s="3" t="s">
        <v>6789</v>
      </c>
      <c r="AN5" s="3"/>
      <c r="AO5" s="3">
        <v>46302</v>
      </c>
      <c r="AP5" s="3"/>
      <c r="AQ5" s="3" t="s">
        <v>4037</v>
      </c>
      <c r="AR5" s="3"/>
      <c r="AS5" s="3" t="s">
        <v>3961</v>
      </c>
      <c r="AT5" s="3">
        <v>46314</v>
      </c>
      <c r="AU5" s="3"/>
      <c r="AV5" s="3"/>
      <c r="AW5" t="s">
        <v>3839</v>
      </c>
      <c r="AX5"/>
      <c r="AY5"/>
      <c r="AZ5"/>
      <c r="BA5"/>
      <c r="BB5"/>
      <c r="BC5" t="s">
        <v>63</v>
      </c>
      <c r="BD5"/>
      <c r="BE5" t="s">
        <v>6662</v>
      </c>
      <c r="BF5" t="s">
        <v>6663</v>
      </c>
      <c r="BG5" t="s">
        <v>3817</v>
      </c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 s="6" t="str" cm="1">
        <f t="array" ref="CW5">IFERROR(_xlfn.IFS(H5=TIME(7,0,0),"GY",H5=TIME(7,30,0),"GY",H5=TIME(9,0,0),"GY",H5=TIME(15,0,0),"GY",H5=TIME(8,30,0),"GY",H5=TIME(5,30,0),"GY",H5=TIME(6,0,0),"GD",H5=TIME(6,30,0),"GD",H5=TIME(8,0,0),"GY",H5=TIME(6,15,0),"GD"),"")</f>
        <v>GD</v>
      </c>
    </row>
    <row r="6" spans="1:101" s="29" customFormat="1" x14ac:dyDescent="0.45">
      <c r="A6" s="14" t="s">
        <v>18</v>
      </c>
      <c r="B6" s="14"/>
      <c r="C6" s="14" t="s">
        <v>6702</v>
      </c>
      <c r="D6" s="14" t="s">
        <v>6703</v>
      </c>
      <c r="E6" s="100" t="s">
        <v>3817</v>
      </c>
      <c r="F6" s="14" t="s">
        <v>6555</v>
      </c>
      <c r="G6" s="4">
        <v>46315</v>
      </c>
      <c r="H6" s="5">
        <v>0.625</v>
      </c>
      <c r="I6" s="91">
        <v>46307</v>
      </c>
      <c r="J6" s="91"/>
      <c r="K6" s="91">
        <v>46305</v>
      </c>
      <c r="L6" s="14" t="s">
        <v>7931</v>
      </c>
      <c r="M6" s="14" t="s">
        <v>3819</v>
      </c>
      <c r="N6" s="14" t="s">
        <v>6704</v>
      </c>
      <c r="O6" s="29" t="s">
        <v>3867</v>
      </c>
      <c r="P6" s="14"/>
      <c r="Q6" s="29">
        <v>46274</v>
      </c>
      <c r="R6" s="14">
        <v>726</v>
      </c>
      <c r="S6" s="14" t="s">
        <v>3823</v>
      </c>
      <c r="T6" s="14">
        <v>6927</v>
      </c>
      <c r="U6" s="14" t="s">
        <v>6705</v>
      </c>
      <c r="V6" s="14" t="s">
        <v>6706</v>
      </c>
      <c r="W6" s="14">
        <v>6585.3969999999999</v>
      </c>
      <c r="X6" s="14">
        <v>46299</v>
      </c>
      <c r="Y6" s="14">
        <v>46305</v>
      </c>
      <c r="AA6" s="29" t="s">
        <v>3826</v>
      </c>
      <c r="AB6" s="29" t="s">
        <v>3827</v>
      </c>
      <c r="AC6" s="14" t="s">
        <v>6707</v>
      </c>
      <c r="AD6" s="29" t="s">
        <v>3955</v>
      </c>
      <c r="AE6" s="29" t="s">
        <v>6631</v>
      </c>
      <c r="AF6" s="29" t="s">
        <v>3831</v>
      </c>
      <c r="AG6" s="29" t="s">
        <v>3832</v>
      </c>
      <c r="AH6" s="29" t="s">
        <v>3908</v>
      </c>
      <c r="AI6" s="29" t="s">
        <v>3834</v>
      </c>
      <c r="AJ6" s="29" t="s">
        <v>3956</v>
      </c>
      <c r="AK6" s="29" t="s">
        <v>3832</v>
      </c>
      <c r="AM6" s="14" t="s">
        <v>6794</v>
      </c>
      <c r="AN6" s="14"/>
      <c r="AO6" s="14">
        <v>46307</v>
      </c>
      <c r="AP6" s="14"/>
      <c r="AQ6" s="14" t="s">
        <v>4037</v>
      </c>
      <c r="AR6" s="14"/>
      <c r="AS6" s="14" t="s">
        <v>3961</v>
      </c>
      <c r="AT6" s="14">
        <v>46319</v>
      </c>
      <c r="AU6" s="14"/>
      <c r="AV6" s="14">
        <v>46322</v>
      </c>
      <c r="AW6" s="29" t="s">
        <v>3839</v>
      </c>
      <c r="BC6" s="29" t="s">
        <v>18</v>
      </c>
      <c r="BE6" s="29" t="s">
        <v>6702</v>
      </c>
      <c r="BF6" s="29" t="s">
        <v>6703</v>
      </c>
      <c r="BG6" s="29" t="s">
        <v>3817</v>
      </c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 s="6" t="str" cm="1">
        <f t="array" ref="CW6">IFERROR(_xlfn.IFS(H6=TIME(7,0,0),"GY",H6=TIME(7,30,0),"GY",H6=TIME(9,0,0),"GY",H6=TIME(15,0,0),"GY",H6=TIME(8,30,0),"GY",H6=TIME(5,30,0),"GY",H6=TIME(6,0,0),"GD",H6=TIME(6,30,0),"GD",H6=TIME(8,0,0),"GY",H6=TIME(6,15,0),"GD"),"")</f>
        <v>GY</v>
      </c>
    </row>
    <row r="7" spans="1:101" s="29" customFormat="1" x14ac:dyDescent="0.45">
      <c r="A7" s="14" t="s">
        <v>18</v>
      </c>
      <c r="B7" s="14"/>
      <c r="C7" s="14" t="s">
        <v>6702</v>
      </c>
      <c r="D7" s="14" t="s">
        <v>6703</v>
      </c>
      <c r="E7" s="100" t="s">
        <v>3817</v>
      </c>
      <c r="F7" s="14" t="s">
        <v>6556</v>
      </c>
      <c r="G7" s="4">
        <v>46315</v>
      </c>
      <c r="H7" s="5">
        <v>0.625</v>
      </c>
      <c r="I7" s="91">
        <v>46307</v>
      </c>
      <c r="J7" s="91"/>
      <c r="K7" s="91">
        <v>46305</v>
      </c>
      <c r="L7" s="14" t="s">
        <v>7931</v>
      </c>
      <c r="M7" s="14" t="s">
        <v>3819</v>
      </c>
      <c r="N7" s="14" t="s">
        <v>6704</v>
      </c>
      <c r="O7" s="29" t="s">
        <v>3867</v>
      </c>
      <c r="P7" s="14"/>
      <c r="Q7" s="29">
        <v>46274</v>
      </c>
      <c r="R7" s="14">
        <v>726</v>
      </c>
      <c r="S7" s="14" t="s">
        <v>3823</v>
      </c>
      <c r="T7" s="14">
        <v>2602</v>
      </c>
      <c r="U7" s="14" t="s">
        <v>6708</v>
      </c>
      <c r="V7" s="14" t="s">
        <v>6709</v>
      </c>
      <c r="W7" s="14">
        <v>1068.502</v>
      </c>
      <c r="X7" s="14">
        <v>46299</v>
      </c>
      <c r="Y7" s="14">
        <v>46305</v>
      </c>
      <c r="AA7" s="29" t="s">
        <v>3826</v>
      </c>
      <c r="AB7" s="29" t="s">
        <v>3827</v>
      </c>
      <c r="AC7" s="14" t="s">
        <v>6707</v>
      </c>
      <c r="AD7" s="29" t="s">
        <v>3955</v>
      </c>
      <c r="AE7" s="29" t="s">
        <v>6631</v>
      </c>
      <c r="AF7" s="29" t="s">
        <v>3831</v>
      </c>
      <c r="AG7" s="29" t="s">
        <v>3832</v>
      </c>
      <c r="AH7" s="29" t="s">
        <v>3908</v>
      </c>
      <c r="AI7" s="29" t="s">
        <v>3834</v>
      </c>
      <c r="AJ7" s="29" t="s">
        <v>3956</v>
      </c>
      <c r="AK7" s="29" t="s">
        <v>3832</v>
      </c>
      <c r="AM7" s="14" t="s">
        <v>6794</v>
      </c>
      <c r="AN7" s="14"/>
      <c r="AO7" s="14">
        <v>46307</v>
      </c>
      <c r="AP7" s="14"/>
      <c r="AQ7" s="14" t="s">
        <v>4037</v>
      </c>
      <c r="AR7" s="14"/>
      <c r="AS7" s="14" t="s">
        <v>3961</v>
      </c>
      <c r="AT7" s="14">
        <v>46319</v>
      </c>
      <c r="AU7" s="14"/>
      <c r="AV7" s="14">
        <v>46322</v>
      </c>
      <c r="AW7" s="29" t="s">
        <v>3839</v>
      </c>
      <c r="BC7" s="29" t="s">
        <v>18</v>
      </c>
      <c r="BE7" s="29" t="s">
        <v>6702</v>
      </c>
      <c r="BF7" s="29" t="s">
        <v>6703</v>
      </c>
      <c r="BG7" s="29" t="s">
        <v>3817</v>
      </c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 s="6" t="str" cm="1">
        <f t="array" ref="CW7">IFERROR(_xlfn.IFS(H7=TIME(7,0,0),"GY",H7=TIME(7,30,0),"GY",H7=TIME(9,0,0),"GY",H7=TIME(15,0,0),"GY",H7=TIME(8,30,0),"GY",H7=TIME(5,30,0),"GY",H7=TIME(6,0,0),"GD",H7=TIME(6,30,0),"GD",H7=TIME(8,0,0),"GY",H7=TIME(6,15,0),"GD"),"")</f>
        <v>GY</v>
      </c>
    </row>
    <row r="8" spans="1:101" s="29" customFormat="1" x14ac:dyDescent="0.45">
      <c r="A8" s="3" t="s">
        <v>32</v>
      </c>
      <c r="B8" s="3" t="s">
        <v>3814</v>
      </c>
      <c r="C8" s="3" t="s">
        <v>5525</v>
      </c>
      <c r="D8" s="3" t="s">
        <v>5526</v>
      </c>
      <c r="E8" s="100" t="s">
        <v>3817</v>
      </c>
      <c r="F8" s="3" t="s">
        <v>5123</v>
      </c>
      <c r="G8" s="4">
        <v>46314</v>
      </c>
      <c r="H8" s="5">
        <v>0.35416666666666674</v>
      </c>
      <c r="I8" s="91">
        <v>46307</v>
      </c>
      <c r="J8" s="91"/>
      <c r="K8" s="91">
        <v>46304</v>
      </c>
      <c r="L8" s="3" t="s">
        <v>7803</v>
      </c>
      <c r="M8" s="3" t="s">
        <v>3819</v>
      </c>
      <c r="N8" s="3" t="s">
        <v>5527</v>
      </c>
      <c r="O8" t="s">
        <v>3867</v>
      </c>
      <c r="P8" s="3" t="s">
        <v>3822</v>
      </c>
      <c r="Q8">
        <v>46271</v>
      </c>
      <c r="R8" s="3">
        <v>726</v>
      </c>
      <c r="S8" s="3" t="s">
        <v>3823</v>
      </c>
      <c r="T8" s="3">
        <v>156</v>
      </c>
      <c r="U8" s="3" t="s">
        <v>5528</v>
      </c>
      <c r="V8" s="3" t="s">
        <v>5529</v>
      </c>
      <c r="W8" s="3">
        <v>1999.62</v>
      </c>
      <c r="X8" s="3">
        <v>46293</v>
      </c>
      <c r="Y8" s="3">
        <v>46304</v>
      </c>
      <c r="Z8"/>
      <c r="AA8" t="s">
        <v>3826</v>
      </c>
      <c r="AB8" t="s">
        <v>3827</v>
      </c>
      <c r="AC8" s="3" t="s">
        <v>5530</v>
      </c>
      <c r="AD8" t="s">
        <v>4702</v>
      </c>
      <c r="AE8" t="s">
        <v>5524</v>
      </c>
      <c r="AF8" t="s">
        <v>3831</v>
      </c>
      <c r="AG8" t="s">
        <v>3832</v>
      </c>
      <c r="AH8" t="s">
        <v>3833</v>
      </c>
      <c r="AI8" t="s">
        <v>3834</v>
      </c>
      <c r="AJ8" t="s">
        <v>3835</v>
      </c>
      <c r="AK8" t="s">
        <v>3832</v>
      </c>
      <c r="AL8"/>
      <c r="AM8" s="3" t="s">
        <v>5679</v>
      </c>
      <c r="AN8" s="3"/>
      <c r="AO8" s="3">
        <v>46307</v>
      </c>
      <c r="AP8" s="3"/>
      <c r="AQ8" s="3" t="s">
        <v>3837</v>
      </c>
      <c r="AR8" s="3" t="s">
        <v>3814</v>
      </c>
      <c r="AS8" s="3"/>
      <c r="AT8" s="3">
        <v>46318</v>
      </c>
      <c r="AU8" s="3">
        <v>46352</v>
      </c>
      <c r="AV8" s="3"/>
      <c r="AW8" t="s">
        <v>3839</v>
      </c>
      <c r="AX8"/>
      <c r="AY8"/>
      <c r="AZ8"/>
      <c r="BA8"/>
      <c r="BB8"/>
      <c r="BC8" t="s">
        <v>32</v>
      </c>
      <c r="BD8" t="s">
        <v>3814</v>
      </c>
      <c r="BE8" t="s">
        <v>5525</v>
      </c>
      <c r="BF8" t="s">
        <v>5526</v>
      </c>
      <c r="BG8" t="s">
        <v>3817</v>
      </c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 s="6" t="str" cm="1">
        <f t="array" ref="CW8">IFERROR(_xlfn.IFS(H8=TIME(7,0,0),"GY",H8=TIME(7,30,0),"GY",H8=TIME(9,0,0),"GY",H8=TIME(15,0,0),"GY",H8=TIME(8,30,0),"GY",H8=TIME(5,30,0),"GY",H8=TIME(6,0,0),"GD",H8=TIME(6,30,0),"GD",H8=TIME(8,0,0),"GY",H8=TIME(6,15,0),"GD"),"")</f>
        <v>GY</v>
      </c>
    </row>
    <row r="9" spans="1:101" s="29" customFormat="1" x14ac:dyDescent="0.45">
      <c r="A9" s="3" t="s">
        <v>63</v>
      </c>
      <c r="B9" s="3"/>
      <c r="C9" s="3" t="s">
        <v>6670</v>
      </c>
      <c r="D9" s="3" t="s">
        <v>6671</v>
      </c>
      <c r="E9" s="100" t="s">
        <v>3817</v>
      </c>
      <c r="F9" s="3" t="s">
        <v>5908</v>
      </c>
      <c r="G9" s="4">
        <v>46314</v>
      </c>
      <c r="H9" s="5">
        <v>0.27083333333333326</v>
      </c>
      <c r="I9" s="91">
        <v>46303</v>
      </c>
      <c r="J9" s="91"/>
      <c r="K9" s="91">
        <v>46300</v>
      </c>
      <c r="L9" s="3" t="s">
        <v>7802</v>
      </c>
      <c r="M9" s="3" t="s">
        <v>3819</v>
      </c>
      <c r="N9" s="3" t="s">
        <v>6672</v>
      </c>
      <c r="O9" t="s">
        <v>3867</v>
      </c>
      <c r="P9" s="3" t="s">
        <v>4030</v>
      </c>
      <c r="Q9">
        <v>46262</v>
      </c>
      <c r="R9" s="3">
        <v>726</v>
      </c>
      <c r="S9" s="3" t="s">
        <v>3823</v>
      </c>
      <c r="T9" s="3">
        <v>11249</v>
      </c>
      <c r="U9" s="3" t="s">
        <v>6673</v>
      </c>
      <c r="V9" s="3" t="s">
        <v>6674</v>
      </c>
      <c r="W9" s="3">
        <v>3153.5070000000001</v>
      </c>
      <c r="X9" s="3">
        <v>46299</v>
      </c>
      <c r="Y9" s="3">
        <v>46300</v>
      </c>
      <c r="Z9"/>
      <c r="AA9" t="s">
        <v>3826</v>
      </c>
      <c r="AB9" t="s">
        <v>3827</v>
      </c>
      <c r="AC9" s="3" t="s">
        <v>6675</v>
      </c>
      <c r="AD9" t="s">
        <v>4049</v>
      </c>
      <c r="AE9" t="s">
        <v>5258</v>
      </c>
      <c r="AF9" t="s">
        <v>3831</v>
      </c>
      <c r="AG9" t="s">
        <v>3832</v>
      </c>
      <c r="AH9" t="s">
        <v>3908</v>
      </c>
      <c r="AI9" t="s">
        <v>3834</v>
      </c>
      <c r="AJ9" t="s">
        <v>3956</v>
      </c>
      <c r="AK9" t="s">
        <v>3832</v>
      </c>
      <c r="AL9" t="s">
        <v>4245</v>
      </c>
      <c r="AM9" s="3" t="s">
        <v>6790</v>
      </c>
      <c r="AN9" s="3"/>
      <c r="AO9" s="3">
        <v>46303</v>
      </c>
      <c r="AP9" s="3"/>
      <c r="AQ9" s="3" t="s">
        <v>4037</v>
      </c>
      <c r="AR9" s="3"/>
      <c r="AS9" s="3" t="s">
        <v>3961</v>
      </c>
      <c r="AT9" s="3">
        <v>46314</v>
      </c>
      <c r="AU9" s="3"/>
      <c r="AV9" s="3"/>
      <c r="AW9" t="s">
        <v>3839</v>
      </c>
      <c r="AX9"/>
      <c r="AY9"/>
      <c r="AZ9"/>
      <c r="BA9"/>
      <c r="BB9"/>
      <c r="BC9" t="s">
        <v>63</v>
      </c>
      <c r="BD9"/>
      <c r="BE9" t="s">
        <v>6670</v>
      </c>
      <c r="BF9" t="s">
        <v>6671</v>
      </c>
      <c r="BG9" t="s">
        <v>3817</v>
      </c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 s="6" t="str" cm="1">
        <f t="array" ref="CW9">IFERROR(_xlfn.IFS(H9=TIME(7,0,0),"GY",H9=TIME(7,30,0),"GY",H9=TIME(9,0,0),"GY",H9=TIME(15,0,0),"GY",H9=TIME(8,30,0),"GY",H9=TIME(5,30,0),"GY",H9=TIME(6,0,0),"GD",H9=TIME(6,30,0),"GD",H9=TIME(8,0,0),"GY",H9=TIME(6,15,0),"GD"),"")</f>
        <v>GD</v>
      </c>
    </row>
    <row r="10" spans="1:101" s="29" customFormat="1" x14ac:dyDescent="0.45">
      <c r="A10" s="3" t="s">
        <v>63</v>
      </c>
      <c r="B10" s="3"/>
      <c r="C10" s="3" t="s">
        <v>6670</v>
      </c>
      <c r="D10" s="3" t="s">
        <v>6671</v>
      </c>
      <c r="E10" s="100" t="s">
        <v>3817</v>
      </c>
      <c r="F10" s="3" t="s">
        <v>5910</v>
      </c>
      <c r="G10" s="4">
        <v>46314</v>
      </c>
      <c r="H10" s="5">
        <v>0.27083333333333326</v>
      </c>
      <c r="I10" s="91">
        <v>46303</v>
      </c>
      <c r="J10" s="91"/>
      <c r="K10" s="91">
        <v>46300</v>
      </c>
      <c r="L10" s="3" t="s">
        <v>7802</v>
      </c>
      <c r="M10" s="3" t="s">
        <v>3819</v>
      </c>
      <c r="N10" s="3" t="s">
        <v>6672</v>
      </c>
      <c r="O10" t="s">
        <v>3867</v>
      </c>
      <c r="P10" s="3" t="s">
        <v>4030</v>
      </c>
      <c r="Q10">
        <v>46262</v>
      </c>
      <c r="R10" s="3">
        <v>726</v>
      </c>
      <c r="S10" s="3" t="s">
        <v>3823</v>
      </c>
      <c r="T10" s="3">
        <v>10034</v>
      </c>
      <c r="U10" s="3" t="s">
        <v>6676</v>
      </c>
      <c r="V10" s="3" t="s">
        <v>6677</v>
      </c>
      <c r="W10" s="3">
        <v>7090.924</v>
      </c>
      <c r="X10" s="3">
        <v>46299</v>
      </c>
      <c r="Y10" s="3">
        <v>46300</v>
      </c>
      <c r="Z10"/>
      <c r="AA10" t="s">
        <v>3826</v>
      </c>
      <c r="AB10" t="s">
        <v>3827</v>
      </c>
      <c r="AC10" s="3" t="s">
        <v>6675</v>
      </c>
      <c r="AD10" t="s">
        <v>4049</v>
      </c>
      <c r="AE10" t="s">
        <v>5258</v>
      </c>
      <c r="AF10" t="s">
        <v>3831</v>
      </c>
      <c r="AG10" t="s">
        <v>3832</v>
      </c>
      <c r="AH10" t="s">
        <v>3908</v>
      </c>
      <c r="AI10" t="s">
        <v>3834</v>
      </c>
      <c r="AJ10" t="s">
        <v>3956</v>
      </c>
      <c r="AK10" t="s">
        <v>3832</v>
      </c>
      <c r="AL10" t="s">
        <v>4245</v>
      </c>
      <c r="AM10" s="3" t="s">
        <v>6790</v>
      </c>
      <c r="AN10" s="3"/>
      <c r="AO10" s="3">
        <v>46303</v>
      </c>
      <c r="AP10" s="3"/>
      <c r="AQ10" s="3" t="s">
        <v>4037</v>
      </c>
      <c r="AR10" s="3"/>
      <c r="AS10" s="3" t="s">
        <v>3961</v>
      </c>
      <c r="AT10" s="3">
        <v>46314</v>
      </c>
      <c r="AU10" s="3"/>
      <c r="AV10" s="3"/>
      <c r="AW10" t="s">
        <v>3839</v>
      </c>
      <c r="AX10"/>
      <c r="AY10"/>
      <c r="AZ10"/>
      <c r="BA10"/>
      <c r="BB10"/>
      <c r="BC10" t="s">
        <v>63</v>
      </c>
      <c r="BD10"/>
      <c r="BE10" t="s">
        <v>6670</v>
      </c>
      <c r="BF10" t="s">
        <v>6671</v>
      </c>
      <c r="BG10" t="s">
        <v>3817</v>
      </c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 s="6" t="str" cm="1">
        <f t="array" ref="CW10">IFERROR(_xlfn.IFS(H10=TIME(7,0,0),"GY",H10=TIME(7,30,0),"GY",H10=TIME(9,0,0),"GY",H10=TIME(15,0,0),"GY",H10=TIME(8,30,0),"GY",H10=TIME(5,30,0),"GY",H10=TIME(6,0,0),"GD",H10=TIME(6,30,0),"GD",H10=TIME(8,0,0),"GY",H10=TIME(6,15,0),"GD"),"")</f>
        <v>GD</v>
      </c>
    </row>
    <row r="11" spans="1:101" s="29" customFormat="1" x14ac:dyDescent="0.45">
      <c r="A11" s="3" t="s">
        <v>32</v>
      </c>
      <c r="B11" s="3" t="s">
        <v>3814</v>
      </c>
      <c r="C11" s="3" t="s">
        <v>5518</v>
      </c>
      <c r="D11" s="3" t="s">
        <v>5519</v>
      </c>
      <c r="E11" s="100" t="s">
        <v>3817</v>
      </c>
      <c r="F11" s="3" t="s">
        <v>160</v>
      </c>
      <c r="G11" s="4">
        <v>46313</v>
      </c>
      <c r="H11" s="5">
        <v>0.35416666666666674</v>
      </c>
      <c r="I11" s="91">
        <v>46307</v>
      </c>
      <c r="J11" s="91"/>
      <c r="K11" s="91">
        <v>46304</v>
      </c>
      <c r="L11" s="3" t="s">
        <v>7731</v>
      </c>
      <c r="M11" s="3" t="s">
        <v>3819</v>
      </c>
      <c r="N11" s="3" t="s">
        <v>5520</v>
      </c>
      <c r="O11" t="s">
        <v>3867</v>
      </c>
      <c r="P11" s="3" t="s">
        <v>3822</v>
      </c>
      <c r="Q11">
        <v>46268</v>
      </c>
      <c r="R11" s="3">
        <v>726</v>
      </c>
      <c r="S11" s="3" t="s">
        <v>3823</v>
      </c>
      <c r="T11" s="3">
        <v>204</v>
      </c>
      <c r="U11" s="3" t="s">
        <v>5521</v>
      </c>
      <c r="V11" s="3" t="s">
        <v>5522</v>
      </c>
      <c r="W11" s="3">
        <v>2962.82</v>
      </c>
      <c r="X11" s="3">
        <v>46293</v>
      </c>
      <c r="Y11" s="3">
        <v>46304</v>
      </c>
      <c r="Z11"/>
      <c r="AA11" t="s">
        <v>3826</v>
      </c>
      <c r="AB11" t="s">
        <v>3827</v>
      </c>
      <c r="AC11" s="3" t="s">
        <v>5523</v>
      </c>
      <c r="AD11" t="s">
        <v>4702</v>
      </c>
      <c r="AE11" t="s">
        <v>5524</v>
      </c>
      <c r="AF11" t="s">
        <v>3831</v>
      </c>
      <c r="AG11" t="s">
        <v>3832</v>
      </c>
      <c r="AH11" t="s">
        <v>3833</v>
      </c>
      <c r="AI11" t="s">
        <v>3834</v>
      </c>
      <c r="AJ11" t="s">
        <v>3835</v>
      </c>
      <c r="AK11" t="s">
        <v>3832</v>
      </c>
      <c r="AL11"/>
      <c r="AM11" s="3" t="s">
        <v>5678</v>
      </c>
      <c r="AN11" s="3"/>
      <c r="AO11" s="3">
        <v>46307</v>
      </c>
      <c r="AP11" s="3"/>
      <c r="AQ11" s="3" t="s">
        <v>3837</v>
      </c>
      <c r="AR11" s="3" t="s">
        <v>3814</v>
      </c>
      <c r="AS11" s="3"/>
      <c r="AT11" s="3">
        <v>46318</v>
      </c>
      <c r="AU11" s="3">
        <v>46352</v>
      </c>
      <c r="AV11" s="3"/>
      <c r="AW11" t="s">
        <v>3839</v>
      </c>
      <c r="AX11"/>
      <c r="AY11"/>
      <c r="AZ11"/>
      <c r="BA11"/>
      <c r="BB11"/>
      <c r="BC11" t="s">
        <v>32</v>
      </c>
      <c r="BD11" t="s">
        <v>3814</v>
      </c>
      <c r="BE11" t="s">
        <v>5518</v>
      </c>
      <c r="BF11" t="s">
        <v>5519</v>
      </c>
      <c r="BG11" t="s">
        <v>3817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 s="6" t="str" cm="1">
        <f t="array" ref="CW11">IFERROR(_xlfn.IFS(H11=TIME(7,0,0),"GY",H11=TIME(7,30,0),"GY",H11=TIME(9,0,0),"GY",H11=TIME(15,0,0),"GY",H11=TIME(8,30,0),"GY",H11=TIME(5,30,0),"GY",H11=TIME(6,0,0),"GD",H11=TIME(6,30,0),"GD",H11=TIME(8,0,0),"GY",H11=TIME(6,15,0),"GD"),"")</f>
        <v>GY</v>
      </c>
    </row>
    <row r="12" spans="1:101" s="29" customFormat="1" x14ac:dyDescent="0.45">
      <c r="A12" s="3" t="s">
        <v>18</v>
      </c>
      <c r="B12" s="3"/>
      <c r="C12" s="3" t="s">
        <v>6688</v>
      </c>
      <c r="D12" s="3" t="s">
        <v>6689</v>
      </c>
      <c r="E12" s="100" t="s">
        <v>3817</v>
      </c>
      <c r="F12" s="3" t="s">
        <v>6554</v>
      </c>
      <c r="G12" s="4">
        <v>46313</v>
      </c>
      <c r="H12" s="5">
        <v>0.26041666666666674</v>
      </c>
      <c r="I12" s="91">
        <v>46307</v>
      </c>
      <c r="J12" s="91"/>
      <c r="K12" s="91">
        <v>46305</v>
      </c>
      <c r="L12" s="3" t="s">
        <v>7744</v>
      </c>
      <c r="M12" s="3" t="s">
        <v>3819</v>
      </c>
      <c r="N12" s="3" t="s">
        <v>6690</v>
      </c>
      <c r="O12" t="s">
        <v>3867</v>
      </c>
      <c r="P12" s="3"/>
      <c r="Q12">
        <v>46269</v>
      </c>
      <c r="R12" s="3">
        <v>726</v>
      </c>
      <c r="S12" s="3" t="s">
        <v>3823</v>
      </c>
      <c r="T12" s="3">
        <v>6394</v>
      </c>
      <c r="U12" s="3" t="s">
        <v>6691</v>
      </c>
      <c r="V12" s="3" t="s">
        <v>6692</v>
      </c>
      <c r="W12" s="3">
        <v>10041.689</v>
      </c>
      <c r="X12" s="3">
        <v>46298</v>
      </c>
      <c r="Y12" s="3">
        <v>46305</v>
      </c>
      <c r="Z12"/>
      <c r="AA12" t="s">
        <v>3826</v>
      </c>
      <c r="AB12" t="s">
        <v>3827</v>
      </c>
      <c r="AC12" s="3" t="s">
        <v>6693</v>
      </c>
      <c r="AD12" t="s">
        <v>3955</v>
      </c>
      <c r="AE12" t="s">
        <v>6631</v>
      </c>
      <c r="AF12" t="s">
        <v>3831</v>
      </c>
      <c r="AG12" t="s">
        <v>3832</v>
      </c>
      <c r="AH12" t="s">
        <v>3908</v>
      </c>
      <c r="AI12" t="s">
        <v>3834</v>
      </c>
      <c r="AJ12" t="s">
        <v>3956</v>
      </c>
      <c r="AK12" t="s">
        <v>3832</v>
      </c>
      <c r="AL12"/>
      <c r="AM12" s="3" t="s">
        <v>6792</v>
      </c>
      <c r="AN12" s="3"/>
      <c r="AO12" s="3">
        <v>46307</v>
      </c>
      <c r="AP12" s="3"/>
      <c r="AQ12" s="3" t="s">
        <v>4037</v>
      </c>
      <c r="AR12" s="3"/>
      <c r="AS12" s="3" t="s">
        <v>3961</v>
      </c>
      <c r="AT12" s="3">
        <v>46319</v>
      </c>
      <c r="AU12" s="3"/>
      <c r="AV12" s="3">
        <v>46322</v>
      </c>
      <c r="AW12" t="s">
        <v>3839</v>
      </c>
      <c r="AX12"/>
      <c r="AY12"/>
      <c r="AZ12"/>
      <c r="BA12"/>
      <c r="BB12"/>
      <c r="BC12" t="s">
        <v>18</v>
      </c>
      <c r="BD12"/>
      <c r="BE12" t="s">
        <v>6688</v>
      </c>
      <c r="BF12" t="s">
        <v>6689</v>
      </c>
      <c r="BG12" t="s">
        <v>3817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 s="6" t="str" cm="1">
        <f t="array" ref="CW12">IFERROR(_xlfn.IFS(H12=TIME(7,0,0),"GY",H12=TIME(7,30,0),"GY",H12=TIME(9,0,0),"GY",H12=TIME(15,0,0),"GY",H12=TIME(8,30,0),"GY",H12=TIME(5,30,0),"GY",H12=TIME(6,0,0),"GD",H12=TIME(6,30,0),"GD",H12=TIME(8,0,0),"GY",H12=TIME(6,15,0),"GD"),"")</f>
        <v>GD</v>
      </c>
    </row>
    <row r="13" spans="1:101" s="29" customFormat="1" x14ac:dyDescent="0.45">
      <c r="A13" s="3" t="s">
        <v>32</v>
      </c>
      <c r="B13" s="3" t="s">
        <v>3814</v>
      </c>
      <c r="C13" s="3" t="s">
        <v>6928</v>
      </c>
      <c r="D13" s="3" t="s">
        <v>6929</v>
      </c>
      <c r="E13" s="100" t="s">
        <v>3817</v>
      </c>
      <c r="F13" s="3" t="s">
        <v>6181</v>
      </c>
      <c r="G13" s="4">
        <v>46312</v>
      </c>
      <c r="H13" s="5">
        <v>0.35416666666666674</v>
      </c>
      <c r="I13" s="91">
        <v>46303</v>
      </c>
      <c r="J13" s="91"/>
      <c r="K13" s="91">
        <v>46303</v>
      </c>
      <c r="L13" s="3" t="s">
        <v>7392</v>
      </c>
      <c r="M13" s="3" t="s">
        <v>3819</v>
      </c>
      <c r="N13" s="3" t="s">
        <v>6930</v>
      </c>
      <c r="O13" t="s">
        <v>3821</v>
      </c>
      <c r="P13" s="3" t="s">
        <v>3822</v>
      </c>
      <c r="Q13">
        <v>46288</v>
      </c>
      <c r="R13" s="3">
        <v>726</v>
      </c>
      <c r="S13" s="3" t="s">
        <v>3823</v>
      </c>
      <c r="T13" s="3">
        <v>204</v>
      </c>
      <c r="U13" s="3" t="s">
        <v>6931</v>
      </c>
      <c r="V13" s="3" t="s">
        <v>6932</v>
      </c>
      <c r="W13" s="3">
        <v>2268.98</v>
      </c>
      <c r="X13" s="3">
        <v>46304</v>
      </c>
      <c r="Y13" s="3">
        <v>46302</v>
      </c>
      <c r="Z13"/>
      <c r="AA13" t="s">
        <v>3926</v>
      </c>
      <c r="AB13" t="s">
        <v>3927</v>
      </c>
      <c r="AC13" s="3" t="s">
        <v>6933</v>
      </c>
      <c r="AD13" t="s">
        <v>5439</v>
      </c>
      <c r="AE13" t="s">
        <v>6934</v>
      </c>
      <c r="AF13" t="s">
        <v>3831</v>
      </c>
      <c r="AG13" t="s">
        <v>3832</v>
      </c>
      <c r="AH13" t="s">
        <v>3833</v>
      </c>
      <c r="AI13" t="s">
        <v>3834</v>
      </c>
      <c r="AJ13" t="s">
        <v>3835</v>
      </c>
      <c r="AK13" t="s">
        <v>3832</v>
      </c>
      <c r="AL13"/>
      <c r="AM13" s="3" t="s">
        <v>7259</v>
      </c>
      <c r="AN13" s="3"/>
      <c r="AO13" s="3">
        <v>46303</v>
      </c>
      <c r="AP13" s="3"/>
      <c r="AQ13" s="3" t="s">
        <v>4424</v>
      </c>
      <c r="AR13" s="3" t="s">
        <v>3814</v>
      </c>
      <c r="AS13" s="3"/>
      <c r="AT13" s="3">
        <v>46317</v>
      </c>
      <c r="AU13" s="3">
        <v>46378</v>
      </c>
      <c r="AV13" s="3"/>
      <c r="AW13" t="s">
        <v>3839</v>
      </c>
      <c r="AX13"/>
      <c r="AY13"/>
      <c r="AZ13"/>
      <c r="BA13"/>
      <c r="BB13"/>
      <c r="BC13" t="s">
        <v>32</v>
      </c>
      <c r="BD13" t="s">
        <v>3814</v>
      </c>
      <c r="BE13" t="s">
        <v>6928</v>
      </c>
      <c r="BF13" t="s">
        <v>6929</v>
      </c>
      <c r="BG13" t="s">
        <v>3817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 s="6" t="str" cm="1">
        <f t="array" ref="CW13">IFERROR(_xlfn.IFS(H13=TIME(7,0,0),"GY",H13=TIME(7,30,0),"GY",H13=TIME(9,0,0),"GY",H13=TIME(15,0,0),"GY",H13=TIME(8,30,0),"GY",H13=TIME(5,30,0),"GY",H13=TIME(6,0,0),"GD",H13=TIME(6,30,0),"GD",H13=TIME(8,0,0),"GY",H13=TIME(6,15,0),"GD"),"")</f>
        <v>GY</v>
      </c>
    </row>
    <row r="14" spans="1:101" s="29" customFormat="1" x14ac:dyDescent="0.45">
      <c r="A14" s="3" t="s">
        <v>18</v>
      </c>
      <c r="B14" s="3"/>
      <c r="C14" s="3" t="s">
        <v>6678</v>
      </c>
      <c r="D14" s="3" t="s">
        <v>6679</v>
      </c>
      <c r="E14" s="100" t="s">
        <v>3817</v>
      </c>
      <c r="F14" s="3" t="s">
        <v>5909</v>
      </c>
      <c r="G14" s="4">
        <v>46312</v>
      </c>
      <c r="H14" s="5">
        <v>0.26041666666666674</v>
      </c>
      <c r="I14" s="91">
        <v>46302</v>
      </c>
      <c r="J14" s="91"/>
      <c r="K14" s="91">
        <v>46300</v>
      </c>
      <c r="L14" s="3" t="s">
        <v>7390</v>
      </c>
      <c r="M14" s="3" t="s">
        <v>3819</v>
      </c>
      <c r="N14" s="3" t="s">
        <v>6680</v>
      </c>
      <c r="O14" t="s">
        <v>3867</v>
      </c>
      <c r="P14" s="3" t="s">
        <v>3852</v>
      </c>
      <c r="Q14">
        <v>46266</v>
      </c>
      <c r="R14" s="3">
        <v>726</v>
      </c>
      <c r="S14" s="3" t="s">
        <v>3823</v>
      </c>
      <c r="T14" s="3">
        <v>7206</v>
      </c>
      <c r="U14" s="3" t="s">
        <v>6681</v>
      </c>
      <c r="V14" s="3" t="s">
        <v>6682</v>
      </c>
      <c r="W14" s="3">
        <v>10466.316999999999</v>
      </c>
      <c r="X14" s="3">
        <v>46299</v>
      </c>
      <c r="Y14" s="3">
        <v>46300</v>
      </c>
      <c r="Z14"/>
      <c r="AA14" t="s">
        <v>3826</v>
      </c>
      <c r="AB14" t="s">
        <v>3827</v>
      </c>
      <c r="AC14" s="3" t="s">
        <v>6683</v>
      </c>
      <c r="AD14" t="s">
        <v>4049</v>
      </c>
      <c r="AE14" t="s">
        <v>5258</v>
      </c>
      <c r="AF14" t="s">
        <v>3831</v>
      </c>
      <c r="AG14" t="s">
        <v>3832</v>
      </c>
      <c r="AH14" t="s">
        <v>3908</v>
      </c>
      <c r="AI14" t="s">
        <v>3834</v>
      </c>
      <c r="AJ14" t="s">
        <v>3956</v>
      </c>
      <c r="AK14" t="s">
        <v>3832</v>
      </c>
      <c r="AL14"/>
      <c r="AM14" s="3" t="s">
        <v>6791</v>
      </c>
      <c r="AN14" s="3"/>
      <c r="AO14" s="3">
        <v>46302</v>
      </c>
      <c r="AP14" s="3"/>
      <c r="AQ14" s="3" t="s">
        <v>4037</v>
      </c>
      <c r="AR14" s="3"/>
      <c r="AS14" s="3" t="s">
        <v>3961</v>
      </c>
      <c r="AT14" s="3">
        <v>46314</v>
      </c>
      <c r="AU14" s="3"/>
      <c r="AV14" s="3">
        <v>46317</v>
      </c>
      <c r="AW14" t="s">
        <v>3839</v>
      </c>
      <c r="AX14"/>
      <c r="AY14"/>
      <c r="AZ14"/>
      <c r="BA14"/>
      <c r="BB14"/>
      <c r="BC14" t="s">
        <v>18</v>
      </c>
      <c r="BD14"/>
      <c r="BE14" t="s">
        <v>6678</v>
      </c>
      <c r="BF14" t="s">
        <v>6679</v>
      </c>
      <c r="BG14" t="s">
        <v>3817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 s="6" t="str" cm="1">
        <f t="array" ref="CW14">IFERROR(_xlfn.IFS(H14=TIME(7,0,0),"GY",H14=TIME(7,30,0),"GY",H14=TIME(9,0,0),"GY",H14=TIME(15,0,0),"GY",H14=TIME(8,30,0),"GY",H14=TIME(5,30,0),"GY",H14=TIME(6,0,0),"GD",H14=TIME(6,30,0),"GD",H14=TIME(8,0,0),"GY",H14=TIME(6,15,0),"GD"),"")</f>
        <v>GD</v>
      </c>
    </row>
    <row r="15" spans="1:101" s="29" customFormat="1" x14ac:dyDescent="0.45">
      <c r="A15" s="3" t="s">
        <v>18</v>
      </c>
      <c r="B15" s="3"/>
      <c r="C15" s="3" t="s">
        <v>6678</v>
      </c>
      <c r="D15" s="3" t="s">
        <v>6679</v>
      </c>
      <c r="E15" s="100" t="s">
        <v>3817</v>
      </c>
      <c r="F15" s="3" t="s">
        <v>5914</v>
      </c>
      <c r="G15" s="4">
        <v>46312</v>
      </c>
      <c r="H15" s="5">
        <v>0.26041666666666674</v>
      </c>
      <c r="I15" s="91">
        <v>46302</v>
      </c>
      <c r="J15" s="91"/>
      <c r="K15" s="91">
        <v>46300</v>
      </c>
      <c r="L15" s="3" t="s">
        <v>7390</v>
      </c>
      <c r="M15" s="3" t="s">
        <v>3819</v>
      </c>
      <c r="N15" s="3" t="s">
        <v>6680</v>
      </c>
      <c r="O15" t="s">
        <v>3867</v>
      </c>
      <c r="P15" s="3" t="s">
        <v>3852</v>
      </c>
      <c r="Q15">
        <v>46266</v>
      </c>
      <c r="R15" s="3">
        <v>726</v>
      </c>
      <c r="S15" s="3" t="s">
        <v>3823</v>
      </c>
      <c r="T15" s="3">
        <v>220</v>
      </c>
      <c r="U15" s="3" t="s">
        <v>6684</v>
      </c>
      <c r="V15" s="3" t="s">
        <v>6685</v>
      </c>
      <c r="W15" s="3">
        <v>824.62199999999996</v>
      </c>
      <c r="X15" s="3">
        <v>46299</v>
      </c>
      <c r="Y15" s="3">
        <v>46300</v>
      </c>
      <c r="Z15"/>
      <c r="AA15" t="s">
        <v>3826</v>
      </c>
      <c r="AB15" t="s">
        <v>3827</v>
      </c>
      <c r="AC15" s="3" t="s">
        <v>6683</v>
      </c>
      <c r="AD15" t="s">
        <v>4049</v>
      </c>
      <c r="AE15" t="s">
        <v>5258</v>
      </c>
      <c r="AF15" t="s">
        <v>3831</v>
      </c>
      <c r="AG15" t="s">
        <v>3832</v>
      </c>
      <c r="AH15" t="s">
        <v>3908</v>
      </c>
      <c r="AI15" t="s">
        <v>3834</v>
      </c>
      <c r="AJ15" t="s">
        <v>3956</v>
      </c>
      <c r="AK15" t="s">
        <v>3832</v>
      </c>
      <c r="AL15"/>
      <c r="AM15" s="3" t="s">
        <v>6791</v>
      </c>
      <c r="AN15" s="3"/>
      <c r="AO15" s="3">
        <v>46302</v>
      </c>
      <c r="AP15" s="3"/>
      <c r="AQ15" s="3" t="s">
        <v>4037</v>
      </c>
      <c r="AR15" s="3"/>
      <c r="AS15" s="3" t="s">
        <v>3961</v>
      </c>
      <c r="AT15" s="3">
        <v>46314</v>
      </c>
      <c r="AU15" s="3"/>
      <c r="AV15" s="3">
        <v>46317</v>
      </c>
      <c r="AW15" t="s">
        <v>3839</v>
      </c>
      <c r="AX15"/>
      <c r="AY15"/>
      <c r="AZ15"/>
      <c r="BA15"/>
      <c r="BB15"/>
      <c r="BC15" t="s">
        <v>18</v>
      </c>
      <c r="BD15"/>
      <c r="BE15" t="s">
        <v>6678</v>
      </c>
      <c r="BF15" t="s">
        <v>6679</v>
      </c>
      <c r="BG15" t="s">
        <v>3817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 s="6" t="str" cm="1">
        <f t="array" ref="CW15">IFERROR(_xlfn.IFS(H15=TIME(7,0,0),"GY",H15=TIME(7,30,0),"GY",H15=TIME(9,0,0),"GY",H15=TIME(15,0,0),"GY",H15=TIME(8,30,0),"GY",H15=TIME(5,30,0),"GY",H15=TIME(6,0,0),"GD",H15=TIME(6,30,0),"GD",H15=TIME(8,0,0),"GY",H15=TIME(6,15,0),"GD"),"")</f>
        <v>GD</v>
      </c>
    </row>
    <row r="16" spans="1:101" s="29" customFormat="1" x14ac:dyDescent="0.45">
      <c r="A16" s="3" t="s">
        <v>18</v>
      </c>
      <c r="B16" s="3"/>
      <c r="C16" s="3" t="s">
        <v>6678</v>
      </c>
      <c r="D16" s="3" t="s">
        <v>6679</v>
      </c>
      <c r="E16" s="100" t="s">
        <v>3817</v>
      </c>
      <c r="F16" s="3" t="s">
        <v>5912</v>
      </c>
      <c r="G16" s="4">
        <v>46312</v>
      </c>
      <c r="H16" s="5">
        <v>0.26041666666666674</v>
      </c>
      <c r="I16" s="91">
        <v>46302</v>
      </c>
      <c r="J16" s="91"/>
      <c r="K16" s="91">
        <v>46300</v>
      </c>
      <c r="L16" s="3" t="s">
        <v>7390</v>
      </c>
      <c r="M16" s="3" t="s">
        <v>3819</v>
      </c>
      <c r="N16" s="3" t="s">
        <v>6680</v>
      </c>
      <c r="O16" t="s">
        <v>3867</v>
      </c>
      <c r="P16" s="3" t="s">
        <v>3852</v>
      </c>
      <c r="Q16">
        <v>46266</v>
      </c>
      <c r="R16" s="3">
        <v>726</v>
      </c>
      <c r="S16" s="3" t="s">
        <v>3823</v>
      </c>
      <c r="T16" s="3">
        <v>128</v>
      </c>
      <c r="U16" s="3" t="s">
        <v>6686</v>
      </c>
      <c r="V16" s="3" t="s">
        <v>6687</v>
      </c>
      <c r="W16" s="3">
        <v>37.76</v>
      </c>
      <c r="X16" s="3">
        <v>46299</v>
      </c>
      <c r="Y16" s="3">
        <v>46300</v>
      </c>
      <c r="Z16"/>
      <c r="AA16" t="s">
        <v>3826</v>
      </c>
      <c r="AB16" t="s">
        <v>3827</v>
      </c>
      <c r="AC16" s="3" t="s">
        <v>6683</v>
      </c>
      <c r="AD16" t="s">
        <v>4049</v>
      </c>
      <c r="AE16" t="s">
        <v>5258</v>
      </c>
      <c r="AF16" t="s">
        <v>3831</v>
      </c>
      <c r="AG16" t="s">
        <v>3832</v>
      </c>
      <c r="AH16" t="s">
        <v>3908</v>
      </c>
      <c r="AI16" t="s">
        <v>3834</v>
      </c>
      <c r="AJ16" t="s">
        <v>3956</v>
      </c>
      <c r="AK16" t="s">
        <v>3832</v>
      </c>
      <c r="AL16"/>
      <c r="AM16" s="3" t="s">
        <v>6791</v>
      </c>
      <c r="AN16" s="3"/>
      <c r="AO16" s="3">
        <v>46302</v>
      </c>
      <c r="AP16" s="3"/>
      <c r="AQ16" s="3" t="s">
        <v>4037</v>
      </c>
      <c r="AR16" s="3"/>
      <c r="AS16" s="3" t="s">
        <v>3961</v>
      </c>
      <c r="AT16" s="3">
        <v>46314</v>
      </c>
      <c r="AU16" s="3"/>
      <c r="AV16" s="3">
        <v>46317</v>
      </c>
      <c r="AW16" t="s">
        <v>3839</v>
      </c>
      <c r="AX16"/>
      <c r="AY16"/>
      <c r="AZ16"/>
      <c r="BA16"/>
      <c r="BB16"/>
      <c r="BC16" t="s">
        <v>18</v>
      </c>
      <c r="BD16"/>
      <c r="BE16" t="s">
        <v>6678</v>
      </c>
      <c r="BF16" t="s">
        <v>6679</v>
      </c>
      <c r="BG16" t="s">
        <v>3817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 s="6" t="str" cm="1">
        <f t="array" ref="CW16">IFERROR(_xlfn.IFS(H16=TIME(7,0,0),"GY",H16=TIME(7,30,0),"GY",H16=TIME(9,0,0),"GY",H16=TIME(15,0,0),"GY",H16=TIME(8,30,0),"GY",H16=TIME(5,30,0),"GY",H16=TIME(6,0,0),"GD",H16=TIME(6,30,0),"GD",H16=TIME(8,0,0),"GY",H16=TIME(6,15,0),"GD"),"")</f>
        <v>GD</v>
      </c>
    </row>
    <row r="17" spans="1:135" s="29" customFormat="1" x14ac:dyDescent="0.45">
      <c r="A17" s="3" t="s">
        <v>32</v>
      </c>
      <c r="B17" s="3" t="s">
        <v>3814</v>
      </c>
      <c r="C17" s="3" t="s">
        <v>6101</v>
      </c>
      <c r="D17" s="3" t="s">
        <v>6102</v>
      </c>
      <c r="E17" s="100" t="s">
        <v>3817</v>
      </c>
      <c r="F17" s="3" t="s">
        <v>254</v>
      </c>
      <c r="G17" s="4">
        <v>46312</v>
      </c>
      <c r="H17" s="5">
        <v>0.35416666666666674</v>
      </c>
      <c r="I17" s="91">
        <v>46302</v>
      </c>
      <c r="J17" s="91"/>
      <c r="K17" s="91">
        <v>46300</v>
      </c>
      <c r="L17" s="3" t="s">
        <v>7391</v>
      </c>
      <c r="M17" s="3" t="s">
        <v>3819</v>
      </c>
      <c r="N17" s="3" t="s">
        <v>6103</v>
      </c>
      <c r="O17" t="s">
        <v>3867</v>
      </c>
      <c r="P17" s="3" t="s">
        <v>4127</v>
      </c>
      <c r="Q17">
        <v>46274</v>
      </c>
      <c r="R17" s="3">
        <v>726</v>
      </c>
      <c r="S17" s="3" t="s">
        <v>3823</v>
      </c>
      <c r="T17" s="3">
        <v>130</v>
      </c>
      <c r="U17" s="3" t="s">
        <v>6104</v>
      </c>
      <c r="V17" s="3" t="s">
        <v>6105</v>
      </c>
      <c r="W17" s="3">
        <v>2074.79</v>
      </c>
      <c r="X17" s="3">
        <v>46286</v>
      </c>
      <c r="Y17" s="3">
        <v>46300</v>
      </c>
      <c r="Z17"/>
      <c r="AA17" t="s">
        <v>3826</v>
      </c>
      <c r="AB17" t="s">
        <v>3827</v>
      </c>
      <c r="AC17" s="3" t="s">
        <v>6217</v>
      </c>
      <c r="AD17" t="s">
        <v>4049</v>
      </c>
      <c r="AE17" t="s">
        <v>5258</v>
      </c>
      <c r="AF17" t="s">
        <v>3831</v>
      </c>
      <c r="AG17" t="s">
        <v>3832</v>
      </c>
      <c r="AH17" t="s">
        <v>3908</v>
      </c>
      <c r="AI17" t="s">
        <v>3834</v>
      </c>
      <c r="AJ17" t="s">
        <v>3956</v>
      </c>
      <c r="AK17" t="s">
        <v>3832</v>
      </c>
      <c r="AL17"/>
      <c r="AM17" s="3" t="s">
        <v>6126</v>
      </c>
      <c r="AN17" s="3"/>
      <c r="AO17" s="3">
        <v>46302</v>
      </c>
      <c r="AP17" s="3"/>
      <c r="AQ17" s="3" t="s">
        <v>4037</v>
      </c>
      <c r="AR17" s="3"/>
      <c r="AS17" s="3" t="s">
        <v>3961</v>
      </c>
      <c r="AT17" s="3">
        <v>46314</v>
      </c>
      <c r="AU17" s="3"/>
      <c r="AV17" s="3">
        <v>46317</v>
      </c>
      <c r="AW17" t="s">
        <v>3839</v>
      </c>
      <c r="AX17"/>
      <c r="AY17"/>
      <c r="AZ17"/>
      <c r="BA17"/>
      <c r="BB17"/>
      <c r="BC17" t="s">
        <v>32</v>
      </c>
      <c r="BD17" t="s">
        <v>3814</v>
      </c>
      <c r="BE17" t="s">
        <v>6101</v>
      </c>
      <c r="BF17" t="s">
        <v>6102</v>
      </c>
      <c r="BG17" t="s">
        <v>3817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 s="6" t="str" cm="1">
        <f t="array" ref="CW17">IFERROR(_xlfn.IFS(H17=TIME(7,0,0),"GY",H17=TIME(7,30,0),"GY",H17=TIME(9,0,0),"GY",H17=TIME(15,0,0),"GY",H17=TIME(8,30,0),"GY",H17=TIME(5,30,0),"GY",H17=TIME(6,0,0),"GD",H17=TIME(6,30,0),"GD",H17=TIME(8,0,0),"GY",H17=TIME(6,15,0),"GD"),"")</f>
        <v>GY</v>
      </c>
    </row>
    <row r="18" spans="1:135" s="29" customFormat="1" x14ac:dyDescent="0.45">
      <c r="A18" s="3" t="s">
        <v>63</v>
      </c>
      <c r="B18" s="3"/>
      <c r="C18" s="3" t="s">
        <v>6654</v>
      </c>
      <c r="D18" s="3" t="s">
        <v>6655</v>
      </c>
      <c r="E18" s="100" t="s">
        <v>3817</v>
      </c>
      <c r="F18" s="3" t="s">
        <v>5911</v>
      </c>
      <c r="G18" s="4">
        <v>46311</v>
      </c>
      <c r="H18" s="5">
        <v>0.27083333333333326</v>
      </c>
      <c r="I18" s="91">
        <v>46302</v>
      </c>
      <c r="J18" s="91"/>
      <c r="K18" s="91">
        <v>46300</v>
      </c>
      <c r="L18" s="3" t="s">
        <v>7287</v>
      </c>
      <c r="M18" s="3" t="s">
        <v>3819</v>
      </c>
      <c r="N18" s="3" t="s">
        <v>6656</v>
      </c>
      <c r="O18" t="s">
        <v>3867</v>
      </c>
      <c r="P18" s="3" t="s">
        <v>4030</v>
      </c>
      <c r="Q18">
        <v>46260</v>
      </c>
      <c r="R18" s="3">
        <v>726</v>
      </c>
      <c r="S18" s="3" t="s">
        <v>3823</v>
      </c>
      <c r="T18" s="3">
        <v>1324</v>
      </c>
      <c r="U18" s="3" t="s">
        <v>6657</v>
      </c>
      <c r="V18" s="3" t="s">
        <v>6658</v>
      </c>
      <c r="W18" s="3">
        <v>1073.011</v>
      </c>
      <c r="X18" s="3">
        <v>46299</v>
      </c>
      <c r="Y18" s="3">
        <v>46300</v>
      </c>
      <c r="Z18"/>
      <c r="AA18" t="s">
        <v>3826</v>
      </c>
      <c r="AB18" t="s">
        <v>3827</v>
      </c>
      <c r="AC18" s="3" t="s">
        <v>6659</v>
      </c>
      <c r="AD18" t="s">
        <v>4049</v>
      </c>
      <c r="AE18" t="s">
        <v>5258</v>
      </c>
      <c r="AF18" t="s">
        <v>3831</v>
      </c>
      <c r="AG18" t="s">
        <v>3832</v>
      </c>
      <c r="AH18" t="s">
        <v>3908</v>
      </c>
      <c r="AI18" t="s">
        <v>3834</v>
      </c>
      <c r="AJ18" t="s">
        <v>3956</v>
      </c>
      <c r="AK18" t="s">
        <v>3832</v>
      </c>
      <c r="AL18"/>
      <c r="AM18" s="3" t="s">
        <v>6788</v>
      </c>
      <c r="AN18" s="3"/>
      <c r="AO18" s="3">
        <v>46302</v>
      </c>
      <c r="AP18" s="3"/>
      <c r="AQ18" s="3" t="s">
        <v>4037</v>
      </c>
      <c r="AR18" s="3"/>
      <c r="AS18" s="3" t="s">
        <v>3961</v>
      </c>
      <c r="AT18" s="3">
        <v>46314</v>
      </c>
      <c r="AU18" s="3"/>
      <c r="AV18" s="3">
        <v>46317</v>
      </c>
      <c r="AW18" t="s">
        <v>3839</v>
      </c>
      <c r="AX18"/>
      <c r="AY18"/>
      <c r="AZ18"/>
      <c r="BA18"/>
      <c r="BB18"/>
      <c r="BC18" t="s">
        <v>63</v>
      </c>
      <c r="BD18"/>
      <c r="BE18" t="s">
        <v>6654</v>
      </c>
      <c r="BF18" t="s">
        <v>6655</v>
      </c>
      <c r="BG18" t="s">
        <v>3817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 s="6" t="str" cm="1">
        <f t="array" ref="CW18">IFERROR(_xlfn.IFS(H18=TIME(7,0,0),"GY",H18=TIME(7,30,0),"GY",H18=TIME(9,0,0),"GY",H18=TIME(15,0,0),"GY",H18=TIME(8,30,0),"GY",H18=TIME(5,30,0),"GY",H18=TIME(6,0,0),"GD",H18=TIME(6,30,0),"GD",H18=TIME(8,0,0),"GY",H18=TIME(6,15,0),"GD"),"")</f>
        <v>GD</v>
      </c>
    </row>
    <row r="19" spans="1:135" s="29" customFormat="1" x14ac:dyDescent="0.45">
      <c r="A19" s="14" t="s">
        <v>63</v>
      </c>
      <c r="B19" s="14"/>
      <c r="C19" s="14" t="s">
        <v>6654</v>
      </c>
      <c r="D19" s="14" t="s">
        <v>6655</v>
      </c>
      <c r="E19" s="100" t="s">
        <v>3817</v>
      </c>
      <c r="F19" s="14" t="s">
        <v>5906</v>
      </c>
      <c r="G19" s="4">
        <v>46311</v>
      </c>
      <c r="H19" s="5">
        <v>0.27083333333333326</v>
      </c>
      <c r="I19" s="91">
        <v>46302</v>
      </c>
      <c r="J19" s="91"/>
      <c r="K19" s="91">
        <v>46300</v>
      </c>
      <c r="L19" s="14" t="s">
        <v>7287</v>
      </c>
      <c r="M19" s="14" t="s">
        <v>3819</v>
      </c>
      <c r="N19" s="14" t="s">
        <v>6656</v>
      </c>
      <c r="O19" s="29" t="s">
        <v>3867</v>
      </c>
      <c r="P19" s="14" t="s">
        <v>4030</v>
      </c>
      <c r="Q19" s="29">
        <v>46260</v>
      </c>
      <c r="R19" s="14">
        <v>726</v>
      </c>
      <c r="S19" s="14" t="s">
        <v>3823</v>
      </c>
      <c r="T19" s="14">
        <v>12744</v>
      </c>
      <c r="U19" s="14" t="s">
        <v>6660</v>
      </c>
      <c r="V19" s="14" t="s">
        <v>6661</v>
      </c>
      <c r="W19" s="14">
        <v>7481.4120000000003</v>
      </c>
      <c r="X19" s="14">
        <v>46299</v>
      </c>
      <c r="Y19" s="14">
        <v>46300</v>
      </c>
      <c r="AA19" s="29" t="s">
        <v>3826</v>
      </c>
      <c r="AB19" s="29" t="s">
        <v>3827</v>
      </c>
      <c r="AC19" s="14" t="s">
        <v>6659</v>
      </c>
      <c r="AD19" s="29" t="s">
        <v>4049</v>
      </c>
      <c r="AE19" s="29" t="s">
        <v>5258</v>
      </c>
      <c r="AF19" s="29" t="s">
        <v>3831</v>
      </c>
      <c r="AG19" s="29" t="s">
        <v>3832</v>
      </c>
      <c r="AH19" s="29" t="s">
        <v>3908</v>
      </c>
      <c r="AI19" s="29" t="s">
        <v>3834</v>
      </c>
      <c r="AJ19" s="29" t="s">
        <v>3956</v>
      </c>
      <c r="AK19" s="29" t="s">
        <v>3832</v>
      </c>
      <c r="AM19" s="14" t="s">
        <v>6788</v>
      </c>
      <c r="AN19" s="14"/>
      <c r="AO19" s="14">
        <v>46302</v>
      </c>
      <c r="AP19" s="14"/>
      <c r="AQ19" s="14" t="s">
        <v>4037</v>
      </c>
      <c r="AR19" s="14"/>
      <c r="AS19" s="14" t="s">
        <v>3961</v>
      </c>
      <c r="AT19" s="14">
        <v>46314</v>
      </c>
      <c r="AU19" s="14"/>
      <c r="AV19" s="14">
        <v>46317</v>
      </c>
      <c r="AW19" s="29" t="s">
        <v>3839</v>
      </c>
      <c r="BC19" s="29" t="s">
        <v>63</v>
      </c>
      <c r="BE19" s="29" t="s">
        <v>6654</v>
      </c>
      <c r="BF19" s="29" t="s">
        <v>6655</v>
      </c>
      <c r="BG19" s="29" t="s">
        <v>3817</v>
      </c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 s="6" t="str" cm="1">
        <f t="array" ref="CW19">IFERROR(_xlfn.IFS(H19=TIME(7,0,0),"GY",H19=TIME(7,30,0),"GY",H19=TIME(9,0,0),"GY",H19=TIME(15,0,0),"GY",H19=TIME(8,30,0),"GY",H19=TIME(5,30,0),"GY",H19=TIME(6,0,0),"GD",H19=TIME(6,30,0),"GD",H19=TIME(8,0,0),"GY",H19=TIME(6,15,0),"GD"),"")</f>
        <v>GD</v>
      </c>
    </row>
    <row r="20" spans="1:135" s="29" customFormat="1" x14ac:dyDescent="0.45">
      <c r="A20" s="3" t="s">
        <v>32</v>
      </c>
      <c r="B20" s="3" t="s">
        <v>3814</v>
      </c>
      <c r="C20" s="3" t="s">
        <v>6106</v>
      </c>
      <c r="D20" s="3" t="s">
        <v>6107</v>
      </c>
      <c r="E20" s="100" t="s">
        <v>3817</v>
      </c>
      <c r="F20" s="3" t="s">
        <v>305</v>
      </c>
      <c r="G20" s="4">
        <v>46311</v>
      </c>
      <c r="H20" s="5">
        <v>0.35416666666666674</v>
      </c>
      <c r="I20" s="91">
        <v>46301</v>
      </c>
      <c r="J20" s="91"/>
      <c r="K20" s="91">
        <v>46300</v>
      </c>
      <c r="L20" s="3" t="s">
        <v>7288</v>
      </c>
      <c r="M20" s="3" t="s">
        <v>3819</v>
      </c>
      <c r="N20" s="3" t="s">
        <v>6108</v>
      </c>
      <c r="O20" t="s">
        <v>3867</v>
      </c>
      <c r="P20" s="3" t="s">
        <v>4127</v>
      </c>
      <c r="Q20">
        <v>46274</v>
      </c>
      <c r="R20" s="3">
        <v>726</v>
      </c>
      <c r="S20" s="3" t="s">
        <v>3823</v>
      </c>
      <c r="T20" s="3">
        <v>284</v>
      </c>
      <c r="U20" s="3" t="s">
        <v>6109</v>
      </c>
      <c r="V20" s="3" t="s">
        <v>6110</v>
      </c>
      <c r="W20" s="3">
        <v>8158.02</v>
      </c>
      <c r="X20" s="3">
        <v>46287</v>
      </c>
      <c r="Y20" s="3">
        <v>46300</v>
      </c>
      <c r="Z20"/>
      <c r="AA20" t="s">
        <v>3826</v>
      </c>
      <c r="AB20" t="s">
        <v>3827</v>
      </c>
      <c r="AC20" s="3" t="s">
        <v>6218</v>
      </c>
      <c r="AD20" t="s">
        <v>4049</v>
      </c>
      <c r="AE20" t="s">
        <v>5258</v>
      </c>
      <c r="AF20" t="s">
        <v>3831</v>
      </c>
      <c r="AG20" t="s">
        <v>3832</v>
      </c>
      <c r="AH20" t="s">
        <v>3908</v>
      </c>
      <c r="AI20" t="s">
        <v>3834</v>
      </c>
      <c r="AJ20" t="s">
        <v>3956</v>
      </c>
      <c r="AK20" t="s">
        <v>3832</v>
      </c>
      <c r="AL20"/>
      <c r="AM20" s="3" t="s">
        <v>6127</v>
      </c>
      <c r="AN20" s="3"/>
      <c r="AO20" s="3">
        <v>46301</v>
      </c>
      <c r="AP20" s="3"/>
      <c r="AQ20" s="3" t="s">
        <v>4037</v>
      </c>
      <c r="AR20" s="3"/>
      <c r="AS20" s="3" t="s">
        <v>3961</v>
      </c>
      <c r="AT20" s="3">
        <v>46314</v>
      </c>
      <c r="AU20" s="3"/>
      <c r="AV20" s="3">
        <v>46316</v>
      </c>
      <c r="AW20" t="s">
        <v>3839</v>
      </c>
      <c r="AX20"/>
      <c r="AY20"/>
      <c r="AZ20"/>
      <c r="BA20"/>
      <c r="BB20"/>
      <c r="BC20" t="s">
        <v>32</v>
      </c>
      <c r="BD20" t="s">
        <v>3814</v>
      </c>
      <c r="BE20" t="s">
        <v>6106</v>
      </c>
      <c r="BF20" t="s">
        <v>6107</v>
      </c>
      <c r="BG20" t="s">
        <v>3817</v>
      </c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 s="6" t="str" cm="1">
        <f t="array" ref="CW20">IFERROR(_xlfn.IFS(H20=TIME(7,0,0),"GY",H20=TIME(7,30,0),"GY",H20=TIME(9,0,0),"GY",H20=TIME(15,0,0),"GY",H20=TIME(8,30,0),"GY",H20=TIME(5,30,0),"GY",H20=TIME(6,0,0),"GD",H20=TIME(6,30,0),"GD",H20=TIME(8,0,0),"GY",H20=TIME(6,15,0),"GD"),"")</f>
        <v>GY</v>
      </c>
    </row>
    <row r="21" spans="1:135" s="29" customFormat="1" x14ac:dyDescent="0.45">
      <c r="A21" s="3" t="s">
        <v>32</v>
      </c>
      <c r="B21" s="3" t="s">
        <v>3814</v>
      </c>
      <c r="C21" s="3" t="s">
        <v>5239</v>
      </c>
      <c r="D21" s="3" t="s">
        <v>5240</v>
      </c>
      <c r="E21" s="100" t="s">
        <v>3817</v>
      </c>
      <c r="F21" s="3" t="s">
        <v>166</v>
      </c>
      <c r="G21" s="4">
        <v>46310</v>
      </c>
      <c r="H21" s="5">
        <v>0.35416666666666674</v>
      </c>
      <c r="I21" s="91">
        <v>46302</v>
      </c>
      <c r="J21" s="91">
        <v>46301</v>
      </c>
      <c r="K21" s="91">
        <v>46298</v>
      </c>
      <c r="L21" s="3" t="s">
        <v>7286</v>
      </c>
      <c r="M21" s="3" t="s">
        <v>3819</v>
      </c>
      <c r="N21" s="3" t="s">
        <v>5241</v>
      </c>
      <c r="O21" t="s">
        <v>3867</v>
      </c>
      <c r="P21" s="3" t="s">
        <v>3822</v>
      </c>
      <c r="Q21">
        <v>46261</v>
      </c>
      <c r="R21" s="3">
        <v>726</v>
      </c>
      <c r="S21" s="3" t="s">
        <v>3823</v>
      </c>
      <c r="T21" s="3">
        <v>195</v>
      </c>
      <c r="U21" s="3" t="s">
        <v>5242</v>
      </c>
      <c r="V21" s="3" t="s">
        <v>5243</v>
      </c>
      <c r="W21" s="3">
        <v>2702.47</v>
      </c>
      <c r="X21" s="3">
        <v>46286</v>
      </c>
      <c r="Y21" s="3">
        <v>46298</v>
      </c>
      <c r="Z21"/>
      <c r="AA21" t="s">
        <v>3826</v>
      </c>
      <c r="AB21" t="s">
        <v>3827</v>
      </c>
      <c r="AC21" s="3" t="s">
        <v>5244</v>
      </c>
      <c r="AD21" t="s">
        <v>4707</v>
      </c>
      <c r="AE21" t="s">
        <v>5238</v>
      </c>
      <c r="AF21" t="s">
        <v>3831</v>
      </c>
      <c r="AG21" t="s">
        <v>3832</v>
      </c>
      <c r="AH21" t="s">
        <v>3833</v>
      </c>
      <c r="AI21" t="s">
        <v>3834</v>
      </c>
      <c r="AJ21" t="s">
        <v>3835</v>
      </c>
      <c r="AK21" t="s">
        <v>3832</v>
      </c>
      <c r="AL21"/>
      <c r="AM21" s="3" t="s">
        <v>5334</v>
      </c>
      <c r="AN21" s="3"/>
      <c r="AO21" s="3">
        <v>46301</v>
      </c>
      <c r="AP21" s="3"/>
      <c r="AQ21" s="3" t="s">
        <v>3837</v>
      </c>
      <c r="AR21" s="3" t="s">
        <v>3838</v>
      </c>
      <c r="AS21" s="3"/>
      <c r="AT21" s="3">
        <v>46312</v>
      </c>
      <c r="AU21" s="3">
        <v>46347</v>
      </c>
      <c r="AV21" s="3"/>
      <c r="AW21" t="s">
        <v>3839</v>
      </c>
      <c r="AX21"/>
      <c r="AY21"/>
      <c r="AZ21"/>
      <c r="BA21"/>
      <c r="BB21"/>
      <c r="BC21" t="s">
        <v>32</v>
      </c>
      <c r="BD21" t="s">
        <v>3814</v>
      </c>
      <c r="BE21" t="s">
        <v>5239</v>
      </c>
      <c r="BF21" t="s">
        <v>5240</v>
      </c>
      <c r="BG21" t="s">
        <v>3817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 s="6" t="str" cm="1">
        <f t="array" ref="CW21">IFERROR(_xlfn.IFS(H21=TIME(7,0,0),"GY",H21=TIME(7,30,0),"GY",H21=TIME(9,0,0),"GY",H21=TIME(15,0,0),"GY",H21=TIME(8,30,0),"GY",H21=TIME(5,30,0),"GY",H21=TIME(6,0,0),"GD",H21=TIME(6,30,0),"GD",H21=TIME(8,0,0),"GY",H21=TIME(6,15,0),"GD"),"")</f>
        <v>GY</v>
      </c>
    </row>
    <row r="22" spans="1:135" s="29" customFormat="1" x14ac:dyDescent="0.45">
      <c r="A22" s="3" t="s">
        <v>18</v>
      </c>
      <c r="B22" s="3" t="s">
        <v>3944</v>
      </c>
      <c r="C22" s="3" t="s">
        <v>4928</v>
      </c>
      <c r="D22" s="3" t="s">
        <v>4929</v>
      </c>
      <c r="E22" s="100" t="s">
        <v>3817</v>
      </c>
      <c r="F22" s="3" t="s">
        <v>975</v>
      </c>
      <c r="G22" s="4">
        <v>46310</v>
      </c>
      <c r="H22" s="5">
        <v>0.27083333333333326</v>
      </c>
      <c r="I22" s="91">
        <v>46302</v>
      </c>
      <c r="J22" s="91"/>
      <c r="K22" s="91">
        <v>46285</v>
      </c>
      <c r="L22" s="3" t="s">
        <v>7275</v>
      </c>
      <c r="M22" s="3" t="s">
        <v>3819</v>
      </c>
      <c r="N22" s="3" t="s">
        <v>4930</v>
      </c>
      <c r="O22" t="s">
        <v>3867</v>
      </c>
      <c r="P22" s="3"/>
      <c r="Q22">
        <v>46258</v>
      </c>
      <c r="R22" s="3">
        <v>726</v>
      </c>
      <c r="S22" s="3" t="s">
        <v>3823</v>
      </c>
      <c r="T22" s="3">
        <v>25043</v>
      </c>
      <c r="U22" s="3" t="s">
        <v>4931</v>
      </c>
      <c r="V22" s="3" t="s">
        <v>4932</v>
      </c>
      <c r="W22" s="3">
        <v>8479.8259999999991</v>
      </c>
      <c r="X22" s="3">
        <v>46271</v>
      </c>
      <c r="Y22" s="3">
        <v>46285</v>
      </c>
      <c r="Z22"/>
      <c r="AA22" t="s">
        <v>3826</v>
      </c>
      <c r="AB22" t="s">
        <v>3827</v>
      </c>
      <c r="AC22" s="3" t="s">
        <v>4933</v>
      </c>
      <c r="AD22" t="s">
        <v>4434</v>
      </c>
      <c r="AE22" t="s">
        <v>4741</v>
      </c>
      <c r="AF22" t="s">
        <v>3831</v>
      </c>
      <c r="AG22" t="s">
        <v>3832</v>
      </c>
      <c r="AH22" t="s">
        <v>3908</v>
      </c>
      <c r="AI22" t="s">
        <v>3834</v>
      </c>
      <c r="AJ22" t="s">
        <v>3956</v>
      </c>
      <c r="AK22" t="s">
        <v>3832</v>
      </c>
      <c r="AL22"/>
      <c r="AM22" s="3" t="s">
        <v>4934</v>
      </c>
      <c r="AN22" s="3"/>
      <c r="AO22" s="3">
        <v>46302</v>
      </c>
      <c r="AP22" s="3" t="s">
        <v>3958</v>
      </c>
      <c r="AQ22" s="3" t="s">
        <v>3959</v>
      </c>
      <c r="AR22" s="3" t="s">
        <v>7276</v>
      </c>
      <c r="AS22" s="3" t="s">
        <v>3961</v>
      </c>
      <c r="AT22" s="3"/>
      <c r="AU22" s="3"/>
      <c r="AV22" s="3"/>
      <c r="AW22" t="s">
        <v>3839</v>
      </c>
      <c r="AX22"/>
      <c r="AY22"/>
      <c r="AZ22"/>
      <c r="BA22"/>
      <c r="BB22"/>
      <c r="BC22" t="s">
        <v>18</v>
      </c>
      <c r="BD22" t="s">
        <v>3944</v>
      </c>
      <c r="BE22" t="s">
        <v>4928</v>
      </c>
      <c r="BF22" t="s">
        <v>4929</v>
      </c>
      <c r="BG22" t="s">
        <v>3817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 s="6" t="str" cm="1">
        <f t="array" ref="CW22">IFERROR(_xlfn.IFS(H22=TIME(7,0,0),"GY",H22=TIME(7,30,0),"GY",H22=TIME(9,0,0),"GY",H22=TIME(15,0,0),"GY",H22=TIME(8,30,0),"GY",H22=TIME(5,30,0),"GY",H22=TIME(6,0,0),"GD",H22=TIME(6,30,0),"GD",H22=TIME(8,0,0),"GY",H22=TIME(6,15,0),"GD"),"")</f>
        <v>GD</v>
      </c>
    </row>
    <row r="23" spans="1:135" s="29" customFormat="1" x14ac:dyDescent="0.45">
      <c r="A23" s="3" t="s">
        <v>18</v>
      </c>
      <c r="B23" s="3" t="s">
        <v>3944</v>
      </c>
      <c r="C23" s="3" t="s">
        <v>4928</v>
      </c>
      <c r="D23" s="3" t="s">
        <v>4929</v>
      </c>
      <c r="E23" s="100" t="s">
        <v>3817</v>
      </c>
      <c r="F23" s="3" t="s">
        <v>2331</v>
      </c>
      <c r="G23" s="4">
        <v>46310</v>
      </c>
      <c r="H23" s="5">
        <v>0.27083333333333326</v>
      </c>
      <c r="I23" s="91">
        <v>46302</v>
      </c>
      <c r="J23" s="91"/>
      <c r="K23" s="91">
        <v>46285</v>
      </c>
      <c r="L23" s="3" t="s">
        <v>7275</v>
      </c>
      <c r="M23" s="3" t="s">
        <v>3819</v>
      </c>
      <c r="N23" s="3" t="s">
        <v>4930</v>
      </c>
      <c r="O23" t="s">
        <v>3867</v>
      </c>
      <c r="P23" s="3"/>
      <c r="Q23">
        <v>46258</v>
      </c>
      <c r="R23" s="3">
        <v>726</v>
      </c>
      <c r="S23" s="3" t="s">
        <v>3823</v>
      </c>
      <c r="T23" s="3">
        <v>7208</v>
      </c>
      <c r="U23" s="3" t="s">
        <v>4935</v>
      </c>
      <c r="V23" s="3" t="s">
        <v>4936</v>
      </c>
      <c r="W23" s="3">
        <v>1703.9839999999999</v>
      </c>
      <c r="X23" s="3">
        <v>46271</v>
      </c>
      <c r="Y23" s="3">
        <v>46285</v>
      </c>
      <c r="Z23"/>
      <c r="AA23" t="s">
        <v>3826</v>
      </c>
      <c r="AB23" t="s">
        <v>3827</v>
      </c>
      <c r="AC23" s="3" t="s">
        <v>4933</v>
      </c>
      <c r="AD23" t="s">
        <v>4434</v>
      </c>
      <c r="AE23" t="s">
        <v>4741</v>
      </c>
      <c r="AF23" t="s">
        <v>3831</v>
      </c>
      <c r="AG23" t="s">
        <v>3832</v>
      </c>
      <c r="AH23" t="s">
        <v>3908</v>
      </c>
      <c r="AI23" t="s">
        <v>3834</v>
      </c>
      <c r="AJ23" t="s">
        <v>3956</v>
      </c>
      <c r="AK23" t="s">
        <v>3832</v>
      </c>
      <c r="AL23"/>
      <c r="AM23" s="3" t="s">
        <v>4934</v>
      </c>
      <c r="AN23" s="3"/>
      <c r="AO23" s="3">
        <v>46302</v>
      </c>
      <c r="AP23" s="3" t="s">
        <v>3958</v>
      </c>
      <c r="AQ23" s="3" t="s">
        <v>3959</v>
      </c>
      <c r="AR23" s="3" t="s">
        <v>7276</v>
      </c>
      <c r="AS23" s="3" t="s">
        <v>3961</v>
      </c>
      <c r="AT23" s="3"/>
      <c r="AU23" s="3"/>
      <c r="AV23" s="3"/>
      <c r="AW23" t="s">
        <v>3839</v>
      </c>
      <c r="AX23"/>
      <c r="AY23"/>
      <c r="AZ23"/>
      <c r="BA23"/>
      <c r="BB23"/>
      <c r="BC23" t="s">
        <v>18</v>
      </c>
      <c r="BD23" t="s">
        <v>3944</v>
      </c>
      <c r="BE23" t="s">
        <v>4928</v>
      </c>
      <c r="BF23" t="s">
        <v>4929</v>
      </c>
      <c r="BG23" t="s">
        <v>3817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 s="6" t="str" cm="1">
        <f t="array" ref="CW23">IFERROR(_xlfn.IFS(H23=TIME(7,0,0),"GY",H23=TIME(7,30,0),"GY",H23=TIME(9,0,0),"GY",H23=TIME(15,0,0),"GY",H23=TIME(8,30,0),"GY",H23=TIME(5,30,0),"GY",H23=TIME(6,0,0),"GD",H23=TIME(6,30,0),"GD",H23=TIME(8,0,0),"GY",H23=TIME(6,15,0),"GD"),"")</f>
        <v>GD</v>
      </c>
    </row>
    <row r="24" spans="1:135" s="29" customFormat="1" x14ac:dyDescent="0.45">
      <c r="A24" s="3" t="s">
        <v>18</v>
      </c>
      <c r="B24" s="3"/>
      <c r="C24" s="3" t="s">
        <v>6694</v>
      </c>
      <c r="D24" s="3" t="s">
        <v>6695</v>
      </c>
      <c r="E24" s="100" t="s">
        <v>3817</v>
      </c>
      <c r="F24" s="3" t="s">
        <v>5904</v>
      </c>
      <c r="G24" s="4">
        <v>46309</v>
      </c>
      <c r="H24" s="5">
        <v>0.27083333333333326</v>
      </c>
      <c r="I24" s="91">
        <v>46302</v>
      </c>
      <c r="J24" s="91"/>
      <c r="K24" s="91">
        <v>46300</v>
      </c>
      <c r="L24" s="3" t="s">
        <v>7266</v>
      </c>
      <c r="M24" s="3" t="s">
        <v>3819</v>
      </c>
      <c r="N24" s="3" t="s">
        <v>6696</v>
      </c>
      <c r="O24" t="s">
        <v>3867</v>
      </c>
      <c r="P24" s="3"/>
      <c r="Q24">
        <v>46269</v>
      </c>
      <c r="R24" s="3">
        <v>726</v>
      </c>
      <c r="S24" s="3" t="s">
        <v>3823</v>
      </c>
      <c r="T24" s="3">
        <v>7443</v>
      </c>
      <c r="U24" s="3" t="s">
        <v>6697</v>
      </c>
      <c r="V24" s="3" t="s">
        <v>6698</v>
      </c>
      <c r="W24" s="3">
        <v>5875.9849999999997</v>
      </c>
      <c r="X24" s="3">
        <v>46299</v>
      </c>
      <c r="Y24" s="3">
        <v>46300</v>
      </c>
      <c r="Z24"/>
      <c r="AA24" t="s">
        <v>3826</v>
      </c>
      <c r="AB24" t="s">
        <v>3827</v>
      </c>
      <c r="AC24" s="3" t="s">
        <v>6699</v>
      </c>
      <c r="AD24" t="s">
        <v>4049</v>
      </c>
      <c r="AE24" t="s">
        <v>5258</v>
      </c>
      <c r="AF24" t="s">
        <v>3831</v>
      </c>
      <c r="AG24" t="s">
        <v>3832</v>
      </c>
      <c r="AH24" t="s">
        <v>3908</v>
      </c>
      <c r="AI24" t="s">
        <v>3834</v>
      </c>
      <c r="AJ24" t="s">
        <v>3956</v>
      </c>
      <c r="AK24" t="s">
        <v>3832</v>
      </c>
      <c r="AL24"/>
      <c r="AM24" s="3" t="s">
        <v>6793</v>
      </c>
      <c r="AN24" s="3"/>
      <c r="AO24" s="3">
        <v>46302</v>
      </c>
      <c r="AP24" s="3"/>
      <c r="AQ24" s="3" t="s">
        <v>4037</v>
      </c>
      <c r="AR24" s="3"/>
      <c r="AS24" s="3" t="s">
        <v>3961</v>
      </c>
      <c r="AT24" s="3">
        <v>46314</v>
      </c>
      <c r="AU24" s="3"/>
      <c r="AV24" s="3">
        <v>46317</v>
      </c>
      <c r="AW24" t="s">
        <v>3839</v>
      </c>
      <c r="AX24"/>
      <c r="AY24"/>
      <c r="AZ24"/>
      <c r="BA24"/>
      <c r="BB24"/>
      <c r="BC24" t="s">
        <v>18</v>
      </c>
      <c r="BD24"/>
      <c r="BE24" t="s">
        <v>6694</v>
      </c>
      <c r="BF24" t="s">
        <v>6695</v>
      </c>
      <c r="BG24" t="s">
        <v>3817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 s="6" t="str" cm="1">
        <f t="array" ref="CW24">IFERROR(_xlfn.IFS(H24=TIME(7,0,0),"GY",H24=TIME(7,30,0),"GY",H24=TIME(9,0,0),"GY",H24=TIME(15,0,0),"GY",H24=TIME(8,30,0),"GY",H24=TIME(5,30,0),"GY",H24=TIME(6,0,0),"GD",H24=TIME(6,30,0),"GD",H24=TIME(8,0,0),"GY",H24=TIME(6,15,0),"GD"),"")</f>
        <v>GD</v>
      </c>
    </row>
    <row r="25" spans="1:135" s="29" customFormat="1" x14ac:dyDescent="0.45">
      <c r="A25" s="3" t="s">
        <v>18</v>
      </c>
      <c r="B25" s="3"/>
      <c r="C25" s="3" t="s">
        <v>6694</v>
      </c>
      <c r="D25" s="3" t="s">
        <v>6695</v>
      </c>
      <c r="E25" s="100" t="s">
        <v>3817</v>
      </c>
      <c r="F25" s="3" t="s">
        <v>5913</v>
      </c>
      <c r="G25" s="4">
        <v>46309</v>
      </c>
      <c r="H25" s="5">
        <v>0.27083333333333326</v>
      </c>
      <c r="I25" s="91">
        <v>46302</v>
      </c>
      <c r="J25" s="91"/>
      <c r="K25" s="91">
        <v>46300</v>
      </c>
      <c r="L25" s="3" t="s">
        <v>7266</v>
      </c>
      <c r="M25" s="3" t="s">
        <v>3819</v>
      </c>
      <c r="N25" s="3" t="s">
        <v>6696</v>
      </c>
      <c r="O25" t="s">
        <v>3867</v>
      </c>
      <c r="P25" s="3"/>
      <c r="Q25">
        <v>46269</v>
      </c>
      <c r="R25" s="3">
        <v>726</v>
      </c>
      <c r="S25" s="3" t="s">
        <v>3823</v>
      </c>
      <c r="T25" s="3">
        <v>247</v>
      </c>
      <c r="U25" s="3" t="s">
        <v>6700</v>
      </c>
      <c r="V25" s="3" t="s">
        <v>6701</v>
      </c>
      <c r="W25" s="3">
        <v>892.13800000000003</v>
      </c>
      <c r="X25" s="3">
        <v>46299</v>
      </c>
      <c r="Y25" s="3">
        <v>46300</v>
      </c>
      <c r="Z25"/>
      <c r="AA25" t="s">
        <v>3826</v>
      </c>
      <c r="AB25" t="s">
        <v>3827</v>
      </c>
      <c r="AC25" s="3" t="s">
        <v>6699</v>
      </c>
      <c r="AD25" t="s">
        <v>4049</v>
      </c>
      <c r="AE25" t="s">
        <v>5258</v>
      </c>
      <c r="AF25" t="s">
        <v>3831</v>
      </c>
      <c r="AG25" t="s">
        <v>3832</v>
      </c>
      <c r="AH25" t="s">
        <v>3908</v>
      </c>
      <c r="AI25" t="s">
        <v>3834</v>
      </c>
      <c r="AJ25" t="s">
        <v>3956</v>
      </c>
      <c r="AK25" t="s">
        <v>3832</v>
      </c>
      <c r="AL25"/>
      <c r="AM25" s="3" t="s">
        <v>6793</v>
      </c>
      <c r="AN25" s="3"/>
      <c r="AO25" s="3">
        <v>46302</v>
      </c>
      <c r="AP25" s="3"/>
      <c r="AQ25" s="3" t="s">
        <v>4037</v>
      </c>
      <c r="AR25" s="3"/>
      <c r="AS25" s="3" t="s">
        <v>3961</v>
      </c>
      <c r="AT25" s="3">
        <v>46314</v>
      </c>
      <c r="AU25" s="3"/>
      <c r="AV25" s="3">
        <v>46317</v>
      </c>
      <c r="AW25" t="s">
        <v>3839</v>
      </c>
      <c r="AX25"/>
      <c r="AY25"/>
      <c r="AZ25"/>
      <c r="BA25"/>
      <c r="BB25"/>
      <c r="BC25" t="s">
        <v>18</v>
      </c>
      <c r="BD25"/>
      <c r="BE25" t="s">
        <v>6694</v>
      </c>
      <c r="BF25" t="s">
        <v>6695</v>
      </c>
      <c r="BG25" t="s">
        <v>3817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 s="6" t="str" cm="1">
        <f t="array" ref="CW25">IFERROR(_xlfn.IFS(H25=TIME(7,0,0),"GY",H25=TIME(7,30,0),"GY",H25=TIME(9,0,0),"GY",H25=TIME(15,0,0),"GY",H25=TIME(8,30,0),"GY",H25=TIME(5,30,0),"GY",H25=TIME(6,0,0),"GD",H25=TIME(6,30,0),"GD",H25=TIME(8,0,0),"GY",H25=TIME(6,15,0),"GD"),"")</f>
        <v>GD</v>
      </c>
    </row>
    <row r="26" spans="1:135" s="29" customFormat="1" x14ac:dyDescent="0.45">
      <c r="A26" s="3" t="s">
        <v>32</v>
      </c>
      <c r="B26" s="3" t="s">
        <v>3814</v>
      </c>
      <c r="C26" s="3" t="s">
        <v>6096</v>
      </c>
      <c r="D26" s="3" t="s">
        <v>6097</v>
      </c>
      <c r="E26" s="100" t="s">
        <v>3817</v>
      </c>
      <c r="F26" s="3" t="s">
        <v>248</v>
      </c>
      <c r="G26" s="4">
        <v>46309</v>
      </c>
      <c r="H26" s="5">
        <v>0.35416666666666674</v>
      </c>
      <c r="I26" s="91">
        <v>46302</v>
      </c>
      <c r="J26" s="91"/>
      <c r="K26" s="91">
        <v>46300</v>
      </c>
      <c r="L26" s="3" t="s">
        <v>7270</v>
      </c>
      <c r="M26" s="3" t="s">
        <v>3819</v>
      </c>
      <c r="N26" s="3" t="s">
        <v>6098</v>
      </c>
      <c r="O26" t="s">
        <v>3867</v>
      </c>
      <c r="P26" s="3" t="s">
        <v>4251</v>
      </c>
      <c r="Q26">
        <v>46259</v>
      </c>
      <c r="R26" s="3">
        <v>726</v>
      </c>
      <c r="S26" s="3" t="s">
        <v>3823</v>
      </c>
      <c r="T26" s="3">
        <v>250</v>
      </c>
      <c r="U26" s="3" t="s">
        <v>6099</v>
      </c>
      <c r="V26" s="3" t="s">
        <v>6100</v>
      </c>
      <c r="W26" s="3">
        <v>5544.26</v>
      </c>
      <c r="X26" s="3">
        <v>46299</v>
      </c>
      <c r="Y26" s="3">
        <v>46300</v>
      </c>
      <c r="Z26"/>
      <c r="AA26" t="s">
        <v>3826</v>
      </c>
      <c r="AB26" t="s">
        <v>3827</v>
      </c>
      <c r="AC26" s="3" t="s">
        <v>6216</v>
      </c>
      <c r="AD26" t="s">
        <v>4049</v>
      </c>
      <c r="AE26" t="s">
        <v>5258</v>
      </c>
      <c r="AF26" t="s">
        <v>3831</v>
      </c>
      <c r="AG26" t="s">
        <v>3832</v>
      </c>
      <c r="AH26" t="s">
        <v>3908</v>
      </c>
      <c r="AI26" t="s">
        <v>3834</v>
      </c>
      <c r="AJ26" t="s">
        <v>3956</v>
      </c>
      <c r="AK26" t="s">
        <v>3832</v>
      </c>
      <c r="AL26"/>
      <c r="AM26" s="3" t="s">
        <v>6125</v>
      </c>
      <c r="AN26" s="3"/>
      <c r="AO26" s="3">
        <v>46302</v>
      </c>
      <c r="AP26" s="3"/>
      <c r="AQ26" s="3" t="s">
        <v>4037</v>
      </c>
      <c r="AR26" s="3"/>
      <c r="AS26" s="3" t="s">
        <v>3961</v>
      </c>
      <c r="AT26" s="3">
        <v>46314</v>
      </c>
      <c r="AU26" s="3"/>
      <c r="AV26" s="3">
        <v>46317</v>
      </c>
      <c r="AW26" t="s">
        <v>3839</v>
      </c>
      <c r="AX26"/>
      <c r="AY26"/>
      <c r="AZ26"/>
      <c r="BA26"/>
      <c r="BB26"/>
      <c r="BC26" t="s">
        <v>32</v>
      </c>
      <c r="BD26" t="s">
        <v>3814</v>
      </c>
      <c r="BE26" t="s">
        <v>6096</v>
      </c>
      <c r="BF26" t="s">
        <v>6097</v>
      </c>
      <c r="BG26" t="s">
        <v>3817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 s="6" t="str" cm="1">
        <f t="array" ref="CW26">IFERROR(_xlfn.IFS(H26=TIME(7,0,0),"GY",H26=TIME(7,30,0),"GY",H26=TIME(9,0,0),"GY",H26=TIME(15,0,0),"GY",H26=TIME(8,30,0),"GY",H26=TIME(5,30,0),"GY",H26=TIME(6,0,0),"GD",H26=TIME(6,30,0),"GD",H26=TIME(8,0,0),"GY",H26=TIME(6,15,0),"GD"),"")</f>
        <v>GY</v>
      </c>
    </row>
    <row r="27" spans="1:135" s="29" customFormat="1" x14ac:dyDescent="0.45">
      <c r="A27" s="3" t="s">
        <v>63</v>
      </c>
      <c r="B27" s="3" t="s">
        <v>3944</v>
      </c>
      <c r="C27" s="3" t="s">
        <v>5012</v>
      </c>
      <c r="D27" s="3" t="s">
        <v>5013</v>
      </c>
      <c r="E27" s="100" t="s">
        <v>3947</v>
      </c>
      <c r="F27" s="3" t="s">
        <v>2222</v>
      </c>
      <c r="G27" s="4">
        <v>46308</v>
      </c>
      <c r="H27" s="5">
        <v>0.27083333333333326</v>
      </c>
      <c r="I27" s="91">
        <v>46297</v>
      </c>
      <c r="J27" s="91"/>
      <c r="K27" s="91">
        <v>46275</v>
      </c>
      <c r="L27" s="3" t="s">
        <v>7268</v>
      </c>
      <c r="M27" s="3" t="s">
        <v>3819</v>
      </c>
      <c r="N27" s="3" t="s">
        <v>5014</v>
      </c>
      <c r="O27" t="s">
        <v>3867</v>
      </c>
      <c r="P27" s="3" t="s">
        <v>4030</v>
      </c>
      <c r="Q27">
        <v>46251</v>
      </c>
      <c r="R27" s="3">
        <v>726</v>
      </c>
      <c r="S27" s="3" t="s">
        <v>3823</v>
      </c>
      <c r="T27" s="3">
        <v>10984</v>
      </c>
      <c r="U27" s="3" t="s">
        <v>5015</v>
      </c>
      <c r="V27" s="3" t="s">
        <v>5016</v>
      </c>
      <c r="W27" s="3">
        <v>2156.2109999999998</v>
      </c>
      <c r="X27" s="3">
        <v>46268</v>
      </c>
      <c r="Y27" s="3">
        <v>46266</v>
      </c>
      <c r="Z27"/>
      <c r="AA27" t="s">
        <v>3826</v>
      </c>
      <c r="AB27" t="s">
        <v>3827</v>
      </c>
      <c r="AC27" s="3" t="s">
        <v>5017</v>
      </c>
      <c r="AD27" t="s">
        <v>3955</v>
      </c>
      <c r="AE27" t="s">
        <v>4971</v>
      </c>
      <c r="AF27" t="s">
        <v>3831</v>
      </c>
      <c r="AG27" t="s">
        <v>3832</v>
      </c>
      <c r="AH27" t="s">
        <v>3908</v>
      </c>
      <c r="AI27" t="s">
        <v>3834</v>
      </c>
      <c r="AJ27" t="s">
        <v>3956</v>
      </c>
      <c r="AK27" t="s">
        <v>3832</v>
      </c>
      <c r="AL27"/>
      <c r="AM27" s="3" t="s">
        <v>5018</v>
      </c>
      <c r="AN27" s="3"/>
      <c r="AO27" s="3">
        <v>46297</v>
      </c>
      <c r="AP27" s="3" t="s">
        <v>3958</v>
      </c>
      <c r="AQ27" s="3" t="s">
        <v>3959</v>
      </c>
      <c r="AR27" s="3" t="s">
        <v>7269</v>
      </c>
      <c r="AS27" s="3" t="s">
        <v>3961</v>
      </c>
      <c r="AT27" s="3"/>
      <c r="AU27" s="3"/>
      <c r="AV27" s="3"/>
      <c r="AW27" t="s">
        <v>3839</v>
      </c>
      <c r="AX27"/>
      <c r="AY27"/>
      <c r="AZ27"/>
      <c r="BA27"/>
      <c r="BB27"/>
      <c r="BC27" t="s">
        <v>63</v>
      </c>
      <c r="BD27" t="s">
        <v>3944</v>
      </c>
      <c r="BE27" t="s">
        <v>5012</v>
      </c>
      <c r="BF27" t="s">
        <v>5013</v>
      </c>
      <c r="BG27" t="s">
        <v>3947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 s="6" t="str" cm="1">
        <f t="array" ref="CW27">IFERROR(_xlfn.IFS(H27=TIME(7,0,0),"GY",H27=TIME(7,30,0),"GY",H27=TIME(9,0,0),"GY",H27=TIME(15,0,0),"GY",H27=TIME(8,30,0),"GY",H27=TIME(5,30,0),"GY",H27=TIME(6,0,0),"GD",H27=TIME(6,30,0),"GD",H27=TIME(8,0,0),"GY",H27=TIME(6,15,0),"GD"),"")</f>
        <v>GD</v>
      </c>
    </row>
    <row r="28" spans="1:135" s="29" customFormat="1" x14ac:dyDescent="0.45">
      <c r="A28" s="14" t="s">
        <v>63</v>
      </c>
      <c r="B28" s="14" t="s">
        <v>3944</v>
      </c>
      <c r="C28" s="14" t="s">
        <v>5012</v>
      </c>
      <c r="D28" s="14" t="s">
        <v>5013</v>
      </c>
      <c r="E28" s="100" t="s">
        <v>3947</v>
      </c>
      <c r="F28" s="14" t="s">
        <v>493</v>
      </c>
      <c r="G28" s="4">
        <v>46308</v>
      </c>
      <c r="H28" s="5">
        <v>0.27083333333333326</v>
      </c>
      <c r="I28" s="91">
        <v>46297</v>
      </c>
      <c r="J28" s="91"/>
      <c r="K28" s="91">
        <v>46275</v>
      </c>
      <c r="L28" s="14" t="s">
        <v>7268</v>
      </c>
      <c r="M28" s="14" t="s">
        <v>3819</v>
      </c>
      <c r="N28" s="14" t="s">
        <v>5014</v>
      </c>
      <c r="O28" s="29" t="s">
        <v>3867</v>
      </c>
      <c r="P28" s="14" t="s">
        <v>4030</v>
      </c>
      <c r="Q28" s="29">
        <v>46251</v>
      </c>
      <c r="R28" s="14">
        <v>726</v>
      </c>
      <c r="S28" s="14" t="s">
        <v>3823</v>
      </c>
      <c r="T28" s="14">
        <v>10401</v>
      </c>
      <c r="U28" s="14" t="s">
        <v>5019</v>
      </c>
      <c r="V28" s="14" t="s">
        <v>5020</v>
      </c>
      <c r="W28" s="14">
        <v>2848.7159999999999</v>
      </c>
      <c r="X28" s="14">
        <v>46268</v>
      </c>
      <c r="Y28" s="14">
        <v>46266</v>
      </c>
      <c r="AA28" s="29" t="s">
        <v>3826</v>
      </c>
      <c r="AB28" s="29" t="s">
        <v>3827</v>
      </c>
      <c r="AC28" s="14" t="s">
        <v>5017</v>
      </c>
      <c r="AD28" s="29" t="s">
        <v>3955</v>
      </c>
      <c r="AE28" s="29" t="s">
        <v>4971</v>
      </c>
      <c r="AF28" s="29" t="s">
        <v>3831</v>
      </c>
      <c r="AG28" s="29" t="s">
        <v>3832</v>
      </c>
      <c r="AH28" s="29" t="s">
        <v>3908</v>
      </c>
      <c r="AI28" s="29" t="s">
        <v>3834</v>
      </c>
      <c r="AJ28" s="29" t="s">
        <v>3956</v>
      </c>
      <c r="AK28" s="29" t="s">
        <v>3832</v>
      </c>
      <c r="AM28" s="14" t="s">
        <v>5018</v>
      </c>
      <c r="AN28" s="14"/>
      <c r="AO28" s="14">
        <v>46297</v>
      </c>
      <c r="AP28" s="14" t="s">
        <v>3958</v>
      </c>
      <c r="AQ28" s="14" t="s">
        <v>3959</v>
      </c>
      <c r="AR28" s="14" t="s">
        <v>7269</v>
      </c>
      <c r="AS28" s="14" t="s">
        <v>3961</v>
      </c>
      <c r="AT28" s="14"/>
      <c r="AU28" s="14"/>
      <c r="AV28" s="14"/>
      <c r="AW28" s="29" t="s">
        <v>3839</v>
      </c>
      <c r="BC28" s="29" t="s">
        <v>63</v>
      </c>
      <c r="BD28" s="29" t="s">
        <v>3944</v>
      </c>
      <c r="BE28" s="29" t="s">
        <v>5012</v>
      </c>
      <c r="BF28" s="29" t="s">
        <v>5013</v>
      </c>
      <c r="BG28" s="29" t="s">
        <v>3947</v>
      </c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 s="6" t="str" cm="1">
        <f t="array" ref="CW28">IFERROR(_xlfn.IFS(H28=TIME(7,0,0),"GY",H28=TIME(7,30,0),"GY",H28=TIME(9,0,0),"GY",H28=TIME(15,0,0),"GY",H28=TIME(8,30,0),"GY",H28=TIME(5,30,0),"GY",H28=TIME(6,0,0),"GD",H28=TIME(6,30,0),"GD",H28=TIME(8,0,0),"GY",H28=TIME(6,15,0),"GD"),"")</f>
        <v>GD</v>
      </c>
    </row>
    <row r="29" spans="1:135" s="29" customFormat="1" x14ac:dyDescent="0.45">
      <c r="A29" s="3" t="s">
        <v>32</v>
      </c>
      <c r="B29" s="3" t="s">
        <v>3814</v>
      </c>
      <c r="C29" s="3" t="s">
        <v>4768</v>
      </c>
      <c r="D29" s="3" t="s">
        <v>4769</v>
      </c>
      <c r="E29" s="100" t="s">
        <v>3817</v>
      </c>
      <c r="F29" s="3" t="s">
        <v>101</v>
      </c>
      <c r="G29" s="4">
        <v>46307</v>
      </c>
      <c r="H29" s="5">
        <v>0.35416666666666674</v>
      </c>
      <c r="I29" s="91">
        <v>46301</v>
      </c>
      <c r="J29" s="91"/>
      <c r="K29" s="91">
        <v>46298</v>
      </c>
      <c r="L29" s="3" t="s">
        <v>7262</v>
      </c>
      <c r="M29" s="3" t="s">
        <v>3819</v>
      </c>
      <c r="N29" s="3" t="s">
        <v>4770</v>
      </c>
      <c r="O29" t="s">
        <v>3867</v>
      </c>
      <c r="P29" s="3" t="s">
        <v>4697</v>
      </c>
      <c r="Q29">
        <v>46246</v>
      </c>
      <c r="R29" s="3">
        <v>726</v>
      </c>
      <c r="S29" s="3" t="s">
        <v>3823</v>
      </c>
      <c r="T29" s="3">
        <v>130</v>
      </c>
      <c r="U29" s="3" t="s">
        <v>4771</v>
      </c>
      <c r="V29" s="3" t="s">
        <v>4772</v>
      </c>
      <c r="W29" s="3">
        <v>1146.74</v>
      </c>
      <c r="X29" s="3">
        <v>46293</v>
      </c>
      <c r="Y29" s="3">
        <v>46298</v>
      </c>
      <c r="Z29"/>
      <c r="AA29" t="s">
        <v>3826</v>
      </c>
      <c r="AB29" t="s">
        <v>3827</v>
      </c>
      <c r="AC29" s="3" t="s">
        <v>4773</v>
      </c>
      <c r="AD29" t="s">
        <v>4698</v>
      </c>
      <c r="AE29" t="s">
        <v>4699</v>
      </c>
      <c r="AF29" t="s">
        <v>3831</v>
      </c>
      <c r="AG29" t="s">
        <v>3832</v>
      </c>
      <c r="AH29" t="s">
        <v>4700</v>
      </c>
      <c r="AI29" t="s">
        <v>3834</v>
      </c>
      <c r="AJ29" t="s">
        <v>3835</v>
      </c>
      <c r="AK29" t="s">
        <v>3832</v>
      </c>
      <c r="AL29"/>
      <c r="AM29" s="3" t="s">
        <v>4774</v>
      </c>
      <c r="AN29" s="3"/>
      <c r="AO29" s="3">
        <v>46301</v>
      </c>
      <c r="AP29" s="3"/>
      <c r="AQ29" s="3" t="s">
        <v>3837</v>
      </c>
      <c r="AR29" s="3" t="s">
        <v>3814</v>
      </c>
      <c r="AS29" s="3"/>
      <c r="AT29" s="3">
        <v>46312</v>
      </c>
      <c r="AU29" s="3">
        <v>46346</v>
      </c>
      <c r="AV29" s="3"/>
      <c r="AW29" t="s">
        <v>3839</v>
      </c>
      <c r="AX29"/>
      <c r="AY29"/>
      <c r="AZ29"/>
      <c r="BA29"/>
      <c r="BB29"/>
      <c r="BC29" t="s">
        <v>32</v>
      </c>
      <c r="BD29" t="s">
        <v>3814</v>
      </c>
      <c r="BE29" t="s">
        <v>4768</v>
      </c>
      <c r="BF29" t="s">
        <v>4769</v>
      </c>
      <c r="BG29" t="s">
        <v>3817</v>
      </c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 s="6" t="str" cm="1">
        <f t="array" ref="CW29">IFERROR(_xlfn.IFS(H29=TIME(7,0,0),"GY",H29=TIME(7,30,0),"GY",H29=TIME(9,0,0),"GY",H29=TIME(15,0,0),"GY",H29=TIME(8,30,0),"GY",H29=TIME(5,30,0),"GY",H29=TIME(6,0,0),"GD",H29=TIME(6,30,0),"GD",H29=TIME(8,0,0),"GY",H29=TIME(6,15,0),"GD"),"")</f>
        <v>GY</v>
      </c>
    </row>
    <row r="30" spans="1:135" s="29" customFormat="1" x14ac:dyDescent="0.45">
      <c r="A30" s="3" t="s">
        <v>18</v>
      </c>
      <c r="B30" s="3"/>
      <c r="C30" s="3" t="s">
        <v>5251</v>
      </c>
      <c r="D30" s="3" t="s">
        <v>5252</v>
      </c>
      <c r="E30" s="100" t="s">
        <v>3817</v>
      </c>
      <c r="F30" s="3" t="s">
        <v>5253</v>
      </c>
      <c r="G30" s="4">
        <v>46307</v>
      </c>
      <c r="H30" s="5">
        <v>0.27083333333333326</v>
      </c>
      <c r="I30" s="91">
        <v>46301</v>
      </c>
      <c r="J30" s="91"/>
      <c r="K30" s="91">
        <v>46300</v>
      </c>
      <c r="L30" s="3" t="s">
        <v>7271</v>
      </c>
      <c r="M30" s="3" t="s">
        <v>3819</v>
      </c>
      <c r="N30" s="3" t="s">
        <v>5254</v>
      </c>
      <c r="O30" t="s">
        <v>3867</v>
      </c>
      <c r="P30" s="3"/>
      <c r="Q30">
        <v>46262</v>
      </c>
      <c r="R30" s="3">
        <v>726</v>
      </c>
      <c r="S30" s="3" t="s">
        <v>3823</v>
      </c>
      <c r="T30" s="3">
        <v>6106</v>
      </c>
      <c r="U30" s="3" t="s">
        <v>5255</v>
      </c>
      <c r="V30" s="3" t="s">
        <v>5256</v>
      </c>
      <c r="W30" s="3">
        <v>10984.606</v>
      </c>
      <c r="X30" s="3">
        <v>46288</v>
      </c>
      <c r="Y30" s="3">
        <v>46300</v>
      </c>
      <c r="Z30"/>
      <c r="AA30" t="s">
        <v>3826</v>
      </c>
      <c r="AB30" t="s">
        <v>3827</v>
      </c>
      <c r="AC30" s="3" t="s">
        <v>5257</v>
      </c>
      <c r="AD30" t="s">
        <v>4049</v>
      </c>
      <c r="AE30" t="s">
        <v>5258</v>
      </c>
      <c r="AF30" t="s">
        <v>3831</v>
      </c>
      <c r="AG30" t="s">
        <v>3832</v>
      </c>
      <c r="AH30" t="s">
        <v>3908</v>
      </c>
      <c r="AI30" t="s">
        <v>3834</v>
      </c>
      <c r="AJ30" t="s">
        <v>3956</v>
      </c>
      <c r="AK30" t="s">
        <v>3832</v>
      </c>
      <c r="AL30"/>
      <c r="AM30" s="3" t="s">
        <v>5336</v>
      </c>
      <c r="AN30" s="3"/>
      <c r="AO30" s="3">
        <v>46301</v>
      </c>
      <c r="AP30" s="3"/>
      <c r="AQ30" s="3" t="s">
        <v>4037</v>
      </c>
      <c r="AR30" s="3"/>
      <c r="AS30" s="3" t="s">
        <v>3961</v>
      </c>
      <c r="AT30" s="3">
        <v>46314</v>
      </c>
      <c r="AU30" s="3"/>
      <c r="AV30" s="3">
        <v>46316</v>
      </c>
      <c r="AW30" t="s">
        <v>3839</v>
      </c>
      <c r="AX30"/>
      <c r="AY30"/>
      <c r="AZ30"/>
      <c r="BA30"/>
      <c r="BB30"/>
      <c r="BC30" t="s">
        <v>18</v>
      </c>
      <c r="BD30"/>
      <c r="BE30" t="s">
        <v>5251</v>
      </c>
      <c r="BF30" t="s">
        <v>5252</v>
      </c>
      <c r="BG30" t="s">
        <v>3817</v>
      </c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 s="6" t="str" cm="1">
        <f t="array" ref="CW30">IFERROR(_xlfn.IFS(H30=TIME(7,0,0),"GY",H30=TIME(7,30,0),"GY",H30=TIME(9,0,0),"GY",H30=TIME(15,0,0),"GY",H30=TIME(8,30,0),"GY",H30=TIME(5,30,0),"GY",H30=TIME(6,0,0),"GD",H30=TIME(6,30,0),"GD",H30=TIME(8,0,0),"GY",H30=TIME(6,15,0),"GD"),"")</f>
        <v>GD</v>
      </c>
    </row>
    <row r="31" spans="1:135" x14ac:dyDescent="0.45">
      <c r="A31" s="3" t="s">
        <v>18</v>
      </c>
      <c r="B31" s="3"/>
      <c r="C31" s="3" t="s">
        <v>5251</v>
      </c>
      <c r="D31" s="3" t="s">
        <v>5252</v>
      </c>
      <c r="E31" s="100" t="s">
        <v>3817</v>
      </c>
      <c r="F31" s="3" t="s">
        <v>5259</v>
      </c>
      <c r="G31" s="4">
        <v>46307</v>
      </c>
      <c r="H31" s="5">
        <v>0.27083333333333326</v>
      </c>
      <c r="I31" s="91">
        <v>46301</v>
      </c>
      <c r="J31" s="91"/>
      <c r="K31" s="91">
        <v>46300</v>
      </c>
      <c r="L31" s="3" t="s">
        <v>7271</v>
      </c>
      <c r="M31" s="3" t="s">
        <v>3819</v>
      </c>
      <c r="N31" s="3" t="s">
        <v>5254</v>
      </c>
      <c r="O31" t="s">
        <v>3867</v>
      </c>
      <c r="P31" s="3"/>
      <c r="Q31">
        <v>46262</v>
      </c>
      <c r="R31" s="3">
        <v>726</v>
      </c>
      <c r="S31" s="3" t="s">
        <v>3823</v>
      </c>
      <c r="T31" s="3">
        <v>2022</v>
      </c>
      <c r="U31" s="3" t="s">
        <v>5260</v>
      </c>
      <c r="V31" s="3" t="s">
        <v>5261</v>
      </c>
      <c r="W31" s="3">
        <v>747.58</v>
      </c>
      <c r="X31" s="3">
        <v>46288</v>
      </c>
      <c r="Y31" s="3">
        <v>46300</v>
      </c>
      <c r="AA31" t="s">
        <v>3826</v>
      </c>
      <c r="AB31" t="s">
        <v>3827</v>
      </c>
      <c r="AC31" s="3" t="s">
        <v>5257</v>
      </c>
      <c r="AD31" t="s">
        <v>4049</v>
      </c>
      <c r="AE31" t="s">
        <v>5258</v>
      </c>
      <c r="AF31" t="s">
        <v>3831</v>
      </c>
      <c r="AG31" t="s">
        <v>3832</v>
      </c>
      <c r="AH31" t="s">
        <v>3908</v>
      </c>
      <c r="AI31" t="s">
        <v>3834</v>
      </c>
      <c r="AJ31" t="s">
        <v>3956</v>
      </c>
      <c r="AK31" t="s">
        <v>3832</v>
      </c>
      <c r="AM31" s="3" t="s">
        <v>5336</v>
      </c>
      <c r="AN31" s="3"/>
      <c r="AO31" s="3">
        <v>46301</v>
      </c>
      <c r="AP31" s="3"/>
      <c r="AQ31" s="3" t="s">
        <v>4037</v>
      </c>
      <c r="AR31" s="3"/>
      <c r="AS31" s="3" t="s">
        <v>3961</v>
      </c>
      <c r="AT31" s="3">
        <v>46314</v>
      </c>
      <c r="AU31" s="3"/>
      <c r="AV31" s="3">
        <v>46316</v>
      </c>
      <c r="AW31" t="s">
        <v>3839</v>
      </c>
      <c r="BC31" t="s">
        <v>18</v>
      </c>
      <c r="BE31" t="s">
        <v>5251</v>
      </c>
      <c r="BF31" t="s">
        <v>5252</v>
      </c>
      <c r="BG31" t="s">
        <v>3817</v>
      </c>
      <c r="CW31" s="6" t="str" cm="1">
        <f t="array" ref="CW31">IFERROR(_xlfn.IFS(H31=TIME(7,0,0),"GY",H31=TIME(7,30,0),"GY",H31=TIME(9,0,0),"GY",H31=TIME(15,0,0),"GY",H31=TIME(8,30,0),"GY",H31=TIME(5,30,0),"GY",H31=TIME(6,0,0),"GD",H31=TIME(6,30,0),"GD",H31=TIME(8,0,0),"GY",H31=TIME(6,15,0),"GD"),"")</f>
        <v>GD</v>
      </c>
      <c r="EE31"/>
    </row>
    <row r="32" spans="1:135" x14ac:dyDescent="0.45">
      <c r="A32" s="3" t="s">
        <v>32</v>
      </c>
      <c r="B32" s="3" t="s">
        <v>3814</v>
      </c>
      <c r="C32" s="3" t="s">
        <v>5232</v>
      </c>
      <c r="D32" s="3" t="s">
        <v>5233</v>
      </c>
      <c r="E32" s="100" t="s">
        <v>3817</v>
      </c>
      <c r="F32" s="3" t="s">
        <v>159</v>
      </c>
      <c r="G32" s="4">
        <v>46306</v>
      </c>
      <c r="H32" s="5">
        <v>0.35416666666666674</v>
      </c>
      <c r="I32" s="91">
        <v>46301</v>
      </c>
      <c r="J32" s="91"/>
      <c r="K32" s="91">
        <v>46298</v>
      </c>
      <c r="L32" s="3" t="s">
        <v>7263</v>
      </c>
      <c r="M32" s="3" t="s">
        <v>3819</v>
      </c>
      <c r="N32" s="3" t="s">
        <v>5234</v>
      </c>
      <c r="O32" t="s">
        <v>3821</v>
      </c>
      <c r="P32" s="3" t="s">
        <v>3822</v>
      </c>
      <c r="Q32">
        <v>46259</v>
      </c>
      <c r="R32" s="3">
        <v>726</v>
      </c>
      <c r="S32" s="3" t="s">
        <v>3823</v>
      </c>
      <c r="T32" s="3">
        <v>115</v>
      </c>
      <c r="U32" s="3" t="s">
        <v>5235</v>
      </c>
      <c r="V32" s="3" t="s">
        <v>5236</v>
      </c>
      <c r="W32" s="3">
        <v>2319.1799999999998</v>
      </c>
      <c r="X32" s="3">
        <v>46286</v>
      </c>
      <c r="Y32" s="3">
        <v>46298</v>
      </c>
      <c r="AA32" t="s">
        <v>3826</v>
      </c>
      <c r="AB32" t="s">
        <v>3827</v>
      </c>
      <c r="AC32" s="3" t="s">
        <v>5237</v>
      </c>
      <c r="AD32" t="s">
        <v>4707</v>
      </c>
      <c r="AE32" t="s">
        <v>5238</v>
      </c>
      <c r="AF32" t="s">
        <v>3831</v>
      </c>
      <c r="AG32" t="s">
        <v>3832</v>
      </c>
      <c r="AH32" t="s">
        <v>3833</v>
      </c>
      <c r="AI32" t="s">
        <v>3834</v>
      </c>
      <c r="AJ32" t="s">
        <v>3835</v>
      </c>
      <c r="AK32" t="s">
        <v>3832</v>
      </c>
      <c r="AM32" s="3" t="s">
        <v>5333</v>
      </c>
      <c r="AN32" s="3"/>
      <c r="AO32" s="3">
        <v>46301</v>
      </c>
      <c r="AP32" s="3"/>
      <c r="AQ32" s="3" t="s">
        <v>3837</v>
      </c>
      <c r="AR32" s="3" t="s">
        <v>3814</v>
      </c>
      <c r="AS32" s="3"/>
      <c r="AT32" s="3">
        <v>46312</v>
      </c>
      <c r="AU32" s="3">
        <v>46346</v>
      </c>
      <c r="AV32" s="3"/>
      <c r="AW32" t="s">
        <v>3839</v>
      </c>
      <c r="BC32" t="s">
        <v>32</v>
      </c>
      <c r="BD32" t="s">
        <v>3814</v>
      </c>
      <c r="BE32" t="s">
        <v>5232</v>
      </c>
      <c r="BF32" t="s">
        <v>5233</v>
      </c>
      <c r="BG32" t="s">
        <v>3817</v>
      </c>
      <c r="CW32" s="6" t="str" cm="1">
        <f t="array" ref="CW32">IFERROR(_xlfn.IFS(H32=TIME(7,0,0),"GY",H32=TIME(7,30,0),"GY",H32=TIME(9,0,0),"GY",H32=TIME(15,0,0),"GY",H32=TIME(8,30,0),"GY",H32=TIME(5,30,0),"GY",H32=TIME(6,0,0),"GD",H32=TIME(6,30,0),"GD",H32=TIME(8,0,0),"GY",H32=TIME(6,15,0),"GD"),"")</f>
        <v>GY</v>
      </c>
      <c r="EE32"/>
    </row>
    <row r="33" spans="1:135" x14ac:dyDescent="0.45">
      <c r="A33" s="14" t="s">
        <v>32</v>
      </c>
      <c r="B33" s="14" t="s">
        <v>0</v>
      </c>
      <c r="C33" s="14" t="s">
        <v>4743</v>
      </c>
      <c r="D33" s="14" t="s">
        <v>4744</v>
      </c>
      <c r="E33" s="100" t="s">
        <v>3947</v>
      </c>
      <c r="F33" s="14" t="s">
        <v>818</v>
      </c>
      <c r="G33" s="4">
        <v>46306</v>
      </c>
      <c r="H33" s="5">
        <v>0.26041666666666674</v>
      </c>
      <c r="I33" s="91">
        <v>46297</v>
      </c>
      <c r="J33" s="91"/>
      <c r="K33" s="91">
        <v>46297</v>
      </c>
      <c r="L33" s="14" t="s">
        <v>6936</v>
      </c>
      <c r="M33" s="14" t="s">
        <v>3819</v>
      </c>
      <c r="N33" s="14" t="s">
        <v>4745</v>
      </c>
      <c r="O33" s="29" t="s">
        <v>3867</v>
      </c>
      <c r="P33" s="14" t="s">
        <v>4703</v>
      </c>
      <c r="Q33" s="29">
        <v>46262</v>
      </c>
      <c r="R33" s="14">
        <v>726</v>
      </c>
      <c r="S33" s="14" t="s">
        <v>3823</v>
      </c>
      <c r="T33" s="14">
        <v>3076</v>
      </c>
      <c r="U33" s="14" t="s">
        <v>4746</v>
      </c>
      <c r="V33" s="14" t="s">
        <v>4747</v>
      </c>
      <c r="W33" s="14">
        <v>1470.41</v>
      </c>
      <c r="X33" s="14">
        <v>46290</v>
      </c>
      <c r="Y33" s="14">
        <v>46297</v>
      </c>
      <c r="Z33" s="29"/>
      <c r="AA33" s="29" t="s">
        <v>3826</v>
      </c>
      <c r="AB33" s="29" t="s">
        <v>3827</v>
      </c>
      <c r="AC33" s="14" t="s">
        <v>4748</v>
      </c>
      <c r="AD33" s="29" t="s">
        <v>4704</v>
      </c>
      <c r="AE33" s="29" t="s">
        <v>4741</v>
      </c>
      <c r="AF33" s="29" t="s">
        <v>4705</v>
      </c>
      <c r="AG33" s="29" t="s">
        <v>3832</v>
      </c>
      <c r="AH33" s="29" t="s">
        <v>4706</v>
      </c>
      <c r="AI33" s="29" t="s">
        <v>3834</v>
      </c>
      <c r="AJ33" s="29" t="s">
        <v>3835</v>
      </c>
      <c r="AK33" s="29" t="s">
        <v>3832</v>
      </c>
      <c r="AL33" s="29"/>
      <c r="AM33" s="14" t="s">
        <v>4749</v>
      </c>
      <c r="AN33" s="14"/>
      <c r="AO33" s="14">
        <v>46297</v>
      </c>
      <c r="AP33" s="14"/>
      <c r="AQ33" s="14" t="s">
        <v>3837</v>
      </c>
      <c r="AR33" s="14"/>
      <c r="AS33" s="14"/>
      <c r="AT33" s="14">
        <v>46311</v>
      </c>
      <c r="AU33" s="14">
        <v>46342</v>
      </c>
      <c r="AV33" s="14"/>
      <c r="AW33" s="29" t="s">
        <v>3839</v>
      </c>
      <c r="AX33" s="29"/>
      <c r="AY33" s="29"/>
      <c r="AZ33" s="29"/>
      <c r="BA33" s="29"/>
      <c r="BB33" s="29"/>
      <c r="BC33" s="29" t="s">
        <v>32</v>
      </c>
      <c r="BD33" s="29" t="s">
        <v>0</v>
      </c>
      <c r="BE33" s="29" t="s">
        <v>4743</v>
      </c>
      <c r="BF33" s="29" t="s">
        <v>4744</v>
      </c>
      <c r="BG33" s="29" t="s">
        <v>3947</v>
      </c>
      <c r="BH33" s="29"/>
      <c r="BI33" s="29"/>
      <c r="BJ33" s="29"/>
      <c r="BK33" s="29"/>
      <c r="BL33" s="29"/>
      <c r="BM33" s="29"/>
      <c r="BN33" s="29"/>
      <c r="CW33" s="6" t="str" cm="1">
        <f t="array" ref="CW33">IFERROR(_xlfn.IFS(H33=TIME(7,0,0),"GY",H33=TIME(7,30,0),"GY",H33=TIME(9,0,0),"GY",H33=TIME(15,0,0),"GY",H33=TIME(8,30,0),"GY",H33=TIME(5,30,0),"GY",H33=TIME(6,0,0),"GD",H33=TIME(6,30,0),"GD",H33=TIME(8,0,0),"GY",H33=TIME(6,15,0),"GD"),"")</f>
        <v>GD</v>
      </c>
      <c r="EE33"/>
    </row>
    <row r="34" spans="1:135" x14ac:dyDescent="0.45">
      <c r="A34" s="3" t="s">
        <v>32</v>
      </c>
      <c r="B34" s="3" t="s">
        <v>3814</v>
      </c>
      <c r="C34" s="3" t="s">
        <v>6084</v>
      </c>
      <c r="D34" s="3" t="s">
        <v>6085</v>
      </c>
      <c r="E34" s="100" t="s">
        <v>3817</v>
      </c>
      <c r="F34" s="3" t="s">
        <v>323</v>
      </c>
      <c r="G34" s="4">
        <v>46306</v>
      </c>
      <c r="H34" s="5">
        <v>0.35416666666666674</v>
      </c>
      <c r="I34" s="91">
        <v>46301</v>
      </c>
      <c r="J34" s="91"/>
      <c r="K34" s="91">
        <v>46300</v>
      </c>
      <c r="L34" s="3" t="s">
        <v>7264</v>
      </c>
      <c r="M34" s="3" t="s">
        <v>3819</v>
      </c>
      <c r="N34" s="3" t="s">
        <v>6086</v>
      </c>
      <c r="O34" t="s">
        <v>3867</v>
      </c>
      <c r="P34" s="3" t="s">
        <v>3852</v>
      </c>
      <c r="Q34">
        <v>46261</v>
      </c>
      <c r="R34" s="3">
        <v>726</v>
      </c>
      <c r="S34" s="3" t="s">
        <v>3823</v>
      </c>
      <c r="T34" s="3">
        <v>12</v>
      </c>
      <c r="U34" s="3" t="s">
        <v>6087</v>
      </c>
      <c r="V34" s="3" t="s">
        <v>6088</v>
      </c>
      <c r="W34" s="3">
        <v>279.60599999999999</v>
      </c>
      <c r="X34" s="3">
        <v>46276</v>
      </c>
      <c r="Y34" s="3">
        <v>46299</v>
      </c>
      <c r="AA34" t="s">
        <v>3855</v>
      </c>
      <c r="AB34" t="s">
        <v>3856</v>
      </c>
      <c r="AC34" s="3" t="s">
        <v>6209</v>
      </c>
      <c r="AD34" t="s">
        <v>4276</v>
      </c>
      <c r="AE34" t="s">
        <v>6089</v>
      </c>
      <c r="AF34" t="s">
        <v>3831</v>
      </c>
      <c r="AG34" t="s">
        <v>3832</v>
      </c>
      <c r="AH34" t="s">
        <v>3860</v>
      </c>
      <c r="AI34" t="s">
        <v>3834</v>
      </c>
      <c r="AJ34" t="s">
        <v>3835</v>
      </c>
      <c r="AK34" t="s">
        <v>3832</v>
      </c>
      <c r="AM34" s="3" t="s">
        <v>6111</v>
      </c>
      <c r="AN34" s="3"/>
      <c r="AO34" s="3">
        <v>46301</v>
      </c>
      <c r="AP34" s="3"/>
      <c r="AQ34" s="3" t="s">
        <v>3862</v>
      </c>
      <c r="AR34" s="3" t="s">
        <v>3814</v>
      </c>
      <c r="AS34" s="3"/>
      <c r="AT34" s="3">
        <v>46314</v>
      </c>
      <c r="AU34" s="3">
        <v>46346</v>
      </c>
      <c r="AV34" s="3"/>
      <c r="AW34" t="s">
        <v>3839</v>
      </c>
      <c r="BC34" t="s">
        <v>32</v>
      </c>
      <c r="BD34" t="s">
        <v>3814</v>
      </c>
      <c r="BE34" t="s">
        <v>6084</v>
      </c>
      <c r="BF34" t="s">
        <v>6085</v>
      </c>
      <c r="BG34" t="s">
        <v>3817</v>
      </c>
      <c r="CW34" s="6" t="str" cm="1">
        <f t="array" ref="CW34">IFERROR(_xlfn.IFS(H34=TIME(7,0,0),"GY",H34=TIME(7,30,0),"GY",H34=TIME(9,0,0),"GY",H34=TIME(15,0,0),"GY",H34=TIME(8,30,0),"GY",H34=TIME(5,30,0),"GY",H34=TIME(6,0,0),"GD",H34=TIME(6,30,0),"GD",H34=TIME(8,0,0),"GY",H34=TIME(6,15,0),"GD"),"")</f>
        <v>GY</v>
      </c>
      <c r="EE34"/>
    </row>
    <row r="35" spans="1:135" x14ac:dyDescent="0.45">
      <c r="A35" s="3" t="s">
        <v>32</v>
      </c>
      <c r="B35" s="3" t="s">
        <v>3814</v>
      </c>
      <c r="C35" s="3" t="s">
        <v>6603</v>
      </c>
      <c r="D35" s="3" t="s">
        <v>6604</v>
      </c>
      <c r="E35" s="100" t="s">
        <v>3817</v>
      </c>
      <c r="F35" s="3" t="s">
        <v>5389</v>
      </c>
      <c r="G35" s="4">
        <v>46305</v>
      </c>
      <c r="H35" s="5">
        <v>0.35416666666666674</v>
      </c>
      <c r="I35" s="91">
        <v>46302</v>
      </c>
      <c r="J35" s="91"/>
      <c r="K35" s="91">
        <v>46300</v>
      </c>
      <c r="L35" s="3" t="s">
        <v>7260</v>
      </c>
      <c r="M35" s="3" t="s">
        <v>3819</v>
      </c>
      <c r="N35" s="3" t="s">
        <v>6605</v>
      </c>
      <c r="O35" t="s">
        <v>3819</v>
      </c>
      <c r="P35" s="3" t="s">
        <v>3852</v>
      </c>
      <c r="Q35">
        <v>46274</v>
      </c>
      <c r="R35" s="3">
        <v>726</v>
      </c>
      <c r="S35" s="3" t="s">
        <v>3823</v>
      </c>
      <c r="T35" s="3">
        <v>42</v>
      </c>
      <c r="U35" s="3" t="s">
        <v>6606</v>
      </c>
      <c r="V35" s="3" t="s">
        <v>6607</v>
      </c>
      <c r="W35" s="3">
        <v>444.33</v>
      </c>
      <c r="X35" s="3">
        <v>46313</v>
      </c>
      <c r="Y35" s="3">
        <v>46301</v>
      </c>
      <c r="Z35">
        <v>46292</v>
      </c>
      <c r="AA35" t="s">
        <v>4205</v>
      </c>
      <c r="AB35" t="s">
        <v>4206</v>
      </c>
      <c r="AC35" s="3" t="s">
        <v>6608</v>
      </c>
      <c r="AD35" t="s">
        <v>6609</v>
      </c>
      <c r="AE35" t="s">
        <v>6610</v>
      </c>
      <c r="AF35" t="s">
        <v>3831</v>
      </c>
      <c r="AG35" t="s">
        <v>3832</v>
      </c>
      <c r="AH35" t="s">
        <v>3860</v>
      </c>
      <c r="AI35" t="s">
        <v>3834</v>
      </c>
      <c r="AJ35" t="s">
        <v>3835</v>
      </c>
      <c r="AK35" t="s">
        <v>3832</v>
      </c>
      <c r="AM35" s="3" t="s">
        <v>6770</v>
      </c>
      <c r="AN35" s="3"/>
      <c r="AO35" s="3">
        <v>46301</v>
      </c>
      <c r="AP35" s="3"/>
      <c r="AQ35" s="3" t="s">
        <v>3837</v>
      </c>
      <c r="AR35" s="3" t="s">
        <v>3814</v>
      </c>
      <c r="AS35" s="3"/>
      <c r="AT35" s="3">
        <v>46314</v>
      </c>
      <c r="AU35" s="3">
        <v>46347</v>
      </c>
      <c r="AV35" s="3"/>
      <c r="AW35" t="s">
        <v>3839</v>
      </c>
      <c r="BC35" t="s">
        <v>32</v>
      </c>
      <c r="BD35" t="s">
        <v>3814</v>
      </c>
      <c r="BE35" t="s">
        <v>6603</v>
      </c>
      <c r="BF35" t="s">
        <v>6604</v>
      </c>
      <c r="BG35" t="s">
        <v>3817</v>
      </c>
      <c r="CW35" s="6" t="str" cm="1">
        <f t="array" ref="CW35">IFERROR(_xlfn.IFS(H35=TIME(7,0,0),"GY",H35=TIME(7,30,0),"GY",H35=TIME(9,0,0),"GY",H35=TIME(15,0,0),"GY",H35=TIME(8,30,0),"GY",H35=TIME(5,30,0),"GY",H35=TIME(6,0,0),"GD",H35=TIME(6,30,0),"GD",H35=TIME(8,0,0),"GY",H35=TIME(6,15,0),"GD"),"")</f>
        <v>GY</v>
      </c>
      <c r="EE35"/>
    </row>
    <row r="36" spans="1:135" x14ac:dyDescent="0.45">
      <c r="A36" s="3" t="s">
        <v>32</v>
      </c>
      <c r="B36" s="3" t="s">
        <v>3814</v>
      </c>
      <c r="C36" s="3" t="s">
        <v>6646</v>
      </c>
      <c r="D36" s="3" t="s">
        <v>6647</v>
      </c>
      <c r="E36" s="100" t="s">
        <v>3817</v>
      </c>
      <c r="F36" s="3" t="s">
        <v>324</v>
      </c>
      <c r="G36" s="4">
        <v>46305</v>
      </c>
      <c r="H36" s="5">
        <v>0.35416666666666674</v>
      </c>
      <c r="I36" s="91">
        <v>46301</v>
      </c>
      <c r="J36" s="91"/>
      <c r="K36" s="91">
        <v>46300</v>
      </c>
      <c r="L36" s="3" t="s">
        <v>7261</v>
      </c>
      <c r="M36" s="3" t="s">
        <v>3819</v>
      </c>
      <c r="N36" s="3" t="s">
        <v>6648</v>
      </c>
      <c r="O36" t="s">
        <v>3867</v>
      </c>
      <c r="P36" s="3" t="s">
        <v>3852</v>
      </c>
      <c r="Q36">
        <v>46269</v>
      </c>
      <c r="R36" s="3">
        <v>726</v>
      </c>
      <c r="S36" s="3" t="s">
        <v>3823</v>
      </c>
      <c r="T36" s="3">
        <v>12</v>
      </c>
      <c r="U36" s="3" t="s">
        <v>6649</v>
      </c>
      <c r="V36" s="3" t="s">
        <v>6650</v>
      </c>
      <c r="W36" s="3">
        <v>217.98</v>
      </c>
      <c r="X36" s="3">
        <v>46301</v>
      </c>
      <c r="Y36" s="3">
        <v>46299</v>
      </c>
      <c r="AA36" t="s">
        <v>3855</v>
      </c>
      <c r="AB36" t="s">
        <v>3856</v>
      </c>
      <c r="AC36" s="3" t="s">
        <v>6651</v>
      </c>
      <c r="AD36" t="s">
        <v>4276</v>
      </c>
      <c r="AE36" t="s">
        <v>6089</v>
      </c>
      <c r="AF36" t="s">
        <v>3831</v>
      </c>
      <c r="AG36" t="s">
        <v>3832</v>
      </c>
      <c r="AH36" t="s">
        <v>3860</v>
      </c>
      <c r="AI36" t="s">
        <v>3834</v>
      </c>
      <c r="AJ36" t="s">
        <v>3835</v>
      </c>
      <c r="AK36" t="s">
        <v>3832</v>
      </c>
      <c r="AM36" s="3" t="s">
        <v>6776</v>
      </c>
      <c r="AN36" s="3"/>
      <c r="AO36" s="3">
        <v>46301</v>
      </c>
      <c r="AP36" s="3"/>
      <c r="AQ36" s="3" t="s">
        <v>3862</v>
      </c>
      <c r="AR36" s="3" t="s">
        <v>3814</v>
      </c>
      <c r="AS36" s="3"/>
      <c r="AT36" s="3">
        <v>46314</v>
      </c>
      <c r="AU36" s="3">
        <v>46346</v>
      </c>
      <c r="AV36" s="3"/>
      <c r="AW36" t="s">
        <v>3839</v>
      </c>
      <c r="BC36" t="s">
        <v>32</v>
      </c>
      <c r="BD36" t="s">
        <v>3814</v>
      </c>
      <c r="BE36" t="s">
        <v>6646</v>
      </c>
      <c r="BF36" t="s">
        <v>6647</v>
      </c>
      <c r="BG36" t="s">
        <v>3817</v>
      </c>
      <c r="CW36" s="6" t="str" cm="1">
        <f t="array" ref="CW36">IFERROR(_xlfn.IFS(H36=TIME(7,0,0),"GY",H36=TIME(7,30,0),"GY",H36=TIME(9,0,0),"GY",H36=TIME(15,0,0),"GY",H36=TIME(8,30,0),"GY",H36=TIME(5,30,0),"GY",H36=TIME(6,0,0),"GD",H36=TIME(6,30,0),"GD",H36=TIME(8,0,0),"GY",H36=TIME(6,15,0),"GD"),"")</f>
        <v>GY</v>
      </c>
      <c r="EE36"/>
    </row>
    <row r="37" spans="1:135" x14ac:dyDescent="0.45">
      <c r="A37" s="3" t="s">
        <v>32</v>
      </c>
      <c r="B37" s="3" t="s">
        <v>0</v>
      </c>
      <c r="C37" s="3" t="s">
        <v>4735</v>
      </c>
      <c r="D37" s="3" t="s">
        <v>4736</v>
      </c>
      <c r="E37" s="100" t="s">
        <v>3947</v>
      </c>
      <c r="F37" s="3" t="s">
        <v>813</v>
      </c>
      <c r="G37" s="4">
        <v>46305</v>
      </c>
      <c r="H37" s="5">
        <v>0.26041666666666674</v>
      </c>
      <c r="I37" s="91">
        <v>46297</v>
      </c>
      <c r="J37" s="91"/>
      <c r="K37" s="91">
        <v>46297</v>
      </c>
      <c r="L37" s="3" t="s">
        <v>6935</v>
      </c>
      <c r="M37" s="3" t="s">
        <v>3819</v>
      </c>
      <c r="N37" s="3" t="s">
        <v>4737</v>
      </c>
      <c r="O37" t="s">
        <v>3821</v>
      </c>
      <c r="P37" s="3"/>
      <c r="Q37">
        <v>46251</v>
      </c>
      <c r="R37" s="3">
        <v>726</v>
      </c>
      <c r="S37" s="3" t="s">
        <v>3823</v>
      </c>
      <c r="T37" s="3">
        <v>10276</v>
      </c>
      <c r="U37" s="3" t="s">
        <v>4738</v>
      </c>
      <c r="V37" s="3" t="s">
        <v>4739</v>
      </c>
      <c r="W37" s="3">
        <v>1417.92</v>
      </c>
      <c r="X37" s="3">
        <v>46290</v>
      </c>
      <c r="Y37" s="3">
        <v>46297</v>
      </c>
      <c r="AA37" t="s">
        <v>3826</v>
      </c>
      <c r="AB37" t="s">
        <v>3827</v>
      </c>
      <c r="AC37" s="3" t="s">
        <v>4740</v>
      </c>
      <c r="AD37" t="s">
        <v>4704</v>
      </c>
      <c r="AE37" t="s">
        <v>4741</v>
      </c>
      <c r="AF37" t="s">
        <v>4705</v>
      </c>
      <c r="AG37" t="s">
        <v>3832</v>
      </c>
      <c r="AH37" t="s">
        <v>4706</v>
      </c>
      <c r="AI37" t="s">
        <v>3834</v>
      </c>
      <c r="AJ37" t="s">
        <v>3835</v>
      </c>
      <c r="AK37" t="s">
        <v>3832</v>
      </c>
      <c r="AM37" s="3" t="s">
        <v>4742</v>
      </c>
      <c r="AN37" s="3"/>
      <c r="AO37" s="3">
        <v>46297</v>
      </c>
      <c r="AP37" s="3"/>
      <c r="AQ37" s="3" t="s">
        <v>3837</v>
      </c>
      <c r="AR37" s="3"/>
      <c r="AS37" s="3"/>
      <c r="AT37" s="3">
        <v>46311</v>
      </c>
      <c r="AU37" s="3">
        <v>46342</v>
      </c>
      <c r="AV37" s="3"/>
      <c r="AW37" t="s">
        <v>3839</v>
      </c>
      <c r="BC37" t="s">
        <v>32</v>
      </c>
      <c r="BD37" t="s">
        <v>0</v>
      </c>
      <c r="BE37" t="s">
        <v>4735</v>
      </c>
      <c r="BF37" t="s">
        <v>4736</v>
      </c>
      <c r="BG37" t="s">
        <v>3947</v>
      </c>
      <c r="CW37" s="6" t="str" cm="1">
        <f t="array" ref="CW37">IFERROR(_xlfn.IFS(H37=TIME(7,0,0),"GY",H37=TIME(7,30,0),"GY",H37=TIME(9,0,0),"GY",H37=TIME(15,0,0),"GY",H37=TIME(8,30,0),"GY",H37=TIME(5,30,0),"GY",H37=TIME(6,0,0),"GD",H37=TIME(6,30,0),"GD",H37=TIME(8,0,0),"GY",H37=TIME(6,15,0),"GD"),"")</f>
        <v>GD</v>
      </c>
      <c r="EE37"/>
    </row>
    <row r="38" spans="1:135" x14ac:dyDescent="0.45">
      <c r="A38" s="14" t="s">
        <v>32</v>
      </c>
      <c r="B38" s="14" t="s">
        <v>3814</v>
      </c>
      <c r="C38" s="14" t="s">
        <v>5245</v>
      </c>
      <c r="D38" s="14" t="s">
        <v>5246</v>
      </c>
      <c r="E38" s="100" t="s">
        <v>3817</v>
      </c>
      <c r="F38" s="14" t="s">
        <v>163</v>
      </c>
      <c r="G38" s="4">
        <v>46304</v>
      </c>
      <c r="H38" s="5">
        <v>0.35416666666666674</v>
      </c>
      <c r="I38" s="91">
        <v>46301</v>
      </c>
      <c r="J38" s="91"/>
      <c r="K38" s="91">
        <v>46298</v>
      </c>
      <c r="L38" s="14" t="s">
        <v>6937</v>
      </c>
      <c r="M38" s="14" t="s">
        <v>3819</v>
      </c>
      <c r="N38" s="14" t="s">
        <v>5247</v>
      </c>
      <c r="O38" s="29" t="s">
        <v>3821</v>
      </c>
      <c r="P38" s="14" t="s">
        <v>3822</v>
      </c>
      <c r="Q38" s="29">
        <v>46262</v>
      </c>
      <c r="R38" s="14">
        <v>726</v>
      </c>
      <c r="S38" s="14" t="s">
        <v>3823</v>
      </c>
      <c r="T38" s="14">
        <v>282</v>
      </c>
      <c r="U38" s="14" t="s">
        <v>5248</v>
      </c>
      <c r="V38" s="14" t="s">
        <v>5249</v>
      </c>
      <c r="W38" s="14">
        <v>3097.99</v>
      </c>
      <c r="X38" s="14">
        <v>46286</v>
      </c>
      <c r="Y38" s="14">
        <v>46298</v>
      </c>
      <c r="Z38" s="29"/>
      <c r="AA38" s="29" t="s">
        <v>3826</v>
      </c>
      <c r="AB38" s="29" t="s">
        <v>3827</v>
      </c>
      <c r="AC38" s="14" t="s">
        <v>5400</v>
      </c>
      <c r="AD38" s="29" t="s">
        <v>4707</v>
      </c>
      <c r="AE38" s="29" t="s">
        <v>5238</v>
      </c>
      <c r="AF38" s="29" t="s">
        <v>3831</v>
      </c>
      <c r="AG38" s="29" t="s">
        <v>3832</v>
      </c>
      <c r="AH38" s="29" t="s">
        <v>3833</v>
      </c>
      <c r="AI38" s="29" t="s">
        <v>3834</v>
      </c>
      <c r="AJ38" s="29" t="s">
        <v>3835</v>
      </c>
      <c r="AK38" s="29" t="s">
        <v>3832</v>
      </c>
      <c r="AL38" s="29"/>
      <c r="AM38" s="14" t="s">
        <v>5335</v>
      </c>
      <c r="AN38" s="14"/>
      <c r="AO38" s="14">
        <v>46301</v>
      </c>
      <c r="AP38" s="14"/>
      <c r="AQ38" s="14" t="s">
        <v>3837</v>
      </c>
      <c r="AR38" s="14" t="s">
        <v>3814</v>
      </c>
      <c r="AS38" s="14"/>
      <c r="AT38" s="14">
        <v>46312</v>
      </c>
      <c r="AU38" s="14">
        <v>46346</v>
      </c>
      <c r="AV38" s="14"/>
      <c r="AW38" s="29" t="s">
        <v>3839</v>
      </c>
      <c r="AX38" s="29"/>
      <c r="AY38" s="29"/>
      <c r="AZ38" s="29"/>
      <c r="BA38" s="29"/>
      <c r="BB38" s="29"/>
      <c r="BC38" s="29" t="s">
        <v>32</v>
      </c>
      <c r="BD38" s="29" t="s">
        <v>3814</v>
      </c>
      <c r="BE38" s="29" t="s">
        <v>5245</v>
      </c>
      <c r="BF38" s="29" t="s">
        <v>5246</v>
      </c>
      <c r="BG38" s="29" t="s">
        <v>3817</v>
      </c>
      <c r="BH38" s="29"/>
      <c r="BI38" s="29"/>
      <c r="BJ38" s="29"/>
      <c r="BK38" s="29"/>
      <c r="BL38" s="29"/>
      <c r="BM38" s="29"/>
      <c r="BN38" s="29"/>
      <c r="CW38" s="6" t="str" cm="1">
        <f t="array" ref="CW38">IFERROR(_xlfn.IFS(H38=TIME(7,0,0),"GY",H38=TIME(7,30,0),"GY",H38=TIME(9,0,0),"GY",H38=TIME(15,0,0),"GY",H38=TIME(8,30,0),"GY",H38=TIME(5,30,0),"GY",H38=TIME(6,0,0),"GD",H38=TIME(6,30,0),"GD",H38=TIME(8,0,0),"GY",H38=TIME(6,15,0),"GD"),"")</f>
        <v>GY</v>
      </c>
      <c r="EE38"/>
    </row>
    <row r="39" spans="1:135" x14ac:dyDescent="0.45">
      <c r="A39" s="3" t="s">
        <v>18</v>
      </c>
      <c r="B39" s="3" t="s">
        <v>3944</v>
      </c>
      <c r="C39" s="3" t="s">
        <v>5034</v>
      </c>
      <c r="D39" s="3" t="s">
        <v>5035</v>
      </c>
      <c r="E39" s="100" t="s">
        <v>3817</v>
      </c>
      <c r="F39" s="3" t="s">
        <v>963</v>
      </c>
      <c r="G39" s="4">
        <v>46304</v>
      </c>
      <c r="H39" s="5">
        <v>0.26041666666666674</v>
      </c>
      <c r="I39" s="91">
        <v>46296</v>
      </c>
      <c r="J39" s="91"/>
      <c r="K39" s="91">
        <v>46275</v>
      </c>
      <c r="L39" s="3" t="s">
        <v>6825</v>
      </c>
      <c r="M39" s="3" t="s">
        <v>3819</v>
      </c>
      <c r="N39" s="3" t="s">
        <v>5036</v>
      </c>
      <c r="O39" t="s">
        <v>3867</v>
      </c>
      <c r="P39" s="3"/>
      <c r="Q39">
        <v>46254</v>
      </c>
      <c r="R39" s="3">
        <v>726</v>
      </c>
      <c r="S39" s="3" t="s">
        <v>3823</v>
      </c>
      <c r="T39" s="3">
        <v>8563</v>
      </c>
      <c r="U39" s="3" t="s">
        <v>5037</v>
      </c>
      <c r="V39" s="3" t="s">
        <v>5038</v>
      </c>
      <c r="W39" s="3">
        <v>3714.4059999999999</v>
      </c>
      <c r="X39" s="3">
        <v>46268</v>
      </c>
      <c r="Y39" s="3">
        <v>46266</v>
      </c>
      <c r="AA39" t="s">
        <v>3826</v>
      </c>
      <c r="AB39" t="s">
        <v>3827</v>
      </c>
      <c r="AC39" s="3" t="s">
        <v>5039</v>
      </c>
      <c r="AD39" t="s">
        <v>3955</v>
      </c>
      <c r="AE39" t="s">
        <v>4971</v>
      </c>
      <c r="AF39" t="s">
        <v>3831</v>
      </c>
      <c r="AG39" t="s">
        <v>3832</v>
      </c>
      <c r="AH39" t="s">
        <v>3908</v>
      </c>
      <c r="AI39" t="s">
        <v>3834</v>
      </c>
      <c r="AJ39" t="s">
        <v>3956</v>
      </c>
      <c r="AK39" t="s">
        <v>3832</v>
      </c>
      <c r="AM39" s="3" t="s">
        <v>5040</v>
      </c>
      <c r="AN39" s="3"/>
      <c r="AO39" s="3">
        <v>46296</v>
      </c>
      <c r="AP39" s="3" t="s">
        <v>3958</v>
      </c>
      <c r="AQ39" s="3" t="s">
        <v>3959</v>
      </c>
      <c r="AR39" s="3" t="s">
        <v>6826</v>
      </c>
      <c r="AS39" s="3" t="s">
        <v>3961</v>
      </c>
      <c r="AT39" s="3"/>
      <c r="AU39" s="3"/>
      <c r="AV39" s="3"/>
      <c r="AW39" t="s">
        <v>3839</v>
      </c>
      <c r="BC39" t="s">
        <v>18</v>
      </c>
      <c r="BD39" t="s">
        <v>3944</v>
      </c>
      <c r="BE39" t="s">
        <v>5034</v>
      </c>
      <c r="BF39" t="s">
        <v>5035</v>
      </c>
      <c r="BG39" t="s">
        <v>3817</v>
      </c>
      <c r="CW39" s="6" t="str" cm="1">
        <f t="array" ref="CW39">IFERROR(_xlfn.IFS(H39=TIME(7,0,0),"GY",H39=TIME(7,30,0),"GY",H39=TIME(9,0,0),"GY",H39=TIME(15,0,0),"GY",H39=TIME(8,30,0),"GY",H39=TIME(5,30,0),"GY",H39=TIME(6,0,0),"GD",H39=TIME(6,30,0),"GD",H39=TIME(8,0,0),"GY",H39=TIME(6,15,0),"GD"),"")</f>
        <v>GD</v>
      </c>
      <c r="EE39"/>
    </row>
    <row r="40" spans="1:135" x14ac:dyDescent="0.45">
      <c r="A40" s="3" t="s">
        <v>18</v>
      </c>
      <c r="B40" s="3" t="s">
        <v>3944</v>
      </c>
      <c r="C40" s="3" t="s">
        <v>5034</v>
      </c>
      <c r="D40" s="3" t="s">
        <v>5035</v>
      </c>
      <c r="E40" s="100" t="s">
        <v>3817</v>
      </c>
      <c r="F40" s="3" t="s">
        <v>2249</v>
      </c>
      <c r="G40" s="4">
        <v>46304</v>
      </c>
      <c r="H40" s="5">
        <v>0.26041666666666674</v>
      </c>
      <c r="I40" s="91">
        <v>46296</v>
      </c>
      <c r="J40" s="91"/>
      <c r="K40" s="91">
        <v>46275</v>
      </c>
      <c r="L40" s="3" t="s">
        <v>6825</v>
      </c>
      <c r="M40" s="3" t="s">
        <v>3819</v>
      </c>
      <c r="N40" s="3" t="s">
        <v>5036</v>
      </c>
      <c r="O40" t="s">
        <v>3867</v>
      </c>
      <c r="P40" s="3"/>
      <c r="Q40">
        <v>46254</v>
      </c>
      <c r="R40" s="3">
        <v>726</v>
      </c>
      <c r="S40" s="3" t="s">
        <v>3823</v>
      </c>
      <c r="T40" s="3">
        <v>29965</v>
      </c>
      <c r="U40" s="3" t="s">
        <v>5041</v>
      </c>
      <c r="V40" s="3" t="s">
        <v>5042</v>
      </c>
      <c r="W40" s="3">
        <v>9167.4869999999992</v>
      </c>
      <c r="X40" s="3">
        <v>46268</v>
      </c>
      <c r="Y40" s="3">
        <v>46266</v>
      </c>
      <c r="AA40" t="s">
        <v>3826</v>
      </c>
      <c r="AB40" t="s">
        <v>3827</v>
      </c>
      <c r="AC40" s="3" t="s">
        <v>5039</v>
      </c>
      <c r="AD40" t="s">
        <v>3955</v>
      </c>
      <c r="AE40" t="s">
        <v>4971</v>
      </c>
      <c r="AF40" t="s">
        <v>3831</v>
      </c>
      <c r="AG40" t="s">
        <v>3832</v>
      </c>
      <c r="AH40" t="s">
        <v>3908</v>
      </c>
      <c r="AI40" t="s">
        <v>3834</v>
      </c>
      <c r="AJ40" t="s">
        <v>3956</v>
      </c>
      <c r="AK40" t="s">
        <v>3832</v>
      </c>
      <c r="AM40" s="3" t="s">
        <v>5040</v>
      </c>
      <c r="AN40" s="3"/>
      <c r="AO40" s="3">
        <v>46296</v>
      </c>
      <c r="AP40" s="3" t="s">
        <v>3958</v>
      </c>
      <c r="AQ40" s="3" t="s">
        <v>3959</v>
      </c>
      <c r="AR40" s="3" t="s">
        <v>6826</v>
      </c>
      <c r="AS40" s="3" t="s">
        <v>3961</v>
      </c>
      <c r="AT40" s="3"/>
      <c r="AU40" s="3"/>
      <c r="AV40" s="3"/>
      <c r="AW40" t="s">
        <v>3839</v>
      </c>
      <c r="BC40" t="s">
        <v>18</v>
      </c>
      <c r="BD40" t="s">
        <v>3944</v>
      </c>
      <c r="BE40" t="s">
        <v>5034</v>
      </c>
      <c r="BF40" t="s">
        <v>5035</v>
      </c>
      <c r="BG40" t="s">
        <v>3817</v>
      </c>
      <c r="CW40" s="6" t="str" cm="1">
        <f t="array" ref="CW40">IFERROR(_xlfn.IFS(H40=TIME(7,0,0),"GY",H40=TIME(7,30,0),"GY",H40=TIME(9,0,0),"GY",H40=TIME(15,0,0),"GY",H40=TIME(8,30,0),"GY",H40=TIME(5,30,0),"GY",H40=TIME(6,0,0),"GD",H40=TIME(6,30,0),"GD",H40=TIME(8,0,0),"GY",H40=TIME(6,15,0),"GD"),"")</f>
        <v>GD</v>
      </c>
      <c r="EE40"/>
    </row>
    <row r="41" spans="1:135" x14ac:dyDescent="0.45">
      <c r="A41" s="14" t="s">
        <v>63</v>
      </c>
      <c r="B41" s="14" t="s">
        <v>4975</v>
      </c>
      <c r="C41" s="14" t="s">
        <v>4965</v>
      </c>
      <c r="D41" s="14" t="s">
        <v>4966</v>
      </c>
      <c r="E41" s="100" t="s">
        <v>3947</v>
      </c>
      <c r="F41" s="14" t="s">
        <v>2154</v>
      </c>
      <c r="G41" s="4">
        <v>46303</v>
      </c>
      <c r="H41" s="5">
        <v>0.27083333333333326</v>
      </c>
      <c r="I41" s="91">
        <v>46296</v>
      </c>
      <c r="J41" s="91"/>
      <c r="K41" s="91">
        <v>46275</v>
      </c>
      <c r="L41" s="14" t="s">
        <v>6823</v>
      </c>
      <c r="M41" s="14" t="s">
        <v>3819</v>
      </c>
      <c r="N41" s="14" t="s">
        <v>4967</v>
      </c>
      <c r="O41" s="29" t="s">
        <v>3867</v>
      </c>
      <c r="P41" s="14" t="s">
        <v>4030</v>
      </c>
      <c r="Q41" s="29">
        <v>46237</v>
      </c>
      <c r="R41" s="14">
        <v>726</v>
      </c>
      <c r="S41" s="14" t="s">
        <v>3823</v>
      </c>
      <c r="T41" s="14">
        <v>14862</v>
      </c>
      <c r="U41" s="14" t="s">
        <v>4968</v>
      </c>
      <c r="V41" s="14" t="s">
        <v>4969</v>
      </c>
      <c r="W41" s="14">
        <v>2896.4290000000001</v>
      </c>
      <c r="X41" s="14">
        <v>46268</v>
      </c>
      <c r="Y41" s="14">
        <v>46266</v>
      </c>
      <c r="Z41" s="29"/>
      <c r="AA41" s="29" t="s">
        <v>3826</v>
      </c>
      <c r="AB41" s="29" t="s">
        <v>3827</v>
      </c>
      <c r="AC41" s="14" t="s">
        <v>4970</v>
      </c>
      <c r="AD41" s="29" t="s">
        <v>3955</v>
      </c>
      <c r="AE41" s="29" t="s">
        <v>4971</v>
      </c>
      <c r="AF41" s="29" t="s">
        <v>3831</v>
      </c>
      <c r="AG41" s="29" t="s">
        <v>3832</v>
      </c>
      <c r="AH41" s="29" t="s">
        <v>3908</v>
      </c>
      <c r="AI41" s="29" t="s">
        <v>3834</v>
      </c>
      <c r="AJ41" s="29" t="s">
        <v>3956</v>
      </c>
      <c r="AK41" s="29" t="s">
        <v>3832</v>
      </c>
      <c r="AL41" s="29"/>
      <c r="AM41" s="14" t="s">
        <v>4972</v>
      </c>
      <c r="AN41" s="14"/>
      <c r="AO41" s="14">
        <v>46296</v>
      </c>
      <c r="AP41" s="14" t="s">
        <v>3958</v>
      </c>
      <c r="AQ41" s="14" t="s">
        <v>3959</v>
      </c>
      <c r="AR41" s="14" t="s">
        <v>7267</v>
      </c>
      <c r="AS41" s="14" t="s">
        <v>3961</v>
      </c>
      <c r="AT41" s="14"/>
      <c r="AU41" s="14"/>
      <c r="AV41" s="14"/>
      <c r="AW41" s="29" t="s">
        <v>3839</v>
      </c>
      <c r="AX41" s="29"/>
      <c r="AY41" s="29"/>
      <c r="AZ41" s="29"/>
      <c r="BA41" s="29"/>
      <c r="BB41" s="29"/>
      <c r="BC41" s="29" t="s">
        <v>63</v>
      </c>
      <c r="BD41" s="29" t="s">
        <v>4975</v>
      </c>
      <c r="BE41" s="29" t="s">
        <v>4965</v>
      </c>
      <c r="BF41" s="29" t="s">
        <v>4966</v>
      </c>
      <c r="BG41" s="29" t="s">
        <v>3947</v>
      </c>
      <c r="BH41" s="29"/>
      <c r="BI41" s="29"/>
      <c r="BJ41" s="29"/>
      <c r="BK41" s="29"/>
      <c r="BL41" s="29"/>
      <c r="BM41" s="29"/>
      <c r="BN41" s="29"/>
      <c r="CW41" s="6" t="str" cm="1">
        <f t="array" ref="CW41">IFERROR(_xlfn.IFS(H41=TIME(7,0,0),"GY",H41=TIME(7,30,0),"GY",H41=TIME(9,0,0),"GY",H41=TIME(15,0,0),"GY",H41=TIME(8,30,0),"GY",H41=TIME(5,30,0),"GY",H41=TIME(6,0,0),"GD",H41=TIME(6,30,0),"GD",H41=TIME(8,0,0),"GY",H41=TIME(6,15,0),"GD"),"")</f>
        <v>GD</v>
      </c>
      <c r="EE41"/>
    </row>
    <row r="42" spans="1:135" x14ac:dyDescent="0.45">
      <c r="A42" s="3" t="s">
        <v>63</v>
      </c>
      <c r="B42" s="3" t="s">
        <v>4975</v>
      </c>
      <c r="C42" s="3" t="s">
        <v>4965</v>
      </c>
      <c r="D42" s="3" t="s">
        <v>4966</v>
      </c>
      <c r="E42" s="100" t="s">
        <v>3947</v>
      </c>
      <c r="F42" s="3" t="s">
        <v>967</v>
      </c>
      <c r="G42" s="4">
        <v>46303</v>
      </c>
      <c r="H42" s="5">
        <v>0.27083333333333326</v>
      </c>
      <c r="I42" s="91">
        <v>46296</v>
      </c>
      <c r="J42" s="91"/>
      <c r="K42" s="91">
        <v>46275</v>
      </c>
      <c r="L42" s="3" t="s">
        <v>6823</v>
      </c>
      <c r="M42" s="3" t="s">
        <v>3819</v>
      </c>
      <c r="N42" s="3" t="s">
        <v>4967</v>
      </c>
      <c r="O42" t="s">
        <v>3867</v>
      </c>
      <c r="P42" s="3" t="s">
        <v>4030</v>
      </c>
      <c r="Q42">
        <v>46237</v>
      </c>
      <c r="R42" s="3">
        <v>726</v>
      </c>
      <c r="S42" s="3" t="s">
        <v>3823</v>
      </c>
      <c r="T42" s="3">
        <v>6739</v>
      </c>
      <c r="U42" s="3" t="s">
        <v>4973</v>
      </c>
      <c r="V42" s="3" t="s">
        <v>4974</v>
      </c>
      <c r="W42" s="3">
        <v>1698.53</v>
      </c>
      <c r="X42" s="3">
        <v>46268</v>
      </c>
      <c r="Y42" s="3">
        <v>46266</v>
      </c>
      <c r="AA42" t="s">
        <v>3826</v>
      </c>
      <c r="AB42" t="s">
        <v>3827</v>
      </c>
      <c r="AC42" s="3" t="s">
        <v>4970</v>
      </c>
      <c r="AD42" t="s">
        <v>3955</v>
      </c>
      <c r="AE42" t="s">
        <v>4971</v>
      </c>
      <c r="AF42" t="s">
        <v>3831</v>
      </c>
      <c r="AG42" t="s">
        <v>3832</v>
      </c>
      <c r="AH42" t="s">
        <v>3908</v>
      </c>
      <c r="AI42" t="s">
        <v>3834</v>
      </c>
      <c r="AJ42" t="s">
        <v>3956</v>
      </c>
      <c r="AK42" t="s">
        <v>3832</v>
      </c>
      <c r="AM42" s="3" t="s">
        <v>4972</v>
      </c>
      <c r="AN42" s="3"/>
      <c r="AO42" s="3">
        <v>46296</v>
      </c>
      <c r="AP42" s="3" t="s">
        <v>3958</v>
      </c>
      <c r="AQ42" s="3" t="s">
        <v>3959</v>
      </c>
      <c r="AR42" s="3" t="s">
        <v>7267</v>
      </c>
      <c r="AS42" s="3" t="s">
        <v>3961</v>
      </c>
      <c r="AT42" s="3"/>
      <c r="AU42" s="3"/>
      <c r="AV42" s="3"/>
      <c r="AW42" t="s">
        <v>3839</v>
      </c>
      <c r="BC42" t="s">
        <v>63</v>
      </c>
      <c r="BD42" t="s">
        <v>4975</v>
      </c>
      <c r="BE42" t="s">
        <v>4965</v>
      </c>
      <c r="BF42" t="s">
        <v>4966</v>
      </c>
      <c r="BG42" t="s">
        <v>3947</v>
      </c>
      <c r="CW42" s="6" t="str" cm="1">
        <f t="array" ref="CW42">IFERROR(_xlfn.IFS(H42=TIME(7,0,0),"GY",H42=TIME(7,30,0),"GY",H42=TIME(9,0,0),"GY",H42=TIME(15,0,0),"GY",H42=TIME(8,30,0),"GY",H42=TIME(5,30,0),"GY",H42=TIME(6,0,0),"GD",H42=TIME(6,30,0),"GD",H42=TIME(8,0,0),"GY",H42=TIME(6,15,0),"GD"),"")</f>
        <v>GD</v>
      </c>
      <c r="EE42"/>
    </row>
    <row r="43" spans="1:135" x14ac:dyDescent="0.45">
      <c r="A43" s="3" t="s">
        <v>63</v>
      </c>
      <c r="B43" s="3" t="s">
        <v>4975</v>
      </c>
      <c r="C43" s="3" t="s">
        <v>4965</v>
      </c>
      <c r="D43" s="3" t="s">
        <v>4966</v>
      </c>
      <c r="E43" s="100" t="s">
        <v>3947</v>
      </c>
      <c r="F43" s="3" t="s">
        <v>3032</v>
      </c>
      <c r="G43" s="4">
        <v>46303</v>
      </c>
      <c r="H43" s="5">
        <v>0.27083333333333326</v>
      </c>
      <c r="I43" s="91">
        <v>46296</v>
      </c>
      <c r="J43" s="91"/>
      <c r="K43" s="91">
        <v>46275</v>
      </c>
      <c r="L43" s="3" t="s">
        <v>6823</v>
      </c>
      <c r="M43" s="3" t="s">
        <v>3819</v>
      </c>
      <c r="N43" s="3" t="s">
        <v>4967</v>
      </c>
      <c r="O43" t="s">
        <v>3867</v>
      </c>
      <c r="P43" s="3" t="s">
        <v>4030</v>
      </c>
      <c r="Q43">
        <v>46237</v>
      </c>
      <c r="R43" s="3">
        <v>726</v>
      </c>
      <c r="S43" s="3" t="s">
        <v>3823</v>
      </c>
      <c r="T43" s="3">
        <v>226</v>
      </c>
      <c r="U43" s="3" t="s">
        <v>4976</v>
      </c>
      <c r="V43" s="3" t="s">
        <v>4977</v>
      </c>
      <c r="W43" s="3">
        <v>14.952</v>
      </c>
      <c r="X43" s="3">
        <v>46268</v>
      </c>
      <c r="Y43" s="3">
        <v>46266</v>
      </c>
      <c r="AA43" t="s">
        <v>3826</v>
      </c>
      <c r="AB43" t="s">
        <v>3827</v>
      </c>
      <c r="AC43" s="3" t="s">
        <v>4970</v>
      </c>
      <c r="AD43" t="s">
        <v>3955</v>
      </c>
      <c r="AE43" t="s">
        <v>4971</v>
      </c>
      <c r="AF43" t="s">
        <v>3831</v>
      </c>
      <c r="AG43" t="s">
        <v>3832</v>
      </c>
      <c r="AH43" t="s">
        <v>3908</v>
      </c>
      <c r="AI43" t="s">
        <v>3834</v>
      </c>
      <c r="AJ43" t="s">
        <v>3956</v>
      </c>
      <c r="AK43" t="s">
        <v>3832</v>
      </c>
      <c r="AM43" s="3" t="s">
        <v>4972</v>
      </c>
      <c r="AN43" s="3"/>
      <c r="AO43" s="3">
        <v>46296</v>
      </c>
      <c r="AP43" s="3" t="s">
        <v>3958</v>
      </c>
      <c r="AQ43" s="3" t="s">
        <v>3959</v>
      </c>
      <c r="AR43" s="3" t="s">
        <v>7267</v>
      </c>
      <c r="AS43" s="3" t="s">
        <v>3961</v>
      </c>
      <c r="AT43" s="3"/>
      <c r="AU43" s="3"/>
      <c r="AV43" s="3"/>
      <c r="AW43" t="s">
        <v>3839</v>
      </c>
      <c r="BC43" t="s">
        <v>63</v>
      </c>
      <c r="BD43" t="s">
        <v>4975</v>
      </c>
      <c r="BE43" t="s">
        <v>4965</v>
      </c>
      <c r="BF43" t="s">
        <v>4966</v>
      </c>
      <c r="BG43" t="s">
        <v>3947</v>
      </c>
      <c r="CW43" s="6" t="str" cm="1">
        <f t="array" ref="CW43">IFERROR(_xlfn.IFS(H43=TIME(7,0,0),"GY",H43=TIME(7,30,0),"GY",H43=TIME(9,0,0),"GY",H43=TIME(15,0,0),"GY",H43=TIME(8,30,0),"GY",H43=TIME(5,30,0),"GY",H43=TIME(6,0,0),"GD",H43=TIME(6,30,0),"GD",H43=TIME(8,0,0),"GY",H43=TIME(6,15,0),"GD"),"")</f>
        <v>GD</v>
      </c>
      <c r="EE43"/>
    </row>
    <row r="44" spans="1:135" x14ac:dyDescent="0.45">
      <c r="A44" s="14" t="s">
        <v>63</v>
      </c>
      <c r="B44" s="14" t="s">
        <v>3944</v>
      </c>
      <c r="C44" s="14" t="s">
        <v>4978</v>
      </c>
      <c r="D44" s="14" t="s">
        <v>4979</v>
      </c>
      <c r="E44" s="100" t="s">
        <v>3947</v>
      </c>
      <c r="F44" s="14" t="s">
        <v>2157</v>
      </c>
      <c r="G44" s="4">
        <v>46302</v>
      </c>
      <c r="H44" s="5">
        <v>0.27083333333333326</v>
      </c>
      <c r="I44" s="91">
        <v>46296</v>
      </c>
      <c r="J44" s="91"/>
      <c r="K44" s="91">
        <v>46275</v>
      </c>
      <c r="L44" s="14" t="s">
        <v>6824</v>
      </c>
      <c r="M44" s="14" t="s">
        <v>3819</v>
      </c>
      <c r="N44" s="14" t="s">
        <v>4980</v>
      </c>
      <c r="O44" s="29" t="s">
        <v>3867</v>
      </c>
      <c r="P44" s="14" t="s">
        <v>4030</v>
      </c>
      <c r="Q44" s="29">
        <v>46240</v>
      </c>
      <c r="R44" s="14">
        <v>726</v>
      </c>
      <c r="S44" s="14" t="s">
        <v>3823</v>
      </c>
      <c r="T44" s="14">
        <v>9637</v>
      </c>
      <c r="U44" s="14" t="s">
        <v>4981</v>
      </c>
      <c r="V44" s="14" t="s">
        <v>4982</v>
      </c>
      <c r="W44" s="14">
        <v>2213.2730000000001</v>
      </c>
      <c r="X44" s="14">
        <v>46268</v>
      </c>
      <c r="Y44" s="14">
        <v>46266</v>
      </c>
      <c r="Z44" s="29"/>
      <c r="AA44" s="29" t="s">
        <v>3826</v>
      </c>
      <c r="AB44" s="29" t="s">
        <v>3827</v>
      </c>
      <c r="AC44" s="14" t="s">
        <v>4983</v>
      </c>
      <c r="AD44" s="29" t="s">
        <v>3955</v>
      </c>
      <c r="AE44" s="29" t="s">
        <v>4971</v>
      </c>
      <c r="AF44" s="29" t="s">
        <v>3831</v>
      </c>
      <c r="AG44" s="29" t="s">
        <v>3832</v>
      </c>
      <c r="AH44" s="29" t="s">
        <v>3908</v>
      </c>
      <c r="AI44" s="29" t="s">
        <v>3834</v>
      </c>
      <c r="AJ44" s="29" t="s">
        <v>3956</v>
      </c>
      <c r="AK44" s="29" t="s">
        <v>3832</v>
      </c>
      <c r="AL44" s="29"/>
      <c r="AM44" s="14" t="s">
        <v>4984</v>
      </c>
      <c r="AN44" s="14"/>
      <c r="AO44" s="14">
        <v>46296</v>
      </c>
      <c r="AP44" s="14" t="s">
        <v>3958</v>
      </c>
      <c r="AQ44" s="14" t="s">
        <v>3959</v>
      </c>
      <c r="AR44" s="14" t="s">
        <v>7745</v>
      </c>
      <c r="AS44" s="14" t="s">
        <v>3961</v>
      </c>
      <c r="AT44" s="14"/>
      <c r="AU44" s="14"/>
      <c r="AV44" s="14"/>
      <c r="AW44" s="29" t="s">
        <v>3839</v>
      </c>
      <c r="AX44" s="29"/>
      <c r="AY44" s="29"/>
      <c r="AZ44" s="29"/>
      <c r="BA44" s="29"/>
      <c r="BB44" s="29"/>
      <c r="BC44" s="29" t="s">
        <v>63</v>
      </c>
      <c r="BD44" s="29" t="s">
        <v>3944</v>
      </c>
      <c r="BE44" s="29" t="s">
        <v>4978</v>
      </c>
      <c r="BF44" s="29" t="s">
        <v>4979</v>
      </c>
      <c r="BG44" s="29" t="s">
        <v>3947</v>
      </c>
      <c r="BH44" s="29"/>
      <c r="BI44" s="29"/>
      <c r="BJ44" s="29"/>
      <c r="BK44" s="29"/>
      <c r="BL44" s="29"/>
      <c r="BM44" s="29"/>
      <c r="BN44" s="29"/>
      <c r="CW44" s="6" t="str" cm="1">
        <f t="array" ref="CW44">IFERROR(_xlfn.IFS(H44=TIME(7,0,0),"GY",H44=TIME(7,30,0),"GY",H44=TIME(9,0,0),"GY",H44=TIME(15,0,0),"GY",H44=TIME(8,30,0),"GY",H44=TIME(5,30,0),"GY",H44=TIME(6,0,0),"GD",H44=TIME(6,30,0),"GD",H44=TIME(8,0,0),"GY",H44=TIME(6,15,0),"GD"),"")</f>
        <v>GD</v>
      </c>
      <c r="EE44"/>
    </row>
    <row r="45" spans="1:135" x14ac:dyDescent="0.45">
      <c r="A45" s="3" t="s">
        <v>63</v>
      </c>
      <c r="B45" s="3" t="s">
        <v>3944</v>
      </c>
      <c r="C45" s="3" t="s">
        <v>4978</v>
      </c>
      <c r="D45" s="3" t="s">
        <v>4979</v>
      </c>
      <c r="E45" s="100" t="s">
        <v>3947</v>
      </c>
      <c r="F45" s="3" t="s">
        <v>966</v>
      </c>
      <c r="G45" s="4">
        <v>46302</v>
      </c>
      <c r="H45" s="5">
        <v>0.27083333333333326</v>
      </c>
      <c r="I45" s="91">
        <v>46296</v>
      </c>
      <c r="J45" s="91"/>
      <c r="K45" s="91">
        <v>46275</v>
      </c>
      <c r="L45" s="3" t="s">
        <v>6824</v>
      </c>
      <c r="M45" s="3" t="s">
        <v>3819</v>
      </c>
      <c r="N45" s="3" t="s">
        <v>4980</v>
      </c>
      <c r="O45" t="s">
        <v>3867</v>
      </c>
      <c r="P45" s="3" t="s">
        <v>4030</v>
      </c>
      <c r="Q45">
        <v>46240</v>
      </c>
      <c r="R45" s="3">
        <v>726</v>
      </c>
      <c r="S45" s="3" t="s">
        <v>3823</v>
      </c>
      <c r="T45" s="3">
        <v>9242</v>
      </c>
      <c r="U45" s="3" t="s">
        <v>4985</v>
      </c>
      <c r="V45" s="3" t="s">
        <v>4986</v>
      </c>
      <c r="W45" s="3">
        <v>2936.1819999999998</v>
      </c>
      <c r="X45" s="3">
        <v>46268</v>
      </c>
      <c r="Y45" s="3">
        <v>46266</v>
      </c>
      <c r="AA45" t="s">
        <v>3826</v>
      </c>
      <c r="AB45" t="s">
        <v>3827</v>
      </c>
      <c r="AC45" s="3" t="s">
        <v>4983</v>
      </c>
      <c r="AD45" t="s">
        <v>3955</v>
      </c>
      <c r="AE45" t="s">
        <v>4971</v>
      </c>
      <c r="AF45" t="s">
        <v>3831</v>
      </c>
      <c r="AG45" t="s">
        <v>3832</v>
      </c>
      <c r="AH45" t="s">
        <v>3908</v>
      </c>
      <c r="AI45" t="s">
        <v>3834</v>
      </c>
      <c r="AJ45" t="s">
        <v>3956</v>
      </c>
      <c r="AK45" t="s">
        <v>3832</v>
      </c>
      <c r="AM45" s="3" t="s">
        <v>4984</v>
      </c>
      <c r="AN45" s="3"/>
      <c r="AO45" s="3">
        <v>46296</v>
      </c>
      <c r="AP45" s="3" t="s">
        <v>3958</v>
      </c>
      <c r="AQ45" s="3" t="s">
        <v>3959</v>
      </c>
      <c r="AR45" s="3" t="s">
        <v>7745</v>
      </c>
      <c r="AS45" s="3" t="s">
        <v>3961</v>
      </c>
      <c r="AT45" s="3"/>
      <c r="AU45" s="3"/>
      <c r="AV45" s="3"/>
      <c r="AW45" t="s">
        <v>3839</v>
      </c>
      <c r="BC45" t="s">
        <v>63</v>
      </c>
      <c r="BD45" t="s">
        <v>3944</v>
      </c>
      <c r="BE45" t="s">
        <v>4978</v>
      </c>
      <c r="BF45" t="s">
        <v>4979</v>
      </c>
      <c r="BG45" t="s">
        <v>3947</v>
      </c>
      <c r="CW45" s="6" t="str" cm="1">
        <f t="array" ref="CW45">IFERROR(_xlfn.IFS(H45=TIME(7,0,0),"GY",H45=TIME(7,30,0),"GY",H45=TIME(9,0,0),"GY",H45=TIME(15,0,0),"GY",H45=TIME(8,30,0),"GY",H45=TIME(5,30,0),"GY",H45=TIME(6,0,0),"GD",H45=TIME(6,30,0),"GD",H45=TIME(8,0,0),"GY",H45=TIME(6,15,0),"GD"),"")</f>
        <v>GD</v>
      </c>
      <c r="EE45"/>
    </row>
    <row r="46" spans="1:135" x14ac:dyDescent="0.45">
      <c r="A46" s="3" t="s">
        <v>32</v>
      </c>
      <c r="B46" s="3" t="s">
        <v>3814</v>
      </c>
      <c r="C46" s="3" t="s">
        <v>4775</v>
      </c>
      <c r="D46" s="3" t="s">
        <v>4776</v>
      </c>
      <c r="E46" s="100" t="s">
        <v>3817</v>
      </c>
      <c r="F46" s="3" t="s">
        <v>158</v>
      </c>
      <c r="G46" s="4">
        <v>46301</v>
      </c>
      <c r="H46" s="5">
        <v>0.22916666666666674</v>
      </c>
      <c r="I46" s="91">
        <v>46294</v>
      </c>
      <c r="J46" s="91"/>
      <c r="K46" s="91">
        <v>46294</v>
      </c>
      <c r="L46" s="3" t="s">
        <v>6778</v>
      </c>
      <c r="M46" s="3" t="s">
        <v>3819</v>
      </c>
      <c r="N46" s="3" t="s">
        <v>4777</v>
      </c>
      <c r="O46" t="s">
        <v>3821</v>
      </c>
      <c r="P46" s="3" t="s">
        <v>3822</v>
      </c>
      <c r="Q46">
        <v>46254</v>
      </c>
      <c r="R46" s="3">
        <v>726</v>
      </c>
      <c r="S46" s="3" t="s">
        <v>3823</v>
      </c>
      <c r="T46" s="3">
        <v>311</v>
      </c>
      <c r="U46" s="3" t="s">
        <v>4778</v>
      </c>
      <c r="V46" s="3" t="s">
        <v>4779</v>
      </c>
      <c r="W46" s="3">
        <v>4675.3599999999997</v>
      </c>
      <c r="X46" s="3">
        <v>46279</v>
      </c>
      <c r="Y46" s="3">
        <v>46294</v>
      </c>
      <c r="AA46" t="s">
        <v>3826</v>
      </c>
      <c r="AB46" t="s">
        <v>3827</v>
      </c>
      <c r="AC46" s="3" t="s">
        <v>4780</v>
      </c>
      <c r="AD46" t="s">
        <v>4781</v>
      </c>
      <c r="AE46" t="s">
        <v>4782</v>
      </c>
      <c r="AF46" t="s">
        <v>3831</v>
      </c>
      <c r="AG46" t="s">
        <v>3832</v>
      </c>
      <c r="AH46" t="s">
        <v>3833</v>
      </c>
      <c r="AI46" t="s">
        <v>3834</v>
      </c>
      <c r="AJ46" t="s">
        <v>3835</v>
      </c>
      <c r="AK46" t="s">
        <v>3832</v>
      </c>
      <c r="AM46" s="3" t="s">
        <v>4783</v>
      </c>
      <c r="AN46" s="3"/>
      <c r="AO46" s="3">
        <v>46294</v>
      </c>
      <c r="AP46" s="3"/>
      <c r="AQ46" s="3" t="s">
        <v>3837</v>
      </c>
      <c r="AR46" s="3" t="s">
        <v>3814</v>
      </c>
      <c r="AS46" s="3"/>
      <c r="AT46" s="3">
        <v>46308</v>
      </c>
      <c r="AU46" s="3">
        <v>46339</v>
      </c>
      <c r="AV46" s="3"/>
      <c r="AW46" t="s">
        <v>3839</v>
      </c>
      <c r="BC46" t="s">
        <v>32</v>
      </c>
      <c r="BD46" t="s">
        <v>3814</v>
      </c>
      <c r="BE46" t="s">
        <v>4775</v>
      </c>
      <c r="BF46" t="s">
        <v>4776</v>
      </c>
      <c r="BG46" t="s">
        <v>3817</v>
      </c>
      <c r="CW46" s="6" t="str" cm="1">
        <f t="array" ref="CW46">IFERROR(_xlfn.IFS(H46=TIME(7,0,0),"GY",H46=TIME(7,30,0),"GY",H46=TIME(9,0,0),"GY",H46=TIME(15,0,0),"GY",H46=TIME(8,30,0),"GY",H46=TIME(5,30,0),"GY",H46=TIME(6,0,0),"GD",H46=TIME(6,30,0),"GD",H46=TIME(8,0,0),"GY",H46=TIME(6,15,0),"GD"),"")</f>
        <v>GY</v>
      </c>
      <c r="EE46"/>
    </row>
    <row r="47" spans="1:135" x14ac:dyDescent="0.45">
      <c r="A47" s="3" t="s">
        <v>32</v>
      </c>
      <c r="B47" s="3" t="s">
        <v>3814</v>
      </c>
      <c r="C47" s="3" t="s">
        <v>4800</v>
      </c>
      <c r="D47" s="3" t="s">
        <v>4801</v>
      </c>
      <c r="E47" s="100" t="s">
        <v>3817</v>
      </c>
      <c r="F47" s="3" t="s">
        <v>100</v>
      </c>
      <c r="G47" s="4">
        <v>46300</v>
      </c>
      <c r="H47" s="5">
        <v>0.35416666666666674</v>
      </c>
      <c r="I47" s="91">
        <v>46294</v>
      </c>
      <c r="J47" s="91"/>
      <c r="K47" s="91">
        <v>46294</v>
      </c>
      <c r="L47" s="3" t="s">
        <v>6777</v>
      </c>
      <c r="M47" s="3" t="s">
        <v>3819</v>
      </c>
      <c r="N47" s="3" t="s">
        <v>4802</v>
      </c>
      <c r="O47" t="s">
        <v>3819</v>
      </c>
      <c r="P47" s="3" t="s">
        <v>4697</v>
      </c>
      <c r="Q47">
        <v>46239</v>
      </c>
      <c r="R47" s="3">
        <v>726</v>
      </c>
      <c r="S47" s="3" t="s">
        <v>3823</v>
      </c>
      <c r="T47" s="3">
        <v>55</v>
      </c>
      <c r="U47" s="3" t="s">
        <v>4803</v>
      </c>
      <c r="V47" s="3" t="s">
        <v>4804</v>
      </c>
      <c r="W47" s="3">
        <v>457.05</v>
      </c>
      <c r="X47" s="3">
        <v>46286</v>
      </c>
      <c r="Y47" s="3">
        <v>46294</v>
      </c>
      <c r="Z47">
        <v>46257</v>
      </c>
      <c r="AA47" t="s">
        <v>3826</v>
      </c>
      <c r="AB47" t="s">
        <v>3827</v>
      </c>
      <c r="AC47" s="3" t="s">
        <v>4805</v>
      </c>
      <c r="AD47" t="s">
        <v>4806</v>
      </c>
      <c r="AE47" t="s">
        <v>4807</v>
      </c>
      <c r="AF47" t="s">
        <v>3831</v>
      </c>
      <c r="AG47" t="s">
        <v>3832</v>
      </c>
      <c r="AH47" t="s">
        <v>4700</v>
      </c>
      <c r="AI47" t="s">
        <v>3834</v>
      </c>
      <c r="AJ47" t="s">
        <v>3835</v>
      </c>
      <c r="AK47" t="s">
        <v>3832</v>
      </c>
      <c r="AM47" s="3" t="s">
        <v>4808</v>
      </c>
      <c r="AN47" s="3"/>
      <c r="AO47" s="3">
        <v>46294</v>
      </c>
      <c r="AP47" s="3"/>
      <c r="AQ47" s="3" t="s">
        <v>3837</v>
      </c>
      <c r="AR47" s="3" t="s">
        <v>3814</v>
      </c>
      <c r="AS47" s="3"/>
      <c r="AT47" s="3">
        <v>46308</v>
      </c>
      <c r="AU47" s="3">
        <v>46339</v>
      </c>
      <c r="AV47" s="3"/>
      <c r="AW47" t="s">
        <v>3839</v>
      </c>
      <c r="BC47" t="s">
        <v>32</v>
      </c>
      <c r="BD47" t="s">
        <v>3814</v>
      </c>
      <c r="BE47" t="s">
        <v>4800</v>
      </c>
      <c r="BF47" t="s">
        <v>4801</v>
      </c>
      <c r="BG47" t="s">
        <v>3817</v>
      </c>
      <c r="CW47" s="6" t="str" cm="1">
        <f t="array" ref="CW47">IFERROR(_xlfn.IFS(H47=TIME(7,0,0),"GY",H47=TIME(7,30,0),"GY",H47=TIME(9,0,0),"GY",H47=TIME(15,0,0),"GY",H47=TIME(8,30,0),"GY",H47=TIME(5,30,0),"GY",H47=TIME(6,0,0),"GD",H47=TIME(6,30,0),"GD",H47=TIME(8,0,0),"GY",H47=TIME(6,15,0),"GD"),"")</f>
        <v>GY</v>
      </c>
      <c r="EE47"/>
    </row>
    <row r="48" spans="1:135" x14ac:dyDescent="0.45">
      <c r="A48" s="3" t="s">
        <v>32</v>
      </c>
      <c r="B48" s="3" t="s">
        <v>3814</v>
      </c>
      <c r="C48" s="3" t="s">
        <v>5795</v>
      </c>
      <c r="D48" s="3" t="s">
        <v>5796</v>
      </c>
      <c r="E48" s="100" t="s">
        <v>3817</v>
      </c>
      <c r="F48" s="3" t="s">
        <v>125</v>
      </c>
      <c r="G48" s="4">
        <v>46299</v>
      </c>
      <c r="H48" s="5">
        <v>0.35416666666666674</v>
      </c>
      <c r="I48" s="91">
        <v>46294</v>
      </c>
      <c r="J48" s="91"/>
      <c r="K48" s="91">
        <v>46293</v>
      </c>
      <c r="L48" s="3" t="s">
        <v>6653</v>
      </c>
      <c r="M48" s="3" t="s">
        <v>4006</v>
      </c>
      <c r="N48" s="3" t="s">
        <v>5797</v>
      </c>
      <c r="O48" t="s">
        <v>3819</v>
      </c>
      <c r="P48" s="3" t="s">
        <v>4008</v>
      </c>
      <c r="Q48">
        <v>46255</v>
      </c>
      <c r="R48" s="3">
        <v>726</v>
      </c>
      <c r="S48" s="3" t="s">
        <v>3823</v>
      </c>
      <c r="T48" s="3">
        <v>106</v>
      </c>
      <c r="U48" s="3" t="s">
        <v>5798</v>
      </c>
      <c r="V48" s="3" t="s">
        <v>5799</v>
      </c>
      <c r="W48" s="3">
        <v>649</v>
      </c>
      <c r="X48" s="3">
        <v>46317</v>
      </c>
      <c r="Y48" s="3">
        <v>46291</v>
      </c>
      <c r="Z48">
        <v>46279</v>
      </c>
      <c r="AA48" t="s">
        <v>3926</v>
      </c>
      <c r="AB48" t="s">
        <v>3927</v>
      </c>
      <c r="AC48" s="3" t="s">
        <v>5800</v>
      </c>
      <c r="AD48" t="s">
        <v>4671</v>
      </c>
      <c r="AE48" t="s">
        <v>5801</v>
      </c>
      <c r="AF48" t="s">
        <v>3831</v>
      </c>
      <c r="AG48" t="s">
        <v>3832</v>
      </c>
      <c r="AH48" t="s">
        <v>3875</v>
      </c>
      <c r="AI48" t="s">
        <v>3834</v>
      </c>
      <c r="AJ48" t="s">
        <v>3835</v>
      </c>
      <c r="AK48" t="s">
        <v>3832</v>
      </c>
      <c r="AM48" s="3" t="s">
        <v>5819</v>
      </c>
      <c r="AN48" s="3"/>
      <c r="AO48" s="3">
        <v>46293</v>
      </c>
      <c r="AP48" s="3"/>
      <c r="AQ48" s="3" t="s">
        <v>3877</v>
      </c>
      <c r="AR48" s="3" t="s">
        <v>3814</v>
      </c>
      <c r="AS48" s="3"/>
      <c r="AT48" s="3">
        <v>46307</v>
      </c>
      <c r="AU48" s="3">
        <v>46339</v>
      </c>
      <c r="AV48" s="3"/>
      <c r="AW48" t="s">
        <v>3839</v>
      </c>
      <c r="BC48" t="s">
        <v>32</v>
      </c>
      <c r="BD48" t="s">
        <v>3814</v>
      </c>
      <c r="BE48" t="s">
        <v>5795</v>
      </c>
      <c r="BF48" t="s">
        <v>5796</v>
      </c>
      <c r="BG48" t="s">
        <v>3817</v>
      </c>
      <c r="CW48" s="6" t="str" cm="1">
        <f t="array" ref="CW48">IFERROR(_xlfn.IFS(H48=TIME(7,0,0),"GY",H48=TIME(7,30,0),"GY",H48=TIME(9,0,0),"GY",H48=TIME(15,0,0),"GY",H48=TIME(8,30,0),"GY",H48=TIME(5,30,0),"GY",H48=TIME(6,0,0),"GD",H48=TIME(6,30,0),"GD",H48=TIME(8,0,0),"GY",H48=TIME(6,15,0),"GD"),"")</f>
        <v>GY</v>
      </c>
      <c r="EE48"/>
    </row>
    <row r="49" spans="1:135" x14ac:dyDescent="0.45">
      <c r="A49" s="3" t="s">
        <v>32</v>
      </c>
      <c r="B49" s="3" t="s">
        <v>3814</v>
      </c>
      <c r="C49" s="3" t="s">
        <v>5795</v>
      </c>
      <c r="D49" s="3" t="s">
        <v>5796</v>
      </c>
      <c r="E49" s="100" t="s">
        <v>3817</v>
      </c>
      <c r="F49" s="3" t="s">
        <v>198</v>
      </c>
      <c r="G49" s="4">
        <v>46299</v>
      </c>
      <c r="H49" s="5">
        <v>0.35416666666666674</v>
      </c>
      <c r="I49" s="91">
        <v>46294</v>
      </c>
      <c r="J49" s="91"/>
      <c r="K49" s="91">
        <v>46293</v>
      </c>
      <c r="L49" s="3" t="s">
        <v>6653</v>
      </c>
      <c r="M49" s="3" t="s">
        <v>4006</v>
      </c>
      <c r="N49" s="3" t="s">
        <v>5797</v>
      </c>
      <c r="O49" t="s">
        <v>3819</v>
      </c>
      <c r="P49" s="3" t="s">
        <v>4008</v>
      </c>
      <c r="Q49">
        <v>46255</v>
      </c>
      <c r="R49" s="3">
        <v>726</v>
      </c>
      <c r="S49" s="3" t="s">
        <v>3823</v>
      </c>
      <c r="T49" s="3">
        <v>28</v>
      </c>
      <c r="U49" s="3" t="s">
        <v>5802</v>
      </c>
      <c r="V49" s="3" t="s">
        <v>5803</v>
      </c>
      <c r="W49" s="3">
        <v>115.6</v>
      </c>
      <c r="X49" s="3">
        <v>46303</v>
      </c>
      <c r="Y49" s="3">
        <v>46291</v>
      </c>
      <c r="Z49">
        <v>46279</v>
      </c>
      <c r="AA49" t="s">
        <v>3926</v>
      </c>
      <c r="AB49" t="s">
        <v>3927</v>
      </c>
      <c r="AC49" s="3" t="s">
        <v>5800</v>
      </c>
      <c r="AD49" t="s">
        <v>4671</v>
      </c>
      <c r="AE49" t="s">
        <v>5801</v>
      </c>
      <c r="AF49" t="s">
        <v>3831</v>
      </c>
      <c r="AG49" t="s">
        <v>3832</v>
      </c>
      <c r="AH49" t="s">
        <v>3875</v>
      </c>
      <c r="AI49" t="s">
        <v>3834</v>
      </c>
      <c r="AJ49" t="s">
        <v>3835</v>
      </c>
      <c r="AK49" t="s">
        <v>3832</v>
      </c>
      <c r="AM49" s="3" t="s">
        <v>5819</v>
      </c>
      <c r="AN49" s="3"/>
      <c r="AO49" s="3">
        <v>46293</v>
      </c>
      <c r="AP49" s="3"/>
      <c r="AQ49" s="3" t="s">
        <v>3877</v>
      </c>
      <c r="AR49" s="3" t="s">
        <v>3814</v>
      </c>
      <c r="AS49" s="3"/>
      <c r="AT49" s="3">
        <v>46307</v>
      </c>
      <c r="AU49" s="3">
        <v>46339</v>
      </c>
      <c r="AV49" s="3"/>
      <c r="AW49" t="s">
        <v>3839</v>
      </c>
      <c r="BC49" t="s">
        <v>32</v>
      </c>
      <c r="BD49" t="s">
        <v>3814</v>
      </c>
      <c r="BE49" t="s">
        <v>5795</v>
      </c>
      <c r="BF49" t="s">
        <v>5796</v>
      </c>
      <c r="BG49" t="s">
        <v>3817</v>
      </c>
      <c r="CW49" s="6" t="str" cm="1">
        <f t="array" ref="CW49">IFERROR(_xlfn.IFS(H49=TIME(7,0,0),"GY",H49=TIME(7,30,0),"GY",H49=TIME(9,0,0),"GY",H49=TIME(15,0,0),"GY",H49=TIME(8,30,0),"GY",H49=TIME(5,30,0),"GY",H49=TIME(6,0,0),"GD",H49=TIME(6,30,0),"GD",H49=TIME(8,0,0),"GY",H49=TIME(6,15,0),"GD"),"")</f>
        <v>GY</v>
      </c>
      <c r="EE49"/>
    </row>
    <row r="50" spans="1:135" x14ac:dyDescent="0.45">
      <c r="A50" s="3" t="s">
        <v>32</v>
      </c>
      <c r="B50" s="3" t="s">
        <v>3814</v>
      </c>
      <c r="C50" s="3" t="s">
        <v>5795</v>
      </c>
      <c r="D50" s="3" t="s">
        <v>5796</v>
      </c>
      <c r="E50" s="100" t="s">
        <v>3817</v>
      </c>
      <c r="F50" s="3" t="s">
        <v>271</v>
      </c>
      <c r="G50" s="4">
        <v>46299</v>
      </c>
      <c r="H50" s="5">
        <v>0.35416666666666674</v>
      </c>
      <c r="I50" s="91">
        <v>46294</v>
      </c>
      <c r="J50" s="91"/>
      <c r="K50" s="91">
        <v>46293</v>
      </c>
      <c r="L50" s="3" t="s">
        <v>6653</v>
      </c>
      <c r="M50" s="3" t="s">
        <v>4006</v>
      </c>
      <c r="N50" s="3" t="s">
        <v>5797</v>
      </c>
      <c r="O50" t="s">
        <v>3819</v>
      </c>
      <c r="P50" s="3" t="s">
        <v>4008</v>
      </c>
      <c r="Q50">
        <v>46255</v>
      </c>
      <c r="R50" s="3">
        <v>726</v>
      </c>
      <c r="S50" s="3" t="s">
        <v>3823</v>
      </c>
      <c r="T50" s="3">
        <v>110</v>
      </c>
      <c r="U50" s="3" t="s">
        <v>5804</v>
      </c>
      <c r="V50" s="3" t="s">
        <v>5805</v>
      </c>
      <c r="W50" s="3">
        <v>2671.4140000000002</v>
      </c>
      <c r="X50" s="3">
        <v>46303</v>
      </c>
      <c r="Y50" s="3">
        <v>46291</v>
      </c>
      <c r="Z50">
        <v>46279</v>
      </c>
      <c r="AA50" t="s">
        <v>3926</v>
      </c>
      <c r="AB50" t="s">
        <v>3927</v>
      </c>
      <c r="AC50" s="3" t="s">
        <v>5800</v>
      </c>
      <c r="AD50" t="s">
        <v>4671</v>
      </c>
      <c r="AE50" t="s">
        <v>5801</v>
      </c>
      <c r="AF50" t="s">
        <v>3831</v>
      </c>
      <c r="AG50" t="s">
        <v>3832</v>
      </c>
      <c r="AH50" t="s">
        <v>3875</v>
      </c>
      <c r="AI50" t="s">
        <v>3834</v>
      </c>
      <c r="AJ50" t="s">
        <v>3835</v>
      </c>
      <c r="AK50" t="s">
        <v>3832</v>
      </c>
      <c r="AM50" s="3" t="s">
        <v>5819</v>
      </c>
      <c r="AN50" s="3"/>
      <c r="AO50" s="3">
        <v>46293</v>
      </c>
      <c r="AP50" s="3"/>
      <c r="AQ50" s="3" t="s">
        <v>3877</v>
      </c>
      <c r="AR50" s="3" t="s">
        <v>3814</v>
      </c>
      <c r="AS50" s="3"/>
      <c r="AT50" s="3">
        <v>46307</v>
      </c>
      <c r="AU50" s="3">
        <v>46339</v>
      </c>
      <c r="AV50" s="3"/>
      <c r="AW50" t="s">
        <v>3839</v>
      </c>
      <c r="BC50" t="s">
        <v>32</v>
      </c>
      <c r="BD50" t="s">
        <v>3814</v>
      </c>
      <c r="BE50" t="s">
        <v>5795</v>
      </c>
      <c r="BF50" t="s">
        <v>5796</v>
      </c>
      <c r="BG50" t="s">
        <v>3817</v>
      </c>
      <c r="CW50" s="6" t="str" cm="1">
        <f t="array" ref="CW50">IFERROR(_xlfn.IFS(H50=TIME(7,0,0),"GY",H50=TIME(7,30,0),"GY",H50=TIME(9,0,0),"GY",H50=TIME(15,0,0),"GY",H50=TIME(8,30,0),"GY",H50=TIME(5,30,0),"GY",H50=TIME(6,0,0),"GD",H50=TIME(6,30,0),"GD",H50=TIME(8,0,0),"GY",H50=TIME(6,15,0),"GD"),"")</f>
        <v>GY</v>
      </c>
      <c r="EE50"/>
    </row>
    <row r="51" spans="1:135" x14ac:dyDescent="0.45">
      <c r="A51" s="3" t="s">
        <v>32</v>
      </c>
      <c r="B51" s="3" t="s">
        <v>3814</v>
      </c>
      <c r="C51" s="3" t="s">
        <v>5795</v>
      </c>
      <c r="D51" s="3" t="s">
        <v>5796</v>
      </c>
      <c r="E51" s="100" t="s">
        <v>3817</v>
      </c>
      <c r="F51" s="3" t="s">
        <v>268</v>
      </c>
      <c r="G51" s="4">
        <v>46299</v>
      </c>
      <c r="H51" s="5">
        <v>0.35416666666666674</v>
      </c>
      <c r="I51" s="91">
        <v>46294</v>
      </c>
      <c r="J51" s="91"/>
      <c r="K51" s="91">
        <v>46293</v>
      </c>
      <c r="L51" s="3" t="s">
        <v>6653</v>
      </c>
      <c r="M51" s="3" t="s">
        <v>4006</v>
      </c>
      <c r="N51" s="3" t="s">
        <v>5797</v>
      </c>
      <c r="O51" t="s">
        <v>3819</v>
      </c>
      <c r="P51" s="3" t="s">
        <v>4008</v>
      </c>
      <c r="Q51">
        <v>46255</v>
      </c>
      <c r="R51" s="3">
        <v>726</v>
      </c>
      <c r="S51" s="3" t="s">
        <v>3823</v>
      </c>
      <c r="T51" s="3">
        <v>44</v>
      </c>
      <c r="U51" s="3" t="s">
        <v>5806</v>
      </c>
      <c r="V51" s="3" t="s">
        <v>5807</v>
      </c>
      <c r="W51" s="3">
        <v>1131.482</v>
      </c>
      <c r="X51" s="3">
        <v>46303</v>
      </c>
      <c r="Y51" s="3">
        <v>46291</v>
      </c>
      <c r="Z51">
        <v>46279</v>
      </c>
      <c r="AA51" t="s">
        <v>3926</v>
      </c>
      <c r="AB51" t="s">
        <v>3927</v>
      </c>
      <c r="AC51" s="3" t="s">
        <v>5800</v>
      </c>
      <c r="AD51" t="s">
        <v>4671</v>
      </c>
      <c r="AE51" t="s">
        <v>5801</v>
      </c>
      <c r="AF51" t="s">
        <v>3831</v>
      </c>
      <c r="AG51" t="s">
        <v>3832</v>
      </c>
      <c r="AH51" t="s">
        <v>3875</v>
      </c>
      <c r="AI51" t="s">
        <v>3834</v>
      </c>
      <c r="AJ51" t="s">
        <v>3835</v>
      </c>
      <c r="AK51" t="s">
        <v>3832</v>
      </c>
      <c r="AM51" s="3" t="s">
        <v>5819</v>
      </c>
      <c r="AN51" s="3"/>
      <c r="AO51" s="3">
        <v>46293</v>
      </c>
      <c r="AP51" s="3"/>
      <c r="AQ51" s="3" t="s">
        <v>3877</v>
      </c>
      <c r="AR51" s="3" t="s">
        <v>3814</v>
      </c>
      <c r="AS51" s="3"/>
      <c r="AT51" s="3">
        <v>46307</v>
      </c>
      <c r="AU51" s="3">
        <v>46339</v>
      </c>
      <c r="AV51" s="3"/>
      <c r="AW51" t="s">
        <v>3839</v>
      </c>
      <c r="BC51" t="s">
        <v>32</v>
      </c>
      <c r="BD51" t="s">
        <v>3814</v>
      </c>
      <c r="BE51" t="s">
        <v>5795</v>
      </c>
      <c r="BF51" t="s">
        <v>5796</v>
      </c>
      <c r="BG51" t="s">
        <v>3817</v>
      </c>
      <c r="CW51" s="6" t="str" cm="1">
        <f t="array" ref="CW51">IFERROR(_xlfn.IFS(H51=TIME(7,0,0),"GY",H51=TIME(7,30,0),"GY",H51=TIME(9,0,0),"GY",H51=TIME(15,0,0),"GY",H51=TIME(8,30,0),"GY",H51=TIME(5,30,0),"GY",H51=TIME(6,0,0),"GD",H51=TIME(6,30,0),"GD",H51=TIME(8,0,0),"GY",H51=TIME(6,15,0),"GD"),"")</f>
        <v>GY</v>
      </c>
      <c r="EE51"/>
    </row>
    <row r="52" spans="1:135" x14ac:dyDescent="0.45">
      <c r="A52" s="3" t="s">
        <v>32</v>
      </c>
      <c r="B52" s="3" t="s">
        <v>3814</v>
      </c>
      <c r="C52" s="3" t="s">
        <v>5795</v>
      </c>
      <c r="D52" s="3" t="s">
        <v>5796</v>
      </c>
      <c r="E52" s="100" t="s">
        <v>3817</v>
      </c>
      <c r="F52" s="3" t="s">
        <v>270</v>
      </c>
      <c r="G52" s="4">
        <v>46299</v>
      </c>
      <c r="H52" s="5">
        <v>0.35416666666666674</v>
      </c>
      <c r="I52" s="91">
        <v>46294</v>
      </c>
      <c r="J52" s="91"/>
      <c r="K52" s="91">
        <v>46293</v>
      </c>
      <c r="L52" s="3" t="s">
        <v>6653</v>
      </c>
      <c r="M52" s="3" t="s">
        <v>4006</v>
      </c>
      <c r="N52" s="3" t="s">
        <v>5797</v>
      </c>
      <c r="O52" t="s">
        <v>3819</v>
      </c>
      <c r="P52" s="3" t="s">
        <v>4008</v>
      </c>
      <c r="Q52">
        <v>46255</v>
      </c>
      <c r="R52" s="3">
        <v>726</v>
      </c>
      <c r="S52" s="3" t="s">
        <v>3823</v>
      </c>
      <c r="T52" s="3">
        <v>54</v>
      </c>
      <c r="U52" s="3" t="s">
        <v>5808</v>
      </c>
      <c r="V52" s="3" t="s">
        <v>5809</v>
      </c>
      <c r="W52" s="3">
        <v>1280.1120000000001</v>
      </c>
      <c r="X52" s="3">
        <v>46303</v>
      </c>
      <c r="Y52" s="3">
        <v>46291</v>
      </c>
      <c r="Z52">
        <v>46279</v>
      </c>
      <c r="AA52" t="s">
        <v>3926</v>
      </c>
      <c r="AB52" t="s">
        <v>3927</v>
      </c>
      <c r="AC52" s="3" t="s">
        <v>5800</v>
      </c>
      <c r="AD52" t="s">
        <v>4671</v>
      </c>
      <c r="AE52" t="s">
        <v>5801</v>
      </c>
      <c r="AF52" t="s">
        <v>3831</v>
      </c>
      <c r="AG52" t="s">
        <v>3832</v>
      </c>
      <c r="AH52" t="s">
        <v>3875</v>
      </c>
      <c r="AI52" t="s">
        <v>3834</v>
      </c>
      <c r="AJ52" t="s">
        <v>3835</v>
      </c>
      <c r="AK52" t="s">
        <v>3832</v>
      </c>
      <c r="AM52" s="3" t="s">
        <v>5819</v>
      </c>
      <c r="AN52" s="3"/>
      <c r="AO52" s="3">
        <v>46293</v>
      </c>
      <c r="AP52" s="3"/>
      <c r="AQ52" s="3" t="s">
        <v>3877</v>
      </c>
      <c r="AR52" s="3" t="s">
        <v>3814</v>
      </c>
      <c r="AS52" s="3"/>
      <c r="AT52" s="3">
        <v>46307</v>
      </c>
      <c r="AU52" s="3">
        <v>46339</v>
      </c>
      <c r="AV52" s="3"/>
      <c r="AW52" t="s">
        <v>3839</v>
      </c>
      <c r="BC52" t="s">
        <v>32</v>
      </c>
      <c r="BD52" t="s">
        <v>3814</v>
      </c>
      <c r="BE52" t="s">
        <v>5795</v>
      </c>
      <c r="BF52" t="s">
        <v>5796</v>
      </c>
      <c r="BG52" t="s">
        <v>3817</v>
      </c>
      <c r="CW52" s="6" t="str" cm="1">
        <f t="array" ref="CW52">IFERROR(_xlfn.IFS(H52=TIME(7,0,0),"GY",H52=TIME(7,30,0),"GY",H52=TIME(9,0,0),"GY",H52=TIME(15,0,0),"GY",H52=TIME(8,30,0),"GY",H52=TIME(5,30,0),"GY",H52=TIME(6,0,0),"GD",H52=TIME(6,30,0),"GD",H52=TIME(8,0,0),"GY",H52=TIME(6,15,0),"GD"),"")</f>
        <v>GY</v>
      </c>
      <c r="EE52"/>
    </row>
    <row r="53" spans="1:135" x14ac:dyDescent="0.45">
      <c r="A53" s="3" t="s">
        <v>32</v>
      </c>
      <c r="B53" s="3" t="s">
        <v>3814</v>
      </c>
      <c r="C53" s="3" t="s">
        <v>5795</v>
      </c>
      <c r="D53" s="3" t="s">
        <v>5796</v>
      </c>
      <c r="E53" s="100" t="s">
        <v>3817</v>
      </c>
      <c r="F53" s="3" t="s">
        <v>269</v>
      </c>
      <c r="G53" s="4">
        <v>46299</v>
      </c>
      <c r="H53" s="5">
        <v>0.35416666666666674</v>
      </c>
      <c r="I53" s="91">
        <v>46294</v>
      </c>
      <c r="J53" s="91"/>
      <c r="K53" s="91">
        <v>46293</v>
      </c>
      <c r="L53" s="3" t="s">
        <v>6653</v>
      </c>
      <c r="M53" s="3" t="s">
        <v>4006</v>
      </c>
      <c r="N53" s="3" t="s">
        <v>5797</v>
      </c>
      <c r="O53" t="s">
        <v>3819</v>
      </c>
      <c r="P53" s="3" t="s">
        <v>4008</v>
      </c>
      <c r="Q53">
        <v>46255</v>
      </c>
      <c r="R53" s="3">
        <v>726</v>
      </c>
      <c r="S53" s="3" t="s">
        <v>3823</v>
      </c>
      <c r="T53" s="3">
        <v>64</v>
      </c>
      <c r="U53" s="3" t="s">
        <v>5810</v>
      </c>
      <c r="V53" s="3" t="s">
        <v>5811</v>
      </c>
      <c r="W53" s="3">
        <v>1576.348</v>
      </c>
      <c r="X53" s="3">
        <v>46303</v>
      </c>
      <c r="Y53" s="3">
        <v>46291</v>
      </c>
      <c r="Z53">
        <v>46279</v>
      </c>
      <c r="AA53" t="s">
        <v>3926</v>
      </c>
      <c r="AB53" t="s">
        <v>3927</v>
      </c>
      <c r="AC53" s="3" t="s">
        <v>5800</v>
      </c>
      <c r="AD53" t="s">
        <v>4671</v>
      </c>
      <c r="AE53" t="s">
        <v>5801</v>
      </c>
      <c r="AF53" t="s">
        <v>3831</v>
      </c>
      <c r="AG53" t="s">
        <v>3832</v>
      </c>
      <c r="AH53" t="s">
        <v>3875</v>
      </c>
      <c r="AI53" t="s">
        <v>3834</v>
      </c>
      <c r="AJ53" t="s">
        <v>3835</v>
      </c>
      <c r="AK53" t="s">
        <v>3832</v>
      </c>
      <c r="AM53" s="3" t="s">
        <v>5819</v>
      </c>
      <c r="AN53" s="3"/>
      <c r="AO53" s="3">
        <v>46293</v>
      </c>
      <c r="AP53" s="3"/>
      <c r="AQ53" s="3" t="s">
        <v>3877</v>
      </c>
      <c r="AR53" s="3" t="s">
        <v>3814</v>
      </c>
      <c r="AS53" s="3"/>
      <c r="AT53" s="3">
        <v>46307</v>
      </c>
      <c r="AU53" s="3">
        <v>46339</v>
      </c>
      <c r="AV53" s="3"/>
      <c r="AW53" t="s">
        <v>3839</v>
      </c>
      <c r="BC53" t="s">
        <v>32</v>
      </c>
      <c r="BD53" t="s">
        <v>3814</v>
      </c>
      <c r="BE53" t="s">
        <v>5795</v>
      </c>
      <c r="BF53" t="s">
        <v>5796</v>
      </c>
      <c r="BG53" t="s">
        <v>3817</v>
      </c>
      <c r="CW53" s="6" t="str" cm="1">
        <f t="array" ref="CW53">IFERROR(_xlfn.IFS(H53=TIME(7,0,0),"GY",H53=TIME(7,30,0),"GY",H53=TIME(9,0,0),"GY",H53=TIME(15,0,0),"GY",H53=TIME(8,30,0),"GY",H53=TIME(5,30,0),"GY",H53=TIME(6,0,0),"GD",H53=TIME(6,30,0),"GD",H53=TIME(8,0,0),"GY",H53=TIME(6,15,0),"GD"),"")</f>
        <v>GY</v>
      </c>
      <c r="EE53"/>
    </row>
    <row r="54" spans="1:135" x14ac:dyDescent="0.45">
      <c r="A54" s="3" t="s">
        <v>32</v>
      </c>
      <c r="B54" s="3" t="s">
        <v>3814</v>
      </c>
      <c r="C54" s="3" t="s">
        <v>5795</v>
      </c>
      <c r="D54" s="3" t="s">
        <v>5796</v>
      </c>
      <c r="E54" s="100" t="s">
        <v>3817</v>
      </c>
      <c r="F54" s="3" t="s">
        <v>110</v>
      </c>
      <c r="G54" s="4">
        <v>46299</v>
      </c>
      <c r="H54" s="5">
        <v>0.35416666666666674</v>
      </c>
      <c r="I54" s="91">
        <v>46294</v>
      </c>
      <c r="J54" s="91"/>
      <c r="K54" s="91">
        <v>46293</v>
      </c>
      <c r="L54" s="3" t="s">
        <v>6653</v>
      </c>
      <c r="M54" s="3" t="s">
        <v>4006</v>
      </c>
      <c r="N54" s="3" t="s">
        <v>5797</v>
      </c>
      <c r="O54" t="s">
        <v>3819</v>
      </c>
      <c r="P54" s="3" t="s">
        <v>4008</v>
      </c>
      <c r="Q54">
        <v>46255</v>
      </c>
      <c r="R54" s="3">
        <v>726</v>
      </c>
      <c r="S54" s="3" t="s">
        <v>3823</v>
      </c>
      <c r="T54" s="3">
        <v>114</v>
      </c>
      <c r="U54" s="3" t="s">
        <v>5812</v>
      </c>
      <c r="V54" s="3" t="s">
        <v>5813</v>
      </c>
      <c r="W54" s="3">
        <v>1137.42</v>
      </c>
      <c r="X54" s="3">
        <v>46303</v>
      </c>
      <c r="Y54" s="3">
        <v>46291</v>
      </c>
      <c r="Z54">
        <v>46279</v>
      </c>
      <c r="AA54" t="s">
        <v>3926</v>
      </c>
      <c r="AB54" t="s">
        <v>3927</v>
      </c>
      <c r="AC54" s="3" t="s">
        <v>5800</v>
      </c>
      <c r="AD54" t="s">
        <v>4671</v>
      </c>
      <c r="AE54" t="s">
        <v>5801</v>
      </c>
      <c r="AF54" t="s">
        <v>3831</v>
      </c>
      <c r="AG54" t="s">
        <v>3832</v>
      </c>
      <c r="AH54" t="s">
        <v>3875</v>
      </c>
      <c r="AI54" t="s">
        <v>3834</v>
      </c>
      <c r="AJ54" t="s">
        <v>3835</v>
      </c>
      <c r="AK54" t="s">
        <v>3832</v>
      </c>
      <c r="AM54" s="3" t="s">
        <v>5819</v>
      </c>
      <c r="AN54" s="3"/>
      <c r="AO54" s="3">
        <v>46293</v>
      </c>
      <c r="AP54" s="3"/>
      <c r="AQ54" s="3" t="s">
        <v>3877</v>
      </c>
      <c r="AR54" s="3" t="s">
        <v>3814</v>
      </c>
      <c r="AS54" s="3"/>
      <c r="AT54" s="3">
        <v>46307</v>
      </c>
      <c r="AU54" s="3">
        <v>46339</v>
      </c>
      <c r="AV54" s="3"/>
      <c r="AW54" t="s">
        <v>3839</v>
      </c>
      <c r="BC54" t="s">
        <v>32</v>
      </c>
      <c r="BD54" t="s">
        <v>3814</v>
      </c>
      <c r="BE54" t="s">
        <v>5795</v>
      </c>
      <c r="BF54" t="s">
        <v>5796</v>
      </c>
      <c r="BG54" t="s">
        <v>3817</v>
      </c>
      <c r="CW54" s="6" t="str" cm="1">
        <f t="array" ref="CW54">IFERROR(_xlfn.IFS(H54=TIME(7,0,0),"GY",H54=TIME(7,30,0),"GY",H54=TIME(9,0,0),"GY",H54=TIME(15,0,0),"GY",H54=TIME(8,30,0),"GY",H54=TIME(5,30,0),"GY",H54=TIME(6,0,0),"GD",H54=TIME(6,30,0),"GD",H54=TIME(8,0,0),"GY",H54=TIME(6,15,0),"GD"),"")</f>
        <v>GY</v>
      </c>
      <c r="EE54"/>
    </row>
    <row r="55" spans="1:135" x14ac:dyDescent="0.45">
      <c r="A55" s="3" t="s">
        <v>32</v>
      </c>
      <c r="B55" s="3" t="s">
        <v>3814</v>
      </c>
      <c r="C55" s="3" t="s">
        <v>5795</v>
      </c>
      <c r="D55" s="3" t="s">
        <v>5796</v>
      </c>
      <c r="E55" s="100" t="s">
        <v>3817</v>
      </c>
      <c r="F55" s="3" t="s">
        <v>124</v>
      </c>
      <c r="G55" s="4">
        <v>46299</v>
      </c>
      <c r="H55" s="5">
        <v>0.35416666666666674</v>
      </c>
      <c r="I55" s="91">
        <v>46294</v>
      </c>
      <c r="J55" s="91"/>
      <c r="K55" s="91">
        <v>46293</v>
      </c>
      <c r="L55" s="3" t="s">
        <v>6653</v>
      </c>
      <c r="M55" s="3" t="s">
        <v>4006</v>
      </c>
      <c r="N55" s="3" t="s">
        <v>5797</v>
      </c>
      <c r="O55" t="s">
        <v>3819</v>
      </c>
      <c r="P55" s="3" t="s">
        <v>4008</v>
      </c>
      <c r="Q55">
        <v>46255</v>
      </c>
      <c r="R55" s="3">
        <v>726</v>
      </c>
      <c r="S55" s="3" t="s">
        <v>3823</v>
      </c>
      <c r="T55" s="3">
        <v>66</v>
      </c>
      <c r="U55" s="3" t="s">
        <v>5814</v>
      </c>
      <c r="V55" s="3" t="s">
        <v>5815</v>
      </c>
      <c r="W55" s="3">
        <v>737.01</v>
      </c>
      <c r="X55" s="3">
        <v>46303</v>
      </c>
      <c r="Y55" s="3">
        <v>46291</v>
      </c>
      <c r="Z55">
        <v>46279</v>
      </c>
      <c r="AA55" t="s">
        <v>3926</v>
      </c>
      <c r="AB55" t="s">
        <v>3927</v>
      </c>
      <c r="AC55" s="3" t="s">
        <v>5800</v>
      </c>
      <c r="AD55" t="s">
        <v>4671</v>
      </c>
      <c r="AE55" t="s">
        <v>5801</v>
      </c>
      <c r="AF55" t="s">
        <v>3831</v>
      </c>
      <c r="AG55" t="s">
        <v>3832</v>
      </c>
      <c r="AH55" t="s">
        <v>3875</v>
      </c>
      <c r="AI55" t="s">
        <v>3834</v>
      </c>
      <c r="AJ55" t="s">
        <v>3835</v>
      </c>
      <c r="AK55" t="s">
        <v>3832</v>
      </c>
      <c r="AM55" s="3" t="s">
        <v>5819</v>
      </c>
      <c r="AN55" s="3"/>
      <c r="AO55" s="3">
        <v>46293</v>
      </c>
      <c r="AP55" s="3"/>
      <c r="AQ55" s="3" t="s">
        <v>3877</v>
      </c>
      <c r="AR55" s="3" t="s">
        <v>3814</v>
      </c>
      <c r="AS55" s="3"/>
      <c r="AT55" s="3">
        <v>46307</v>
      </c>
      <c r="AU55" s="3">
        <v>46339</v>
      </c>
      <c r="AV55" s="3"/>
      <c r="AW55" t="s">
        <v>3839</v>
      </c>
      <c r="BC55" t="s">
        <v>32</v>
      </c>
      <c r="BD55" t="s">
        <v>3814</v>
      </c>
      <c r="BE55" t="s">
        <v>5795</v>
      </c>
      <c r="BF55" t="s">
        <v>5796</v>
      </c>
      <c r="BG55" t="s">
        <v>3817</v>
      </c>
      <c r="CW55" s="6" t="str" cm="1">
        <f t="array" ref="CW55">IFERROR(_xlfn.IFS(H55=TIME(7,0,0),"GY",H55=TIME(7,30,0),"GY",H55=TIME(9,0,0),"GY",H55=TIME(15,0,0),"GY",H55=TIME(8,30,0),"GY",H55=TIME(5,30,0),"GY",H55=TIME(6,0,0),"GD",H55=TIME(6,30,0),"GD",H55=TIME(8,0,0),"GY",H55=TIME(6,15,0),"GD"),"")</f>
        <v>GY</v>
      </c>
      <c r="EE55"/>
    </row>
    <row r="56" spans="1:135" x14ac:dyDescent="0.45">
      <c r="A56" s="3" t="s">
        <v>32</v>
      </c>
      <c r="B56" s="3" t="s">
        <v>3814</v>
      </c>
      <c r="C56" s="3" t="s">
        <v>6192</v>
      </c>
      <c r="D56" s="3" t="s">
        <v>6193</v>
      </c>
      <c r="E56" s="100" t="s">
        <v>3817</v>
      </c>
      <c r="F56" s="3" t="s">
        <v>175</v>
      </c>
      <c r="G56" s="4">
        <v>46298</v>
      </c>
      <c r="H56" s="5">
        <v>0.35416666666666674</v>
      </c>
      <c r="I56" s="91">
        <v>46294</v>
      </c>
      <c r="J56" s="91"/>
      <c r="K56" s="91">
        <v>46293</v>
      </c>
      <c r="L56" s="3" t="s">
        <v>6652</v>
      </c>
      <c r="M56" s="3" t="s">
        <v>3966</v>
      </c>
      <c r="N56" s="3" t="s">
        <v>6194</v>
      </c>
      <c r="O56" t="s">
        <v>3821</v>
      </c>
      <c r="P56" s="3" t="s">
        <v>4008</v>
      </c>
      <c r="Q56">
        <v>46273</v>
      </c>
      <c r="R56" s="3">
        <v>726</v>
      </c>
      <c r="S56" s="3" t="s">
        <v>3823</v>
      </c>
      <c r="T56" s="3">
        <v>116</v>
      </c>
      <c r="U56" s="3" t="s">
        <v>6195</v>
      </c>
      <c r="V56" s="3" t="s">
        <v>6196</v>
      </c>
      <c r="W56" s="3">
        <v>415.6</v>
      </c>
      <c r="X56" s="3">
        <v>46291</v>
      </c>
      <c r="Y56" s="3">
        <v>46289</v>
      </c>
      <c r="AA56" t="s">
        <v>3926</v>
      </c>
      <c r="AB56" t="s">
        <v>3927</v>
      </c>
      <c r="AC56" s="3" t="s">
        <v>6197</v>
      </c>
      <c r="AD56" t="s">
        <v>6198</v>
      </c>
      <c r="AE56" t="s">
        <v>6199</v>
      </c>
      <c r="AF56" t="s">
        <v>3831</v>
      </c>
      <c r="AG56" t="s">
        <v>3832</v>
      </c>
      <c r="AH56" t="s">
        <v>3908</v>
      </c>
      <c r="AI56" t="s">
        <v>3834</v>
      </c>
      <c r="AJ56" t="s">
        <v>3835</v>
      </c>
      <c r="AK56" t="s">
        <v>3832</v>
      </c>
      <c r="AM56" s="3" t="s">
        <v>6200</v>
      </c>
      <c r="AN56" s="3"/>
      <c r="AO56" s="3">
        <v>46293</v>
      </c>
      <c r="AP56" s="3"/>
      <c r="AQ56" s="3" t="s">
        <v>4424</v>
      </c>
      <c r="AR56" s="3"/>
      <c r="AS56" s="3"/>
      <c r="AT56" s="3">
        <v>46304</v>
      </c>
      <c r="AU56" s="3">
        <v>46369</v>
      </c>
      <c r="AV56" s="3"/>
      <c r="AW56" t="s">
        <v>3839</v>
      </c>
      <c r="BC56" t="s">
        <v>32</v>
      </c>
      <c r="BD56" t="s">
        <v>3814</v>
      </c>
      <c r="BE56" t="s">
        <v>6192</v>
      </c>
      <c r="BF56" t="s">
        <v>6193</v>
      </c>
      <c r="BG56" t="s">
        <v>3817</v>
      </c>
      <c r="CW56" s="6" t="str" cm="1">
        <f t="array" ref="CW56">IFERROR(_xlfn.IFS(H56=TIME(7,0,0),"GY",H56=TIME(7,30,0),"GY",H56=TIME(9,0,0),"GY",H56=TIME(15,0,0),"GY",H56=TIME(8,30,0),"GY",H56=TIME(5,30,0),"GY",H56=TIME(6,0,0),"GD",H56=TIME(6,30,0),"GD",H56=TIME(8,0,0),"GY",H56=TIME(6,15,0),"GD"),"")</f>
        <v>GY</v>
      </c>
      <c r="EE56"/>
    </row>
    <row r="57" spans="1:135" x14ac:dyDescent="0.45">
      <c r="A57" s="3" t="s">
        <v>32</v>
      </c>
      <c r="B57" s="3" t="s">
        <v>3814</v>
      </c>
      <c r="C57" s="3" t="s">
        <v>6192</v>
      </c>
      <c r="D57" s="3" t="s">
        <v>6193</v>
      </c>
      <c r="E57" s="100" t="s">
        <v>3817</v>
      </c>
      <c r="F57" s="3" t="s">
        <v>272</v>
      </c>
      <c r="G57" s="4">
        <v>46298</v>
      </c>
      <c r="H57" s="5">
        <v>0.35416666666666674</v>
      </c>
      <c r="I57" s="91">
        <v>46294</v>
      </c>
      <c r="J57" s="91"/>
      <c r="K57" s="91">
        <v>46293</v>
      </c>
      <c r="L57" s="3" t="s">
        <v>6652</v>
      </c>
      <c r="M57" s="3" t="s">
        <v>3966</v>
      </c>
      <c r="N57" s="3" t="s">
        <v>6194</v>
      </c>
      <c r="O57" t="s">
        <v>3821</v>
      </c>
      <c r="P57" s="3" t="s">
        <v>4008</v>
      </c>
      <c r="Q57">
        <v>46273</v>
      </c>
      <c r="R57" s="3">
        <v>726</v>
      </c>
      <c r="S57" s="3" t="s">
        <v>3823</v>
      </c>
      <c r="T57" s="3">
        <v>94</v>
      </c>
      <c r="U57" s="3" t="s">
        <v>6201</v>
      </c>
      <c r="V57" s="3" t="s">
        <v>6202</v>
      </c>
      <c r="W57" s="3">
        <v>2025.29</v>
      </c>
      <c r="X57" s="3">
        <v>46311</v>
      </c>
      <c r="Y57" s="3">
        <v>46289</v>
      </c>
      <c r="AA57" t="s">
        <v>3926</v>
      </c>
      <c r="AB57" t="s">
        <v>3927</v>
      </c>
      <c r="AC57" s="3" t="s">
        <v>6197</v>
      </c>
      <c r="AD57" t="s">
        <v>6198</v>
      </c>
      <c r="AE57" t="s">
        <v>6199</v>
      </c>
      <c r="AF57" t="s">
        <v>3831</v>
      </c>
      <c r="AG57" t="s">
        <v>3832</v>
      </c>
      <c r="AH57" t="s">
        <v>3908</v>
      </c>
      <c r="AI57" t="s">
        <v>3834</v>
      </c>
      <c r="AJ57" t="s">
        <v>3835</v>
      </c>
      <c r="AK57" t="s">
        <v>3832</v>
      </c>
      <c r="AM57" s="3" t="s">
        <v>6200</v>
      </c>
      <c r="AN57" s="3"/>
      <c r="AO57" s="3">
        <v>46293</v>
      </c>
      <c r="AP57" s="3"/>
      <c r="AQ57" s="3" t="s">
        <v>4424</v>
      </c>
      <c r="AR57" s="3"/>
      <c r="AS57" s="3"/>
      <c r="AT57" s="3">
        <v>46304</v>
      </c>
      <c r="AU57" s="3">
        <v>46369</v>
      </c>
      <c r="AV57" s="3"/>
      <c r="AW57" t="s">
        <v>3839</v>
      </c>
      <c r="BC57" t="s">
        <v>32</v>
      </c>
      <c r="BD57" t="s">
        <v>3814</v>
      </c>
      <c r="BE57" t="s">
        <v>6192</v>
      </c>
      <c r="BF57" t="s">
        <v>6193</v>
      </c>
      <c r="BG57" t="s">
        <v>3817</v>
      </c>
      <c r="CW57" s="6" t="str" cm="1">
        <f t="array" ref="CW57">IFERROR(_xlfn.IFS(H57=TIME(7,0,0),"GY",H57=TIME(7,30,0),"GY",H57=TIME(9,0,0),"GY",H57=TIME(15,0,0),"GY",H57=TIME(8,30,0),"GY",H57=TIME(5,30,0),"GY",H57=TIME(6,0,0),"GD",H57=TIME(6,30,0),"GD",H57=TIME(8,0,0),"GY",H57=TIME(6,15,0),"GD"),"")</f>
        <v>GY</v>
      </c>
      <c r="EE57"/>
    </row>
    <row r="58" spans="1:135" x14ac:dyDescent="0.45">
      <c r="A58" s="3" t="s">
        <v>32</v>
      </c>
      <c r="B58" s="3" t="s">
        <v>0</v>
      </c>
      <c r="C58" s="3" t="s">
        <v>5098</v>
      </c>
      <c r="D58" s="3" t="s">
        <v>5099</v>
      </c>
      <c r="E58" s="100" t="s">
        <v>3817</v>
      </c>
      <c r="F58" s="3" t="s">
        <v>346</v>
      </c>
      <c r="G58" s="4">
        <v>46298</v>
      </c>
      <c r="H58" s="5">
        <v>0.26041666666666674</v>
      </c>
      <c r="I58" s="91">
        <v>46293</v>
      </c>
      <c r="J58" s="91"/>
      <c r="K58" s="91">
        <v>46289</v>
      </c>
      <c r="L58" s="3" t="s">
        <v>6207</v>
      </c>
      <c r="M58" s="3" t="s">
        <v>3819</v>
      </c>
      <c r="N58" s="3" t="s">
        <v>5100</v>
      </c>
      <c r="O58" t="s">
        <v>3867</v>
      </c>
      <c r="P58" s="3"/>
      <c r="Q58">
        <v>46260</v>
      </c>
      <c r="R58" s="3">
        <v>726</v>
      </c>
      <c r="S58" s="3" t="s">
        <v>3823</v>
      </c>
      <c r="T58" s="3">
        <v>18448</v>
      </c>
      <c r="U58" s="3" t="s">
        <v>5101</v>
      </c>
      <c r="V58" s="3" t="s">
        <v>5102</v>
      </c>
      <c r="W58" s="3">
        <v>7398.84</v>
      </c>
      <c r="X58" s="3">
        <v>46283</v>
      </c>
      <c r="Y58" s="3">
        <v>46289</v>
      </c>
      <c r="AA58" t="s">
        <v>3826</v>
      </c>
      <c r="AB58" t="s">
        <v>3827</v>
      </c>
      <c r="AC58" s="3" t="s">
        <v>5103</v>
      </c>
      <c r="AD58" t="s">
        <v>4131</v>
      </c>
      <c r="AE58" t="s">
        <v>5104</v>
      </c>
      <c r="AF58" t="s">
        <v>3831</v>
      </c>
      <c r="AG58" t="s">
        <v>3832</v>
      </c>
      <c r="AH58" t="s">
        <v>4132</v>
      </c>
      <c r="AI58" t="s">
        <v>3834</v>
      </c>
      <c r="AJ58" t="s">
        <v>3835</v>
      </c>
      <c r="AK58" t="s">
        <v>3832</v>
      </c>
      <c r="AM58" s="3" t="s">
        <v>5250</v>
      </c>
      <c r="AN58" s="3"/>
      <c r="AO58" s="3">
        <v>46293</v>
      </c>
      <c r="AP58" s="3"/>
      <c r="AQ58" s="3" t="s">
        <v>3837</v>
      </c>
      <c r="AR58" s="3"/>
      <c r="AS58" s="3"/>
      <c r="AT58" s="3">
        <v>46303</v>
      </c>
      <c r="AU58" s="3">
        <v>46338</v>
      </c>
      <c r="AV58" s="3"/>
      <c r="AW58" t="s">
        <v>3839</v>
      </c>
      <c r="BC58" t="s">
        <v>32</v>
      </c>
      <c r="BD58" t="s">
        <v>0</v>
      </c>
      <c r="BE58" t="s">
        <v>5098</v>
      </c>
      <c r="BF58" t="s">
        <v>5099</v>
      </c>
      <c r="BG58" t="s">
        <v>3817</v>
      </c>
      <c r="CW58" s="6" t="str" cm="1">
        <f t="array" ref="CW58">IFERROR(_xlfn.IFS(H58=TIME(7,0,0),"GY",H58=TIME(7,30,0),"GY",H58=TIME(9,0,0),"GY",H58=TIME(15,0,0),"GY",H58=TIME(8,30,0),"GY",H58=TIME(5,30,0),"GY",H58=TIME(6,0,0),"GD",H58=TIME(6,30,0),"GD",H58=TIME(8,0,0),"GY",H58=TIME(6,15,0),"GD"),"")</f>
        <v>GD</v>
      </c>
      <c r="EE58"/>
    </row>
    <row r="59" spans="1:135" x14ac:dyDescent="0.45">
      <c r="A59" s="3" t="s">
        <v>32</v>
      </c>
      <c r="B59" s="3" t="s">
        <v>3814</v>
      </c>
      <c r="C59" s="3" t="s">
        <v>6192</v>
      </c>
      <c r="D59" s="3" t="s">
        <v>6193</v>
      </c>
      <c r="E59" s="100" t="s">
        <v>3817</v>
      </c>
      <c r="F59" s="3" t="s">
        <v>5221</v>
      </c>
      <c r="G59" s="4">
        <v>46298</v>
      </c>
      <c r="H59" s="5">
        <v>0.35416666666666674</v>
      </c>
      <c r="I59" s="91">
        <v>46294</v>
      </c>
      <c r="J59" s="91"/>
      <c r="K59" s="91">
        <v>46293</v>
      </c>
      <c r="L59" s="3" t="s">
        <v>6652</v>
      </c>
      <c r="M59" s="3" t="s">
        <v>3966</v>
      </c>
      <c r="N59" s="3" t="s">
        <v>6194</v>
      </c>
      <c r="O59" t="s">
        <v>3821</v>
      </c>
      <c r="P59" s="3" t="s">
        <v>4008</v>
      </c>
      <c r="Q59">
        <v>46273</v>
      </c>
      <c r="R59" s="3">
        <v>726</v>
      </c>
      <c r="S59" s="3" t="s">
        <v>3823</v>
      </c>
      <c r="T59" s="3">
        <v>86</v>
      </c>
      <c r="U59" s="3" t="s">
        <v>6203</v>
      </c>
      <c r="V59" s="3" t="s">
        <v>6204</v>
      </c>
      <c r="W59" s="3">
        <v>1124.8499999999999</v>
      </c>
      <c r="X59" s="3">
        <v>46311</v>
      </c>
      <c r="Y59" s="3">
        <v>46289</v>
      </c>
      <c r="AA59" t="s">
        <v>3926</v>
      </c>
      <c r="AB59" t="s">
        <v>3927</v>
      </c>
      <c r="AC59" s="3" t="s">
        <v>6197</v>
      </c>
      <c r="AD59" t="s">
        <v>6198</v>
      </c>
      <c r="AE59" t="s">
        <v>6199</v>
      </c>
      <c r="AF59" t="s">
        <v>3831</v>
      </c>
      <c r="AG59" t="s">
        <v>3832</v>
      </c>
      <c r="AH59" t="s">
        <v>3908</v>
      </c>
      <c r="AI59" t="s">
        <v>3834</v>
      </c>
      <c r="AJ59" t="s">
        <v>3835</v>
      </c>
      <c r="AK59" t="s">
        <v>3832</v>
      </c>
      <c r="AM59" s="3" t="s">
        <v>6200</v>
      </c>
      <c r="AN59" s="3"/>
      <c r="AO59" s="3">
        <v>46293</v>
      </c>
      <c r="AP59" s="3"/>
      <c r="AQ59" s="3" t="s">
        <v>4424</v>
      </c>
      <c r="AR59" s="3" t="s">
        <v>3814</v>
      </c>
      <c r="AS59" s="3"/>
      <c r="AT59" s="3">
        <v>46304</v>
      </c>
      <c r="AU59" s="3">
        <v>46369</v>
      </c>
      <c r="AV59" s="3"/>
      <c r="AW59" t="s">
        <v>3839</v>
      </c>
      <c r="BC59" t="s">
        <v>32</v>
      </c>
      <c r="BD59" t="s">
        <v>3814</v>
      </c>
      <c r="BE59" t="s">
        <v>6192</v>
      </c>
      <c r="BF59" t="s">
        <v>6193</v>
      </c>
      <c r="BG59" t="s">
        <v>3817</v>
      </c>
      <c r="CW59" s="6" t="str" cm="1">
        <f t="array" ref="CW59">IFERROR(_xlfn.IFS(H59=TIME(7,0,0),"GY",H59=TIME(7,30,0),"GY",H59=TIME(9,0,0),"GY",H59=TIME(15,0,0),"GY",H59=TIME(8,30,0),"GY",H59=TIME(5,30,0),"GY",H59=TIME(6,0,0),"GD",H59=TIME(6,30,0),"GD",H59=TIME(8,0,0),"GY",H59=TIME(6,15,0),"GD"),"")</f>
        <v>GY</v>
      </c>
      <c r="EE59"/>
    </row>
    <row r="60" spans="1:135" x14ac:dyDescent="0.45">
      <c r="A60" s="3" t="s">
        <v>32</v>
      </c>
      <c r="B60" s="3" t="s">
        <v>3814</v>
      </c>
      <c r="C60" s="3" t="s">
        <v>6192</v>
      </c>
      <c r="D60" s="3" t="s">
        <v>6193</v>
      </c>
      <c r="E60" s="100" t="s">
        <v>3817</v>
      </c>
      <c r="F60" s="3" t="s">
        <v>5220</v>
      </c>
      <c r="G60" s="4">
        <v>46298</v>
      </c>
      <c r="H60" s="5">
        <v>0.35416666666666674</v>
      </c>
      <c r="I60" s="91">
        <v>46294</v>
      </c>
      <c r="J60" s="91"/>
      <c r="K60" s="91">
        <v>46293</v>
      </c>
      <c r="L60" s="3" t="s">
        <v>6652</v>
      </c>
      <c r="M60" s="3" t="s">
        <v>3966</v>
      </c>
      <c r="N60" s="3" t="s">
        <v>6194</v>
      </c>
      <c r="O60" t="s">
        <v>3821</v>
      </c>
      <c r="P60" s="3" t="s">
        <v>4008</v>
      </c>
      <c r="Q60">
        <v>46273</v>
      </c>
      <c r="R60" s="3">
        <v>726</v>
      </c>
      <c r="S60" s="3" t="s">
        <v>3823</v>
      </c>
      <c r="T60" s="3">
        <v>16</v>
      </c>
      <c r="U60" s="3" t="s">
        <v>6205</v>
      </c>
      <c r="V60" s="3" t="s">
        <v>6206</v>
      </c>
      <c r="W60" s="3">
        <v>280.17</v>
      </c>
      <c r="X60" s="3">
        <v>46311</v>
      </c>
      <c r="Y60" s="3">
        <v>46289</v>
      </c>
      <c r="AA60" t="s">
        <v>3926</v>
      </c>
      <c r="AB60" t="s">
        <v>3927</v>
      </c>
      <c r="AC60" s="3" t="s">
        <v>6197</v>
      </c>
      <c r="AD60" t="s">
        <v>6198</v>
      </c>
      <c r="AE60" t="s">
        <v>6199</v>
      </c>
      <c r="AF60" t="s">
        <v>3831</v>
      </c>
      <c r="AG60" t="s">
        <v>3832</v>
      </c>
      <c r="AH60" t="s">
        <v>3908</v>
      </c>
      <c r="AI60" t="s">
        <v>3834</v>
      </c>
      <c r="AJ60" t="s">
        <v>3835</v>
      </c>
      <c r="AK60" t="s">
        <v>3832</v>
      </c>
      <c r="AM60" s="3" t="s">
        <v>6200</v>
      </c>
      <c r="AN60" s="3"/>
      <c r="AO60" s="3">
        <v>46293</v>
      </c>
      <c r="AP60" s="3"/>
      <c r="AQ60" s="3" t="s">
        <v>4424</v>
      </c>
      <c r="AR60" s="3" t="s">
        <v>3814</v>
      </c>
      <c r="AS60" s="3"/>
      <c r="AT60" s="3">
        <v>46304</v>
      </c>
      <c r="AU60" s="3">
        <v>46369</v>
      </c>
      <c r="AV60" s="3"/>
      <c r="AW60" t="s">
        <v>3839</v>
      </c>
      <c r="BC60" t="s">
        <v>32</v>
      </c>
      <c r="BD60" t="s">
        <v>3814</v>
      </c>
      <c r="BE60" t="s">
        <v>6192</v>
      </c>
      <c r="BF60" t="s">
        <v>6193</v>
      </c>
      <c r="BG60" t="s">
        <v>3817</v>
      </c>
      <c r="CW60" s="6" t="str" cm="1">
        <f t="array" ref="CW60">IFERROR(_xlfn.IFS(H60=TIME(7,0,0),"GY",H60=TIME(7,30,0),"GY",H60=TIME(9,0,0),"GY",H60=TIME(15,0,0),"GY",H60=TIME(8,30,0),"GY",H60=TIME(5,30,0),"GY",H60=TIME(6,0,0),"GD",H60=TIME(6,30,0),"GD",H60=TIME(8,0,0),"GY",H60=TIME(6,15,0),"GD"),"")</f>
        <v>GY</v>
      </c>
      <c r="EE60"/>
    </row>
    <row r="61" spans="1:135" x14ac:dyDescent="0.45">
      <c r="A61" s="3" t="s">
        <v>32</v>
      </c>
      <c r="B61" s="3" t="s">
        <v>3814</v>
      </c>
      <c r="C61" s="3" t="s">
        <v>5858</v>
      </c>
      <c r="D61" s="3" t="s">
        <v>5859</v>
      </c>
      <c r="E61" s="100" t="s">
        <v>3817</v>
      </c>
      <c r="F61" s="3" t="s">
        <v>332</v>
      </c>
      <c r="G61" s="4">
        <v>46297</v>
      </c>
      <c r="H61" s="5">
        <v>0.35416666666666674</v>
      </c>
      <c r="I61" s="91">
        <v>46293</v>
      </c>
      <c r="J61" s="91"/>
      <c r="K61" s="91">
        <v>46291</v>
      </c>
      <c r="L61" s="3" t="s">
        <v>6212</v>
      </c>
      <c r="M61" s="3" t="s">
        <v>3819</v>
      </c>
      <c r="N61" s="3" t="s">
        <v>5860</v>
      </c>
      <c r="O61" t="s">
        <v>3867</v>
      </c>
      <c r="P61" s="3" t="s">
        <v>3951</v>
      </c>
      <c r="Q61">
        <v>46268</v>
      </c>
      <c r="R61" s="3">
        <v>726</v>
      </c>
      <c r="S61" s="3" t="s">
        <v>3823</v>
      </c>
      <c r="T61" s="3">
        <v>134</v>
      </c>
      <c r="U61" s="3" t="s">
        <v>5861</v>
      </c>
      <c r="V61" s="3" t="s">
        <v>5862</v>
      </c>
      <c r="W61" s="3">
        <v>7303.14</v>
      </c>
      <c r="X61" s="3">
        <v>46280</v>
      </c>
      <c r="Y61" s="3">
        <v>46291</v>
      </c>
      <c r="AA61" t="s">
        <v>3826</v>
      </c>
      <c r="AB61" t="s">
        <v>3827</v>
      </c>
      <c r="AC61" s="3" t="s">
        <v>6213</v>
      </c>
      <c r="AD61" t="s">
        <v>4563</v>
      </c>
      <c r="AE61" t="s">
        <v>5863</v>
      </c>
      <c r="AF61" t="s">
        <v>3831</v>
      </c>
      <c r="AG61" t="s">
        <v>3832</v>
      </c>
      <c r="AH61" t="s">
        <v>3908</v>
      </c>
      <c r="AI61" t="s">
        <v>3834</v>
      </c>
      <c r="AJ61" t="s">
        <v>3835</v>
      </c>
      <c r="AK61" t="s">
        <v>3832</v>
      </c>
      <c r="AM61" s="3" t="s">
        <v>6091</v>
      </c>
      <c r="AN61" s="3"/>
      <c r="AO61" s="3">
        <v>46293</v>
      </c>
      <c r="AP61" s="3"/>
      <c r="AQ61" s="3" t="s">
        <v>3837</v>
      </c>
      <c r="AR61" s="3" t="s">
        <v>3814</v>
      </c>
      <c r="AS61" s="3"/>
      <c r="AT61" s="3">
        <v>46305</v>
      </c>
      <c r="AU61" s="3">
        <v>46338</v>
      </c>
      <c r="AV61" s="3"/>
      <c r="AW61" t="s">
        <v>3839</v>
      </c>
      <c r="BC61" t="s">
        <v>32</v>
      </c>
      <c r="BD61" t="s">
        <v>3814</v>
      </c>
      <c r="BE61" t="s">
        <v>5858</v>
      </c>
      <c r="BF61" t="s">
        <v>5859</v>
      </c>
      <c r="BG61" t="s">
        <v>3817</v>
      </c>
      <c r="CW61" s="6" t="str" cm="1">
        <f t="array" ref="CW61">IFERROR(_xlfn.IFS(H61=TIME(7,0,0),"GY",H61=TIME(7,30,0),"GY",H61=TIME(9,0,0),"GY",H61=TIME(15,0,0),"GY",H61=TIME(8,30,0),"GY",H61=TIME(5,30,0),"GY",H61=TIME(6,0,0),"GD",H61=TIME(6,30,0),"GD",H61=TIME(8,0,0),"GY",H61=TIME(6,15,0),"GD"),"")</f>
        <v>GY</v>
      </c>
      <c r="EE61"/>
    </row>
    <row r="62" spans="1:135" x14ac:dyDescent="0.45">
      <c r="A62" s="14" t="s">
        <v>18</v>
      </c>
      <c r="B62" s="14"/>
      <c r="C62" s="14" t="s">
        <v>5114</v>
      </c>
      <c r="D62" s="14" t="s">
        <v>5115</v>
      </c>
      <c r="E62" s="100" t="s">
        <v>3817</v>
      </c>
      <c r="F62" s="14" t="s">
        <v>20</v>
      </c>
      <c r="G62" s="4">
        <v>46297</v>
      </c>
      <c r="H62" s="5">
        <v>0.27083333333333326</v>
      </c>
      <c r="I62" s="91">
        <v>46288</v>
      </c>
      <c r="J62" s="91"/>
      <c r="K62" s="91">
        <v>46285</v>
      </c>
      <c r="L62" s="14" t="s">
        <v>6210</v>
      </c>
      <c r="M62" s="14" t="s">
        <v>3819</v>
      </c>
      <c r="N62" s="14" t="s">
        <v>5116</v>
      </c>
      <c r="O62" s="29" t="s">
        <v>3867</v>
      </c>
      <c r="P62" s="14"/>
      <c r="Q62" s="29">
        <v>46261</v>
      </c>
      <c r="R62" s="14">
        <v>726</v>
      </c>
      <c r="S62" s="14" t="s">
        <v>3823</v>
      </c>
      <c r="T62" s="14">
        <v>7511</v>
      </c>
      <c r="U62" s="14" t="s">
        <v>5117</v>
      </c>
      <c r="V62" s="14" t="s">
        <v>5118</v>
      </c>
      <c r="W62" s="14">
        <v>9919.0360000000001</v>
      </c>
      <c r="X62" s="14">
        <v>46278</v>
      </c>
      <c r="Y62" s="14">
        <v>46285</v>
      </c>
      <c r="Z62" s="29"/>
      <c r="AA62" s="29" t="s">
        <v>3826</v>
      </c>
      <c r="AB62" s="29" t="s">
        <v>3827</v>
      </c>
      <c r="AC62" s="14" t="s">
        <v>5119</v>
      </c>
      <c r="AD62" s="29" t="s">
        <v>4434</v>
      </c>
      <c r="AE62" s="29" t="s">
        <v>4741</v>
      </c>
      <c r="AF62" s="29" t="s">
        <v>3831</v>
      </c>
      <c r="AG62" s="29" t="s">
        <v>3832</v>
      </c>
      <c r="AH62" s="29" t="s">
        <v>3908</v>
      </c>
      <c r="AI62" s="29" t="s">
        <v>3834</v>
      </c>
      <c r="AJ62" s="29" t="s">
        <v>3956</v>
      </c>
      <c r="AK62" s="29" t="s">
        <v>3832</v>
      </c>
      <c r="AL62" s="29"/>
      <c r="AM62" s="14" t="s">
        <v>5273</v>
      </c>
      <c r="AN62" s="14"/>
      <c r="AO62" s="14">
        <v>46288</v>
      </c>
      <c r="AP62" s="14"/>
      <c r="AQ62" s="14" t="s">
        <v>4037</v>
      </c>
      <c r="AR62" s="14"/>
      <c r="AS62" s="14" t="s">
        <v>3961</v>
      </c>
      <c r="AT62" s="14">
        <v>46299</v>
      </c>
      <c r="AU62" s="14"/>
      <c r="AV62" s="14">
        <v>46303</v>
      </c>
      <c r="AW62" s="29" t="s">
        <v>3839</v>
      </c>
      <c r="AX62" s="29"/>
      <c r="AY62" s="29"/>
      <c r="AZ62" s="29"/>
      <c r="BA62" s="29"/>
      <c r="BB62" s="29"/>
      <c r="BC62" s="29" t="s">
        <v>18</v>
      </c>
      <c r="BD62" s="29"/>
      <c r="BE62" s="29" t="s">
        <v>5114</v>
      </c>
      <c r="BF62" s="29" t="s">
        <v>5115</v>
      </c>
      <c r="BG62" s="29" t="s">
        <v>3817</v>
      </c>
      <c r="BH62" s="29"/>
      <c r="BI62" s="29"/>
      <c r="BJ62" s="29"/>
      <c r="BK62" s="29"/>
      <c r="BL62" s="29"/>
      <c r="BM62" s="29"/>
      <c r="BN62" s="29"/>
      <c r="CW62" s="6" t="str" cm="1">
        <f t="array" ref="CW62">IFERROR(_xlfn.IFS(H62=TIME(7,0,0),"GY",H62=TIME(7,30,0),"GY",H62=TIME(9,0,0),"GY",H62=TIME(15,0,0),"GY",H62=TIME(8,30,0),"GY",H62=TIME(5,30,0),"GY",H62=TIME(6,0,0),"GD",H62=TIME(6,30,0),"GD",H62=TIME(8,0,0),"GY",H62=TIME(6,15,0),"GD"),"")</f>
        <v>GD</v>
      </c>
      <c r="EE62"/>
    </row>
    <row r="63" spans="1:135" x14ac:dyDescent="0.45">
      <c r="A63" s="3" t="s">
        <v>18</v>
      </c>
      <c r="B63" s="3"/>
      <c r="C63" s="3" t="s">
        <v>5114</v>
      </c>
      <c r="D63" s="3" t="s">
        <v>5115</v>
      </c>
      <c r="E63" s="100" t="s">
        <v>3817</v>
      </c>
      <c r="F63" s="3" t="s">
        <v>233</v>
      </c>
      <c r="G63" s="4">
        <v>46297</v>
      </c>
      <c r="H63" s="5">
        <v>0.27083333333333326</v>
      </c>
      <c r="I63" s="91">
        <v>46288</v>
      </c>
      <c r="J63" s="91"/>
      <c r="K63" s="91">
        <v>46285</v>
      </c>
      <c r="L63" s="3" t="s">
        <v>6210</v>
      </c>
      <c r="M63" s="3" t="s">
        <v>3819</v>
      </c>
      <c r="N63" s="3" t="s">
        <v>5116</v>
      </c>
      <c r="O63" t="s">
        <v>3867</v>
      </c>
      <c r="P63" s="3"/>
      <c r="Q63">
        <v>46261</v>
      </c>
      <c r="R63" s="3">
        <v>726</v>
      </c>
      <c r="S63" s="3" t="s">
        <v>3823</v>
      </c>
      <c r="T63" s="3">
        <v>433</v>
      </c>
      <c r="U63" s="3" t="s">
        <v>5120</v>
      </c>
      <c r="V63" s="3" t="s">
        <v>5121</v>
      </c>
      <c r="W63" s="3">
        <v>595.20000000000005</v>
      </c>
      <c r="X63" s="3">
        <v>46278</v>
      </c>
      <c r="Y63" s="3">
        <v>46285</v>
      </c>
      <c r="AA63" t="s">
        <v>3826</v>
      </c>
      <c r="AB63" t="s">
        <v>3827</v>
      </c>
      <c r="AC63" s="3" t="s">
        <v>5119</v>
      </c>
      <c r="AD63" t="s">
        <v>4434</v>
      </c>
      <c r="AE63" t="s">
        <v>4741</v>
      </c>
      <c r="AF63" t="s">
        <v>3831</v>
      </c>
      <c r="AG63" t="s">
        <v>3832</v>
      </c>
      <c r="AH63" t="s">
        <v>3908</v>
      </c>
      <c r="AI63" t="s">
        <v>3834</v>
      </c>
      <c r="AJ63" t="s">
        <v>3956</v>
      </c>
      <c r="AK63" t="s">
        <v>3832</v>
      </c>
      <c r="AM63" s="3" t="s">
        <v>5273</v>
      </c>
      <c r="AN63" s="3"/>
      <c r="AO63" s="3">
        <v>46288</v>
      </c>
      <c r="AP63" s="3"/>
      <c r="AQ63" s="3" t="s">
        <v>4037</v>
      </c>
      <c r="AR63" s="3"/>
      <c r="AS63" s="3" t="s">
        <v>3961</v>
      </c>
      <c r="AT63" s="3">
        <v>46299</v>
      </c>
      <c r="AU63" s="3"/>
      <c r="AV63" s="3">
        <v>46303</v>
      </c>
      <c r="AW63" t="s">
        <v>3839</v>
      </c>
      <c r="BC63" t="s">
        <v>18</v>
      </c>
      <c r="BE63" t="s">
        <v>5114</v>
      </c>
      <c r="BF63" t="s">
        <v>5115</v>
      </c>
      <c r="BG63" t="s">
        <v>3817</v>
      </c>
      <c r="CW63" s="6" t="str" cm="1">
        <f t="array" ref="CW63">IFERROR(_xlfn.IFS(H63=TIME(7,0,0),"GY",H63=TIME(7,30,0),"GY",H63=TIME(9,0,0),"GY",H63=TIME(15,0,0),"GY",H63=TIME(8,30,0),"GY",H63=TIME(5,30,0),"GY",H63=TIME(6,0,0),"GD",H63=TIME(6,30,0),"GD",H63=TIME(8,0,0),"GY",H63=TIME(6,15,0),"GD"),"")</f>
        <v>GD</v>
      </c>
      <c r="EE63"/>
    </row>
    <row r="64" spans="1:135" x14ac:dyDescent="0.45">
      <c r="A64" s="3" t="s">
        <v>63</v>
      </c>
      <c r="B64" s="3"/>
      <c r="C64" s="3" t="s">
        <v>4910</v>
      </c>
      <c r="D64" s="3" t="s">
        <v>4911</v>
      </c>
      <c r="E64" s="100" t="s">
        <v>3817</v>
      </c>
      <c r="F64" s="3" t="s">
        <v>86</v>
      </c>
      <c r="G64" s="4">
        <v>46296</v>
      </c>
      <c r="H64" s="5">
        <v>0.27083333333333326</v>
      </c>
      <c r="I64" s="91">
        <v>46288</v>
      </c>
      <c r="J64" s="91"/>
      <c r="K64" s="91">
        <v>46285</v>
      </c>
      <c r="L64" s="3" t="s">
        <v>6211</v>
      </c>
      <c r="M64" s="3" t="s">
        <v>3819</v>
      </c>
      <c r="N64" s="3" t="s">
        <v>4912</v>
      </c>
      <c r="O64" t="s">
        <v>3867</v>
      </c>
      <c r="P64" s="3"/>
      <c r="Q64">
        <v>46253</v>
      </c>
      <c r="R64" s="3">
        <v>726</v>
      </c>
      <c r="S64" s="3" t="s">
        <v>3823</v>
      </c>
      <c r="T64" s="3">
        <v>8249</v>
      </c>
      <c r="U64" s="3" t="s">
        <v>4913</v>
      </c>
      <c r="V64" s="3" t="s">
        <v>4914</v>
      </c>
      <c r="W64" s="3">
        <v>2068.0360000000001</v>
      </c>
      <c r="X64" s="3">
        <v>46278</v>
      </c>
      <c r="Y64" s="3">
        <v>46276</v>
      </c>
      <c r="AA64" t="s">
        <v>3826</v>
      </c>
      <c r="AB64" t="s">
        <v>3827</v>
      </c>
      <c r="AC64" s="3" t="s">
        <v>4915</v>
      </c>
      <c r="AD64" t="s">
        <v>4434</v>
      </c>
      <c r="AE64" t="s">
        <v>4741</v>
      </c>
      <c r="AF64" t="s">
        <v>3831</v>
      </c>
      <c r="AG64" t="s">
        <v>3832</v>
      </c>
      <c r="AH64" t="s">
        <v>3908</v>
      </c>
      <c r="AI64" t="s">
        <v>3834</v>
      </c>
      <c r="AJ64" t="s">
        <v>3956</v>
      </c>
      <c r="AK64" t="s">
        <v>3832</v>
      </c>
      <c r="AM64" s="3" t="s">
        <v>4916</v>
      </c>
      <c r="AN64" s="3"/>
      <c r="AO64" s="3">
        <v>46288</v>
      </c>
      <c r="AP64" s="3"/>
      <c r="AQ64" s="3" t="s">
        <v>4037</v>
      </c>
      <c r="AR64" s="3"/>
      <c r="AS64" s="3" t="s">
        <v>3961</v>
      </c>
      <c r="AT64" s="3">
        <v>46299</v>
      </c>
      <c r="AU64" s="3"/>
      <c r="AV64" s="3">
        <v>46303</v>
      </c>
      <c r="AW64" t="s">
        <v>3839</v>
      </c>
      <c r="BC64" t="s">
        <v>63</v>
      </c>
      <c r="BE64" t="s">
        <v>4910</v>
      </c>
      <c r="BF64" t="s">
        <v>4911</v>
      </c>
      <c r="BG64" t="s">
        <v>3817</v>
      </c>
      <c r="CW64" s="6" t="str" cm="1">
        <f t="array" ref="CW64">IFERROR(_xlfn.IFS(H64=TIME(7,0,0),"GY",H64=TIME(7,30,0),"GY",H64=TIME(9,0,0),"GY",H64=TIME(15,0,0),"GY",H64=TIME(8,30,0),"GY",H64=TIME(5,30,0),"GY",H64=TIME(6,0,0),"GD",H64=TIME(6,30,0),"GD",H64=TIME(8,0,0),"GY",H64=TIME(6,15,0),"GD"),"")</f>
        <v>GD</v>
      </c>
      <c r="EE64"/>
    </row>
    <row r="65" spans="1:135" x14ac:dyDescent="0.45">
      <c r="A65" s="14" t="s">
        <v>63</v>
      </c>
      <c r="B65" s="14"/>
      <c r="C65" s="14" t="s">
        <v>4910</v>
      </c>
      <c r="D65" s="14" t="s">
        <v>4911</v>
      </c>
      <c r="E65" s="100" t="s">
        <v>3817</v>
      </c>
      <c r="F65" s="14" t="s">
        <v>65</v>
      </c>
      <c r="G65" s="4">
        <v>46296</v>
      </c>
      <c r="H65" s="5">
        <v>0.27083333333333326</v>
      </c>
      <c r="I65" s="91">
        <v>46288</v>
      </c>
      <c r="J65" s="91"/>
      <c r="K65" s="91">
        <v>46285</v>
      </c>
      <c r="L65" s="14" t="s">
        <v>6211</v>
      </c>
      <c r="M65" s="14" t="s">
        <v>3819</v>
      </c>
      <c r="N65" s="14" t="s">
        <v>4912</v>
      </c>
      <c r="O65" s="29" t="s">
        <v>3867</v>
      </c>
      <c r="P65" s="14"/>
      <c r="Q65" s="29">
        <v>46253</v>
      </c>
      <c r="R65" s="14">
        <v>726</v>
      </c>
      <c r="S65" s="14" t="s">
        <v>3823</v>
      </c>
      <c r="T65" s="14">
        <v>13471</v>
      </c>
      <c r="U65" s="14" t="s">
        <v>4917</v>
      </c>
      <c r="V65" s="14" t="s">
        <v>4918</v>
      </c>
      <c r="W65" s="14">
        <v>7358.3239999999996</v>
      </c>
      <c r="X65" s="14">
        <v>46278</v>
      </c>
      <c r="Y65" s="14">
        <v>46276</v>
      </c>
      <c r="Z65" s="29"/>
      <c r="AA65" s="29" t="s">
        <v>3826</v>
      </c>
      <c r="AB65" s="29" t="s">
        <v>3827</v>
      </c>
      <c r="AC65" s="14" t="s">
        <v>4915</v>
      </c>
      <c r="AD65" s="29" t="s">
        <v>4434</v>
      </c>
      <c r="AE65" s="29" t="s">
        <v>4741</v>
      </c>
      <c r="AF65" s="29" t="s">
        <v>3831</v>
      </c>
      <c r="AG65" s="29" t="s">
        <v>3832</v>
      </c>
      <c r="AH65" s="29" t="s">
        <v>3908</v>
      </c>
      <c r="AI65" s="29" t="s">
        <v>3834</v>
      </c>
      <c r="AJ65" s="29" t="s">
        <v>3956</v>
      </c>
      <c r="AK65" s="29" t="s">
        <v>3832</v>
      </c>
      <c r="AL65" s="29"/>
      <c r="AM65" s="14" t="s">
        <v>4916</v>
      </c>
      <c r="AN65" s="14"/>
      <c r="AO65" s="14">
        <v>46288</v>
      </c>
      <c r="AP65" s="14"/>
      <c r="AQ65" s="14" t="s">
        <v>4037</v>
      </c>
      <c r="AR65" s="14"/>
      <c r="AS65" s="14" t="s">
        <v>3961</v>
      </c>
      <c r="AT65" s="14">
        <v>46299</v>
      </c>
      <c r="AU65" s="14"/>
      <c r="AV65" s="14">
        <v>46303</v>
      </c>
      <c r="AW65" s="29" t="s">
        <v>3839</v>
      </c>
      <c r="AX65" s="29"/>
      <c r="AY65" s="29"/>
      <c r="AZ65" s="29"/>
      <c r="BA65" s="29"/>
      <c r="BB65" s="29"/>
      <c r="BC65" s="29" t="s">
        <v>63</v>
      </c>
      <c r="BD65" s="29"/>
      <c r="BE65" s="29" t="s">
        <v>4910</v>
      </c>
      <c r="BF65" s="29" t="s">
        <v>4911</v>
      </c>
      <c r="BG65" s="29" t="s">
        <v>3817</v>
      </c>
      <c r="BH65" s="29"/>
      <c r="BI65" s="29"/>
      <c r="BJ65" s="29"/>
      <c r="BK65" s="29"/>
      <c r="BL65" s="29"/>
      <c r="BM65" s="29"/>
      <c r="BN65" s="29"/>
      <c r="CW65" s="6" t="str" cm="1">
        <f t="array" ref="CW65">IFERROR(_xlfn.IFS(H65=TIME(7,0,0),"GY",H65=TIME(7,30,0),"GY",H65=TIME(9,0,0),"GY",H65=TIME(15,0,0),"GY",H65=TIME(8,30,0),"GY",H65=TIME(5,30,0),"GY",H65=TIME(6,0,0),"GD",H65=TIME(6,30,0),"GD",H65=TIME(8,0,0),"GY",H65=TIME(6,15,0),"GD"),"")</f>
        <v>GD</v>
      </c>
      <c r="EE65"/>
    </row>
    <row r="66" spans="1:135" x14ac:dyDescent="0.45">
      <c r="A66" s="3" t="s">
        <v>32</v>
      </c>
      <c r="B66" s="3" t="s">
        <v>3814</v>
      </c>
      <c r="C66" s="3" t="s">
        <v>4817</v>
      </c>
      <c r="D66" s="3" t="s">
        <v>4818</v>
      </c>
      <c r="E66" s="100" t="s">
        <v>3817</v>
      </c>
      <c r="F66" s="3" t="s">
        <v>157</v>
      </c>
      <c r="G66" s="4">
        <v>46295</v>
      </c>
      <c r="H66" s="5">
        <v>0.35416666666666674</v>
      </c>
      <c r="I66" s="91">
        <v>46287</v>
      </c>
      <c r="J66" s="91"/>
      <c r="K66" s="91">
        <v>46286</v>
      </c>
      <c r="L66" s="3" t="s">
        <v>6113</v>
      </c>
      <c r="M66" s="3" t="s">
        <v>3819</v>
      </c>
      <c r="N66" s="3" t="s">
        <v>4819</v>
      </c>
      <c r="O66" t="s">
        <v>3867</v>
      </c>
      <c r="P66" s="3" t="s">
        <v>4820</v>
      </c>
      <c r="Q66">
        <v>46247</v>
      </c>
      <c r="R66" s="3">
        <v>726</v>
      </c>
      <c r="S66" s="3" t="s">
        <v>3823</v>
      </c>
      <c r="T66" s="3">
        <v>44</v>
      </c>
      <c r="U66" s="3" t="s">
        <v>4821</v>
      </c>
      <c r="V66" s="3" t="s">
        <v>4822</v>
      </c>
      <c r="W66" s="3">
        <v>961.78</v>
      </c>
      <c r="X66" s="3">
        <v>46272</v>
      </c>
      <c r="Y66" s="3">
        <v>46270</v>
      </c>
      <c r="AA66" t="s">
        <v>3826</v>
      </c>
      <c r="AB66" t="s">
        <v>3827</v>
      </c>
      <c r="AC66" s="3" t="s">
        <v>4823</v>
      </c>
      <c r="AD66" t="s">
        <v>4710</v>
      </c>
      <c r="AE66" t="s">
        <v>4815</v>
      </c>
      <c r="AF66" t="s">
        <v>3831</v>
      </c>
      <c r="AG66" t="s">
        <v>3832</v>
      </c>
      <c r="AH66" t="s">
        <v>3833</v>
      </c>
      <c r="AI66" t="s">
        <v>3834</v>
      </c>
      <c r="AJ66" t="s">
        <v>3835</v>
      </c>
      <c r="AK66" t="s">
        <v>3832</v>
      </c>
      <c r="AM66" s="3" t="s">
        <v>4824</v>
      </c>
      <c r="AN66" s="3"/>
      <c r="AO66" s="3">
        <v>46287</v>
      </c>
      <c r="AP66" s="3"/>
      <c r="AQ66" s="3" t="s">
        <v>3837</v>
      </c>
      <c r="AR66" s="3" t="s">
        <v>3814</v>
      </c>
      <c r="AS66" s="3"/>
      <c r="AT66" s="3">
        <v>46300</v>
      </c>
      <c r="AU66" s="3">
        <v>46332</v>
      </c>
      <c r="AV66" s="3"/>
      <c r="AW66" t="s">
        <v>3839</v>
      </c>
      <c r="BC66" t="s">
        <v>32</v>
      </c>
      <c r="BD66" t="s">
        <v>3814</v>
      </c>
      <c r="BE66" t="s">
        <v>4817</v>
      </c>
      <c r="BF66" t="s">
        <v>4818</v>
      </c>
      <c r="BG66" t="s">
        <v>3817</v>
      </c>
      <c r="CW66" s="6" t="str" cm="1">
        <f t="array" ref="CW66">IFERROR(_xlfn.IFS(H66=TIME(7,0,0),"GY",H66=TIME(7,30,0),"GY",H66=TIME(9,0,0),"GY",H66=TIME(15,0,0),"GY",H66=TIME(8,30,0),"GY",H66=TIME(5,30,0),"GY",H66=TIME(6,0,0),"GD",H66=TIME(6,30,0),"GD",H66=TIME(8,0,0),"GY",H66=TIME(6,15,0),"GD"),"")</f>
        <v>GY</v>
      </c>
      <c r="EE66"/>
    </row>
    <row r="67" spans="1:135" x14ac:dyDescent="0.45">
      <c r="A67" s="3" t="s">
        <v>18</v>
      </c>
      <c r="B67" s="3"/>
      <c r="C67" s="3" t="s">
        <v>5106</v>
      </c>
      <c r="D67" s="3" t="s">
        <v>5107</v>
      </c>
      <c r="E67" s="100" t="s">
        <v>3817</v>
      </c>
      <c r="F67" s="3" t="s">
        <v>33</v>
      </c>
      <c r="G67" s="4">
        <v>46295</v>
      </c>
      <c r="H67" s="5">
        <v>0.27083333333333326</v>
      </c>
      <c r="I67" s="91">
        <v>46287</v>
      </c>
      <c r="J67" s="91"/>
      <c r="K67" s="91">
        <v>46285</v>
      </c>
      <c r="L67" s="3" t="s">
        <v>6215</v>
      </c>
      <c r="M67" s="3" t="s">
        <v>3819</v>
      </c>
      <c r="N67" s="3" t="s">
        <v>5108</v>
      </c>
      <c r="O67" t="s">
        <v>3867</v>
      </c>
      <c r="P67" s="3"/>
      <c r="Q67">
        <v>46258</v>
      </c>
      <c r="R67" s="3">
        <v>726</v>
      </c>
      <c r="S67" s="3" t="s">
        <v>3823</v>
      </c>
      <c r="T67" s="3">
        <v>12555</v>
      </c>
      <c r="U67" s="3" t="s">
        <v>5109</v>
      </c>
      <c r="V67" s="3" t="s">
        <v>5110</v>
      </c>
      <c r="W67" s="3">
        <v>8846.6049999999996</v>
      </c>
      <c r="X67" s="3">
        <v>46278</v>
      </c>
      <c r="Y67" s="3">
        <v>46276</v>
      </c>
      <c r="AA67" t="s">
        <v>3826</v>
      </c>
      <c r="AB67" t="s">
        <v>3827</v>
      </c>
      <c r="AC67" s="3" t="s">
        <v>5111</v>
      </c>
      <c r="AD67" t="s">
        <v>4434</v>
      </c>
      <c r="AE67" t="s">
        <v>4741</v>
      </c>
      <c r="AF67" t="s">
        <v>3831</v>
      </c>
      <c r="AG67" t="s">
        <v>3832</v>
      </c>
      <c r="AH67" t="s">
        <v>3908</v>
      </c>
      <c r="AI67" t="s">
        <v>3834</v>
      </c>
      <c r="AJ67" t="s">
        <v>3956</v>
      </c>
      <c r="AK67" t="s">
        <v>3832</v>
      </c>
      <c r="AM67" s="3" t="s">
        <v>5272</v>
      </c>
      <c r="AN67" s="3"/>
      <c r="AO67" s="3">
        <v>46287</v>
      </c>
      <c r="AP67" s="3"/>
      <c r="AQ67" s="3" t="s">
        <v>4037</v>
      </c>
      <c r="AR67" s="3"/>
      <c r="AS67" s="3" t="s">
        <v>3961</v>
      </c>
      <c r="AT67" s="3">
        <v>46299</v>
      </c>
      <c r="AU67" s="3"/>
      <c r="AV67" s="3">
        <v>46302</v>
      </c>
      <c r="AW67" t="s">
        <v>3839</v>
      </c>
      <c r="BC67" t="s">
        <v>18</v>
      </c>
      <c r="BE67" t="s">
        <v>5106</v>
      </c>
      <c r="BF67" t="s">
        <v>5107</v>
      </c>
      <c r="BG67" t="s">
        <v>3817</v>
      </c>
      <c r="CW67" s="6" t="str" cm="1">
        <f t="array" ref="CW67">IFERROR(_xlfn.IFS(H67=TIME(7,0,0),"GY",H67=TIME(7,30,0),"GY",H67=TIME(9,0,0),"GY",H67=TIME(15,0,0),"GY",H67=TIME(8,30,0),"GY",H67=TIME(5,30,0),"GY",H67=TIME(6,0,0),"GD",H67=TIME(6,30,0),"GD",H67=TIME(8,0,0),"GY",H67=TIME(6,15,0),"GD"),"")</f>
        <v>GD</v>
      </c>
      <c r="EE67"/>
    </row>
    <row r="68" spans="1:135" x14ac:dyDescent="0.45">
      <c r="A68" s="3" t="s">
        <v>18</v>
      </c>
      <c r="B68" s="3"/>
      <c r="C68" s="3" t="s">
        <v>5106</v>
      </c>
      <c r="D68" s="3" t="s">
        <v>5107</v>
      </c>
      <c r="E68" s="100" t="s">
        <v>3817</v>
      </c>
      <c r="F68" s="3" t="s">
        <v>810</v>
      </c>
      <c r="G68" s="4">
        <v>46295</v>
      </c>
      <c r="H68" s="5">
        <v>0.27083333333333326</v>
      </c>
      <c r="I68" s="91">
        <v>46287</v>
      </c>
      <c r="J68" s="91"/>
      <c r="K68" s="91">
        <v>46285</v>
      </c>
      <c r="L68" s="3" t="s">
        <v>6215</v>
      </c>
      <c r="M68" s="3" t="s">
        <v>3819</v>
      </c>
      <c r="N68" s="3" t="s">
        <v>5108</v>
      </c>
      <c r="O68" t="s">
        <v>3867</v>
      </c>
      <c r="P68" s="3"/>
      <c r="Q68">
        <v>46258</v>
      </c>
      <c r="R68" s="3">
        <v>726</v>
      </c>
      <c r="S68" s="3" t="s">
        <v>3823</v>
      </c>
      <c r="T68" s="3">
        <v>2276</v>
      </c>
      <c r="U68" s="3" t="s">
        <v>5112</v>
      </c>
      <c r="V68" s="3" t="s">
        <v>5113</v>
      </c>
      <c r="W68" s="3">
        <v>652.57600000000002</v>
      </c>
      <c r="X68" s="3">
        <v>46278</v>
      </c>
      <c r="Y68" s="3">
        <v>46276</v>
      </c>
      <c r="AA68" t="s">
        <v>3826</v>
      </c>
      <c r="AB68" t="s">
        <v>3827</v>
      </c>
      <c r="AC68" s="3" t="s">
        <v>5111</v>
      </c>
      <c r="AD68" t="s">
        <v>4434</v>
      </c>
      <c r="AE68" t="s">
        <v>4741</v>
      </c>
      <c r="AF68" t="s">
        <v>3831</v>
      </c>
      <c r="AG68" t="s">
        <v>3832</v>
      </c>
      <c r="AH68" t="s">
        <v>3908</v>
      </c>
      <c r="AI68" t="s">
        <v>3834</v>
      </c>
      <c r="AJ68" t="s">
        <v>3956</v>
      </c>
      <c r="AK68" t="s">
        <v>3832</v>
      </c>
      <c r="AM68" s="3" t="s">
        <v>5272</v>
      </c>
      <c r="AN68" s="3"/>
      <c r="AO68" s="3">
        <v>46287</v>
      </c>
      <c r="AP68" s="3"/>
      <c r="AQ68" s="3" t="s">
        <v>4037</v>
      </c>
      <c r="AR68" s="3"/>
      <c r="AS68" s="3" t="s">
        <v>3961</v>
      </c>
      <c r="AT68" s="3">
        <v>46299</v>
      </c>
      <c r="AU68" s="3"/>
      <c r="AV68" s="3">
        <v>46302</v>
      </c>
      <c r="AW68" t="s">
        <v>3839</v>
      </c>
      <c r="BC68" t="s">
        <v>18</v>
      </c>
      <c r="BE68" t="s">
        <v>5106</v>
      </c>
      <c r="BF68" t="s">
        <v>5107</v>
      </c>
      <c r="BG68" t="s">
        <v>3817</v>
      </c>
      <c r="CW68" s="6" t="str" cm="1">
        <f t="array" ref="CW68">IFERROR(_xlfn.IFS(H68=TIME(7,0,0),"GY",H68=TIME(7,30,0),"GY",H68=TIME(9,0,0),"GY",H68=TIME(15,0,0),"GY",H68=TIME(8,30,0),"GY",H68=TIME(5,30,0),"GY",H68=TIME(6,0,0),"GD",H68=TIME(6,30,0),"GD",H68=TIME(8,0,0),"GY",H68=TIME(6,15,0),"GD"),"")</f>
        <v>GD</v>
      </c>
      <c r="EE68"/>
    </row>
    <row r="69" spans="1:135" x14ac:dyDescent="0.45">
      <c r="A69" s="3" t="s">
        <v>32</v>
      </c>
      <c r="B69" s="3" t="s">
        <v>3814</v>
      </c>
      <c r="C69" s="3" t="s">
        <v>4809</v>
      </c>
      <c r="D69" s="3" t="s">
        <v>4810</v>
      </c>
      <c r="E69" s="100" t="s">
        <v>3817</v>
      </c>
      <c r="F69" s="3" t="s">
        <v>156</v>
      </c>
      <c r="G69" s="4">
        <v>46294</v>
      </c>
      <c r="H69" s="5">
        <v>0.35416666666666674</v>
      </c>
      <c r="I69" s="91">
        <v>46287</v>
      </c>
      <c r="J69" s="91"/>
      <c r="K69" s="91">
        <v>46286</v>
      </c>
      <c r="L69" s="3" t="s">
        <v>6115</v>
      </c>
      <c r="M69" s="3" t="s">
        <v>3819</v>
      </c>
      <c r="N69" s="3" t="s">
        <v>4811</v>
      </c>
      <c r="O69" t="s">
        <v>3867</v>
      </c>
      <c r="P69" s="3" t="s">
        <v>3822</v>
      </c>
      <c r="Q69">
        <v>46246</v>
      </c>
      <c r="R69" s="3">
        <v>726</v>
      </c>
      <c r="S69" s="3" t="s">
        <v>3823</v>
      </c>
      <c r="T69" s="3">
        <v>129</v>
      </c>
      <c r="U69" s="3" t="s">
        <v>4812</v>
      </c>
      <c r="V69" s="3" t="s">
        <v>4813</v>
      </c>
      <c r="W69" s="3">
        <v>2576.9499999999998</v>
      </c>
      <c r="X69" s="3">
        <v>46272</v>
      </c>
      <c r="Y69" s="3">
        <v>46270</v>
      </c>
      <c r="AA69" t="s">
        <v>3826</v>
      </c>
      <c r="AB69" t="s">
        <v>3827</v>
      </c>
      <c r="AC69" s="3" t="s">
        <v>4814</v>
      </c>
      <c r="AD69" t="s">
        <v>4710</v>
      </c>
      <c r="AE69" t="s">
        <v>4815</v>
      </c>
      <c r="AF69" t="s">
        <v>3831</v>
      </c>
      <c r="AG69" t="s">
        <v>3832</v>
      </c>
      <c r="AH69" t="s">
        <v>3833</v>
      </c>
      <c r="AI69" t="s">
        <v>3834</v>
      </c>
      <c r="AJ69" t="s">
        <v>3835</v>
      </c>
      <c r="AK69" t="s">
        <v>3832</v>
      </c>
      <c r="AM69" s="3" t="s">
        <v>4816</v>
      </c>
      <c r="AN69" s="3"/>
      <c r="AO69" s="3">
        <v>46286</v>
      </c>
      <c r="AP69" s="3"/>
      <c r="AQ69" s="3" t="s">
        <v>3837</v>
      </c>
      <c r="AR69" s="3" t="s">
        <v>3814</v>
      </c>
      <c r="AS69" s="3"/>
      <c r="AT69" s="3">
        <v>46300</v>
      </c>
      <c r="AU69" s="3">
        <v>46332</v>
      </c>
      <c r="AV69" s="3"/>
      <c r="AW69" t="s">
        <v>3839</v>
      </c>
      <c r="BC69" t="s">
        <v>32</v>
      </c>
      <c r="BD69" t="s">
        <v>3814</v>
      </c>
      <c r="BE69" t="s">
        <v>4809</v>
      </c>
      <c r="BF69" t="s">
        <v>4810</v>
      </c>
      <c r="BG69" t="s">
        <v>3817</v>
      </c>
      <c r="CW69" s="6" t="str" cm="1">
        <f t="array" ref="CW69">IFERROR(_xlfn.IFS(H69=TIME(7,0,0),"GY",H69=TIME(7,30,0),"GY",H69=TIME(9,0,0),"GY",H69=TIME(15,0,0),"GY",H69=TIME(8,30,0),"GY",H69=TIME(5,30,0),"GY",H69=TIME(6,0,0),"GD",H69=TIME(6,30,0),"GD",H69=TIME(8,0,0),"GY",H69=TIME(6,15,0),"GD"),"")</f>
        <v>GY</v>
      </c>
      <c r="EE69"/>
    </row>
    <row r="70" spans="1:135" x14ac:dyDescent="0.45">
      <c r="A70" s="3" t="s">
        <v>32</v>
      </c>
      <c r="B70" s="3" t="s">
        <v>3814</v>
      </c>
      <c r="C70" s="3" t="s">
        <v>4825</v>
      </c>
      <c r="D70" s="3" t="s">
        <v>4826</v>
      </c>
      <c r="E70" s="100" t="s">
        <v>3817</v>
      </c>
      <c r="F70" s="3" t="s">
        <v>244</v>
      </c>
      <c r="G70" s="4">
        <v>46294</v>
      </c>
      <c r="H70" s="5">
        <v>0.35416666666666674</v>
      </c>
      <c r="I70" s="91">
        <v>46287</v>
      </c>
      <c r="J70" s="91"/>
      <c r="K70" s="91">
        <v>46286</v>
      </c>
      <c r="L70" s="3" t="s">
        <v>6114</v>
      </c>
      <c r="M70" s="3" t="s">
        <v>3819</v>
      </c>
      <c r="N70" s="3" t="s">
        <v>4827</v>
      </c>
      <c r="O70" t="s">
        <v>3867</v>
      </c>
      <c r="P70" s="3" t="s">
        <v>3822</v>
      </c>
      <c r="Q70">
        <v>46250</v>
      </c>
      <c r="R70" s="3">
        <v>726</v>
      </c>
      <c r="S70" s="3" t="s">
        <v>3823</v>
      </c>
      <c r="T70" s="3">
        <v>162</v>
      </c>
      <c r="U70" s="3" t="s">
        <v>4828</v>
      </c>
      <c r="V70" s="3" t="s">
        <v>4829</v>
      </c>
      <c r="W70" s="3">
        <v>3882.55</v>
      </c>
      <c r="X70" s="3">
        <v>46272</v>
      </c>
      <c r="Y70" s="3">
        <v>46270</v>
      </c>
      <c r="AA70" t="s">
        <v>3826</v>
      </c>
      <c r="AB70" t="s">
        <v>3827</v>
      </c>
      <c r="AC70" s="3" t="s">
        <v>4830</v>
      </c>
      <c r="AD70" t="s">
        <v>4710</v>
      </c>
      <c r="AE70" t="s">
        <v>4815</v>
      </c>
      <c r="AF70" t="s">
        <v>3831</v>
      </c>
      <c r="AG70" t="s">
        <v>3832</v>
      </c>
      <c r="AH70" t="s">
        <v>3833</v>
      </c>
      <c r="AI70" t="s">
        <v>3834</v>
      </c>
      <c r="AJ70" t="s">
        <v>3835</v>
      </c>
      <c r="AK70" t="s">
        <v>3832</v>
      </c>
      <c r="AM70" s="3" t="s">
        <v>4831</v>
      </c>
      <c r="AN70" s="3"/>
      <c r="AO70" s="3">
        <v>46287</v>
      </c>
      <c r="AP70" s="3"/>
      <c r="AQ70" s="3" t="s">
        <v>3837</v>
      </c>
      <c r="AR70" s="3" t="s">
        <v>3814</v>
      </c>
      <c r="AS70" s="3"/>
      <c r="AT70" s="3">
        <v>46300</v>
      </c>
      <c r="AU70" s="3">
        <v>46332</v>
      </c>
      <c r="AV70" s="3"/>
      <c r="AW70" t="s">
        <v>3839</v>
      </c>
      <c r="BC70" t="s">
        <v>32</v>
      </c>
      <c r="BD70" t="s">
        <v>3814</v>
      </c>
      <c r="BE70" t="s">
        <v>4825</v>
      </c>
      <c r="BF70" t="s">
        <v>4826</v>
      </c>
      <c r="BG70" t="s">
        <v>3817</v>
      </c>
      <c r="CW70" s="6" t="str" cm="1">
        <f t="array" ref="CW70">IFERROR(_xlfn.IFS(H70=TIME(7,0,0),"GY",H70=TIME(7,30,0),"GY",H70=TIME(9,0,0),"GY",H70=TIME(15,0,0),"GY",H70=TIME(8,30,0),"GY",H70=TIME(5,30,0),"GY",H70=TIME(6,0,0),"GD",H70=TIME(6,30,0),"GD",H70=TIME(8,0,0),"GY",H70=TIME(6,15,0),"GD"),"")</f>
        <v>GY</v>
      </c>
      <c r="EE70"/>
    </row>
    <row r="71" spans="1:135" x14ac:dyDescent="0.45">
      <c r="A71" s="3" t="s">
        <v>63</v>
      </c>
      <c r="B71" s="3"/>
      <c r="C71" s="3" t="s">
        <v>4919</v>
      </c>
      <c r="D71" s="3" t="s">
        <v>4920</v>
      </c>
      <c r="E71" s="100" t="s">
        <v>3817</v>
      </c>
      <c r="F71" s="3" t="s">
        <v>227</v>
      </c>
      <c r="G71" s="4">
        <v>46294</v>
      </c>
      <c r="H71" s="5">
        <v>0.27083333333333326</v>
      </c>
      <c r="I71" s="91">
        <v>46288</v>
      </c>
      <c r="J71" s="91"/>
      <c r="K71" s="91">
        <v>46285</v>
      </c>
      <c r="L71" s="3" t="s">
        <v>6214</v>
      </c>
      <c r="M71" s="3" t="s">
        <v>3819</v>
      </c>
      <c r="N71" s="3" t="s">
        <v>4921</v>
      </c>
      <c r="O71" t="s">
        <v>3867</v>
      </c>
      <c r="P71" s="3" t="s">
        <v>4030</v>
      </c>
      <c r="Q71">
        <v>46258</v>
      </c>
      <c r="R71" s="3">
        <v>726</v>
      </c>
      <c r="S71" s="3" t="s">
        <v>3823</v>
      </c>
      <c r="T71" s="3">
        <v>5919</v>
      </c>
      <c r="U71" s="3" t="s">
        <v>4922</v>
      </c>
      <c r="V71" s="3" t="s">
        <v>4923</v>
      </c>
      <c r="W71" s="3">
        <v>1368.009</v>
      </c>
      <c r="X71" s="3">
        <v>46271</v>
      </c>
      <c r="Y71" s="3">
        <v>46269</v>
      </c>
      <c r="AA71" t="s">
        <v>3826</v>
      </c>
      <c r="AB71" t="s">
        <v>3827</v>
      </c>
      <c r="AC71" s="3" t="s">
        <v>4924</v>
      </c>
      <c r="AD71" t="s">
        <v>4434</v>
      </c>
      <c r="AE71" t="s">
        <v>4741</v>
      </c>
      <c r="AF71" t="s">
        <v>3831</v>
      </c>
      <c r="AG71" t="s">
        <v>3832</v>
      </c>
      <c r="AH71" t="s">
        <v>3908</v>
      </c>
      <c r="AI71" t="s">
        <v>3834</v>
      </c>
      <c r="AJ71" t="s">
        <v>3956</v>
      </c>
      <c r="AK71" t="s">
        <v>3832</v>
      </c>
      <c r="AM71" s="3" t="s">
        <v>4925</v>
      </c>
      <c r="AN71" s="3"/>
      <c r="AO71" s="3">
        <v>46288</v>
      </c>
      <c r="AP71" s="3"/>
      <c r="AQ71" s="3" t="s">
        <v>4037</v>
      </c>
      <c r="AR71" s="3"/>
      <c r="AS71" s="3" t="s">
        <v>3961</v>
      </c>
      <c r="AT71" s="3">
        <v>46299</v>
      </c>
      <c r="AU71" s="3"/>
      <c r="AV71" s="3">
        <v>46303</v>
      </c>
      <c r="AW71" t="s">
        <v>3839</v>
      </c>
      <c r="BC71" t="s">
        <v>63</v>
      </c>
      <c r="BE71" t="s">
        <v>4919</v>
      </c>
      <c r="BF71" t="s">
        <v>4920</v>
      </c>
      <c r="BG71" t="s">
        <v>3817</v>
      </c>
      <c r="CW71" s="6" t="str" cm="1">
        <f t="array" ref="CW71">IFERROR(_xlfn.IFS(H71=TIME(7,0,0),"GY",H71=TIME(7,30,0),"GY",H71=TIME(9,0,0),"GY",H71=TIME(15,0,0),"GY",H71=TIME(8,30,0),"GY",H71=TIME(5,30,0),"GY",H71=TIME(6,0,0),"GD",H71=TIME(6,30,0),"GD",H71=TIME(8,0,0),"GY",H71=TIME(6,15,0),"GD"),"")</f>
        <v>GD</v>
      </c>
      <c r="EE71"/>
    </row>
    <row r="72" spans="1:135" x14ac:dyDescent="0.45">
      <c r="A72" s="3" t="s">
        <v>63</v>
      </c>
      <c r="B72" s="3"/>
      <c r="C72" s="3" t="s">
        <v>4919</v>
      </c>
      <c r="D72" s="3" t="s">
        <v>4920</v>
      </c>
      <c r="E72" s="100" t="s">
        <v>3817</v>
      </c>
      <c r="F72" s="3" t="s">
        <v>80</v>
      </c>
      <c r="G72" s="4">
        <v>46294</v>
      </c>
      <c r="H72" s="5">
        <v>0.27083333333333326</v>
      </c>
      <c r="I72" s="91">
        <v>46288</v>
      </c>
      <c r="J72" s="91"/>
      <c r="K72" s="91">
        <v>46285</v>
      </c>
      <c r="L72" s="3" t="s">
        <v>6214</v>
      </c>
      <c r="M72" s="3" t="s">
        <v>3819</v>
      </c>
      <c r="N72" s="3" t="s">
        <v>4921</v>
      </c>
      <c r="O72" t="s">
        <v>3867</v>
      </c>
      <c r="P72" s="3" t="s">
        <v>4030</v>
      </c>
      <c r="Q72">
        <v>46258</v>
      </c>
      <c r="R72" s="3">
        <v>726</v>
      </c>
      <c r="S72" s="3" t="s">
        <v>3823</v>
      </c>
      <c r="T72" s="3">
        <v>16561</v>
      </c>
      <c r="U72" s="3" t="s">
        <v>4926</v>
      </c>
      <c r="V72" s="3" t="s">
        <v>4927</v>
      </c>
      <c r="W72" s="3">
        <v>7678.9790000000003</v>
      </c>
      <c r="X72" s="3">
        <v>46271</v>
      </c>
      <c r="Y72" s="3">
        <v>46269</v>
      </c>
      <c r="AA72" t="s">
        <v>3826</v>
      </c>
      <c r="AB72" t="s">
        <v>3827</v>
      </c>
      <c r="AC72" s="3" t="s">
        <v>4924</v>
      </c>
      <c r="AD72" t="s">
        <v>4434</v>
      </c>
      <c r="AE72" t="s">
        <v>4741</v>
      </c>
      <c r="AF72" t="s">
        <v>3831</v>
      </c>
      <c r="AG72" t="s">
        <v>3832</v>
      </c>
      <c r="AH72" t="s">
        <v>3908</v>
      </c>
      <c r="AI72" t="s">
        <v>3834</v>
      </c>
      <c r="AJ72" t="s">
        <v>3956</v>
      </c>
      <c r="AK72" t="s">
        <v>3832</v>
      </c>
      <c r="AM72" s="3" t="s">
        <v>4925</v>
      </c>
      <c r="AN72" s="3"/>
      <c r="AO72" s="3">
        <v>46288</v>
      </c>
      <c r="AP72" s="3"/>
      <c r="AQ72" s="3" t="s">
        <v>4037</v>
      </c>
      <c r="AR72" s="3"/>
      <c r="AS72" s="3" t="s">
        <v>3961</v>
      </c>
      <c r="AT72" s="3">
        <v>46299</v>
      </c>
      <c r="AU72" s="3"/>
      <c r="AV72" s="3">
        <v>46303</v>
      </c>
      <c r="AW72" t="s">
        <v>3839</v>
      </c>
      <c r="BC72" t="s">
        <v>63</v>
      </c>
      <c r="BE72" t="s">
        <v>4919</v>
      </c>
      <c r="BF72" t="s">
        <v>4920</v>
      </c>
      <c r="BG72" t="s">
        <v>3817</v>
      </c>
      <c r="CW72" s="6" t="str" cm="1">
        <f t="array" ref="CW72">IFERROR(_xlfn.IFS(H72=TIME(7,0,0),"GY",H72=TIME(7,30,0),"GY",H72=TIME(9,0,0),"GY",H72=TIME(15,0,0),"GY",H72=TIME(8,30,0),"GY",H72=TIME(5,30,0),"GY",H72=TIME(6,0,0),"GD",H72=TIME(6,30,0),"GD",H72=TIME(8,0,0),"GY",H72=TIME(6,15,0),"GD"),"")</f>
        <v>GD</v>
      </c>
      <c r="EE72"/>
    </row>
    <row r="73" spans="1:135" x14ac:dyDescent="0.45">
      <c r="A73" s="3" t="s">
        <v>32</v>
      </c>
      <c r="B73" s="3" t="s">
        <v>0</v>
      </c>
      <c r="C73" s="3" t="s">
        <v>4841</v>
      </c>
      <c r="D73" s="3" t="s">
        <v>4842</v>
      </c>
      <c r="E73" s="100" t="s">
        <v>3947</v>
      </c>
      <c r="F73" s="3" t="s">
        <v>769</v>
      </c>
      <c r="G73" s="4">
        <v>46293</v>
      </c>
      <c r="H73" s="5">
        <v>0.27083333333333326</v>
      </c>
      <c r="I73" s="91">
        <v>46286</v>
      </c>
      <c r="J73" s="91"/>
      <c r="K73" s="91">
        <v>46286</v>
      </c>
      <c r="L73" s="3" t="s">
        <v>6129</v>
      </c>
      <c r="M73" s="3" t="s">
        <v>3819</v>
      </c>
      <c r="N73" s="3" t="s">
        <v>4843</v>
      </c>
      <c r="O73" t="s">
        <v>3867</v>
      </c>
      <c r="P73" s="3"/>
      <c r="Q73">
        <v>46234</v>
      </c>
      <c r="R73" s="3">
        <v>726</v>
      </c>
      <c r="S73" s="3" t="s">
        <v>3823</v>
      </c>
      <c r="T73" s="3">
        <v>5296</v>
      </c>
      <c r="U73" s="3" t="s">
        <v>4844</v>
      </c>
      <c r="V73" s="3" t="s">
        <v>4845</v>
      </c>
      <c r="W73" s="3">
        <v>1399.62</v>
      </c>
      <c r="X73" s="3">
        <v>46269</v>
      </c>
      <c r="Y73" s="3">
        <v>46267</v>
      </c>
      <c r="AA73" t="s">
        <v>3826</v>
      </c>
      <c r="AB73" t="s">
        <v>3827</v>
      </c>
      <c r="AC73" s="3" t="s">
        <v>4846</v>
      </c>
      <c r="AD73" t="s">
        <v>4847</v>
      </c>
      <c r="AE73" t="s">
        <v>4035</v>
      </c>
      <c r="AF73" t="s">
        <v>4705</v>
      </c>
      <c r="AG73" t="s">
        <v>3832</v>
      </c>
      <c r="AH73" t="s">
        <v>4706</v>
      </c>
      <c r="AI73" t="s">
        <v>3834</v>
      </c>
      <c r="AJ73" t="s">
        <v>3835</v>
      </c>
      <c r="AK73" t="s">
        <v>3832</v>
      </c>
      <c r="AM73" s="3" t="s">
        <v>4848</v>
      </c>
      <c r="AN73" s="3"/>
      <c r="AO73" s="3">
        <v>46286</v>
      </c>
      <c r="AP73" s="3"/>
      <c r="AQ73" s="3" t="s">
        <v>3837</v>
      </c>
      <c r="AR73" s="3"/>
      <c r="AS73" s="3"/>
      <c r="AT73" s="3">
        <v>46300</v>
      </c>
      <c r="AU73" s="3">
        <v>46331</v>
      </c>
      <c r="AV73" s="3"/>
      <c r="AW73" t="s">
        <v>3839</v>
      </c>
      <c r="BC73" t="s">
        <v>32</v>
      </c>
      <c r="BD73" t="s">
        <v>0</v>
      </c>
      <c r="BE73" t="s">
        <v>4841</v>
      </c>
      <c r="BF73" t="s">
        <v>4842</v>
      </c>
      <c r="BG73" t="s">
        <v>3947</v>
      </c>
      <c r="CW73" s="6" t="str" cm="1">
        <f t="array" ref="CW73">IFERROR(_xlfn.IFS(H73=TIME(7,0,0),"GY",H73=TIME(7,30,0),"GY",H73=TIME(9,0,0),"GY",H73=TIME(15,0,0),"GY",H73=TIME(8,30,0),"GY",H73=TIME(5,30,0),"GY",H73=TIME(6,0,0),"GD",H73=TIME(6,30,0),"GD",H73=TIME(8,0,0),"GY",H73=TIME(6,15,0),"GD"),"")</f>
        <v>GD</v>
      </c>
      <c r="EE73"/>
    </row>
    <row r="74" spans="1:135" x14ac:dyDescent="0.45">
      <c r="A74" s="3" t="s">
        <v>18</v>
      </c>
      <c r="B74" s="3" t="s">
        <v>0</v>
      </c>
      <c r="C74" s="3" t="s">
        <v>4832</v>
      </c>
      <c r="D74" s="3" t="s">
        <v>4833</v>
      </c>
      <c r="E74" s="100" t="s">
        <v>3817</v>
      </c>
      <c r="F74" s="3" t="s">
        <v>29</v>
      </c>
      <c r="G74" s="4">
        <v>46292</v>
      </c>
      <c r="H74" s="5">
        <v>0.26041666666666674</v>
      </c>
      <c r="I74" s="91">
        <v>46286</v>
      </c>
      <c r="J74" s="91"/>
      <c r="K74" s="91">
        <v>46286</v>
      </c>
      <c r="L74" s="3" t="s">
        <v>6128</v>
      </c>
      <c r="M74" s="3" t="s">
        <v>3819</v>
      </c>
      <c r="N74" s="3" t="s">
        <v>4834</v>
      </c>
      <c r="O74" t="s">
        <v>3867</v>
      </c>
      <c r="P74" s="3"/>
      <c r="Q74">
        <v>46247</v>
      </c>
      <c r="R74" s="3">
        <v>726</v>
      </c>
      <c r="S74" s="3" t="s">
        <v>3823</v>
      </c>
      <c r="T74" s="3">
        <v>7077</v>
      </c>
      <c r="U74" s="3" t="s">
        <v>4835</v>
      </c>
      <c r="V74" s="3" t="s">
        <v>4836</v>
      </c>
      <c r="W74" s="3">
        <v>9348.2999999999993</v>
      </c>
      <c r="X74" s="3">
        <v>46262</v>
      </c>
      <c r="Y74" s="3">
        <v>46260</v>
      </c>
      <c r="AA74" t="s">
        <v>3826</v>
      </c>
      <c r="AB74" t="s">
        <v>3827</v>
      </c>
      <c r="AC74" s="3" t="s">
        <v>4837</v>
      </c>
      <c r="AD74" t="s">
        <v>4599</v>
      </c>
      <c r="AE74" t="s">
        <v>4035</v>
      </c>
      <c r="AF74" t="s">
        <v>3831</v>
      </c>
      <c r="AG74" t="s">
        <v>3832</v>
      </c>
      <c r="AH74" t="s">
        <v>3908</v>
      </c>
      <c r="AI74" t="s">
        <v>3834</v>
      </c>
      <c r="AJ74" t="s">
        <v>3835</v>
      </c>
      <c r="AK74" t="s">
        <v>3832</v>
      </c>
      <c r="AM74" s="3" t="s">
        <v>4838</v>
      </c>
      <c r="AN74" s="3"/>
      <c r="AO74" s="3">
        <v>46286</v>
      </c>
      <c r="AP74" s="3"/>
      <c r="AQ74" s="3" t="s">
        <v>3837</v>
      </c>
      <c r="AR74" s="3"/>
      <c r="AS74" s="3"/>
      <c r="AT74" s="3">
        <v>46300</v>
      </c>
      <c r="AU74" s="3">
        <v>46331</v>
      </c>
      <c r="AV74" s="3"/>
      <c r="AW74" t="s">
        <v>3839</v>
      </c>
      <c r="BC74" t="s">
        <v>18</v>
      </c>
      <c r="BD74" t="s">
        <v>0</v>
      </c>
      <c r="BE74" t="s">
        <v>4832</v>
      </c>
      <c r="BF74" t="s">
        <v>4833</v>
      </c>
      <c r="BG74" t="s">
        <v>3817</v>
      </c>
      <c r="CW74" s="6" t="str" cm="1">
        <f t="array" ref="CW74">IFERROR(_xlfn.IFS(H74=TIME(7,0,0),"GY",H74=TIME(7,30,0),"GY",H74=TIME(9,0,0),"GY",H74=TIME(15,0,0),"GY",H74=TIME(8,30,0),"GY",H74=TIME(5,30,0),"GY",H74=TIME(6,0,0),"GD",H74=TIME(6,30,0),"GD",H74=TIME(8,0,0),"GY",H74=TIME(6,15,0),"GD"),"")</f>
        <v>GD</v>
      </c>
      <c r="EE74"/>
    </row>
    <row r="75" spans="1:135" x14ac:dyDescent="0.45">
      <c r="A75" s="3" t="s">
        <v>18</v>
      </c>
      <c r="B75" s="3" t="s">
        <v>0</v>
      </c>
      <c r="C75" s="3" t="s">
        <v>4832</v>
      </c>
      <c r="D75" s="3" t="s">
        <v>4833</v>
      </c>
      <c r="E75" s="100" t="s">
        <v>3817</v>
      </c>
      <c r="F75" s="3" t="s">
        <v>235</v>
      </c>
      <c r="G75" s="4">
        <v>46292</v>
      </c>
      <c r="H75" s="5">
        <v>0.26041666666666674</v>
      </c>
      <c r="I75" s="91">
        <v>46286</v>
      </c>
      <c r="J75" s="91"/>
      <c r="K75" s="91">
        <v>46286</v>
      </c>
      <c r="L75" s="3" t="s">
        <v>6128</v>
      </c>
      <c r="M75" s="3" t="s">
        <v>3819</v>
      </c>
      <c r="N75" s="3" t="s">
        <v>4834</v>
      </c>
      <c r="O75" t="s">
        <v>3867</v>
      </c>
      <c r="P75" s="3"/>
      <c r="Q75">
        <v>46247</v>
      </c>
      <c r="R75" s="3">
        <v>726</v>
      </c>
      <c r="S75" s="3" t="s">
        <v>3823</v>
      </c>
      <c r="T75" s="3">
        <v>2223</v>
      </c>
      <c r="U75" s="3" t="s">
        <v>4839</v>
      </c>
      <c r="V75" s="3" t="s">
        <v>4840</v>
      </c>
      <c r="W75" s="3">
        <v>757.43</v>
      </c>
      <c r="X75" s="3">
        <v>46262</v>
      </c>
      <c r="Y75" s="3">
        <v>46260</v>
      </c>
      <c r="AA75" t="s">
        <v>3826</v>
      </c>
      <c r="AB75" t="s">
        <v>3827</v>
      </c>
      <c r="AC75" s="3" t="s">
        <v>4837</v>
      </c>
      <c r="AD75" t="s">
        <v>4599</v>
      </c>
      <c r="AE75" t="s">
        <v>4035</v>
      </c>
      <c r="AF75" t="s">
        <v>3831</v>
      </c>
      <c r="AG75" t="s">
        <v>3832</v>
      </c>
      <c r="AH75" t="s">
        <v>3908</v>
      </c>
      <c r="AI75" t="s">
        <v>3834</v>
      </c>
      <c r="AJ75" t="s">
        <v>3835</v>
      </c>
      <c r="AK75" t="s">
        <v>3832</v>
      </c>
      <c r="AM75" s="3" t="s">
        <v>4838</v>
      </c>
      <c r="AN75" s="3"/>
      <c r="AO75" s="3">
        <v>46286</v>
      </c>
      <c r="AP75" s="3"/>
      <c r="AQ75" s="3" t="s">
        <v>3837</v>
      </c>
      <c r="AR75" s="3"/>
      <c r="AS75" s="3"/>
      <c r="AT75" s="3">
        <v>46300</v>
      </c>
      <c r="AU75" s="3">
        <v>46331</v>
      </c>
      <c r="AV75" s="3"/>
      <c r="AW75" t="s">
        <v>3839</v>
      </c>
      <c r="BC75" t="s">
        <v>18</v>
      </c>
      <c r="BD75" t="s">
        <v>0</v>
      </c>
      <c r="BE75" t="s">
        <v>4832</v>
      </c>
      <c r="BF75" t="s">
        <v>4833</v>
      </c>
      <c r="BG75" t="s">
        <v>3817</v>
      </c>
      <c r="CW75" s="6" t="str" cm="1">
        <f t="array" ref="CW75">IFERROR(_xlfn.IFS(H75=TIME(7,0,0),"GY",H75=TIME(7,30,0),"GY",H75=TIME(9,0,0),"GY",H75=TIME(15,0,0),"GY",H75=TIME(8,30,0),"GY",H75=TIME(5,30,0),"GY",H75=TIME(6,0,0),"GD",H75=TIME(6,30,0),"GD",H75=TIME(8,0,0),"GY",H75=TIME(6,15,0),"GD"),"")</f>
        <v>GD</v>
      </c>
      <c r="EE75"/>
    </row>
    <row r="76" spans="1:135" x14ac:dyDescent="0.45">
      <c r="A76" s="3" t="s">
        <v>18</v>
      </c>
      <c r="B76" s="3" t="s">
        <v>0</v>
      </c>
      <c r="C76" s="3" t="s">
        <v>4726</v>
      </c>
      <c r="D76" s="3" t="s">
        <v>4727</v>
      </c>
      <c r="E76" s="100" t="s">
        <v>3817</v>
      </c>
      <c r="F76" s="3" t="s">
        <v>36</v>
      </c>
      <c r="G76" s="4">
        <v>46291</v>
      </c>
      <c r="H76" s="5">
        <v>0.26041666666666674</v>
      </c>
      <c r="I76" s="91">
        <v>46286</v>
      </c>
      <c r="J76" s="91"/>
      <c r="K76" s="91">
        <v>46283</v>
      </c>
      <c r="L76" s="3" t="s">
        <v>6112</v>
      </c>
      <c r="M76" s="3" t="s">
        <v>3819</v>
      </c>
      <c r="N76" s="3" t="s">
        <v>4728</v>
      </c>
      <c r="O76" t="s">
        <v>3867</v>
      </c>
      <c r="P76" s="3" t="s">
        <v>3852</v>
      </c>
      <c r="Q76">
        <v>46254</v>
      </c>
      <c r="R76" s="3">
        <v>726</v>
      </c>
      <c r="S76" s="3" t="s">
        <v>3823</v>
      </c>
      <c r="T76" s="3">
        <v>9975</v>
      </c>
      <c r="U76" s="3" t="s">
        <v>4729</v>
      </c>
      <c r="V76" s="3" t="s">
        <v>4730</v>
      </c>
      <c r="W76" s="3">
        <v>9390.2389999999996</v>
      </c>
      <c r="X76" s="3">
        <v>46277</v>
      </c>
      <c r="Y76" s="3">
        <v>46275</v>
      </c>
      <c r="AA76" t="s">
        <v>3870</v>
      </c>
      <c r="AB76" t="s">
        <v>3871</v>
      </c>
      <c r="AC76" s="3" t="s">
        <v>4731</v>
      </c>
      <c r="AD76" t="s">
        <v>4721</v>
      </c>
      <c r="AE76" t="s">
        <v>4722</v>
      </c>
      <c r="AF76" t="s">
        <v>3831</v>
      </c>
      <c r="AG76" t="s">
        <v>3832</v>
      </c>
      <c r="AH76" t="s">
        <v>3875</v>
      </c>
      <c r="AI76" t="s">
        <v>3834</v>
      </c>
      <c r="AJ76" t="s">
        <v>3835</v>
      </c>
      <c r="AK76" t="s">
        <v>3832</v>
      </c>
      <c r="AM76" s="3" t="s">
        <v>4732</v>
      </c>
      <c r="AN76" s="3"/>
      <c r="AO76" s="3">
        <v>46286</v>
      </c>
      <c r="AP76" s="3"/>
      <c r="AQ76" s="3" t="s">
        <v>3877</v>
      </c>
      <c r="AR76" s="3"/>
      <c r="AS76" s="3"/>
      <c r="AT76" s="3">
        <v>46297</v>
      </c>
      <c r="AU76" s="3">
        <v>46331</v>
      </c>
      <c r="AV76" s="3"/>
      <c r="AW76" t="s">
        <v>3839</v>
      </c>
      <c r="BC76" t="s">
        <v>18</v>
      </c>
      <c r="BD76" t="s">
        <v>0</v>
      </c>
      <c r="BE76" t="s">
        <v>4726</v>
      </c>
      <c r="BF76" t="s">
        <v>4727</v>
      </c>
      <c r="BG76" t="s">
        <v>3817</v>
      </c>
      <c r="CW76" s="6" t="str" cm="1">
        <f t="array" ref="CW76">IFERROR(_xlfn.IFS(H76=TIME(7,0,0),"GY",H76=TIME(7,30,0),"GY",H76=TIME(9,0,0),"GY",H76=TIME(15,0,0),"GY",H76=TIME(8,30,0),"GY",H76=TIME(5,30,0),"GY",H76=TIME(6,0,0),"GD",H76=TIME(6,30,0),"GD",H76=TIME(8,0,0),"GY",H76=TIME(6,15,0),"GD"),"")</f>
        <v>GD</v>
      </c>
      <c r="EE76"/>
    </row>
    <row r="77" spans="1:135" x14ac:dyDescent="0.45">
      <c r="A77" s="3" t="s">
        <v>18</v>
      </c>
      <c r="B77" s="3" t="s">
        <v>0</v>
      </c>
      <c r="C77" s="3" t="s">
        <v>4726</v>
      </c>
      <c r="D77" s="3" t="s">
        <v>4727</v>
      </c>
      <c r="E77" s="100" t="s">
        <v>3817</v>
      </c>
      <c r="F77" s="3" t="s">
        <v>634</v>
      </c>
      <c r="G77" s="4">
        <v>46291</v>
      </c>
      <c r="H77" s="5">
        <v>0.26041666666666674</v>
      </c>
      <c r="I77" s="91">
        <v>46286</v>
      </c>
      <c r="J77" s="91"/>
      <c r="K77" s="91">
        <v>46283</v>
      </c>
      <c r="L77" s="3" t="s">
        <v>6112</v>
      </c>
      <c r="M77" s="3" t="s">
        <v>3819</v>
      </c>
      <c r="N77" s="3" t="s">
        <v>4728</v>
      </c>
      <c r="O77" t="s">
        <v>3867</v>
      </c>
      <c r="P77" s="3" t="s">
        <v>3852</v>
      </c>
      <c r="Q77">
        <v>46254</v>
      </c>
      <c r="R77" s="3">
        <v>726</v>
      </c>
      <c r="S77" s="3" t="s">
        <v>3823</v>
      </c>
      <c r="T77" s="3">
        <v>2470</v>
      </c>
      <c r="U77" s="3" t="s">
        <v>4733</v>
      </c>
      <c r="V77" s="3" t="s">
        <v>4734</v>
      </c>
      <c r="W77" s="3">
        <v>862.13199999999995</v>
      </c>
      <c r="X77" s="3">
        <v>46277</v>
      </c>
      <c r="Y77" s="3">
        <v>46275</v>
      </c>
      <c r="AA77" t="s">
        <v>3870</v>
      </c>
      <c r="AB77" t="s">
        <v>3871</v>
      </c>
      <c r="AC77" s="3" t="s">
        <v>4731</v>
      </c>
      <c r="AD77" t="s">
        <v>4721</v>
      </c>
      <c r="AE77" t="s">
        <v>4722</v>
      </c>
      <c r="AF77" t="s">
        <v>3831</v>
      </c>
      <c r="AG77" t="s">
        <v>3832</v>
      </c>
      <c r="AH77" t="s">
        <v>3875</v>
      </c>
      <c r="AI77" t="s">
        <v>3834</v>
      </c>
      <c r="AJ77" t="s">
        <v>3835</v>
      </c>
      <c r="AK77" t="s">
        <v>3832</v>
      </c>
      <c r="AM77" s="3" t="s">
        <v>4732</v>
      </c>
      <c r="AN77" s="3"/>
      <c r="AO77" s="3">
        <v>46286</v>
      </c>
      <c r="AP77" s="3"/>
      <c r="AQ77" s="3" t="s">
        <v>3877</v>
      </c>
      <c r="AR77" s="3"/>
      <c r="AS77" s="3"/>
      <c r="AT77" s="3">
        <v>46297</v>
      </c>
      <c r="AU77" s="3">
        <v>46331</v>
      </c>
      <c r="AV77" s="3"/>
      <c r="AW77" t="s">
        <v>3839</v>
      </c>
      <c r="BC77" t="s">
        <v>18</v>
      </c>
      <c r="BD77" t="s">
        <v>0</v>
      </c>
      <c r="BE77" t="s">
        <v>4726</v>
      </c>
      <c r="BF77" t="s">
        <v>4727</v>
      </c>
      <c r="BG77" t="s">
        <v>3817</v>
      </c>
      <c r="CW77" s="6" t="str" cm="1">
        <f t="array" ref="CW77">IFERROR(_xlfn.IFS(H77=TIME(7,0,0),"GY",H77=TIME(7,30,0),"GY",H77=TIME(9,0,0),"GY",H77=TIME(15,0,0),"GY",H77=TIME(8,30,0),"GY",H77=TIME(5,30,0),"GY",H77=TIME(6,0,0),"GD",H77=TIME(6,30,0),"GD",H77=TIME(8,0,0),"GY",H77=TIME(6,15,0),"GD"),"")</f>
        <v>GD</v>
      </c>
      <c r="EE77"/>
    </row>
    <row r="78" spans="1:135" x14ac:dyDescent="0.45">
      <c r="A78" s="3" t="s">
        <v>18</v>
      </c>
      <c r="B78" s="3"/>
      <c r="C78" s="3" t="s">
        <v>4937</v>
      </c>
      <c r="D78" s="3" t="s">
        <v>4938</v>
      </c>
      <c r="E78" s="100" t="s">
        <v>3817</v>
      </c>
      <c r="F78" s="3" t="s">
        <v>41</v>
      </c>
      <c r="G78" s="4">
        <v>46289</v>
      </c>
      <c r="H78" s="5">
        <v>0.26041666666666674</v>
      </c>
      <c r="I78" s="91">
        <v>46287</v>
      </c>
      <c r="J78" s="91"/>
      <c r="K78" s="91">
        <v>46285</v>
      </c>
      <c r="L78" s="3" t="s">
        <v>6130</v>
      </c>
      <c r="M78" s="3" t="s">
        <v>3819</v>
      </c>
      <c r="N78" s="3" t="s">
        <v>4939</v>
      </c>
      <c r="O78" t="s">
        <v>3867</v>
      </c>
      <c r="P78" s="3"/>
      <c r="Q78">
        <v>46260</v>
      </c>
      <c r="R78" s="3">
        <v>726</v>
      </c>
      <c r="S78" s="3" t="s">
        <v>3823</v>
      </c>
      <c r="T78" s="3">
        <v>8571</v>
      </c>
      <c r="U78" s="3" t="s">
        <v>4940</v>
      </c>
      <c r="V78" s="3" t="s">
        <v>4941</v>
      </c>
      <c r="W78" s="3">
        <v>10816.329</v>
      </c>
      <c r="X78" s="3">
        <v>46278</v>
      </c>
      <c r="Y78" s="3">
        <v>46276</v>
      </c>
      <c r="AA78" t="s">
        <v>3826</v>
      </c>
      <c r="AB78" t="s">
        <v>3827</v>
      </c>
      <c r="AC78" s="3" t="s">
        <v>4942</v>
      </c>
      <c r="AD78" t="s">
        <v>4434</v>
      </c>
      <c r="AE78" t="s">
        <v>4741</v>
      </c>
      <c r="AF78" t="s">
        <v>3831</v>
      </c>
      <c r="AG78" t="s">
        <v>3832</v>
      </c>
      <c r="AH78" t="s">
        <v>3908</v>
      </c>
      <c r="AI78" t="s">
        <v>3834</v>
      </c>
      <c r="AJ78" t="s">
        <v>3956</v>
      </c>
      <c r="AK78" t="s">
        <v>3832</v>
      </c>
      <c r="AM78" s="3" t="s">
        <v>4943</v>
      </c>
      <c r="AN78" s="3"/>
      <c r="AO78" s="3">
        <v>46287</v>
      </c>
      <c r="AP78" s="3"/>
      <c r="AQ78" s="3" t="s">
        <v>4037</v>
      </c>
      <c r="AR78" s="3"/>
      <c r="AS78" s="3" t="s">
        <v>3961</v>
      </c>
      <c r="AT78" s="3">
        <v>46299</v>
      </c>
      <c r="AU78" s="3"/>
      <c r="AV78" s="3">
        <v>46302</v>
      </c>
      <c r="AW78" t="s">
        <v>3839</v>
      </c>
      <c r="BC78" t="s">
        <v>18</v>
      </c>
      <c r="BE78" t="s">
        <v>4937</v>
      </c>
      <c r="BF78" t="s">
        <v>4938</v>
      </c>
      <c r="BG78" t="s">
        <v>3817</v>
      </c>
      <c r="CW78" s="6" t="str" cm="1">
        <f t="array" ref="CW78">IFERROR(_xlfn.IFS(H78=TIME(7,0,0),"GY",H78=TIME(7,30,0),"GY",H78=TIME(9,0,0),"GY",H78=TIME(15,0,0),"GY",H78=TIME(8,30,0),"GY",H78=TIME(5,30,0),"GY",H78=TIME(6,0,0),"GD",H78=TIME(6,30,0),"GD",H78=TIME(8,0,0),"GY",H78=TIME(6,15,0),"GD"),"")</f>
        <v>GD</v>
      </c>
      <c r="EE78"/>
    </row>
    <row r="79" spans="1:135" x14ac:dyDescent="0.45">
      <c r="A79" s="3" t="s">
        <v>18</v>
      </c>
      <c r="B79" s="3"/>
      <c r="C79" s="3" t="s">
        <v>4937</v>
      </c>
      <c r="D79" s="3" t="s">
        <v>4938</v>
      </c>
      <c r="E79" s="100" t="s">
        <v>3817</v>
      </c>
      <c r="F79" s="3" t="s">
        <v>795</v>
      </c>
      <c r="G79" s="4">
        <v>46289</v>
      </c>
      <c r="H79" s="5">
        <v>0.26041666666666674</v>
      </c>
      <c r="I79" s="91">
        <v>46287</v>
      </c>
      <c r="J79" s="91"/>
      <c r="K79" s="91">
        <v>46285</v>
      </c>
      <c r="L79" s="3" t="s">
        <v>6130</v>
      </c>
      <c r="M79" s="3" t="s">
        <v>3819</v>
      </c>
      <c r="N79" s="3" t="s">
        <v>4939</v>
      </c>
      <c r="O79" t="s">
        <v>3867</v>
      </c>
      <c r="P79" s="3"/>
      <c r="Q79">
        <v>46260</v>
      </c>
      <c r="R79" s="3">
        <v>726</v>
      </c>
      <c r="S79" s="3" t="s">
        <v>3823</v>
      </c>
      <c r="T79" s="3">
        <v>1056</v>
      </c>
      <c r="U79" s="3" t="s">
        <v>4944</v>
      </c>
      <c r="V79" s="3" t="s">
        <v>4945</v>
      </c>
      <c r="W79" s="3">
        <v>462.80399999999997</v>
      </c>
      <c r="X79" s="3">
        <v>46278</v>
      </c>
      <c r="Y79" s="3">
        <v>46276</v>
      </c>
      <c r="AA79" t="s">
        <v>3826</v>
      </c>
      <c r="AB79" t="s">
        <v>3827</v>
      </c>
      <c r="AC79" s="3" t="s">
        <v>4942</v>
      </c>
      <c r="AD79" t="s">
        <v>4434</v>
      </c>
      <c r="AE79" t="s">
        <v>4741</v>
      </c>
      <c r="AF79" t="s">
        <v>3831</v>
      </c>
      <c r="AG79" t="s">
        <v>3832</v>
      </c>
      <c r="AH79" t="s">
        <v>3908</v>
      </c>
      <c r="AI79" t="s">
        <v>3834</v>
      </c>
      <c r="AJ79" t="s">
        <v>3956</v>
      </c>
      <c r="AK79" t="s">
        <v>3832</v>
      </c>
      <c r="AM79" s="3" t="s">
        <v>4943</v>
      </c>
      <c r="AN79" s="3"/>
      <c r="AO79" s="3">
        <v>46287</v>
      </c>
      <c r="AP79" s="3"/>
      <c r="AQ79" s="3" t="s">
        <v>4037</v>
      </c>
      <c r="AR79" s="3"/>
      <c r="AS79" s="3" t="s">
        <v>3961</v>
      </c>
      <c r="AT79" s="3">
        <v>46299</v>
      </c>
      <c r="AU79" s="3"/>
      <c r="AV79" s="3">
        <v>46302</v>
      </c>
      <c r="AW79" t="s">
        <v>3839</v>
      </c>
      <c r="BC79" t="s">
        <v>18</v>
      </c>
      <c r="BE79" t="s">
        <v>4937</v>
      </c>
      <c r="BF79" t="s">
        <v>4938</v>
      </c>
      <c r="BG79" t="s">
        <v>3817</v>
      </c>
      <c r="CW79" s="6" t="str" cm="1">
        <f t="array" ref="CW79">IFERROR(_xlfn.IFS(H79=TIME(7,0,0),"GY",H79=TIME(7,30,0),"GY",H79=TIME(9,0,0),"GY",H79=TIME(15,0,0),"GY",H79=TIME(8,30,0),"GY",H79=TIME(5,30,0),"GY",H79=TIME(6,0,0),"GD",H79=TIME(6,30,0),"GD",H79=TIME(8,0,0),"GY",H79=TIME(6,15,0),"GD"),"")</f>
        <v>GD</v>
      </c>
      <c r="EE79"/>
    </row>
    <row r="80" spans="1:135" x14ac:dyDescent="0.45">
      <c r="A80" s="3" t="s">
        <v>32</v>
      </c>
      <c r="B80" s="3" t="s">
        <v>0</v>
      </c>
      <c r="C80" s="3" t="s">
        <v>4791</v>
      </c>
      <c r="D80" s="3" t="s">
        <v>4792</v>
      </c>
      <c r="E80" s="100" t="s">
        <v>3947</v>
      </c>
      <c r="F80" s="3" t="s">
        <v>770</v>
      </c>
      <c r="G80" s="4">
        <v>46288</v>
      </c>
      <c r="H80" s="5">
        <v>0.27083333333333326</v>
      </c>
      <c r="I80" s="91">
        <v>46286</v>
      </c>
      <c r="J80" s="91"/>
      <c r="K80" s="91">
        <v>46286</v>
      </c>
      <c r="L80" s="3" t="s">
        <v>6094</v>
      </c>
      <c r="M80" s="3" t="s">
        <v>3819</v>
      </c>
      <c r="N80" s="3" t="s">
        <v>4793</v>
      </c>
      <c r="O80" t="s">
        <v>3867</v>
      </c>
      <c r="P80" s="3"/>
      <c r="Q80">
        <v>46238</v>
      </c>
      <c r="R80" s="3">
        <v>726</v>
      </c>
      <c r="S80" s="3" t="s">
        <v>3823</v>
      </c>
      <c r="T80" s="3">
        <v>5800</v>
      </c>
      <c r="U80" s="3" t="s">
        <v>4794</v>
      </c>
      <c r="V80" s="3" t="s">
        <v>4795</v>
      </c>
      <c r="W80" s="3">
        <v>1435.12</v>
      </c>
      <c r="X80" s="3">
        <v>46276</v>
      </c>
      <c r="Y80" s="3">
        <v>46274</v>
      </c>
      <c r="AA80" t="s">
        <v>3826</v>
      </c>
      <c r="AB80" t="s">
        <v>3827</v>
      </c>
      <c r="AC80" s="3" t="s">
        <v>4796</v>
      </c>
      <c r="AD80" t="s">
        <v>4797</v>
      </c>
      <c r="AE80" t="s">
        <v>4798</v>
      </c>
      <c r="AF80" t="s">
        <v>4705</v>
      </c>
      <c r="AG80" t="s">
        <v>3832</v>
      </c>
      <c r="AH80" t="s">
        <v>4706</v>
      </c>
      <c r="AI80" t="s">
        <v>3834</v>
      </c>
      <c r="AJ80" t="s">
        <v>3835</v>
      </c>
      <c r="AK80" t="s">
        <v>3832</v>
      </c>
      <c r="AM80" s="3" t="s">
        <v>4799</v>
      </c>
      <c r="AN80" s="3"/>
      <c r="AO80" s="3">
        <v>46286</v>
      </c>
      <c r="AP80" s="3"/>
      <c r="AQ80" s="3" t="s">
        <v>3837</v>
      </c>
      <c r="AR80" s="3"/>
      <c r="AS80" s="3"/>
      <c r="AT80" s="3">
        <v>46300</v>
      </c>
      <c r="AU80" s="3">
        <v>46331</v>
      </c>
      <c r="AV80" s="3"/>
      <c r="AW80" t="s">
        <v>3839</v>
      </c>
      <c r="BC80" t="s">
        <v>32</v>
      </c>
      <c r="BD80" t="s">
        <v>0</v>
      </c>
      <c r="BE80" t="s">
        <v>4791</v>
      </c>
      <c r="BF80" t="s">
        <v>4792</v>
      </c>
      <c r="BG80" t="s">
        <v>3947</v>
      </c>
      <c r="CW80" s="6" t="str" cm="1">
        <f t="array" ref="CW80">IFERROR(_xlfn.IFS(H80=TIME(7,0,0),"GY",H80=TIME(7,30,0),"GY",H80=TIME(9,0,0),"GY",H80=TIME(15,0,0),"GY",H80=TIME(8,30,0),"GY",H80=TIME(5,30,0),"GY",H80=TIME(6,0,0),"GD",H80=TIME(6,30,0),"GD",H80=TIME(8,0,0),"GY",H80=TIME(6,15,0),"GD"),"")</f>
        <v>GD</v>
      </c>
      <c r="EE80"/>
    </row>
    <row r="81" spans="1:135" x14ac:dyDescent="0.45">
      <c r="A81" s="3" t="s">
        <v>18</v>
      </c>
      <c r="B81" s="3" t="s">
        <v>0</v>
      </c>
      <c r="C81" s="3" t="s">
        <v>4849</v>
      </c>
      <c r="D81" s="3" t="s">
        <v>4850</v>
      </c>
      <c r="E81" s="100" t="s">
        <v>3817</v>
      </c>
      <c r="F81" s="3" t="s">
        <v>28</v>
      </c>
      <c r="G81" s="4">
        <v>46288</v>
      </c>
      <c r="H81" s="5">
        <v>0.375</v>
      </c>
      <c r="I81" s="91">
        <v>46286</v>
      </c>
      <c r="J81" s="91"/>
      <c r="K81" s="91">
        <v>46286</v>
      </c>
      <c r="L81" s="3" t="s">
        <v>6116</v>
      </c>
      <c r="M81" s="3" t="s">
        <v>3819</v>
      </c>
      <c r="N81" s="3" t="s">
        <v>4851</v>
      </c>
      <c r="O81" t="s">
        <v>3867</v>
      </c>
      <c r="P81" s="3" t="s">
        <v>3852</v>
      </c>
      <c r="Q81">
        <v>46244</v>
      </c>
      <c r="R81" s="3">
        <v>726</v>
      </c>
      <c r="S81" s="3" t="s">
        <v>3823</v>
      </c>
      <c r="T81" s="3">
        <v>8958</v>
      </c>
      <c r="U81" s="3" t="s">
        <v>4852</v>
      </c>
      <c r="V81" s="3" t="s">
        <v>4853</v>
      </c>
      <c r="W81" s="3">
        <v>9389.31</v>
      </c>
      <c r="X81" s="3">
        <v>46263</v>
      </c>
      <c r="Y81" s="3">
        <v>46261</v>
      </c>
      <c r="AA81" t="s">
        <v>3826</v>
      </c>
      <c r="AB81" t="s">
        <v>3827</v>
      </c>
      <c r="AC81" s="3" t="s">
        <v>4854</v>
      </c>
      <c r="AD81" t="s">
        <v>4599</v>
      </c>
      <c r="AE81" t="s">
        <v>4035</v>
      </c>
      <c r="AF81" t="s">
        <v>3831</v>
      </c>
      <c r="AG81" t="s">
        <v>3832</v>
      </c>
      <c r="AH81" t="s">
        <v>3908</v>
      </c>
      <c r="AI81" t="s">
        <v>3834</v>
      </c>
      <c r="AJ81" t="s">
        <v>3835</v>
      </c>
      <c r="AK81" t="s">
        <v>3832</v>
      </c>
      <c r="AM81" s="3" t="s">
        <v>4855</v>
      </c>
      <c r="AN81" s="3"/>
      <c r="AO81" s="3">
        <v>46286</v>
      </c>
      <c r="AP81" s="3"/>
      <c r="AQ81" s="3" t="s">
        <v>3837</v>
      </c>
      <c r="AR81" s="3"/>
      <c r="AS81" s="3"/>
      <c r="AT81" s="3">
        <v>46300</v>
      </c>
      <c r="AU81" s="3">
        <v>46331</v>
      </c>
      <c r="AV81" s="3"/>
      <c r="AW81" t="s">
        <v>3839</v>
      </c>
      <c r="BC81" t="s">
        <v>18</v>
      </c>
      <c r="BD81" t="s">
        <v>0</v>
      </c>
      <c r="BE81" t="s">
        <v>4849</v>
      </c>
      <c r="BF81" t="s">
        <v>4850</v>
      </c>
      <c r="BG81" t="s">
        <v>3817</v>
      </c>
      <c r="CW81" s="6" t="str" cm="1">
        <f t="array" ref="CW81">IFERROR(_xlfn.IFS(H81=TIME(7,0,0),"GY",H81=TIME(7,30,0),"GY",H81=TIME(9,0,0),"GY",H81=TIME(15,0,0),"GY",H81=TIME(8,30,0),"GY",H81=TIME(5,30,0),"GY",H81=TIME(6,0,0),"GD",H81=TIME(6,30,0),"GD",H81=TIME(8,0,0),"GY",H81=TIME(6,15,0),"GD"),"")</f>
        <v>GY</v>
      </c>
      <c r="EE81"/>
    </row>
    <row r="82" spans="1:135" x14ac:dyDescent="0.45">
      <c r="A82" s="3" t="s">
        <v>18</v>
      </c>
      <c r="B82" s="3" t="s">
        <v>0</v>
      </c>
      <c r="C82" s="3" t="s">
        <v>4849</v>
      </c>
      <c r="D82" s="3" t="s">
        <v>4850</v>
      </c>
      <c r="E82" s="100" t="s">
        <v>3817</v>
      </c>
      <c r="F82" s="3" t="s">
        <v>604</v>
      </c>
      <c r="G82" s="4">
        <v>46288</v>
      </c>
      <c r="H82" s="5">
        <v>0.375</v>
      </c>
      <c r="I82" s="91">
        <v>46286</v>
      </c>
      <c r="J82" s="91"/>
      <c r="K82" s="91">
        <v>46286</v>
      </c>
      <c r="L82" s="3" t="s">
        <v>6116</v>
      </c>
      <c r="M82" s="3" t="s">
        <v>3819</v>
      </c>
      <c r="N82" s="3" t="s">
        <v>4851</v>
      </c>
      <c r="O82" t="s">
        <v>3867</v>
      </c>
      <c r="P82" s="3" t="s">
        <v>3852</v>
      </c>
      <c r="Q82">
        <v>46244</v>
      </c>
      <c r="R82" s="3">
        <v>726</v>
      </c>
      <c r="S82" s="3" t="s">
        <v>3823</v>
      </c>
      <c r="T82" s="3">
        <v>2649</v>
      </c>
      <c r="U82" s="3" t="s">
        <v>4856</v>
      </c>
      <c r="V82" s="3" t="s">
        <v>4857</v>
      </c>
      <c r="W82" s="3">
        <v>878.01700000000005</v>
      </c>
      <c r="X82" s="3">
        <v>46263</v>
      </c>
      <c r="Y82" s="3">
        <v>46261</v>
      </c>
      <c r="AA82" t="s">
        <v>3826</v>
      </c>
      <c r="AB82" t="s">
        <v>3827</v>
      </c>
      <c r="AC82" s="3" t="s">
        <v>4854</v>
      </c>
      <c r="AD82" t="s">
        <v>4599</v>
      </c>
      <c r="AE82" t="s">
        <v>4035</v>
      </c>
      <c r="AF82" t="s">
        <v>3831</v>
      </c>
      <c r="AG82" t="s">
        <v>3832</v>
      </c>
      <c r="AH82" t="s">
        <v>3908</v>
      </c>
      <c r="AI82" t="s">
        <v>3834</v>
      </c>
      <c r="AJ82" t="s">
        <v>3835</v>
      </c>
      <c r="AK82" t="s">
        <v>3832</v>
      </c>
      <c r="AM82" s="3" t="s">
        <v>4855</v>
      </c>
      <c r="AN82" s="3"/>
      <c r="AO82" s="3">
        <v>46286</v>
      </c>
      <c r="AP82" s="3"/>
      <c r="AQ82" s="3" t="s">
        <v>3837</v>
      </c>
      <c r="AR82" s="3"/>
      <c r="AS82" s="3"/>
      <c r="AT82" s="3">
        <v>46300</v>
      </c>
      <c r="AU82" s="3">
        <v>46331</v>
      </c>
      <c r="AV82" s="3"/>
      <c r="AW82" t="s">
        <v>3839</v>
      </c>
      <c r="BC82" t="s">
        <v>18</v>
      </c>
      <c r="BD82" t="s">
        <v>0</v>
      </c>
      <c r="BE82" t="s">
        <v>4849</v>
      </c>
      <c r="BF82" t="s">
        <v>4850</v>
      </c>
      <c r="BG82" t="s">
        <v>3817</v>
      </c>
      <c r="CW82" s="6" t="str" cm="1">
        <f t="array" ref="CW82">IFERROR(_xlfn.IFS(H82=TIME(7,0,0),"GY",H82=TIME(7,30,0),"GY",H82=TIME(9,0,0),"GY",H82=TIME(15,0,0),"GY",H82=TIME(8,30,0),"GY",H82=TIME(5,30,0),"GY",H82=TIME(6,0,0),"GD",H82=TIME(6,30,0),"GD",H82=TIME(8,0,0),"GY",H82=TIME(6,15,0),"GD"),"")</f>
        <v>GY</v>
      </c>
      <c r="EE82"/>
    </row>
    <row r="83" spans="1:135" x14ac:dyDescent="0.45">
      <c r="A83" s="3" t="s">
        <v>32</v>
      </c>
      <c r="B83" s="3" t="s">
        <v>3814</v>
      </c>
      <c r="C83" s="3" t="s">
        <v>4858</v>
      </c>
      <c r="D83" s="3" t="s">
        <v>4859</v>
      </c>
      <c r="E83" s="100" t="s">
        <v>3817</v>
      </c>
      <c r="F83" s="3" t="s">
        <v>181</v>
      </c>
      <c r="G83" s="4">
        <v>46288</v>
      </c>
      <c r="H83" s="5">
        <v>0.41666666666666674</v>
      </c>
      <c r="I83" s="91">
        <v>46286</v>
      </c>
      <c r="J83" s="91"/>
      <c r="K83" s="91">
        <v>46286</v>
      </c>
      <c r="L83" s="3" t="s">
        <v>6095</v>
      </c>
      <c r="M83" s="3" t="s">
        <v>3966</v>
      </c>
      <c r="N83" s="3" t="s">
        <v>4860</v>
      </c>
      <c r="O83" t="s">
        <v>3821</v>
      </c>
      <c r="P83" s="3" t="s">
        <v>4008</v>
      </c>
      <c r="Q83">
        <v>46246</v>
      </c>
      <c r="R83" s="3">
        <v>726</v>
      </c>
      <c r="S83" s="3" t="s">
        <v>3823</v>
      </c>
      <c r="T83" s="3">
        <v>68</v>
      </c>
      <c r="U83" s="3" t="s">
        <v>4861</v>
      </c>
      <c r="V83" s="3" t="s">
        <v>4862</v>
      </c>
      <c r="W83" s="3">
        <v>265</v>
      </c>
      <c r="X83" s="3">
        <v>46285</v>
      </c>
      <c r="Y83" s="3">
        <v>46260</v>
      </c>
      <c r="AA83" t="s">
        <v>3826</v>
      </c>
      <c r="AB83" t="s">
        <v>3827</v>
      </c>
      <c r="AC83" s="3" t="s">
        <v>4863</v>
      </c>
      <c r="AD83" t="s">
        <v>4599</v>
      </c>
      <c r="AE83" t="s">
        <v>4035</v>
      </c>
      <c r="AF83" t="s">
        <v>3831</v>
      </c>
      <c r="AG83" t="s">
        <v>3832</v>
      </c>
      <c r="AH83" t="s">
        <v>3908</v>
      </c>
      <c r="AI83" t="s">
        <v>3834</v>
      </c>
      <c r="AJ83" t="s">
        <v>3835</v>
      </c>
      <c r="AK83" t="s">
        <v>3832</v>
      </c>
      <c r="AM83" s="3" t="s">
        <v>4864</v>
      </c>
      <c r="AN83" s="3"/>
      <c r="AO83" s="3">
        <v>46286</v>
      </c>
      <c r="AP83" s="3"/>
      <c r="AQ83" s="3" t="s">
        <v>3837</v>
      </c>
      <c r="AR83" s="3" t="s">
        <v>3814</v>
      </c>
      <c r="AS83" s="3"/>
      <c r="AT83" s="3">
        <v>46300</v>
      </c>
      <c r="AU83" s="3">
        <v>46331</v>
      </c>
      <c r="AV83" s="3"/>
      <c r="AW83" t="s">
        <v>3839</v>
      </c>
      <c r="BC83" t="s">
        <v>32</v>
      </c>
      <c r="BD83" t="s">
        <v>3814</v>
      </c>
      <c r="BE83" t="s">
        <v>4858</v>
      </c>
      <c r="BF83" t="s">
        <v>4859</v>
      </c>
      <c r="BG83" t="s">
        <v>3817</v>
      </c>
      <c r="CW83" s="6" t="str" cm="1">
        <f t="array" ref="CW83">IFERROR(_xlfn.IFS(H83=TIME(7,0,0),"GY",H83=TIME(7,30,0),"GY",H83=TIME(9,0,0),"GY",H83=TIME(15,0,0),"GY",H83=TIME(8,30,0),"GY",H83=TIME(5,30,0),"GY",H83=TIME(6,0,0),"GD",H83=TIME(6,30,0),"GD",H83=TIME(8,0,0),"GY",H83=TIME(6,15,0),"GD"),"")</f>
        <v/>
      </c>
      <c r="EE83"/>
    </row>
    <row r="84" spans="1:135" x14ac:dyDescent="0.45">
      <c r="A84" s="3" t="s">
        <v>32</v>
      </c>
      <c r="B84" s="3" t="s">
        <v>3814</v>
      </c>
      <c r="C84" s="3" t="s">
        <v>4858</v>
      </c>
      <c r="D84" s="3" t="s">
        <v>4859</v>
      </c>
      <c r="E84" s="100" t="s">
        <v>3817</v>
      </c>
      <c r="F84" s="3" t="s">
        <v>117</v>
      </c>
      <c r="G84" s="4">
        <v>46288</v>
      </c>
      <c r="H84" s="5">
        <v>0.41666666666666674</v>
      </c>
      <c r="I84" s="91">
        <v>46286</v>
      </c>
      <c r="J84" s="91"/>
      <c r="K84" s="91">
        <v>46286</v>
      </c>
      <c r="L84" s="3" t="s">
        <v>6095</v>
      </c>
      <c r="M84" s="3" t="s">
        <v>3966</v>
      </c>
      <c r="N84" s="3" t="s">
        <v>4860</v>
      </c>
      <c r="O84" t="s">
        <v>3821</v>
      </c>
      <c r="P84" s="3" t="s">
        <v>4008</v>
      </c>
      <c r="Q84">
        <v>46246</v>
      </c>
      <c r="R84" s="3">
        <v>726</v>
      </c>
      <c r="S84" s="3" t="s">
        <v>3823</v>
      </c>
      <c r="T84" s="3">
        <v>30</v>
      </c>
      <c r="U84" s="3" t="s">
        <v>4865</v>
      </c>
      <c r="V84" s="3" t="s">
        <v>4866</v>
      </c>
      <c r="W84" s="3">
        <v>460.49</v>
      </c>
      <c r="X84" s="3">
        <v>46277</v>
      </c>
      <c r="Y84" s="3">
        <v>46260</v>
      </c>
      <c r="AA84" t="s">
        <v>3826</v>
      </c>
      <c r="AB84" t="s">
        <v>3827</v>
      </c>
      <c r="AC84" s="3" t="s">
        <v>4863</v>
      </c>
      <c r="AD84" t="s">
        <v>4599</v>
      </c>
      <c r="AE84" t="s">
        <v>4035</v>
      </c>
      <c r="AF84" t="s">
        <v>3831</v>
      </c>
      <c r="AG84" t="s">
        <v>3832</v>
      </c>
      <c r="AH84" t="s">
        <v>3908</v>
      </c>
      <c r="AI84" t="s">
        <v>3834</v>
      </c>
      <c r="AJ84" t="s">
        <v>3835</v>
      </c>
      <c r="AK84" t="s">
        <v>3832</v>
      </c>
      <c r="AM84" s="3" t="s">
        <v>4864</v>
      </c>
      <c r="AN84" s="3"/>
      <c r="AO84" s="3">
        <v>46286</v>
      </c>
      <c r="AP84" s="3"/>
      <c r="AQ84" s="3" t="s">
        <v>3837</v>
      </c>
      <c r="AR84" s="3" t="s">
        <v>3814</v>
      </c>
      <c r="AS84" s="3"/>
      <c r="AT84" s="3">
        <v>46300</v>
      </c>
      <c r="AU84" s="3">
        <v>46331</v>
      </c>
      <c r="AV84" s="3"/>
      <c r="AW84" t="s">
        <v>3839</v>
      </c>
      <c r="BC84" t="s">
        <v>32</v>
      </c>
      <c r="BD84" t="s">
        <v>3814</v>
      </c>
      <c r="BE84" t="s">
        <v>4858</v>
      </c>
      <c r="BF84" t="s">
        <v>4859</v>
      </c>
      <c r="BG84" t="s">
        <v>3817</v>
      </c>
      <c r="CW84" s="6" t="str" cm="1">
        <f t="array" ref="CW84">IFERROR(_xlfn.IFS(H84=TIME(7,0,0),"GY",H84=TIME(7,30,0),"GY",H84=TIME(9,0,0),"GY",H84=TIME(15,0,0),"GY",H84=TIME(8,30,0),"GY",H84=TIME(5,30,0),"GY",H84=TIME(6,0,0),"GD",H84=TIME(6,30,0),"GD",H84=TIME(8,0,0),"GY",H84=TIME(6,15,0),"GD"),"")</f>
        <v/>
      </c>
      <c r="EE84"/>
    </row>
    <row r="85" spans="1:135" x14ac:dyDescent="0.45">
      <c r="A85" s="3" t="s">
        <v>32</v>
      </c>
      <c r="B85" s="3" t="s">
        <v>3814</v>
      </c>
      <c r="C85" s="3" t="s">
        <v>4858</v>
      </c>
      <c r="D85" s="3" t="s">
        <v>4859</v>
      </c>
      <c r="E85" s="100" t="s">
        <v>3817</v>
      </c>
      <c r="F85" s="3" t="s">
        <v>105</v>
      </c>
      <c r="G85" s="4">
        <v>46288</v>
      </c>
      <c r="H85" s="5">
        <v>0.41666666666666674</v>
      </c>
      <c r="I85" s="91">
        <v>46286</v>
      </c>
      <c r="J85" s="91"/>
      <c r="K85" s="91">
        <v>46286</v>
      </c>
      <c r="L85" s="3" t="s">
        <v>6095</v>
      </c>
      <c r="M85" s="3" t="s">
        <v>3966</v>
      </c>
      <c r="N85" s="3" t="s">
        <v>4860</v>
      </c>
      <c r="O85" t="s">
        <v>3821</v>
      </c>
      <c r="P85" s="3" t="s">
        <v>4008</v>
      </c>
      <c r="Q85">
        <v>46246</v>
      </c>
      <c r="R85" s="3">
        <v>726</v>
      </c>
      <c r="S85" s="3" t="s">
        <v>3823</v>
      </c>
      <c r="T85" s="3">
        <v>60</v>
      </c>
      <c r="U85" s="3" t="s">
        <v>4867</v>
      </c>
      <c r="V85" s="3" t="s">
        <v>4868</v>
      </c>
      <c r="W85" s="3">
        <v>777.69</v>
      </c>
      <c r="X85" s="3">
        <v>46277</v>
      </c>
      <c r="Y85" s="3">
        <v>46260</v>
      </c>
      <c r="AA85" t="s">
        <v>3826</v>
      </c>
      <c r="AB85" t="s">
        <v>3827</v>
      </c>
      <c r="AC85" s="3" t="s">
        <v>4863</v>
      </c>
      <c r="AD85" t="s">
        <v>4599</v>
      </c>
      <c r="AE85" t="s">
        <v>4035</v>
      </c>
      <c r="AF85" t="s">
        <v>3831</v>
      </c>
      <c r="AG85" t="s">
        <v>3832</v>
      </c>
      <c r="AH85" t="s">
        <v>3908</v>
      </c>
      <c r="AI85" t="s">
        <v>3834</v>
      </c>
      <c r="AJ85" t="s">
        <v>3835</v>
      </c>
      <c r="AK85" t="s">
        <v>3832</v>
      </c>
      <c r="AM85" s="3" t="s">
        <v>4864</v>
      </c>
      <c r="AN85" s="3"/>
      <c r="AO85" s="3">
        <v>46286</v>
      </c>
      <c r="AP85" s="3"/>
      <c r="AQ85" s="3" t="s">
        <v>3837</v>
      </c>
      <c r="AR85" s="3" t="s">
        <v>3814</v>
      </c>
      <c r="AS85" s="3"/>
      <c r="AT85" s="3">
        <v>46300</v>
      </c>
      <c r="AU85" s="3">
        <v>46331</v>
      </c>
      <c r="AV85" s="3"/>
      <c r="AW85" t="s">
        <v>3839</v>
      </c>
      <c r="BC85" t="s">
        <v>32</v>
      </c>
      <c r="BD85" t="s">
        <v>3814</v>
      </c>
      <c r="BE85" t="s">
        <v>4858</v>
      </c>
      <c r="BF85" t="s">
        <v>4859</v>
      </c>
      <c r="BG85" t="s">
        <v>3817</v>
      </c>
      <c r="CW85" s="6" t="str" cm="1">
        <f t="array" ref="CW85">IFERROR(_xlfn.IFS(H85=TIME(7,0,0),"GY",H85=TIME(7,30,0),"GY",H85=TIME(9,0,0),"GY",H85=TIME(15,0,0),"GY",H85=TIME(8,30,0),"GY",H85=TIME(5,30,0),"GY",H85=TIME(6,0,0),"GD",H85=TIME(6,30,0),"GD",H85=TIME(8,0,0),"GY",H85=TIME(6,15,0),"GD"),"")</f>
        <v/>
      </c>
      <c r="EE85"/>
    </row>
    <row r="86" spans="1:135" x14ac:dyDescent="0.45">
      <c r="A86" s="3" t="s">
        <v>32</v>
      </c>
      <c r="B86" s="3" t="s">
        <v>3814</v>
      </c>
      <c r="C86" s="3" t="s">
        <v>4956</v>
      </c>
      <c r="D86" s="3" t="s">
        <v>4957</v>
      </c>
      <c r="E86" s="100" t="s">
        <v>3947</v>
      </c>
      <c r="F86" s="3" t="s">
        <v>3353</v>
      </c>
      <c r="G86" s="4">
        <v>46288</v>
      </c>
      <c r="H86" s="5">
        <v>0.35416666666666674</v>
      </c>
      <c r="I86" s="91">
        <v>46286</v>
      </c>
      <c r="J86" s="91"/>
      <c r="K86" s="91">
        <v>46283</v>
      </c>
      <c r="L86" s="3" t="s">
        <v>6093</v>
      </c>
      <c r="M86" s="3" t="s">
        <v>3966</v>
      </c>
      <c r="N86" s="3" t="s">
        <v>4958</v>
      </c>
      <c r="O86" t="s">
        <v>3821</v>
      </c>
      <c r="P86" s="3" t="s">
        <v>4959</v>
      </c>
      <c r="Q86">
        <v>46245</v>
      </c>
      <c r="R86" s="3">
        <v>726</v>
      </c>
      <c r="S86" s="3" t="s">
        <v>3823</v>
      </c>
      <c r="T86" s="3">
        <v>1400</v>
      </c>
      <c r="U86" s="3" t="s">
        <v>4960</v>
      </c>
      <c r="V86" s="3" t="s">
        <v>4961</v>
      </c>
      <c r="W86" s="3">
        <v>439.49</v>
      </c>
      <c r="X86" s="3">
        <v>46279</v>
      </c>
      <c r="Y86" s="3">
        <v>46280</v>
      </c>
      <c r="AA86" t="s">
        <v>3971</v>
      </c>
      <c r="AB86" t="s">
        <v>3972</v>
      </c>
      <c r="AC86" s="3" t="s">
        <v>4962</v>
      </c>
      <c r="AD86" t="s">
        <v>4243</v>
      </c>
      <c r="AE86" t="s">
        <v>4963</v>
      </c>
      <c r="AF86" t="s">
        <v>3976</v>
      </c>
      <c r="AG86" t="s">
        <v>3832</v>
      </c>
      <c r="AH86" t="s">
        <v>3977</v>
      </c>
      <c r="AI86" t="s">
        <v>3834</v>
      </c>
      <c r="AJ86" t="s">
        <v>3956</v>
      </c>
      <c r="AK86" t="s">
        <v>3832</v>
      </c>
      <c r="AM86" s="3" t="s">
        <v>4964</v>
      </c>
      <c r="AN86" s="3"/>
      <c r="AO86" s="3">
        <v>46286</v>
      </c>
      <c r="AP86" s="3"/>
      <c r="AQ86" s="3" t="s">
        <v>3979</v>
      </c>
      <c r="AR86" s="3"/>
      <c r="AS86" s="3" t="s">
        <v>3961</v>
      </c>
      <c r="AT86" s="3">
        <v>46297</v>
      </c>
      <c r="AU86" s="3"/>
      <c r="AV86" s="3">
        <v>46301</v>
      </c>
      <c r="AW86" t="s">
        <v>3839</v>
      </c>
      <c r="BC86" t="s">
        <v>32</v>
      </c>
      <c r="BD86" t="s">
        <v>3814</v>
      </c>
      <c r="BE86" t="s">
        <v>4956</v>
      </c>
      <c r="BF86" t="s">
        <v>4957</v>
      </c>
      <c r="BG86" t="s">
        <v>3947</v>
      </c>
      <c r="CW86" s="6" t="str" cm="1">
        <f t="array" ref="CW86">IFERROR(_xlfn.IFS(H86=TIME(7,0,0),"GY",H86=TIME(7,30,0),"GY",H86=TIME(9,0,0),"GY",H86=TIME(15,0,0),"GY",H86=TIME(8,30,0),"GY",H86=TIME(5,30,0),"GY",H86=TIME(6,0,0),"GD",H86=TIME(6,30,0),"GD",H86=TIME(8,0,0),"GY",H86=TIME(6,15,0),"GD"),"")</f>
        <v>GY</v>
      </c>
      <c r="EE86"/>
    </row>
    <row r="87" spans="1:135" x14ac:dyDescent="0.45">
      <c r="A87" s="3" t="s">
        <v>32</v>
      </c>
      <c r="B87" s="3" t="s">
        <v>3814</v>
      </c>
      <c r="C87" s="3" t="s">
        <v>4956</v>
      </c>
      <c r="D87" s="3" t="s">
        <v>4957</v>
      </c>
      <c r="E87" s="100" t="s">
        <v>3947</v>
      </c>
      <c r="F87" s="3" t="s">
        <v>3688</v>
      </c>
      <c r="G87" s="4">
        <v>46288</v>
      </c>
      <c r="H87" s="5">
        <v>0.35416666666666674</v>
      </c>
      <c r="I87" s="91">
        <v>46286</v>
      </c>
      <c r="J87" s="91"/>
      <c r="K87" s="91">
        <v>46283</v>
      </c>
      <c r="L87" s="3" t="s">
        <v>6093</v>
      </c>
      <c r="M87" s="3" t="s">
        <v>3966</v>
      </c>
      <c r="N87" s="3" t="s">
        <v>4958</v>
      </c>
      <c r="O87" t="s">
        <v>3821</v>
      </c>
      <c r="P87" s="3" t="s">
        <v>4959</v>
      </c>
      <c r="Q87">
        <v>46245</v>
      </c>
      <c r="R87" s="3">
        <v>726</v>
      </c>
      <c r="S87" s="3" t="s">
        <v>3823</v>
      </c>
      <c r="T87" s="3">
        <v>36</v>
      </c>
      <c r="U87" s="3" t="s">
        <v>4713</v>
      </c>
      <c r="V87" s="3" t="s">
        <v>4714</v>
      </c>
      <c r="W87" s="3">
        <v>58.92</v>
      </c>
      <c r="X87" s="3">
        <v>46279</v>
      </c>
      <c r="Y87" s="3">
        <v>46280</v>
      </c>
      <c r="AA87" t="s">
        <v>3971</v>
      </c>
      <c r="AB87" t="s">
        <v>3972</v>
      </c>
      <c r="AC87" s="3" t="s">
        <v>4962</v>
      </c>
      <c r="AD87" t="s">
        <v>4243</v>
      </c>
      <c r="AE87" t="s">
        <v>4963</v>
      </c>
      <c r="AF87" t="s">
        <v>3976</v>
      </c>
      <c r="AG87" t="s">
        <v>3832</v>
      </c>
      <c r="AH87" t="s">
        <v>3977</v>
      </c>
      <c r="AI87" t="s">
        <v>3834</v>
      </c>
      <c r="AJ87" t="s">
        <v>3956</v>
      </c>
      <c r="AK87" t="s">
        <v>3832</v>
      </c>
      <c r="AM87" s="3" t="s">
        <v>4964</v>
      </c>
      <c r="AN87" s="3"/>
      <c r="AO87" s="3">
        <v>46286</v>
      </c>
      <c r="AP87" s="3"/>
      <c r="AQ87" s="3" t="s">
        <v>3979</v>
      </c>
      <c r="AR87" s="3"/>
      <c r="AS87" s="3" t="s">
        <v>3961</v>
      </c>
      <c r="AT87" s="3">
        <v>46297</v>
      </c>
      <c r="AU87" s="3"/>
      <c r="AV87" s="3">
        <v>46301</v>
      </c>
      <c r="AW87" t="s">
        <v>3839</v>
      </c>
      <c r="BC87" t="s">
        <v>32</v>
      </c>
      <c r="BD87" t="s">
        <v>3814</v>
      </c>
      <c r="BE87" t="s">
        <v>4956</v>
      </c>
      <c r="BF87" t="s">
        <v>4957</v>
      </c>
      <c r="BG87" t="s">
        <v>3947</v>
      </c>
      <c r="CW87" s="6" t="str" cm="1">
        <f t="array" ref="CW87">IFERROR(_xlfn.IFS(H87=TIME(7,0,0),"GY",H87=TIME(7,30,0),"GY",H87=TIME(9,0,0),"GY",H87=TIME(15,0,0),"GY",H87=TIME(8,30,0),"GY",H87=TIME(5,30,0),"GY",H87=TIME(6,0,0),"GD",H87=TIME(6,30,0),"GD",H87=TIME(8,0,0),"GY",H87=TIME(6,15,0),"GD"),"")</f>
        <v>GY</v>
      </c>
      <c r="EE87"/>
    </row>
    <row r="88" spans="1:135" x14ac:dyDescent="0.45">
      <c r="A88" s="3" t="s">
        <v>18</v>
      </c>
      <c r="B88" s="3" t="s">
        <v>0</v>
      </c>
      <c r="C88" s="3" t="s">
        <v>4715</v>
      </c>
      <c r="D88" s="3" t="s">
        <v>4716</v>
      </c>
      <c r="E88" s="100" t="s">
        <v>3817</v>
      </c>
      <c r="F88" s="3" t="s">
        <v>37</v>
      </c>
      <c r="G88" s="4">
        <v>46287</v>
      </c>
      <c r="H88" s="5">
        <v>0.27083333333333326</v>
      </c>
      <c r="I88" s="91">
        <v>46283</v>
      </c>
      <c r="J88" s="91"/>
      <c r="K88" s="91">
        <v>46283</v>
      </c>
      <c r="L88" s="3" t="s">
        <v>5869</v>
      </c>
      <c r="M88" s="3" t="s">
        <v>3819</v>
      </c>
      <c r="N88" s="3" t="s">
        <v>4717</v>
      </c>
      <c r="O88" t="s">
        <v>3867</v>
      </c>
      <c r="P88" s="3"/>
      <c r="Q88">
        <v>46253</v>
      </c>
      <c r="R88" s="3">
        <v>726</v>
      </c>
      <c r="S88" s="3" t="s">
        <v>3823</v>
      </c>
      <c r="T88" s="3">
        <v>12874</v>
      </c>
      <c r="U88" s="3" t="s">
        <v>4718</v>
      </c>
      <c r="V88" s="3" t="s">
        <v>4719</v>
      </c>
      <c r="W88" s="3">
        <v>10881.763000000001</v>
      </c>
      <c r="X88" s="3">
        <v>46277</v>
      </c>
      <c r="Y88" s="3">
        <v>46275</v>
      </c>
      <c r="AA88" t="s">
        <v>3870</v>
      </c>
      <c r="AB88" t="s">
        <v>3871</v>
      </c>
      <c r="AC88" s="3" t="s">
        <v>4720</v>
      </c>
      <c r="AD88" t="s">
        <v>4721</v>
      </c>
      <c r="AE88" t="s">
        <v>4722</v>
      </c>
      <c r="AF88" t="s">
        <v>3831</v>
      </c>
      <c r="AG88" t="s">
        <v>3832</v>
      </c>
      <c r="AH88" t="s">
        <v>3875</v>
      </c>
      <c r="AI88" t="s">
        <v>3834</v>
      </c>
      <c r="AJ88" t="s">
        <v>3835</v>
      </c>
      <c r="AK88" t="s">
        <v>3832</v>
      </c>
      <c r="AM88" s="3" t="s">
        <v>4723</v>
      </c>
      <c r="AN88" s="3"/>
      <c r="AO88" s="3">
        <v>46283</v>
      </c>
      <c r="AP88" s="3"/>
      <c r="AQ88" s="3" t="s">
        <v>3877</v>
      </c>
      <c r="AR88" s="3"/>
      <c r="AS88" s="3"/>
      <c r="AT88" s="3">
        <v>46297</v>
      </c>
      <c r="AU88" s="3">
        <v>46328</v>
      </c>
      <c r="AV88" s="3"/>
      <c r="AW88" t="s">
        <v>3839</v>
      </c>
      <c r="BC88" t="s">
        <v>18</v>
      </c>
      <c r="BD88" t="s">
        <v>0</v>
      </c>
      <c r="BE88" t="s">
        <v>4715</v>
      </c>
      <c r="BF88" t="s">
        <v>4716</v>
      </c>
      <c r="BG88" t="s">
        <v>3817</v>
      </c>
      <c r="CW88" s="6" t="str" cm="1">
        <f t="array" ref="CW88">IFERROR(_xlfn.IFS(H88=TIME(7,0,0),"GY",H88=TIME(7,30,0),"GY",H88=TIME(9,0,0),"GY",H88=TIME(15,0,0),"GY",H88=TIME(8,30,0),"GY",H88=TIME(5,30,0),"GY",H88=TIME(6,0,0),"GD",H88=TIME(6,30,0),"GD",H88=TIME(8,0,0),"GY",H88=TIME(6,15,0),"GD"),"")</f>
        <v>GD</v>
      </c>
      <c r="EE88"/>
    </row>
    <row r="89" spans="1:135" x14ac:dyDescent="0.45">
      <c r="A89" s="3" t="s">
        <v>18</v>
      </c>
      <c r="B89" s="3" t="s">
        <v>0</v>
      </c>
      <c r="C89" s="3" t="s">
        <v>4715</v>
      </c>
      <c r="D89" s="3" t="s">
        <v>4716</v>
      </c>
      <c r="E89" s="100" t="s">
        <v>3817</v>
      </c>
      <c r="F89" s="3" t="s">
        <v>239</v>
      </c>
      <c r="G89" s="4">
        <v>46287</v>
      </c>
      <c r="H89" s="5">
        <v>0.27083333333333326</v>
      </c>
      <c r="I89" s="91">
        <v>46283</v>
      </c>
      <c r="J89" s="91"/>
      <c r="K89" s="91">
        <v>46283</v>
      </c>
      <c r="L89" s="3" t="s">
        <v>5869</v>
      </c>
      <c r="M89" s="3" t="s">
        <v>3819</v>
      </c>
      <c r="N89" s="3" t="s">
        <v>4717</v>
      </c>
      <c r="O89" t="s">
        <v>3867</v>
      </c>
      <c r="P89" s="3"/>
      <c r="Q89">
        <v>46253</v>
      </c>
      <c r="R89" s="3">
        <v>726</v>
      </c>
      <c r="S89" s="3" t="s">
        <v>3823</v>
      </c>
      <c r="T89" s="3">
        <v>24</v>
      </c>
      <c r="U89" s="3" t="s">
        <v>4724</v>
      </c>
      <c r="V89" s="3" t="s">
        <v>4725</v>
      </c>
      <c r="W89" s="3">
        <v>276.48</v>
      </c>
      <c r="X89" s="3">
        <v>46277</v>
      </c>
      <c r="Y89" s="3">
        <v>46275</v>
      </c>
      <c r="AA89" t="s">
        <v>3870</v>
      </c>
      <c r="AB89" t="s">
        <v>3871</v>
      </c>
      <c r="AC89" s="3" t="s">
        <v>4720</v>
      </c>
      <c r="AD89" t="s">
        <v>4721</v>
      </c>
      <c r="AE89" t="s">
        <v>4722</v>
      </c>
      <c r="AF89" t="s">
        <v>3831</v>
      </c>
      <c r="AG89" t="s">
        <v>3832</v>
      </c>
      <c r="AH89" t="s">
        <v>3875</v>
      </c>
      <c r="AI89" t="s">
        <v>3834</v>
      </c>
      <c r="AJ89" t="s">
        <v>3835</v>
      </c>
      <c r="AK89" t="s">
        <v>3832</v>
      </c>
      <c r="AM89" s="3" t="s">
        <v>4723</v>
      </c>
      <c r="AN89" s="3"/>
      <c r="AO89" s="3">
        <v>46283</v>
      </c>
      <c r="AP89" s="3"/>
      <c r="AQ89" s="3" t="s">
        <v>3877</v>
      </c>
      <c r="AR89" s="3"/>
      <c r="AS89" s="3"/>
      <c r="AT89" s="3">
        <v>46297</v>
      </c>
      <c r="AU89" s="3">
        <v>46328</v>
      </c>
      <c r="AV89" s="3"/>
      <c r="AW89" t="s">
        <v>3839</v>
      </c>
      <c r="BC89" t="s">
        <v>18</v>
      </c>
      <c r="BD89" t="s">
        <v>0</v>
      </c>
      <c r="BE89" t="s">
        <v>4715</v>
      </c>
      <c r="BF89" t="s">
        <v>4716</v>
      </c>
      <c r="BG89" t="s">
        <v>3817</v>
      </c>
      <c r="CW89" s="6" t="str" cm="1">
        <f t="array" ref="CW89">IFERROR(_xlfn.IFS(H89=TIME(7,0,0),"GY",H89=TIME(7,30,0),"GY",H89=TIME(9,0,0),"GY",H89=TIME(15,0,0),"GY",H89=TIME(8,30,0),"GY",H89=TIME(5,30,0),"GY",H89=TIME(6,0,0),"GD",H89=TIME(6,30,0),"GD",H89=TIME(8,0,0),"GY",H89=TIME(6,15,0),"GD"),"")</f>
        <v>GD</v>
      </c>
      <c r="EE89"/>
    </row>
    <row r="90" spans="1:135" x14ac:dyDescent="0.45">
      <c r="A90" s="3" t="s">
        <v>32</v>
      </c>
      <c r="B90" s="3" t="s">
        <v>3814</v>
      </c>
      <c r="C90" s="3" t="s">
        <v>5434</v>
      </c>
      <c r="D90" s="3" t="s">
        <v>5435</v>
      </c>
      <c r="E90" s="100" t="s">
        <v>3817</v>
      </c>
      <c r="F90" s="3" t="s">
        <v>154</v>
      </c>
      <c r="G90" s="4">
        <v>46286</v>
      </c>
      <c r="H90" s="5">
        <v>0.35416666666666674</v>
      </c>
      <c r="I90" s="91">
        <v>46282</v>
      </c>
      <c r="J90" s="91"/>
      <c r="K90" s="91">
        <v>46281</v>
      </c>
      <c r="L90" s="3" t="s">
        <v>5820</v>
      </c>
      <c r="M90" s="3" t="s">
        <v>3819</v>
      </c>
      <c r="N90" s="3" t="s">
        <v>5436</v>
      </c>
      <c r="O90" t="s">
        <v>3821</v>
      </c>
      <c r="P90" s="3" t="s">
        <v>3822</v>
      </c>
      <c r="Q90">
        <v>46244</v>
      </c>
      <c r="R90" s="3">
        <v>726</v>
      </c>
      <c r="S90" s="3" t="s">
        <v>3823</v>
      </c>
      <c r="T90" s="3">
        <v>117</v>
      </c>
      <c r="U90" s="3" t="s">
        <v>5437</v>
      </c>
      <c r="V90" s="3" t="s">
        <v>5438</v>
      </c>
      <c r="W90" s="3">
        <v>1878.83</v>
      </c>
      <c r="X90" s="3">
        <v>46284</v>
      </c>
      <c r="Y90" s="3">
        <v>46282</v>
      </c>
      <c r="AA90" t="s">
        <v>3926</v>
      </c>
      <c r="AB90" t="s">
        <v>3927</v>
      </c>
      <c r="AC90" s="3" t="s">
        <v>5531</v>
      </c>
      <c r="AD90" t="s">
        <v>5439</v>
      </c>
      <c r="AE90" t="s">
        <v>5440</v>
      </c>
      <c r="AF90" t="s">
        <v>3831</v>
      </c>
      <c r="AG90" t="s">
        <v>3832</v>
      </c>
      <c r="AH90" t="s">
        <v>3833</v>
      </c>
      <c r="AI90" t="s">
        <v>3834</v>
      </c>
      <c r="AJ90" t="s">
        <v>3835</v>
      </c>
      <c r="AK90" t="s">
        <v>3832</v>
      </c>
      <c r="AM90" s="3" t="s">
        <v>5532</v>
      </c>
      <c r="AN90" s="3"/>
      <c r="AO90" s="3">
        <v>46282</v>
      </c>
      <c r="AP90" s="3"/>
      <c r="AQ90" s="3" t="s">
        <v>4424</v>
      </c>
      <c r="AR90" s="3" t="s">
        <v>3814</v>
      </c>
      <c r="AS90" s="3"/>
      <c r="AT90" s="3">
        <v>46295</v>
      </c>
      <c r="AU90" s="3">
        <v>46357</v>
      </c>
      <c r="AV90" s="3"/>
      <c r="AW90" t="s">
        <v>3839</v>
      </c>
      <c r="BC90" t="s">
        <v>32</v>
      </c>
      <c r="BD90" t="s">
        <v>3814</v>
      </c>
      <c r="BE90" t="s">
        <v>5434</v>
      </c>
      <c r="BF90" t="s">
        <v>5435</v>
      </c>
      <c r="BG90" t="s">
        <v>3817</v>
      </c>
      <c r="CW90" s="6" t="str" cm="1">
        <f t="array" ref="CW90">IFERROR(_xlfn.IFS(H90=TIME(7,0,0),"GY",H90=TIME(7,30,0),"GY",H90=TIME(9,0,0),"GY",H90=TIME(15,0,0),"GY",H90=TIME(8,30,0),"GY",H90=TIME(5,30,0),"GY",H90=TIME(6,0,0),"GD",H90=TIME(6,30,0),"GD",H90=TIME(8,0,0),"GY",H90=TIME(6,15,0),"GD"),"")</f>
        <v>GY</v>
      </c>
      <c r="EE90"/>
    </row>
    <row r="91" spans="1:135" x14ac:dyDescent="0.45">
      <c r="A91" s="3" t="s">
        <v>32</v>
      </c>
      <c r="B91" s="3" t="s">
        <v>3814</v>
      </c>
      <c r="C91" s="3" t="s">
        <v>4750</v>
      </c>
      <c r="D91" s="3" t="s">
        <v>4751</v>
      </c>
      <c r="E91" s="100" t="s">
        <v>3817</v>
      </c>
      <c r="F91" s="3" t="s">
        <v>345</v>
      </c>
      <c r="G91" s="4">
        <v>46286</v>
      </c>
      <c r="H91" s="5">
        <v>0.35416666666666674</v>
      </c>
      <c r="I91" s="91">
        <v>46280</v>
      </c>
      <c r="J91" s="91"/>
      <c r="K91" s="91">
        <v>46280</v>
      </c>
      <c r="L91" s="3" t="s">
        <v>5818</v>
      </c>
      <c r="M91" s="3" t="s">
        <v>3819</v>
      </c>
      <c r="N91" s="3" t="s">
        <v>4752</v>
      </c>
      <c r="O91" t="s">
        <v>3867</v>
      </c>
      <c r="P91" s="3" t="s">
        <v>4127</v>
      </c>
      <c r="Q91">
        <v>46247</v>
      </c>
      <c r="R91" s="3">
        <v>726</v>
      </c>
      <c r="S91" s="3" t="s">
        <v>3823</v>
      </c>
      <c r="T91" s="3">
        <v>4505</v>
      </c>
      <c r="U91" s="3" t="s">
        <v>4753</v>
      </c>
      <c r="V91" s="3" t="s">
        <v>4754</v>
      </c>
      <c r="W91" s="3">
        <v>3378.81</v>
      </c>
      <c r="X91" s="3">
        <v>46269</v>
      </c>
      <c r="Y91" s="3">
        <v>46279</v>
      </c>
      <c r="AA91" t="s">
        <v>3826</v>
      </c>
      <c r="AB91" t="s">
        <v>3827</v>
      </c>
      <c r="AC91" s="3" t="s">
        <v>4755</v>
      </c>
      <c r="AD91" t="s">
        <v>4756</v>
      </c>
      <c r="AE91" t="s">
        <v>4757</v>
      </c>
      <c r="AF91" t="s">
        <v>3831</v>
      </c>
      <c r="AG91" t="s">
        <v>3832</v>
      </c>
      <c r="AH91" t="s">
        <v>4132</v>
      </c>
      <c r="AI91" t="s">
        <v>3834</v>
      </c>
      <c r="AJ91" t="s">
        <v>3835</v>
      </c>
      <c r="AK91" t="s">
        <v>3832</v>
      </c>
      <c r="AM91" s="3" t="s">
        <v>4758</v>
      </c>
      <c r="AN91" s="3"/>
      <c r="AO91" s="3">
        <v>46280</v>
      </c>
      <c r="AP91" s="3"/>
      <c r="AQ91" s="3" t="s">
        <v>3837</v>
      </c>
      <c r="AR91" s="3" t="s">
        <v>3814</v>
      </c>
      <c r="AS91" s="3"/>
      <c r="AT91" s="3">
        <v>46294</v>
      </c>
      <c r="AU91" s="3">
        <v>46325</v>
      </c>
      <c r="AV91" s="3"/>
      <c r="AW91" t="s">
        <v>3839</v>
      </c>
      <c r="BC91" t="s">
        <v>32</v>
      </c>
      <c r="BD91" t="s">
        <v>3814</v>
      </c>
      <c r="BE91" t="s">
        <v>4750</v>
      </c>
      <c r="BF91" t="s">
        <v>4751</v>
      </c>
      <c r="BG91" t="s">
        <v>3817</v>
      </c>
      <c r="CW91" s="6" t="str" cm="1">
        <f t="array" ref="CW91">IFERROR(_xlfn.IFS(H91=TIME(7,0,0),"GY",H91=TIME(7,30,0),"GY",H91=TIME(9,0,0),"GY",H91=TIME(15,0,0),"GY",H91=TIME(8,30,0),"GY",H91=TIME(5,30,0),"GY",H91=TIME(6,0,0),"GD",H91=TIME(6,30,0),"GD",H91=TIME(8,0,0),"GY",H91=TIME(6,15,0),"GD"),"")</f>
        <v>GY</v>
      </c>
      <c r="EE91"/>
    </row>
    <row r="92" spans="1:135" x14ac:dyDescent="0.45">
      <c r="A92" s="3" t="s">
        <v>18</v>
      </c>
      <c r="B92" s="3" t="s">
        <v>0</v>
      </c>
      <c r="C92" s="3" t="s">
        <v>4894</v>
      </c>
      <c r="D92" s="3" t="s">
        <v>4895</v>
      </c>
      <c r="E92" s="100" t="s">
        <v>3817</v>
      </c>
      <c r="F92" s="3" t="s">
        <v>26</v>
      </c>
      <c r="G92" s="4">
        <v>46286</v>
      </c>
      <c r="H92" s="5">
        <v>0.27083333333333326</v>
      </c>
      <c r="I92" s="91">
        <v>46279</v>
      </c>
      <c r="J92" s="91">
        <v>46276</v>
      </c>
      <c r="K92" s="91">
        <v>46276</v>
      </c>
      <c r="L92" s="3" t="s">
        <v>5817</v>
      </c>
      <c r="M92" s="3" t="s">
        <v>3819</v>
      </c>
      <c r="N92" s="3" t="s">
        <v>4896</v>
      </c>
      <c r="O92" t="s">
        <v>3867</v>
      </c>
      <c r="P92" s="3"/>
      <c r="Q92">
        <v>46240</v>
      </c>
      <c r="R92" s="3">
        <v>726</v>
      </c>
      <c r="S92" s="3" t="s">
        <v>3823</v>
      </c>
      <c r="T92" s="3">
        <v>6404</v>
      </c>
      <c r="U92" s="3" t="s">
        <v>4897</v>
      </c>
      <c r="V92" s="3" t="s">
        <v>4898</v>
      </c>
      <c r="W92" s="3">
        <v>7162.799</v>
      </c>
      <c r="X92" s="3">
        <v>46255</v>
      </c>
      <c r="Y92" s="3">
        <v>46253</v>
      </c>
      <c r="AA92" t="s">
        <v>3826</v>
      </c>
      <c r="AB92" t="s">
        <v>3827</v>
      </c>
      <c r="AC92" s="3" t="s">
        <v>4899</v>
      </c>
      <c r="AD92" t="s">
        <v>4701</v>
      </c>
      <c r="AE92" t="s">
        <v>4143</v>
      </c>
      <c r="AF92" t="s">
        <v>3831</v>
      </c>
      <c r="AG92" t="s">
        <v>3832</v>
      </c>
      <c r="AH92" t="s">
        <v>3908</v>
      </c>
      <c r="AI92" t="s">
        <v>3834</v>
      </c>
      <c r="AJ92" t="s">
        <v>3835</v>
      </c>
      <c r="AK92" t="s">
        <v>3832</v>
      </c>
      <c r="AM92" s="3" t="s">
        <v>4900</v>
      </c>
      <c r="AN92" s="3"/>
      <c r="AO92" s="3">
        <v>46276</v>
      </c>
      <c r="AP92" s="3"/>
      <c r="AQ92" s="3" t="s">
        <v>3837</v>
      </c>
      <c r="AR92" s="3" t="s">
        <v>5536</v>
      </c>
      <c r="AS92" s="3"/>
      <c r="AT92" s="3">
        <v>46290</v>
      </c>
      <c r="AU92" s="3">
        <v>46324</v>
      </c>
      <c r="AV92" s="3"/>
      <c r="AW92" t="s">
        <v>3839</v>
      </c>
      <c r="BC92" t="s">
        <v>18</v>
      </c>
      <c r="BD92" t="s">
        <v>0</v>
      </c>
      <c r="BE92" t="s">
        <v>4894</v>
      </c>
      <c r="BF92" t="s">
        <v>4895</v>
      </c>
      <c r="BG92" t="s">
        <v>3817</v>
      </c>
      <c r="CW92" s="6" t="str" cm="1">
        <f t="array" ref="CW92">IFERROR(_xlfn.IFS(H92=TIME(7,0,0),"GY",H92=TIME(7,30,0),"GY",H92=TIME(9,0,0),"GY",H92=TIME(15,0,0),"GY",H92=TIME(8,30,0),"GY",H92=TIME(5,30,0),"GY",H92=TIME(6,0,0),"GD",H92=TIME(6,30,0),"GD",H92=TIME(8,0,0),"GY",H92=TIME(6,15,0),"GD"),"")</f>
        <v>GD</v>
      </c>
      <c r="EE92"/>
    </row>
    <row r="93" spans="1:135" x14ac:dyDescent="0.45">
      <c r="A93" s="3" t="s">
        <v>18</v>
      </c>
      <c r="B93" s="3" t="s">
        <v>0</v>
      </c>
      <c r="C93" s="3" t="s">
        <v>4894</v>
      </c>
      <c r="D93" s="3" t="s">
        <v>4895</v>
      </c>
      <c r="E93" s="100" t="s">
        <v>3817</v>
      </c>
      <c r="F93" s="3" t="s">
        <v>234</v>
      </c>
      <c r="G93" s="4">
        <v>46286</v>
      </c>
      <c r="H93" s="5">
        <v>0.27083333333333326</v>
      </c>
      <c r="I93" s="91">
        <v>46279</v>
      </c>
      <c r="J93" s="91">
        <v>46276</v>
      </c>
      <c r="K93" s="91">
        <v>46276</v>
      </c>
      <c r="L93" s="3" t="s">
        <v>5817</v>
      </c>
      <c r="M93" s="3" t="s">
        <v>3819</v>
      </c>
      <c r="N93" s="3" t="s">
        <v>4896</v>
      </c>
      <c r="O93" t="s">
        <v>3867</v>
      </c>
      <c r="P93" s="3"/>
      <c r="Q93">
        <v>46240</v>
      </c>
      <c r="R93" s="3">
        <v>726</v>
      </c>
      <c r="S93" s="3" t="s">
        <v>3823</v>
      </c>
      <c r="T93" s="3">
        <v>5365</v>
      </c>
      <c r="U93" s="3" t="s">
        <v>4901</v>
      </c>
      <c r="V93" s="3" t="s">
        <v>4902</v>
      </c>
      <c r="W93" s="3">
        <v>1815.6880000000001</v>
      </c>
      <c r="X93" s="3">
        <v>46255</v>
      </c>
      <c r="Y93" s="3">
        <v>46253</v>
      </c>
      <c r="AA93" t="s">
        <v>3826</v>
      </c>
      <c r="AB93" t="s">
        <v>3827</v>
      </c>
      <c r="AC93" s="3" t="s">
        <v>4899</v>
      </c>
      <c r="AD93" t="s">
        <v>4701</v>
      </c>
      <c r="AE93" t="s">
        <v>4143</v>
      </c>
      <c r="AF93" t="s">
        <v>3831</v>
      </c>
      <c r="AG93" t="s">
        <v>3832</v>
      </c>
      <c r="AH93" t="s">
        <v>3908</v>
      </c>
      <c r="AI93" t="s">
        <v>3834</v>
      </c>
      <c r="AJ93" t="s">
        <v>3835</v>
      </c>
      <c r="AK93" t="s">
        <v>3832</v>
      </c>
      <c r="AM93" s="3" t="s">
        <v>4900</v>
      </c>
      <c r="AN93" s="3"/>
      <c r="AO93" s="3">
        <v>46276</v>
      </c>
      <c r="AP93" s="3"/>
      <c r="AQ93" s="3" t="s">
        <v>3837</v>
      </c>
      <c r="AR93" s="3" t="s">
        <v>5536</v>
      </c>
      <c r="AS93" s="3"/>
      <c r="AT93" s="3">
        <v>46290</v>
      </c>
      <c r="AU93" s="3">
        <v>46324</v>
      </c>
      <c r="AV93" s="3"/>
      <c r="AW93" t="s">
        <v>3839</v>
      </c>
      <c r="BC93" t="s">
        <v>18</v>
      </c>
      <c r="BD93" t="s">
        <v>0</v>
      </c>
      <c r="BE93" t="s">
        <v>4894</v>
      </c>
      <c r="BF93" t="s">
        <v>4895</v>
      </c>
      <c r="BG93" t="s">
        <v>3817</v>
      </c>
      <c r="CW93" s="6" t="str" cm="1">
        <f t="array" ref="CW93">IFERROR(_xlfn.IFS(H93=TIME(7,0,0),"GY",H93=TIME(7,30,0),"GY",H93=TIME(9,0,0),"GY",H93=TIME(15,0,0),"GY",H93=TIME(8,30,0),"GY",H93=TIME(5,30,0),"GY",H93=TIME(6,0,0),"GD",H93=TIME(6,30,0),"GD",H93=TIME(8,0,0),"GY",H93=TIME(6,15,0),"GD"),"")</f>
        <v>GD</v>
      </c>
      <c r="EE93"/>
    </row>
    <row r="94" spans="1:135" x14ac:dyDescent="0.45">
      <c r="A94" s="3" t="s">
        <v>32</v>
      </c>
      <c r="B94" s="3" t="s">
        <v>3814</v>
      </c>
      <c r="C94" s="3" t="s">
        <v>4878</v>
      </c>
      <c r="D94" s="3" t="s">
        <v>4879</v>
      </c>
      <c r="E94" s="100" t="s">
        <v>3817</v>
      </c>
      <c r="F94" s="3" t="s">
        <v>155</v>
      </c>
      <c r="G94" s="4">
        <v>46285</v>
      </c>
      <c r="H94" s="5">
        <v>0.35416666666666674</v>
      </c>
      <c r="I94" s="91">
        <v>46279</v>
      </c>
      <c r="J94" s="91"/>
      <c r="K94" s="91">
        <v>46277</v>
      </c>
      <c r="L94" s="3" t="s">
        <v>5681</v>
      </c>
      <c r="M94" s="3" t="s">
        <v>3819</v>
      </c>
      <c r="N94" s="3" t="s">
        <v>4880</v>
      </c>
      <c r="O94" t="s">
        <v>3867</v>
      </c>
      <c r="P94" s="3" t="s">
        <v>4820</v>
      </c>
      <c r="Q94">
        <v>46241</v>
      </c>
      <c r="R94" s="3">
        <v>726</v>
      </c>
      <c r="S94" s="3" t="s">
        <v>3823</v>
      </c>
      <c r="T94" s="3">
        <v>296</v>
      </c>
      <c r="U94" s="3" t="s">
        <v>4881</v>
      </c>
      <c r="V94" s="3" t="s">
        <v>4882</v>
      </c>
      <c r="W94" s="3">
        <v>3268.71</v>
      </c>
      <c r="X94" s="3">
        <v>46265</v>
      </c>
      <c r="Y94" s="3">
        <v>46263</v>
      </c>
      <c r="AA94" t="s">
        <v>3826</v>
      </c>
      <c r="AB94" t="s">
        <v>3827</v>
      </c>
      <c r="AC94" s="3" t="s">
        <v>4883</v>
      </c>
      <c r="AD94" t="s">
        <v>4884</v>
      </c>
      <c r="AE94" t="s">
        <v>4885</v>
      </c>
      <c r="AF94" t="s">
        <v>3831</v>
      </c>
      <c r="AG94" t="s">
        <v>3832</v>
      </c>
      <c r="AH94" t="s">
        <v>3833</v>
      </c>
      <c r="AI94" t="s">
        <v>3834</v>
      </c>
      <c r="AJ94" t="s">
        <v>3835</v>
      </c>
      <c r="AK94" t="s">
        <v>3832</v>
      </c>
      <c r="AM94" s="3" t="s">
        <v>4886</v>
      </c>
      <c r="AN94" s="3"/>
      <c r="AO94" s="3">
        <v>46279</v>
      </c>
      <c r="AP94" s="3"/>
      <c r="AQ94" s="3" t="s">
        <v>3837</v>
      </c>
      <c r="AR94" s="3" t="s">
        <v>3814</v>
      </c>
      <c r="AS94" s="3"/>
      <c r="AT94" s="3">
        <v>46291</v>
      </c>
      <c r="AU94" s="3">
        <v>46324</v>
      </c>
      <c r="AV94" s="3"/>
      <c r="AW94" t="s">
        <v>3839</v>
      </c>
      <c r="BC94" t="s">
        <v>32</v>
      </c>
      <c r="BD94" t="s">
        <v>3814</v>
      </c>
      <c r="BE94" t="s">
        <v>4878</v>
      </c>
      <c r="BF94" t="s">
        <v>4879</v>
      </c>
      <c r="BG94" t="s">
        <v>3817</v>
      </c>
      <c r="CW94" s="6" t="str" cm="1">
        <f t="array" ref="CW94">IFERROR(_xlfn.IFS(H94=TIME(7,0,0),"GY",H94=TIME(7,30,0),"GY",H94=TIME(9,0,0),"GY",H94=TIME(15,0,0),"GY",H94=TIME(8,30,0),"GY",H94=TIME(5,30,0),"GY",H94=TIME(6,0,0),"GD",H94=TIME(6,30,0),"GD",H94=TIME(8,0,0),"GY",H94=TIME(6,15,0),"GD"),"")</f>
        <v>GY</v>
      </c>
      <c r="EE94"/>
    </row>
    <row r="95" spans="1:135" x14ac:dyDescent="0.45">
      <c r="A95" s="3" t="s">
        <v>18</v>
      </c>
      <c r="B95" s="3" t="s">
        <v>0</v>
      </c>
      <c r="C95" s="3" t="s">
        <v>4903</v>
      </c>
      <c r="D95" s="3" t="s">
        <v>4904</v>
      </c>
      <c r="E95" s="100" t="s">
        <v>3817</v>
      </c>
      <c r="F95" s="3" t="s">
        <v>27</v>
      </c>
      <c r="G95" s="4">
        <v>46285</v>
      </c>
      <c r="H95" s="5">
        <v>0.26041666666666674</v>
      </c>
      <c r="I95" s="91">
        <v>46279</v>
      </c>
      <c r="J95" s="91"/>
      <c r="K95" s="91">
        <v>46276</v>
      </c>
      <c r="L95" s="3" t="s">
        <v>5680</v>
      </c>
      <c r="M95" s="3" t="s">
        <v>3819</v>
      </c>
      <c r="N95" s="3" t="s">
        <v>4905</v>
      </c>
      <c r="O95" t="s">
        <v>3867</v>
      </c>
      <c r="P95" s="3"/>
      <c r="Q95">
        <v>46238</v>
      </c>
      <c r="R95" s="3">
        <v>726</v>
      </c>
      <c r="S95" s="3" t="s">
        <v>3823</v>
      </c>
      <c r="T95" s="3">
        <v>11059</v>
      </c>
      <c r="U95" s="3" t="s">
        <v>4906</v>
      </c>
      <c r="V95" s="3" t="s">
        <v>4907</v>
      </c>
      <c r="W95" s="3">
        <v>9487.8850000000002</v>
      </c>
      <c r="X95" s="3">
        <v>46256</v>
      </c>
      <c r="Y95" s="3">
        <v>46254</v>
      </c>
      <c r="AA95" t="s">
        <v>3826</v>
      </c>
      <c r="AB95" t="s">
        <v>3827</v>
      </c>
      <c r="AC95" s="3" t="s">
        <v>4908</v>
      </c>
      <c r="AD95" t="s">
        <v>4701</v>
      </c>
      <c r="AE95" t="s">
        <v>4143</v>
      </c>
      <c r="AF95" t="s">
        <v>3831</v>
      </c>
      <c r="AG95" t="s">
        <v>3832</v>
      </c>
      <c r="AH95" t="s">
        <v>3908</v>
      </c>
      <c r="AI95" t="s">
        <v>3834</v>
      </c>
      <c r="AJ95" t="s">
        <v>3835</v>
      </c>
      <c r="AK95" t="s">
        <v>3832</v>
      </c>
      <c r="AM95" s="3" t="s">
        <v>4909</v>
      </c>
      <c r="AN95" s="3"/>
      <c r="AO95" s="3">
        <v>46279</v>
      </c>
      <c r="AP95" s="3"/>
      <c r="AQ95" s="3" t="s">
        <v>3837</v>
      </c>
      <c r="AR95" s="3"/>
      <c r="AS95" s="3"/>
      <c r="AT95" s="3">
        <v>46290</v>
      </c>
      <c r="AU95" s="3">
        <v>46324</v>
      </c>
      <c r="AV95" s="3"/>
      <c r="AW95" t="s">
        <v>3839</v>
      </c>
      <c r="BC95" t="s">
        <v>18</v>
      </c>
      <c r="BD95" t="s">
        <v>0</v>
      </c>
      <c r="BE95" t="s">
        <v>4903</v>
      </c>
      <c r="BF95" t="s">
        <v>4904</v>
      </c>
      <c r="BG95" t="s">
        <v>3817</v>
      </c>
      <c r="CW95" s="6" t="str" cm="1">
        <f t="array" ref="CW95">IFERROR(_xlfn.IFS(H95=TIME(7,0,0),"GY",H95=TIME(7,30,0),"GY",H95=TIME(9,0,0),"GY",H95=TIME(15,0,0),"GY",H95=TIME(8,30,0),"GY",H95=TIME(5,30,0),"GY",H95=TIME(6,0,0),"GD",H95=TIME(6,30,0),"GD",H95=TIME(8,0,0),"GY",H95=TIME(6,15,0),"GD"),"")</f>
        <v>GD</v>
      </c>
      <c r="EE95"/>
    </row>
    <row r="96" spans="1:135" x14ac:dyDescent="0.45">
      <c r="A96" s="3" t="s">
        <v>18</v>
      </c>
      <c r="B96" s="3" t="s">
        <v>0</v>
      </c>
      <c r="C96" s="3" t="s">
        <v>4903</v>
      </c>
      <c r="D96" s="3" t="s">
        <v>4904</v>
      </c>
      <c r="E96" s="100" t="s">
        <v>3817</v>
      </c>
      <c r="F96" s="3" t="s">
        <v>593</v>
      </c>
      <c r="G96" s="4">
        <v>46285</v>
      </c>
      <c r="H96" s="5">
        <v>0.26041666666666674</v>
      </c>
      <c r="I96" s="91">
        <v>46279</v>
      </c>
      <c r="J96" s="91"/>
      <c r="K96" s="91">
        <v>46276</v>
      </c>
      <c r="L96" s="3" t="s">
        <v>5680</v>
      </c>
      <c r="M96" s="3" t="s">
        <v>3819</v>
      </c>
      <c r="N96" s="3" t="s">
        <v>4905</v>
      </c>
      <c r="O96" t="s">
        <v>3867</v>
      </c>
      <c r="P96" s="3"/>
      <c r="Q96">
        <v>46238</v>
      </c>
      <c r="R96" s="3">
        <v>726</v>
      </c>
      <c r="S96" s="3" t="s">
        <v>3823</v>
      </c>
      <c r="T96" s="3">
        <v>78</v>
      </c>
      <c r="U96" s="3" t="s">
        <v>4711</v>
      </c>
      <c r="V96" s="3" t="s">
        <v>4712</v>
      </c>
      <c r="W96" s="3">
        <v>263.32799999999997</v>
      </c>
      <c r="X96" s="3">
        <v>46256</v>
      </c>
      <c r="Y96" s="3">
        <v>46254</v>
      </c>
      <c r="AA96" t="s">
        <v>3826</v>
      </c>
      <c r="AB96" t="s">
        <v>3827</v>
      </c>
      <c r="AC96" s="3" t="s">
        <v>4908</v>
      </c>
      <c r="AD96" t="s">
        <v>4701</v>
      </c>
      <c r="AE96" t="s">
        <v>4143</v>
      </c>
      <c r="AF96" t="s">
        <v>3831</v>
      </c>
      <c r="AG96" t="s">
        <v>3832</v>
      </c>
      <c r="AH96" t="s">
        <v>3908</v>
      </c>
      <c r="AI96" t="s">
        <v>3834</v>
      </c>
      <c r="AJ96" t="s">
        <v>3835</v>
      </c>
      <c r="AK96" t="s">
        <v>3832</v>
      </c>
      <c r="AM96" s="3" t="s">
        <v>4909</v>
      </c>
      <c r="AN96" s="3"/>
      <c r="AO96" s="3">
        <v>46279</v>
      </c>
      <c r="AP96" s="3"/>
      <c r="AQ96" s="3" t="s">
        <v>3837</v>
      </c>
      <c r="AR96" s="3"/>
      <c r="AS96" s="3"/>
      <c r="AT96" s="3">
        <v>46290</v>
      </c>
      <c r="AU96" s="3">
        <v>46324</v>
      </c>
      <c r="AV96" s="3"/>
      <c r="AW96" t="s">
        <v>3839</v>
      </c>
      <c r="BC96" t="s">
        <v>18</v>
      </c>
      <c r="BD96" t="s">
        <v>0</v>
      </c>
      <c r="BE96" t="s">
        <v>4903</v>
      </c>
      <c r="BF96" t="s">
        <v>4904</v>
      </c>
      <c r="BG96" t="s">
        <v>3817</v>
      </c>
      <c r="CW96" s="6" t="str" cm="1">
        <f t="array" ref="CW96">IFERROR(_xlfn.IFS(H96=TIME(7,0,0),"GY",H96=TIME(7,30,0),"GY",H96=TIME(9,0,0),"GY",H96=TIME(15,0,0),"GY",H96=TIME(8,30,0),"GY",H96=TIME(5,30,0),"GY",H96=TIME(6,0,0),"GD",H96=TIME(6,30,0),"GD",H96=TIME(8,0,0),"GY",H96=TIME(6,15,0),"GD"),"")</f>
        <v>GD</v>
      </c>
      <c r="EE96"/>
    </row>
    <row r="97" spans="1:135" x14ac:dyDescent="0.45">
      <c r="A97" s="3" t="s">
        <v>18</v>
      </c>
      <c r="B97" s="3" t="s">
        <v>0</v>
      </c>
      <c r="C97" s="3" t="s">
        <v>4903</v>
      </c>
      <c r="D97" s="3" t="s">
        <v>4904</v>
      </c>
      <c r="E97" s="100" t="s">
        <v>3817</v>
      </c>
      <c r="F97" s="3" t="s">
        <v>3537</v>
      </c>
      <c r="G97" s="4">
        <v>46285</v>
      </c>
      <c r="H97" s="5">
        <v>0.26041666666666674</v>
      </c>
      <c r="I97" s="91">
        <v>46279</v>
      </c>
      <c r="J97" s="91"/>
      <c r="K97" s="91">
        <v>46276</v>
      </c>
      <c r="L97" s="3" t="s">
        <v>5680</v>
      </c>
      <c r="M97" s="3" t="s">
        <v>3819</v>
      </c>
      <c r="N97" s="3" t="s">
        <v>4905</v>
      </c>
      <c r="O97" t="s">
        <v>3867</v>
      </c>
      <c r="P97" s="3"/>
      <c r="Q97">
        <v>46238</v>
      </c>
      <c r="R97" s="3">
        <v>726</v>
      </c>
      <c r="S97" s="3" t="s">
        <v>3823</v>
      </c>
      <c r="T97" s="3">
        <v>30</v>
      </c>
      <c r="U97" s="3" t="s">
        <v>4708</v>
      </c>
      <c r="V97" s="3" t="s">
        <v>4709</v>
      </c>
      <c r="W97" s="3">
        <v>70.8</v>
      </c>
      <c r="X97" s="3">
        <v>46256</v>
      </c>
      <c r="Y97" s="3">
        <v>46254</v>
      </c>
      <c r="AA97" t="s">
        <v>3826</v>
      </c>
      <c r="AB97" t="s">
        <v>3827</v>
      </c>
      <c r="AC97" s="3" t="s">
        <v>4908</v>
      </c>
      <c r="AD97" t="s">
        <v>4701</v>
      </c>
      <c r="AE97" t="s">
        <v>4143</v>
      </c>
      <c r="AF97" t="s">
        <v>3831</v>
      </c>
      <c r="AG97" t="s">
        <v>3832</v>
      </c>
      <c r="AH97" t="s">
        <v>3908</v>
      </c>
      <c r="AI97" t="s">
        <v>3834</v>
      </c>
      <c r="AJ97" t="s">
        <v>3835</v>
      </c>
      <c r="AK97" t="s">
        <v>3832</v>
      </c>
      <c r="AM97" s="3" t="s">
        <v>4909</v>
      </c>
      <c r="AN97" s="3"/>
      <c r="AO97" s="3">
        <v>46279</v>
      </c>
      <c r="AP97" s="3"/>
      <c r="AQ97" s="3" t="s">
        <v>3837</v>
      </c>
      <c r="AR97" s="3"/>
      <c r="AS97" s="3"/>
      <c r="AT97" s="3">
        <v>46290</v>
      </c>
      <c r="AU97" s="3">
        <v>46324</v>
      </c>
      <c r="AV97" s="3"/>
      <c r="AW97" t="s">
        <v>3839</v>
      </c>
      <c r="BC97" t="s">
        <v>18</v>
      </c>
      <c r="BD97" t="s">
        <v>0</v>
      </c>
      <c r="BE97" t="s">
        <v>4903</v>
      </c>
      <c r="BF97" t="s">
        <v>4904</v>
      </c>
      <c r="BG97" t="s">
        <v>3817</v>
      </c>
      <c r="CW97" s="6" t="str" cm="1">
        <f t="array" ref="CW97">IFERROR(_xlfn.IFS(H97=TIME(7,0,0),"GY",H97=TIME(7,30,0),"GY",H97=TIME(9,0,0),"GY",H97=TIME(15,0,0),"GY",H97=TIME(8,30,0),"GY",H97=TIME(5,30,0),"GY",H97=TIME(6,0,0),"GD",H97=TIME(6,30,0),"GD",H97=TIME(8,0,0),"GY",H97=TIME(6,15,0),"GD"),"")</f>
        <v>GD</v>
      </c>
      <c r="EE97"/>
    </row>
    <row r="98" spans="1:135" x14ac:dyDescent="0.45">
      <c r="A98" s="3" t="s">
        <v>63</v>
      </c>
      <c r="B98" s="3"/>
      <c r="C98" s="3" t="s">
        <v>4987</v>
      </c>
      <c r="D98" s="3" t="s">
        <v>4988</v>
      </c>
      <c r="E98" s="100" t="s">
        <v>3817</v>
      </c>
      <c r="F98" s="3" t="s">
        <v>224</v>
      </c>
      <c r="G98" s="4">
        <v>46284</v>
      </c>
      <c r="H98" s="5">
        <v>0.26041666666666674</v>
      </c>
      <c r="I98" s="91">
        <v>46279</v>
      </c>
      <c r="J98" s="91"/>
      <c r="K98" s="91">
        <v>46275</v>
      </c>
      <c r="L98" s="3" t="s">
        <v>5534</v>
      </c>
      <c r="M98" s="3" t="s">
        <v>3819</v>
      </c>
      <c r="N98" s="3" t="s">
        <v>4989</v>
      </c>
      <c r="O98" t="s">
        <v>3867</v>
      </c>
      <c r="P98" s="3" t="s">
        <v>4030</v>
      </c>
      <c r="Q98">
        <v>46244</v>
      </c>
      <c r="R98" s="3">
        <v>726</v>
      </c>
      <c r="S98" s="3" t="s">
        <v>3823</v>
      </c>
      <c r="T98" s="3">
        <v>7692</v>
      </c>
      <c r="U98" s="3" t="s">
        <v>4990</v>
      </c>
      <c r="V98" s="3" t="s">
        <v>4991</v>
      </c>
      <c r="W98" s="3">
        <v>2930.1370000000002</v>
      </c>
      <c r="X98" s="3">
        <v>46268</v>
      </c>
      <c r="Y98" s="3">
        <v>46266</v>
      </c>
      <c r="AA98" t="s">
        <v>3826</v>
      </c>
      <c r="AB98" t="s">
        <v>3827</v>
      </c>
      <c r="AC98" s="3" t="s">
        <v>4992</v>
      </c>
      <c r="AD98" t="s">
        <v>3955</v>
      </c>
      <c r="AE98" t="s">
        <v>4971</v>
      </c>
      <c r="AF98" t="s">
        <v>3831</v>
      </c>
      <c r="AG98" t="s">
        <v>3832</v>
      </c>
      <c r="AH98" t="s">
        <v>3908</v>
      </c>
      <c r="AI98" t="s">
        <v>3834</v>
      </c>
      <c r="AJ98" t="s">
        <v>3956</v>
      </c>
      <c r="AK98" t="s">
        <v>3832</v>
      </c>
      <c r="AM98" s="3" t="s">
        <v>4993</v>
      </c>
      <c r="AN98" s="3"/>
      <c r="AO98" s="3">
        <v>46279</v>
      </c>
      <c r="AP98" s="3"/>
      <c r="AQ98" s="3" t="s">
        <v>4037</v>
      </c>
      <c r="AR98" s="3"/>
      <c r="AS98" s="3" t="s">
        <v>3961</v>
      </c>
      <c r="AT98" s="3">
        <v>46289</v>
      </c>
      <c r="AU98" s="3"/>
      <c r="AV98" s="3">
        <v>46294</v>
      </c>
      <c r="AW98" t="s">
        <v>3839</v>
      </c>
      <c r="BC98" t="s">
        <v>63</v>
      </c>
      <c r="BE98" t="s">
        <v>4987</v>
      </c>
      <c r="BF98" t="s">
        <v>4988</v>
      </c>
      <c r="BG98" t="s">
        <v>3817</v>
      </c>
      <c r="CW98" s="6" t="str" cm="1">
        <f t="array" ref="CW98">IFERROR(_xlfn.IFS(H98=TIME(7,0,0),"GY",H98=TIME(7,30,0),"GY",H98=TIME(9,0,0),"GY",H98=TIME(15,0,0),"GY",H98=TIME(8,30,0),"GY",H98=TIME(5,30,0),"GY",H98=TIME(6,0,0),"GD",H98=TIME(6,30,0),"GD",H98=TIME(8,0,0),"GY",H98=TIME(6,15,0),"GD"),"")</f>
        <v>GD</v>
      </c>
      <c r="EE98"/>
    </row>
    <row r="99" spans="1:135" x14ac:dyDescent="0.45">
      <c r="A99" s="3" t="s">
        <v>63</v>
      </c>
      <c r="B99" s="3"/>
      <c r="C99" s="3" t="s">
        <v>4987</v>
      </c>
      <c r="D99" s="3" t="s">
        <v>4988</v>
      </c>
      <c r="E99" s="100" t="s">
        <v>3817</v>
      </c>
      <c r="F99" s="3" t="s">
        <v>97</v>
      </c>
      <c r="G99" s="4">
        <v>46284</v>
      </c>
      <c r="H99" s="5">
        <v>0.26041666666666674</v>
      </c>
      <c r="I99" s="91">
        <v>46279</v>
      </c>
      <c r="J99" s="91"/>
      <c r="K99" s="91">
        <v>46275</v>
      </c>
      <c r="L99" s="3" t="s">
        <v>5534</v>
      </c>
      <c r="M99" s="3" t="s">
        <v>3819</v>
      </c>
      <c r="N99" s="3" t="s">
        <v>4989</v>
      </c>
      <c r="O99" t="s">
        <v>3867</v>
      </c>
      <c r="P99" s="3" t="s">
        <v>4030</v>
      </c>
      <c r="Q99">
        <v>46244</v>
      </c>
      <c r="R99" s="3">
        <v>726</v>
      </c>
      <c r="S99" s="3" t="s">
        <v>3823</v>
      </c>
      <c r="T99" s="3">
        <v>11516</v>
      </c>
      <c r="U99" s="3" t="s">
        <v>4994</v>
      </c>
      <c r="V99" s="3" t="s">
        <v>4995</v>
      </c>
      <c r="W99" s="3">
        <v>6122.8549999999996</v>
      </c>
      <c r="X99" s="3">
        <v>46268</v>
      </c>
      <c r="Y99" s="3">
        <v>46266</v>
      </c>
      <c r="AA99" t="s">
        <v>3826</v>
      </c>
      <c r="AB99" t="s">
        <v>3827</v>
      </c>
      <c r="AC99" s="3" t="s">
        <v>4992</v>
      </c>
      <c r="AD99" t="s">
        <v>3955</v>
      </c>
      <c r="AE99" t="s">
        <v>4971</v>
      </c>
      <c r="AF99" t="s">
        <v>3831</v>
      </c>
      <c r="AG99" t="s">
        <v>3832</v>
      </c>
      <c r="AH99" t="s">
        <v>3908</v>
      </c>
      <c r="AI99" t="s">
        <v>3834</v>
      </c>
      <c r="AJ99" t="s">
        <v>3956</v>
      </c>
      <c r="AK99" t="s">
        <v>3832</v>
      </c>
      <c r="AM99" s="3" t="s">
        <v>4993</v>
      </c>
      <c r="AN99" s="3"/>
      <c r="AO99" s="3">
        <v>46279</v>
      </c>
      <c r="AP99" s="3"/>
      <c r="AQ99" s="3" t="s">
        <v>4037</v>
      </c>
      <c r="AR99" s="3"/>
      <c r="AS99" s="3" t="s">
        <v>3961</v>
      </c>
      <c r="AT99" s="3">
        <v>46289</v>
      </c>
      <c r="AU99" s="3"/>
      <c r="AV99" s="3">
        <v>46294</v>
      </c>
      <c r="AW99" t="s">
        <v>3839</v>
      </c>
      <c r="BC99" t="s">
        <v>63</v>
      </c>
      <c r="BE99" t="s">
        <v>4987</v>
      </c>
      <c r="BF99" t="s">
        <v>4988</v>
      </c>
      <c r="BG99" t="s">
        <v>3817</v>
      </c>
      <c r="CW99" s="6" t="str" cm="1">
        <f t="array" ref="CW99">IFERROR(_xlfn.IFS(H99=TIME(7,0,0),"GY",H99=TIME(7,30,0),"GY",H99=TIME(9,0,0),"GY",H99=TIME(15,0,0),"GY",H99=TIME(8,30,0),"GY",H99=TIME(5,30,0),"GY",H99=TIME(6,0,0),"GD",H99=TIME(6,30,0),"GD",H99=TIME(8,0,0),"GY",H99=TIME(6,15,0),"GD"),"")</f>
        <v>GD</v>
      </c>
      <c r="EE99"/>
    </row>
    <row r="100" spans="1:135" x14ac:dyDescent="0.45">
      <c r="A100" s="3" t="s">
        <v>63</v>
      </c>
      <c r="B100" s="3"/>
      <c r="C100" s="3" t="s">
        <v>5021</v>
      </c>
      <c r="D100" s="3" t="s">
        <v>5022</v>
      </c>
      <c r="E100" s="100" t="s">
        <v>3817</v>
      </c>
      <c r="F100" s="3" t="s">
        <v>549</v>
      </c>
      <c r="G100" s="4">
        <v>46283</v>
      </c>
      <c r="H100" s="5">
        <v>0.27083333333333326</v>
      </c>
      <c r="I100" s="91">
        <v>46276</v>
      </c>
      <c r="J100" s="91"/>
      <c r="K100" s="91">
        <v>46275</v>
      </c>
      <c r="L100" s="3" t="s">
        <v>5538</v>
      </c>
      <c r="M100" s="3" t="s">
        <v>3819</v>
      </c>
      <c r="N100" s="3" t="s">
        <v>5023</v>
      </c>
      <c r="O100" t="s">
        <v>3867</v>
      </c>
      <c r="P100" s="3" t="s">
        <v>4030</v>
      </c>
      <c r="Q100">
        <v>46251</v>
      </c>
      <c r="R100" s="3">
        <v>726</v>
      </c>
      <c r="S100" s="3" t="s">
        <v>3823</v>
      </c>
      <c r="T100" s="3">
        <v>5144</v>
      </c>
      <c r="U100" s="3" t="s">
        <v>5024</v>
      </c>
      <c r="V100" s="3" t="s">
        <v>5025</v>
      </c>
      <c r="W100" s="3">
        <v>1812.923</v>
      </c>
      <c r="X100" s="3">
        <v>46268</v>
      </c>
      <c r="Y100" s="3">
        <v>46266</v>
      </c>
      <c r="AA100" t="s">
        <v>3826</v>
      </c>
      <c r="AB100" t="s">
        <v>3827</v>
      </c>
      <c r="AC100" s="3" t="s">
        <v>5026</v>
      </c>
      <c r="AD100" t="s">
        <v>3955</v>
      </c>
      <c r="AE100" t="s">
        <v>4971</v>
      </c>
      <c r="AF100" t="s">
        <v>3831</v>
      </c>
      <c r="AG100" t="s">
        <v>3832</v>
      </c>
      <c r="AH100" t="s">
        <v>3908</v>
      </c>
      <c r="AI100" t="s">
        <v>3834</v>
      </c>
      <c r="AJ100" t="s">
        <v>3956</v>
      </c>
      <c r="AK100" t="s">
        <v>3832</v>
      </c>
      <c r="AM100" s="3" t="s">
        <v>5027</v>
      </c>
      <c r="AN100" s="3"/>
      <c r="AO100" s="3">
        <v>46276</v>
      </c>
      <c r="AP100" s="3"/>
      <c r="AQ100" s="3" t="s">
        <v>4037</v>
      </c>
      <c r="AR100" s="3"/>
      <c r="AS100" s="3" t="s">
        <v>3961</v>
      </c>
      <c r="AT100" s="3">
        <v>46289</v>
      </c>
      <c r="AU100" s="3"/>
      <c r="AV100" s="3">
        <v>46291</v>
      </c>
      <c r="AW100" t="s">
        <v>3839</v>
      </c>
      <c r="BC100" t="s">
        <v>63</v>
      </c>
      <c r="BE100" t="s">
        <v>5021</v>
      </c>
      <c r="BF100" t="s">
        <v>5022</v>
      </c>
      <c r="BG100" t="s">
        <v>3817</v>
      </c>
      <c r="CW100" s="6" t="str" cm="1">
        <f t="array" ref="CW100">IFERROR(_xlfn.IFS(H100=TIME(7,0,0),"GY",H100=TIME(7,30,0),"GY",H100=TIME(9,0,0),"GY",H100=TIME(15,0,0),"GY",H100=TIME(8,30,0),"GY",H100=TIME(5,30,0),"GY",H100=TIME(6,0,0),"GD",H100=TIME(6,30,0),"GD",H100=TIME(8,0,0),"GY",H100=TIME(6,15,0),"GD"),"")</f>
        <v>GD</v>
      </c>
      <c r="EE100"/>
    </row>
    <row r="101" spans="1:135" x14ac:dyDescent="0.45">
      <c r="A101" s="3" t="s">
        <v>63</v>
      </c>
      <c r="B101" s="3"/>
      <c r="C101" s="3" t="s">
        <v>5021</v>
      </c>
      <c r="D101" s="3" t="s">
        <v>5022</v>
      </c>
      <c r="E101" s="100" t="s">
        <v>3817</v>
      </c>
      <c r="F101" s="3" t="s">
        <v>2764</v>
      </c>
      <c r="G101" s="4">
        <v>46283</v>
      </c>
      <c r="H101" s="5">
        <v>0.27083333333333326</v>
      </c>
      <c r="I101" s="91">
        <v>46276</v>
      </c>
      <c r="J101" s="91"/>
      <c r="K101" s="91">
        <v>46275</v>
      </c>
      <c r="L101" s="3" t="s">
        <v>5538</v>
      </c>
      <c r="M101" s="3" t="s">
        <v>3819</v>
      </c>
      <c r="N101" s="3" t="s">
        <v>5023</v>
      </c>
      <c r="O101" t="s">
        <v>3867</v>
      </c>
      <c r="P101" s="3" t="s">
        <v>4030</v>
      </c>
      <c r="Q101">
        <v>46251</v>
      </c>
      <c r="R101" s="3">
        <v>726</v>
      </c>
      <c r="S101" s="3" t="s">
        <v>3823</v>
      </c>
      <c r="T101" s="3">
        <v>488</v>
      </c>
      <c r="U101" s="3" t="s">
        <v>5028</v>
      </c>
      <c r="V101" s="3" t="s">
        <v>5029</v>
      </c>
      <c r="W101" s="3">
        <v>94.944000000000003</v>
      </c>
      <c r="X101" s="3">
        <v>46268</v>
      </c>
      <c r="Y101" s="3">
        <v>46266</v>
      </c>
      <c r="AA101" t="s">
        <v>3826</v>
      </c>
      <c r="AB101" t="s">
        <v>3827</v>
      </c>
      <c r="AC101" s="3" t="s">
        <v>5026</v>
      </c>
      <c r="AD101" t="s">
        <v>3955</v>
      </c>
      <c r="AE101" t="s">
        <v>4971</v>
      </c>
      <c r="AF101" t="s">
        <v>3831</v>
      </c>
      <c r="AG101" t="s">
        <v>3832</v>
      </c>
      <c r="AH101" t="s">
        <v>3908</v>
      </c>
      <c r="AI101" t="s">
        <v>3834</v>
      </c>
      <c r="AJ101" t="s">
        <v>3956</v>
      </c>
      <c r="AK101" t="s">
        <v>3832</v>
      </c>
      <c r="AM101" s="3" t="s">
        <v>5027</v>
      </c>
      <c r="AN101" s="3"/>
      <c r="AO101" s="3">
        <v>46276</v>
      </c>
      <c r="AP101" s="3"/>
      <c r="AQ101" s="3" t="s">
        <v>4037</v>
      </c>
      <c r="AR101" s="3"/>
      <c r="AS101" s="3" t="s">
        <v>3961</v>
      </c>
      <c r="AT101" s="3">
        <v>46289</v>
      </c>
      <c r="AU101" s="3"/>
      <c r="AV101" s="3">
        <v>46291</v>
      </c>
      <c r="AW101" t="s">
        <v>3839</v>
      </c>
      <c r="BC101" t="s">
        <v>63</v>
      </c>
      <c r="BE101" t="s">
        <v>5021</v>
      </c>
      <c r="BF101" t="s">
        <v>5022</v>
      </c>
      <c r="BG101" t="s">
        <v>3817</v>
      </c>
      <c r="CW101" s="6" t="str" cm="1">
        <f t="array" ref="CW101">IFERROR(_xlfn.IFS(H101=TIME(7,0,0),"GY",H101=TIME(7,30,0),"GY",H101=TIME(9,0,0),"GY",H101=TIME(15,0,0),"GY",H101=TIME(8,30,0),"GY",H101=TIME(5,30,0),"GY",H101=TIME(6,0,0),"GD",H101=TIME(6,30,0),"GD",H101=TIME(8,0,0),"GY",H101=TIME(6,15,0),"GD"),"")</f>
        <v>GD</v>
      </c>
      <c r="EE101"/>
    </row>
    <row r="102" spans="1:135" x14ac:dyDescent="0.45">
      <c r="A102" s="3" t="s">
        <v>63</v>
      </c>
      <c r="B102" s="3"/>
      <c r="C102" s="3" t="s">
        <v>5021</v>
      </c>
      <c r="D102" s="3" t="s">
        <v>5022</v>
      </c>
      <c r="E102" s="100" t="s">
        <v>3817</v>
      </c>
      <c r="F102" s="3" t="s">
        <v>178</v>
      </c>
      <c r="G102" s="4">
        <v>46283</v>
      </c>
      <c r="H102" s="5">
        <v>0.27083333333333326</v>
      </c>
      <c r="I102" s="91">
        <v>46276</v>
      </c>
      <c r="J102" s="91"/>
      <c r="K102" s="91">
        <v>46275</v>
      </c>
      <c r="L102" s="3" t="s">
        <v>5538</v>
      </c>
      <c r="M102" s="3" t="s">
        <v>3819</v>
      </c>
      <c r="N102" s="3" t="s">
        <v>5023</v>
      </c>
      <c r="O102" t="s">
        <v>3867</v>
      </c>
      <c r="P102" s="3" t="s">
        <v>4030</v>
      </c>
      <c r="Q102">
        <v>46251</v>
      </c>
      <c r="R102" s="3">
        <v>726</v>
      </c>
      <c r="S102" s="3" t="s">
        <v>3823</v>
      </c>
      <c r="T102" s="3">
        <v>12928</v>
      </c>
      <c r="U102" s="3" t="s">
        <v>5030</v>
      </c>
      <c r="V102" s="3" t="s">
        <v>5031</v>
      </c>
      <c r="W102" s="3">
        <v>6198.7650000000003</v>
      </c>
      <c r="X102" s="3">
        <v>46268</v>
      </c>
      <c r="Y102" s="3">
        <v>46266</v>
      </c>
      <c r="AA102" t="s">
        <v>3826</v>
      </c>
      <c r="AB102" t="s">
        <v>3827</v>
      </c>
      <c r="AC102" s="3" t="s">
        <v>5026</v>
      </c>
      <c r="AD102" t="s">
        <v>3955</v>
      </c>
      <c r="AE102" t="s">
        <v>4971</v>
      </c>
      <c r="AF102" t="s">
        <v>3831</v>
      </c>
      <c r="AG102" t="s">
        <v>3832</v>
      </c>
      <c r="AH102" t="s">
        <v>3908</v>
      </c>
      <c r="AI102" t="s">
        <v>3834</v>
      </c>
      <c r="AJ102" t="s">
        <v>3956</v>
      </c>
      <c r="AK102" t="s">
        <v>3832</v>
      </c>
      <c r="AM102" s="3" t="s">
        <v>5027</v>
      </c>
      <c r="AN102" s="3"/>
      <c r="AO102" s="3">
        <v>46276</v>
      </c>
      <c r="AP102" s="3"/>
      <c r="AQ102" s="3" t="s">
        <v>4037</v>
      </c>
      <c r="AR102" s="3"/>
      <c r="AS102" s="3" t="s">
        <v>3961</v>
      </c>
      <c r="AT102" s="3">
        <v>46289</v>
      </c>
      <c r="AU102" s="3"/>
      <c r="AV102" s="3">
        <v>46291</v>
      </c>
      <c r="AW102" t="s">
        <v>3839</v>
      </c>
      <c r="BC102" t="s">
        <v>63</v>
      </c>
      <c r="BE102" t="s">
        <v>5021</v>
      </c>
      <c r="BF102" t="s">
        <v>5022</v>
      </c>
      <c r="BG102" t="s">
        <v>3817</v>
      </c>
      <c r="CW102" s="6" t="str" cm="1">
        <f t="array" ref="CW102">IFERROR(_xlfn.IFS(H102=TIME(7,0,0),"GY",H102=TIME(7,30,0),"GY",H102=TIME(9,0,0),"GY",H102=TIME(15,0,0),"GY",H102=TIME(8,30,0),"GY",H102=TIME(5,30,0),"GY",H102=TIME(6,0,0),"GD",H102=TIME(6,30,0),"GD",H102=TIME(8,0,0),"GY",H102=TIME(6,15,0),"GD"),"")</f>
        <v>GD</v>
      </c>
      <c r="EE102"/>
    </row>
    <row r="103" spans="1:135" x14ac:dyDescent="0.45">
      <c r="A103" s="3" t="s">
        <v>63</v>
      </c>
      <c r="B103" s="3"/>
      <c r="C103" s="3" t="s">
        <v>5021</v>
      </c>
      <c r="D103" s="3" t="s">
        <v>5022</v>
      </c>
      <c r="E103" s="100" t="s">
        <v>3817</v>
      </c>
      <c r="F103" s="3" t="s">
        <v>426</v>
      </c>
      <c r="G103" s="4">
        <v>46283</v>
      </c>
      <c r="H103" s="5">
        <v>0.27083333333333326</v>
      </c>
      <c r="I103" s="91">
        <v>46276</v>
      </c>
      <c r="J103" s="91"/>
      <c r="K103" s="91">
        <v>46275</v>
      </c>
      <c r="L103" s="3" t="s">
        <v>5538</v>
      </c>
      <c r="M103" s="3" t="s">
        <v>3819</v>
      </c>
      <c r="N103" s="3" t="s">
        <v>5023</v>
      </c>
      <c r="O103" t="s">
        <v>3867</v>
      </c>
      <c r="P103" s="3" t="s">
        <v>4030</v>
      </c>
      <c r="Q103">
        <v>46251</v>
      </c>
      <c r="R103" s="3">
        <v>726</v>
      </c>
      <c r="S103" s="3" t="s">
        <v>3823</v>
      </c>
      <c r="T103" s="3">
        <v>546</v>
      </c>
      <c r="U103" s="3" t="s">
        <v>5032</v>
      </c>
      <c r="V103" s="3" t="s">
        <v>5033</v>
      </c>
      <c r="W103" s="3">
        <v>523.66800000000001</v>
      </c>
      <c r="X103" s="3">
        <v>46268</v>
      </c>
      <c r="Y103" s="3">
        <v>46266</v>
      </c>
      <c r="AA103" t="s">
        <v>3826</v>
      </c>
      <c r="AB103" t="s">
        <v>3827</v>
      </c>
      <c r="AC103" s="3" t="s">
        <v>5026</v>
      </c>
      <c r="AD103" t="s">
        <v>3955</v>
      </c>
      <c r="AE103" t="s">
        <v>4971</v>
      </c>
      <c r="AF103" t="s">
        <v>3831</v>
      </c>
      <c r="AG103" t="s">
        <v>3832</v>
      </c>
      <c r="AH103" t="s">
        <v>3908</v>
      </c>
      <c r="AI103" t="s">
        <v>3834</v>
      </c>
      <c r="AJ103" t="s">
        <v>3956</v>
      </c>
      <c r="AK103" t="s">
        <v>3832</v>
      </c>
      <c r="AM103" s="3" t="s">
        <v>5027</v>
      </c>
      <c r="AN103" s="3"/>
      <c r="AO103" s="3">
        <v>46276</v>
      </c>
      <c r="AP103" s="3"/>
      <c r="AQ103" s="3" t="s">
        <v>4037</v>
      </c>
      <c r="AR103" s="3"/>
      <c r="AS103" s="3" t="s">
        <v>3961</v>
      </c>
      <c r="AT103" s="3">
        <v>46289</v>
      </c>
      <c r="AU103" s="3"/>
      <c r="AV103" s="3">
        <v>46291</v>
      </c>
      <c r="AW103" t="s">
        <v>3839</v>
      </c>
      <c r="BC103" t="s">
        <v>63</v>
      </c>
      <c r="BE103" t="s">
        <v>5021</v>
      </c>
      <c r="BF103" t="s">
        <v>5022</v>
      </c>
      <c r="BG103" t="s">
        <v>3817</v>
      </c>
      <c r="CW103" s="6" t="str" cm="1">
        <f t="array" ref="CW103">IFERROR(_xlfn.IFS(H103=TIME(7,0,0),"GY",H103=TIME(7,30,0),"GY",H103=TIME(9,0,0),"GY",H103=TIME(15,0,0),"GY",H103=TIME(8,30,0),"GY",H103=TIME(5,30,0),"GY",H103=TIME(6,0,0),"GD",H103=TIME(6,30,0),"GD",H103=TIME(8,0,0),"GY",H103=TIME(6,15,0),"GD"),"")</f>
        <v>GD</v>
      </c>
      <c r="EE103"/>
    </row>
    <row r="104" spans="1:135" x14ac:dyDescent="0.45">
      <c r="A104" s="14" t="s">
        <v>32</v>
      </c>
      <c r="B104" s="14" t="s">
        <v>3814</v>
      </c>
      <c r="C104" s="14" t="s">
        <v>4869</v>
      </c>
      <c r="D104" s="14" t="s">
        <v>4870</v>
      </c>
      <c r="E104" s="100" t="s">
        <v>3817</v>
      </c>
      <c r="F104" s="14" t="s">
        <v>353</v>
      </c>
      <c r="G104" s="4">
        <v>46282</v>
      </c>
      <c r="H104" s="5">
        <v>0.35416666666666674</v>
      </c>
      <c r="I104" s="91">
        <v>46277</v>
      </c>
      <c r="J104" s="91"/>
      <c r="K104" s="91">
        <v>46276</v>
      </c>
      <c r="L104" s="14" t="s">
        <v>5533</v>
      </c>
      <c r="M104" s="14" t="s">
        <v>4006</v>
      </c>
      <c r="N104" s="14" t="s">
        <v>4871</v>
      </c>
      <c r="O104" s="29" t="s">
        <v>3867</v>
      </c>
      <c r="P104" s="14" t="s">
        <v>4008</v>
      </c>
      <c r="Q104" s="29">
        <v>46234</v>
      </c>
      <c r="R104" s="14">
        <v>726</v>
      </c>
      <c r="S104" s="14" t="s">
        <v>3823</v>
      </c>
      <c r="T104" s="14">
        <v>48</v>
      </c>
      <c r="U104" s="14" t="s">
        <v>4872</v>
      </c>
      <c r="V104" s="14" t="s">
        <v>4873</v>
      </c>
      <c r="W104" s="14">
        <v>230</v>
      </c>
      <c r="X104" s="14">
        <v>46279</v>
      </c>
      <c r="Y104" s="14">
        <v>46261</v>
      </c>
      <c r="Z104" s="29"/>
      <c r="AA104" s="29" t="s">
        <v>3826</v>
      </c>
      <c r="AB104" s="29" t="s">
        <v>3827</v>
      </c>
      <c r="AC104" s="14" t="s">
        <v>4874</v>
      </c>
      <c r="AD104" s="29" t="s">
        <v>4599</v>
      </c>
      <c r="AE104" s="29" t="s">
        <v>4035</v>
      </c>
      <c r="AF104" s="29" t="s">
        <v>3831</v>
      </c>
      <c r="AG104" s="29" t="s">
        <v>3832</v>
      </c>
      <c r="AH104" s="29" t="s">
        <v>3908</v>
      </c>
      <c r="AI104" s="29" t="s">
        <v>3834</v>
      </c>
      <c r="AJ104" s="29" t="s">
        <v>3835</v>
      </c>
      <c r="AK104" s="29" t="s">
        <v>3832</v>
      </c>
      <c r="AL104" s="29"/>
      <c r="AM104" s="14" t="s">
        <v>4875</v>
      </c>
      <c r="AN104" s="14"/>
      <c r="AO104" s="14">
        <v>46276</v>
      </c>
      <c r="AP104" s="14"/>
      <c r="AQ104" s="14" t="s">
        <v>3837</v>
      </c>
      <c r="AR104" s="14" t="s">
        <v>3814</v>
      </c>
      <c r="AS104" s="14"/>
      <c r="AT104" s="14">
        <v>46290</v>
      </c>
      <c r="AU104" s="14">
        <v>46322</v>
      </c>
      <c r="AV104" s="14"/>
      <c r="AW104" s="29" t="s">
        <v>3839</v>
      </c>
      <c r="AX104" s="29"/>
      <c r="AY104" s="29"/>
      <c r="AZ104" s="29"/>
      <c r="BA104" s="29"/>
      <c r="BB104" s="29"/>
      <c r="BC104" s="29" t="s">
        <v>32</v>
      </c>
      <c r="BD104" s="29" t="s">
        <v>3814</v>
      </c>
      <c r="BE104" s="29" t="s">
        <v>4869</v>
      </c>
      <c r="BF104" s="29" t="s">
        <v>4870</v>
      </c>
      <c r="BG104" s="29" t="s">
        <v>3817</v>
      </c>
      <c r="BH104" s="29"/>
      <c r="BI104" s="29"/>
      <c r="BJ104" s="29"/>
      <c r="BK104" s="29"/>
      <c r="BL104" s="29"/>
      <c r="BM104" s="29"/>
      <c r="BN104" s="29"/>
      <c r="CW104" s="6" t="str" cm="1">
        <f t="array" ref="CW104">IFERROR(_xlfn.IFS(H104=TIME(7,0,0),"GY",H104=TIME(7,30,0),"GY",H104=TIME(9,0,0),"GY",H104=TIME(15,0,0),"GY",H104=TIME(8,30,0),"GY",H104=TIME(5,30,0),"GY",H104=TIME(6,0,0),"GD",H104=TIME(6,30,0),"GD",H104=TIME(8,0,0),"GY",H104=TIME(6,15,0),"GD"),"")</f>
        <v>GY</v>
      </c>
      <c r="EE104"/>
    </row>
    <row r="105" spans="1:135" x14ac:dyDescent="0.45">
      <c r="A105" s="14" t="s">
        <v>32</v>
      </c>
      <c r="B105" s="14" t="s">
        <v>3814</v>
      </c>
      <c r="C105" s="14" t="s">
        <v>4869</v>
      </c>
      <c r="D105" s="14" t="s">
        <v>4870</v>
      </c>
      <c r="E105" s="100" t="s">
        <v>3817</v>
      </c>
      <c r="F105" s="14" t="s">
        <v>267</v>
      </c>
      <c r="G105" s="4">
        <v>46282</v>
      </c>
      <c r="H105" s="5">
        <v>0.35416666666666674</v>
      </c>
      <c r="I105" s="91">
        <v>46277</v>
      </c>
      <c r="J105" s="91"/>
      <c r="K105" s="91">
        <v>46276</v>
      </c>
      <c r="L105" s="14" t="s">
        <v>5533</v>
      </c>
      <c r="M105" s="14" t="s">
        <v>4006</v>
      </c>
      <c r="N105" s="14" t="s">
        <v>4871</v>
      </c>
      <c r="O105" s="29" t="s">
        <v>3867</v>
      </c>
      <c r="P105" s="14" t="s">
        <v>4008</v>
      </c>
      <c r="Q105" s="29">
        <v>46234</v>
      </c>
      <c r="R105" s="14">
        <v>726</v>
      </c>
      <c r="S105" s="14" t="s">
        <v>3823</v>
      </c>
      <c r="T105" s="14">
        <v>36</v>
      </c>
      <c r="U105" s="14" t="s">
        <v>4876</v>
      </c>
      <c r="V105" s="14" t="s">
        <v>4877</v>
      </c>
      <c r="W105" s="14">
        <v>734.678</v>
      </c>
      <c r="X105" s="14">
        <v>46272</v>
      </c>
      <c r="Y105" s="14">
        <v>46261</v>
      </c>
      <c r="Z105" s="29"/>
      <c r="AA105" s="29" t="s">
        <v>3826</v>
      </c>
      <c r="AB105" s="29" t="s">
        <v>3827</v>
      </c>
      <c r="AC105" s="14" t="s">
        <v>4874</v>
      </c>
      <c r="AD105" s="29" t="s">
        <v>4599</v>
      </c>
      <c r="AE105" s="29" t="s">
        <v>4035</v>
      </c>
      <c r="AF105" s="29" t="s">
        <v>3831</v>
      </c>
      <c r="AG105" s="29" t="s">
        <v>3832</v>
      </c>
      <c r="AH105" s="29" t="s">
        <v>3908</v>
      </c>
      <c r="AI105" s="29" t="s">
        <v>3834</v>
      </c>
      <c r="AJ105" s="29" t="s">
        <v>3835</v>
      </c>
      <c r="AK105" s="29" t="s">
        <v>3832</v>
      </c>
      <c r="AL105" s="29"/>
      <c r="AM105" s="14" t="s">
        <v>4875</v>
      </c>
      <c r="AN105" s="14"/>
      <c r="AO105" s="14">
        <v>46276</v>
      </c>
      <c r="AP105" s="14"/>
      <c r="AQ105" s="14" t="s">
        <v>3837</v>
      </c>
      <c r="AR105" s="14" t="s">
        <v>3814</v>
      </c>
      <c r="AS105" s="14"/>
      <c r="AT105" s="14">
        <v>46290</v>
      </c>
      <c r="AU105" s="14">
        <v>46322</v>
      </c>
      <c r="AV105" s="14"/>
      <c r="AW105" s="29" t="s">
        <v>3839</v>
      </c>
      <c r="AX105" s="29"/>
      <c r="AY105" s="29"/>
      <c r="AZ105" s="29"/>
      <c r="BA105" s="29"/>
      <c r="BB105" s="29"/>
      <c r="BC105" s="29" t="s">
        <v>32</v>
      </c>
      <c r="BD105" s="29" t="s">
        <v>3814</v>
      </c>
      <c r="BE105" s="29" t="s">
        <v>4869</v>
      </c>
      <c r="BF105" s="29" t="s">
        <v>4870</v>
      </c>
      <c r="BG105" s="29" t="s">
        <v>3817</v>
      </c>
      <c r="BH105" s="29"/>
      <c r="BI105" s="29"/>
      <c r="BJ105" s="29"/>
      <c r="BK105" s="29"/>
      <c r="BL105" s="29"/>
      <c r="BM105" s="29"/>
      <c r="BN105" s="29"/>
      <c r="CW105" s="6" t="str" cm="1">
        <f t="array" ref="CW105">IFERROR(_xlfn.IFS(H105=TIME(7,0,0),"GY",H105=TIME(7,30,0),"GY",H105=TIME(9,0,0),"GY",H105=TIME(15,0,0),"GY",H105=TIME(8,30,0),"GY",H105=TIME(5,30,0),"GY",H105=TIME(6,0,0),"GD",H105=TIME(6,30,0),"GD",H105=TIME(8,0,0),"GY",H105=TIME(6,15,0),"GD"),"")</f>
        <v>GY</v>
      </c>
      <c r="EE105"/>
    </row>
    <row r="106" spans="1:135" x14ac:dyDescent="0.45">
      <c r="A106" s="3" t="s">
        <v>63</v>
      </c>
      <c r="B106" s="3"/>
      <c r="C106" s="3" t="s">
        <v>5003</v>
      </c>
      <c r="D106" s="3" t="s">
        <v>5004</v>
      </c>
      <c r="E106" s="100" t="s">
        <v>3817</v>
      </c>
      <c r="F106" s="3" t="s">
        <v>69</v>
      </c>
      <c r="G106" s="4">
        <v>46282</v>
      </c>
      <c r="H106" s="5">
        <v>0.27083333333333326</v>
      </c>
      <c r="I106" s="91">
        <v>46276</v>
      </c>
      <c r="J106" s="91"/>
      <c r="K106" s="91">
        <v>46275</v>
      </c>
      <c r="L106" s="3" t="s">
        <v>5537</v>
      </c>
      <c r="M106" s="3" t="s">
        <v>3819</v>
      </c>
      <c r="N106" s="3" t="s">
        <v>5005</v>
      </c>
      <c r="O106" t="s">
        <v>3867</v>
      </c>
      <c r="P106" s="3"/>
      <c r="Q106">
        <v>46248</v>
      </c>
      <c r="R106" s="3">
        <v>726</v>
      </c>
      <c r="S106" s="3" t="s">
        <v>3823</v>
      </c>
      <c r="T106" s="3">
        <v>7469</v>
      </c>
      <c r="U106" s="3" t="s">
        <v>5006</v>
      </c>
      <c r="V106" s="3" t="s">
        <v>5007</v>
      </c>
      <c r="W106" s="3">
        <v>1676.6410000000001</v>
      </c>
      <c r="X106" s="3">
        <v>46268</v>
      </c>
      <c r="Y106" s="3">
        <v>46266</v>
      </c>
      <c r="AA106" t="s">
        <v>3826</v>
      </c>
      <c r="AB106" t="s">
        <v>3827</v>
      </c>
      <c r="AC106" s="3" t="s">
        <v>5008</v>
      </c>
      <c r="AD106" t="s">
        <v>3955</v>
      </c>
      <c r="AE106" t="s">
        <v>4971</v>
      </c>
      <c r="AF106" t="s">
        <v>3831</v>
      </c>
      <c r="AG106" t="s">
        <v>3832</v>
      </c>
      <c r="AH106" t="s">
        <v>3908</v>
      </c>
      <c r="AI106" t="s">
        <v>3834</v>
      </c>
      <c r="AJ106" t="s">
        <v>3956</v>
      </c>
      <c r="AK106" t="s">
        <v>3832</v>
      </c>
      <c r="AM106" s="3" t="s">
        <v>5009</v>
      </c>
      <c r="AN106" s="3"/>
      <c r="AO106" s="3">
        <v>46276</v>
      </c>
      <c r="AP106" s="3"/>
      <c r="AQ106" s="3" t="s">
        <v>4037</v>
      </c>
      <c r="AR106" s="3"/>
      <c r="AS106" s="3" t="s">
        <v>3961</v>
      </c>
      <c r="AT106" s="3">
        <v>46289</v>
      </c>
      <c r="AU106" s="3"/>
      <c r="AV106" s="3">
        <v>46291</v>
      </c>
      <c r="AW106" t="s">
        <v>3839</v>
      </c>
      <c r="BC106" t="s">
        <v>63</v>
      </c>
      <c r="BE106" t="s">
        <v>5003</v>
      </c>
      <c r="BF106" t="s">
        <v>5004</v>
      </c>
      <c r="BG106" t="s">
        <v>3817</v>
      </c>
      <c r="CW106" s="6" t="str" cm="1">
        <f t="array" ref="CW106">IFERROR(_xlfn.IFS(H106=TIME(7,0,0),"GY",H106=TIME(7,30,0),"GY",H106=TIME(9,0,0),"GY",H106=TIME(15,0,0),"GY",H106=TIME(8,30,0),"GY",H106=TIME(5,30,0),"GY",H106=TIME(6,0,0),"GD",H106=TIME(6,30,0),"GD",H106=TIME(8,0,0),"GY",H106=TIME(6,15,0),"GD"),"")</f>
        <v>GD</v>
      </c>
      <c r="EE106"/>
    </row>
    <row r="107" spans="1:135" x14ac:dyDescent="0.45">
      <c r="A107" s="3" t="s">
        <v>63</v>
      </c>
      <c r="B107" s="3"/>
      <c r="C107" s="3" t="s">
        <v>5003</v>
      </c>
      <c r="D107" s="3" t="s">
        <v>5004</v>
      </c>
      <c r="E107" s="100" t="s">
        <v>3817</v>
      </c>
      <c r="F107" s="3" t="s">
        <v>64</v>
      </c>
      <c r="G107" s="4">
        <v>46282</v>
      </c>
      <c r="H107" s="5">
        <v>0.27083333333333326</v>
      </c>
      <c r="I107" s="91">
        <v>46276</v>
      </c>
      <c r="J107" s="91"/>
      <c r="K107" s="91">
        <v>46275</v>
      </c>
      <c r="L107" s="3" t="s">
        <v>5537</v>
      </c>
      <c r="M107" s="3" t="s">
        <v>3819</v>
      </c>
      <c r="N107" s="3" t="s">
        <v>5005</v>
      </c>
      <c r="O107" t="s">
        <v>3867</v>
      </c>
      <c r="P107" s="3"/>
      <c r="Q107">
        <v>46248</v>
      </c>
      <c r="R107" s="3">
        <v>726</v>
      </c>
      <c r="S107" s="3" t="s">
        <v>3823</v>
      </c>
      <c r="T107" s="3">
        <v>13544</v>
      </c>
      <c r="U107" s="3" t="s">
        <v>5010</v>
      </c>
      <c r="V107" s="3" t="s">
        <v>5011</v>
      </c>
      <c r="W107" s="3">
        <v>8903.6219999999994</v>
      </c>
      <c r="X107" s="3">
        <v>46268</v>
      </c>
      <c r="Y107" s="3">
        <v>46266</v>
      </c>
      <c r="AA107" t="s">
        <v>3826</v>
      </c>
      <c r="AB107" t="s">
        <v>3827</v>
      </c>
      <c r="AC107" s="3" t="s">
        <v>5008</v>
      </c>
      <c r="AD107" t="s">
        <v>3955</v>
      </c>
      <c r="AE107" t="s">
        <v>4971</v>
      </c>
      <c r="AF107" t="s">
        <v>3831</v>
      </c>
      <c r="AG107" t="s">
        <v>3832</v>
      </c>
      <c r="AH107" t="s">
        <v>3908</v>
      </c>
      <c r="AI107" t="s">
        <v>3834</v>
      </c>
      <c r="AJ107" t="s">
        <v>3956</v>
      </c>
      <c r="AK107" t="s">
        <v>3832</v>
      </c>
      <c r="AM107" s="3" t="s">
        <v>5009</v>
      </c>
      <c r="AN107" s="3"/>
      <c r="AO107" s="3">
        <v>46276</v>
      </c>
      <c r="AP107" s="3"/>
      <c r="AQ107" s="3" t="s">
        <v>4037</v>
      </c>
      <c r="AR107" s="3"/>
      <c r="AS107" s="3" t="s">
        <v>3961</v>
      </c>
      <c r="AT107" s="3">
        <v>46289</v>
      </c>
      <c r="AU107" s="3"/>
      <c r="AV107" s="3">
        <v>46291</v>
      </c>
      <c r="AW107" t="s">
        <v>3839</v>
      </c>
      <c r="BC107" t="s">
        <v>63</v>
      </c>
      <c r="BE107" t="s">
        <v>5003</v>
      </c>
      <c r="BF107" t="s">
        <v>5004</v>
      </c>
      <c r="BG107" t="s">
        <v>3817</v>
      </c>
      <c r="CW107" s="6" t="str" cm="1">
        <f t="array" ref="CW107">IFERROR(_xlfn.IFS(H107=TIME(7,0,0),"GY",H107=TIME(7,30,0),"GY",H107=TIME(9,0,0),"GY",H107=TIME(15,0,0),"GY",H107=TIME(8,30,0),"GY",H107=TIME(5,30,0),"GY",H107=TIME(6,0,0),"GD",H107=TIME(6,30,0),"GD",H107=TIME(8,0,0),"GY",H107=TIME(6,15,0),"GD"),"")</f>
        <v>GD</v>
      </c>
      <c r="EE107"/>
    </row>
    <row r="108" spans="1:135" x14ac:dyDescent="0.45">
      <c r="A108" s="3" t="s">
        <v>32</v>
      </c>
      <c r="B108" s="3" t="s">
        <v>3814</v>
      </c>
      <c r="C108" s="3" t="s">
        <v>4887</v>
      </c>
      <c r="D108" s="3" t="s">
        <v>4888</v>
      </c>
      <c r="E108" s="100" t="s">
        <v>3817</v>
      </c>
      <c r="F108" s="3" t="s">
        <v>247</v>
      </c>
      <c r="G108" s="4">
        <v>46281</v>
      </c>
      <c r="H108" s="5">
        <v>0.35416666666666674</v>
      </c>
      <c r="I108" s="91">
        <v>46276</v>
      </c>
      <c r="J108" s="91"/>
      <c r="K108" s="91">
        <v>46276</v>
      </c>
      <c r="L108" s="3" t="s">
        <v>5535</v>
      </c>
      <c r="M108" s="3" t="s">
        <v>3819</v>
      </c>
      <c r="N108" s="3" t="s">
        <v>4889</v>
      </c>
      <c r="O108" t="s">
        <v>3867</v>
      </c>
      <c r="P108" s="3" t="s">
        <v>4251</v>
      </c>
      <c r="Q108">
        <v>46233</v>
      </c>
      <c r="R108" s="3">
        <v>726</v>
      </c>
      <c r="S108" s="3" t="s">
        <v>3823</v>
      </c>
      <c r="T108" s="3">
        <v>550</v>
      </c>
      <c r="U108" s="3" t="s">
        <v>4890</v>
      </c>
      <c r="V108" s="3" t="s">
        <v>4891</v>
      </c>
      <c r="W108" s="3">
        <v>6715.1</v>
      </c>
      <c r="X108" s="3">
        <v>46268</v>
      </c>
      <c r="Y108" s="3">
        <v>46253</v>
      </c>
      <c r="AA108" t="s">
        <v>3826</v>
      </c>
      <c r="AB108" t="s">
        <v>3827</v>
      </c>
      <c r="AC108" s="3" t="s">
        <v>4892</v>
      </c>
      <c r="AD108" t="s">
        <v>4701</v>
      </c>
      <c r="AE108" t="s">
        <v>4143</v>
      </c>
      <c r="AF108" t="s">
        <v>3831</v>
      </c>
      <c r="AG108" t="s">
        <v>3832</v>
      </c>
      <c r="AH108" t="s">
        <v>3908</v>
      </c>
      <c r="AI108" t="s">
        <v>3834</v>
      </c>
      <c r="AJ108" t="s">
        <v>3835</v>
      </c>
      <c r="AK108" t="s">
        <v>3832</v>
      </c>
      <c r="AM108" s="3" t="s">
        <v>4893</v>
      </c>
      <c r="AN108" s="3"/>
      <c r="AO108" s="3">
        <v>46276</v>
      </c>
      <c r="AP108" s="3"/>
      <c r="AQ108" s="3" t="s">
        <v>3837</v>
      </c>
      <c r="AR108" s="3" t="s">
        <v>3814</v>
      </c>
      <c r="AS108" s="3"/>
      <c r="AT108" s="3">
        <v>46290</v>
      </c>
      <c r="AU108" s="3">
        <v>46321</v>
      </c>
      <c r="AV108" s="3"/>
      <c r="AW108" t="s">
        <v>3839</v>
      </c>
      <c r="BC108" t="s">
        <v>32</v>
      </c>
      <c r="BD108" t="s">
        <v>3814</v>
      </c>
      <c r="BE108" t="s">
        <v>4887</v>
      </c>
      <c r="BF108" t="s">
        <v>4888</v>
      </c>
      <c r="BG108" t="s">
        <v>3817</v>
      </c>
      <c r="CW108" s="6" t="str" cm="1">
        <f t="array" ref="CW108">IFERROR(_xlfn.IFS(H108=TIME(7,0,0),"GY",H108=TIME(7,30,0),"GY",H108=TIME(9,0,0),"GY",H108=TIME(15,0,0),"GY",H108=TIME(8,30,0),"GY",H108=TIME(5,30,0),"GY",H108=TIME(6,0,0),"GD",H108=TIME(6,30,0),"GD",H108=TIME(8,0,0),"GY",H108=TIME(6,15,0),"GD"),"")</f>
        <v>GY</v>
      </c>
      <c r="EE108"/>
    </row>
    <row r="109" spans="1:135" x14ac:dyDescent="0.45">
      <c r="A109" s="3" t="s">
        <v>18</v>
      </c>
      <c r="B109" s="3"/>
      <c r="C109" s="3" t="s">
        <v>5043</v>
      </c>
      <c r="D109" s="3" t="s">
        <v>5044</v>
      </c>
      <c r="E109" s="100" t="s">
        <v>3817</v>
      </c>
      <c r="F109" s="3" t="s">
        <v>24</v>
      </c>
      <c r="G109" s="4">
        <v>46281</v>
      </c>
      <c r="H109" s="5">
        <v>0.52083333333333326</v>
      </c>
      <c r="I109" s="91">
        <v>46276</v>
      </c>
      <c r="J109" s="91"/>
      <c r="K109" s="91">
        <v>46275</v>
      </c>
      <c r="L109" s="3" t="s">
        <v>5539</v>
      </c>
      <c r="M109" s="3" t="s">
        <v>3819</v>
      </c>
      <c r="N109" s="3" t="s">
        <v>5045</v>
      </c>
      <c r="O109" t="s">
        <v>3867</v>
      </c>
      <c r="P109" s="3" t="s">
        <v>3902</v>
      </c>
      <c r="Q109">
        <v>46255</v>
      </c>
      <c r="R109" s="3">
        <v>726</v>
      </c>
      <c r="S109" s="3" t="s">
        <v>3823</v>
      </c>
      <c r="T109" s="3">
        <v>5272</v>
      </c>
      <c r="U109" s="3" t="s">
        <v>5046</v>
      </c>
      <c r="V109" s="3" t="s">
        <v>5047</v>
      </c>
      <c r="W109" s="3">
        <v>6282.7889999999998</v>
      </c>
      <c r="X109" s="3">
        <v>46268</v>
      </c>
      <c r="Y109" s="3">
        <v>46266</v>
      </c>
      <c r="AA109" t="s">
        <v>3826</v>
      </c>
      <c r="AB109" t="s">
        <v>3827</v>
      </c>
      <c r="AC109" s="3" t="s">
        <v>5048</v>
      </c>
      <c r="AD109" t="s">
        <v>3955</v>
      </c>
      <c r="AE109" t="s">
        <v>4971</v>
      </c>
      <c r="AF109" t="s">
        <v>3831</v>
      </c>
      <c r="AG109" t="s">
        <v>3832</v>
      </c>
      <c r="AH109" t="s">
        <v>3908</v>
      </c>
      <c r="AI109" t="s">
        <v>3834</v>
      </c>
      <c r="AJ109" t="s">
        <v>3956</v>
      </c>
      <c r="AK109" t="s">
        <v>3832</v>
      </c>
      <c r="AM109" s="3" t="s">
        <v>5049</v>
      </c>
      <c r="AN109" s="3"/>
      <c r="AO109" s="3">
        <v>46276</v>
      </c>
      <c r="AP109" s="3"/>
      <c r="AQ109" s="3" t="s">
        <v>4037</v>
      </c>
      <c r="AR109" s="3"/>
      <c r="AS109" s="3" t="s">
        <v>3961</v>
      </c>
      <c r="AT109" s="3">
        <v>46289</v>
      </c>
      <c r="AU109" s="3"/>
      <c r="AV109" s="3">
        <v>46291</v>
      </c>
      <c r="AW109" t="s">
        <v>3839</v>
      </c>
      <c r="BC109" t="s">
        <v>18</v>
      </c>
      <c r="BE109" t="s">
        <v>5043</v>
      </c>
      <c r="BF109" t="s">
        <v>5044</v>
      </c>
      <c r="BG109" t="s">
        <v>3817</v>
      </c>
      <c r="CW109" s="6" t="str" cm="1">
        <f t="array" ref="CW109">IFERROR(_xlfn.IFS(H109=TIME(7,0,0),"GY",H109=TIME(7,30,0),"GY",H109=TIME(9,0,0),"GY",H109=TIME(15,0,0),"GY",H109=TIME(8,30,0),"GY",H109=TIME(5,30,0),"GY",H109=TIME(6,0,0),"GD",H109=TIME(6,30,0),"GD",H109=TIME(8,0,0),"GY",H109=TIME(6,15,0),"GD"),"")</f>
        <v/>
      </c>
      <c r="EE109"/>
    </row>
    <row r="110" spans="1:135" x14ac:dyDescent="0.45">
      <c r="A110" s="3" t="s">
        <v>18</v>
      </c>
      <c r="B110" s="3"/>
      <c r="C110" s="3" t="s">
        <v>5043</v>
      </c>
      <c r="D110" s="3" t="s">
        <v>5044</v>
      </c>
      <c r="E110" s="100" t="s">
        <v>3817</v>
      </c>
      <c r="F110" s="3" t="s">
        <v>228</v>
      </c>
      <c r="G110" s="4">
        <v>46281</v>
      </c>
      <c r="H110" s="5">
        <v>0.52083333333333326</v>
      </c>
      <c r="I110" s="91">
        <v>46276</v>
      </c>
      <c r="J110" s="91"/>
      <c r="K110" s="91">
        <v>46275</v>
      </c>
      <c r="L110" s="3" t="s">
        <v>5539</v>
      </c>
      <c r="M110" s="3" t="s">
        <v>3819</v>
      </c>
      <c r="N110" s="3" t="s">
        <v>5045</v>
      </c>
      <c r="O110" t="s">
        <v>3867</v>
      </c>
      <c r="P110" s="3" t="s">
        <v>3902</v>
      </c>
      <c r="Q110">
        <v>46255</v>
      </c>
      <c r="R110" s="3">
        <v>726</v>
      </c>
      <c r="S110" s="3" t="s">
        <v>3823</v>
      </c>
      <c r="T110" s="3">
        <v>1114</v>
      </c>
      <c r="U110" s="3" t="s">
        <v>5050</v>
      </c>
      <c r="V110" s="3" t="s">
        <v>5051</v>
      </c>
      <c r="W110" s="3">
        <v>915.57</v>
      </c>
      <c r="X110" s="3">
        <v>46268</v>
      </c>
      <c r="Y110" s="3">
        <v>46266</v>
      </c>
      <c r="AA110" t="s">
        <v>3826</v>
      </c>
      <c r="AB110" t="s">
        <v>3827</v>
      </c>
      <c r="AC110" s="3" t="s">
        <v>5048</v>
      </c>
      <c r="AD110" t="s">
        <v>3955</v>
      </c>
      <c r="AE110" t="s">
        <v>4971</v>
      </c>
      <c r="AF110" t="s">
        <v>3831</v>
      </c>
      <c r="AG110" t="s">
        <v>3832</v>
      </c>
      <c r="AH110" t="s">
        <v>3908</v>
      </c>
      <c r="AI110" t="s">
        <v>3834</v>
      </c>
      <c r="AJ110" t="s">
        <v>3956</v>
      </c>
      <c r="AK110" t="s">
        <v>3832</v>
      </c>
      <c r="AM110" s="3" t="s">
        <v>5049</v>
      </c>
      <c r="AN110" s="3"/>
      <c r="AO110" s="3">
        <v>46276</v>
      </c>
      <c r="AP110" s="3"/>
      <c r="AQ110" s="3" t="s">
        <v>4037</v>
      </c>
      <c r="AR110" s="3"/>
      <c r="AS110" s="3" t="s">
        <v>3961</v>
      </c>
      <c r="AT110" s="3">
        <v>46289</v>
      </c>
      <c r="AU110" s="3"/>
      <c r="AV110" s="3">
        <v>46291</v>
      </c>
      <c r="AW110" t="s">
        <v>3839</v>
      </c>
      <c r="BC110" t="s">
        <v>18</v>
      </c>
      <c r="BE110" t="s">
        <v>5043</v>
      </c>
      <c r="BF110" t="s">
        <v>5044</v>
      </c>
      <c r="BG110" t="s">
        <v>3817</v>
      </c>
      <c r="CW110" s="6" t="str" cm="1">
        <f t="array" ref="CW110">IFERROR(_xlfn.IFS(H110=TIME(7,0,0),"GY",H110=TIME(7,30,0),"GY",H110=TIME(9,0,0),"GY",H110=TIME(15,0,0),"GY",H110=TIME(8,30,0),"GY",H110=TIME(5,30,0),"GY",H110=TIME(6,0,0),"GD",H110=TIME(6,30,0),"GD",H110=TIME(8,0,0),"GY",H110=TIME(6,15,0),"GD"),"")</f>
        <v/>
      </c>
      <c r="EE110"/>
    </row>
    <row r="111" spans="1:135" x14ac:dyDescent="0.45">
      <c r="A111" s="3" t="s">
        <v>18</v>
      </c>
      <c r="B111" s="3"/>
      <c r="C111" s="3" t="s">
        <v>5052</v>
      </c>
      <c r="D111" s="3" t="s">
        <v>5053</v>
      </c>
      <c r="E111" s="100" t="s">
        <v>3817</v>
      </c>
      <c r="F111" s="3" t="s">
        <v>25</v>
      </c>
      <c r="G111" s="4">
        <v>46281</v>
      </c>
      <c r="H111" s="5">
        <v>0.27083333333333326</v>
      </c>
      <c r="I111" s="91">
        <v>46275</v>
      </c>
      <c r="J111" s="91"/>
      <c r="K111" s="91">
        <v>46275</v>
      </c>
      <c r="L111" s="3" t="s">
        <v>5444</v>
      </c>
      <c r="M111" s="3" t="s">
        <v>3819</v>
      </c>
      <c r="N111" s="3" t="s">
        <v>5054</v>
      </c>
      <c r="O111" t="s">
        <v>3867</v>
      </c>
      <c r="P111" s="3" t="s">
        <v>3902</v>
      </c>
      <c r="Q111">
        <v>46255</v>
      </c>
      <c r="R111" s="3">
        <v>726</v>
      </c>
      <c r="S111" s="3" t="s">
        <v>3823</v>
      </c>
      <c r="T111" s="3">
        <v>10821</v>
      </c>
      <c r="U111" s="3" t="s">
        <v>5055</v>
      </c>
      <c r="V111" s="3" t="s">
        <v>5056</v>
      </c>
      <c r="W111" s="3">
        <v>9620.7350000000006</v>
      </c>
      <c r="X111" s="3">
        <v>46268</v>
      </c>
      <c r="Y111" s="3">
        <v>46266</v>
      </c>
      <c r="AA111" t="s">
        <v>3826</v>
      </c>
      <c r="AB111" t="s">
        <v>3827</v>
      </c>
      <c r="AC111" s="3" t="s">
        <v>5057</v>
      </c>
      <c r="AD111" t="s">
        <v>3955</v>
      </c>
      <c r="AE111" t="s">
        <v>4971</v>
      </c>
      <c r="AF111" t="s">
        <v>3831</v>
      </c>
      <c r="AG111" t="s">
        <v>3832</v>
      </c>
      <c r="AH111" t="s">
        <v>3908</v>
      </c>
      <c r="AI111" t="s">
        <v>3834</v>
      </c>
      <c r="AJ111" t="s">
        <v>3956</v>
      </c>
      <c r="AK111" t="s">
        <v>3832</v>
      </c>
      <c r="AM111" s="3" t="s">
        <v>5058</v>
      </c>
      <c r="AN111" s="3"/>
      <c r="AO111" s="3">
        <v>46275</v>
      </c>
      <c r="AP111" s="3"/>
      <c r="AQ111" s="3" t="s">
        <v>4037</v>
      </c>
      <c r="AR111" s="3"/>
      <c r="AS111" s="3" t="s">
        <v>3961</v>
      </c>
      <c r="AT111" s="3">
        <v>46289</v>
      </c>
      <c r="AU111" s="3"/>
      <c r="AV111" s="3">
        <v>46290</v>
      </c>
      <c r="AW111" t="s">
        <v>3839</v>
      </c>
      <c r="BC111" t="s">
        <v>18</v>
      </c>
      <c r="BE111" t="s">
        <v>5052</v>
      </c>
      <c r="BF111" t="s">
        <v>5053</v>
      </c>
      <c r="BG111" t="s">
        <v>3817</v>
      </c>
      <c r="CW111" s="6" t="str" cm="1">
        <f t="array" ref="CW111">IFERROR(_xlfn.IFS(H111=TIME(7,0,0),"GY",H111=TIME(7,30,0),"GY",H111=TIME(9,0,0),"GY",H111=TIME(15,0,0),"GY",H111=TIME(8,30,0),"GY",H111=TIME(5,30,0),"GY",H111=TIME(6,0,0),"GD",H111=TIME(6,30,0),"GD",H111=TIME(8,0,0),"GY",H111=TIME(6,15,0),"GD"),"")</f>
        <v>GD</v>
      </c>
      <c r="EE111"/>
    </row>
    <row r="112" spans="1:135" x14ac:dyDescent="0.45">
      <c r="A112" s="3" t="s">
        <v>18</v>
      </c>
      <c r="B112" s="3"/>
      <c r="C112" s="3" t="s">
        <v>5052</v>
      </c>
      <c r="D112" s="3" t="s">
        <v>5053</v>
      </c>
      <c r="E112" s="100" t="s">
        <v>3817</v>
      </c>
      <c r="F112" s="3" t="s">
        <v>219</v>
      </c>
      <c r="G112" s="4">
        <v>46281</v>
      </c>
      <c r="H112" s="5">
        <v>0.27083333333333326</v>
      </c>
      <c r="I112" s="91">
        <v>46275</v>
      </c>
      <c r="J112" s="91"/>
      <c r="K112" s="91">
        <v>46275</v>
      </c>
      <c r="L112" s="3" t="s">
        <v>5444</v>
      </c>
      <c r="M112" s="3" t="s">
        <v>3819</v>
      </c>
      <c r="N112" s="3" t="s">
        <v>5054</v>
      </c>
      <c r="O112" t="s">
        <v>3867</v>
      </c>
      <c r="P112" s="3" t="s">
        <v>3902</v>
      </c>
      <c r="Q112">
        <v>46255</v>
      </c>
      <c r="R112" s="3">
        <v>726</v>
      </c>
      <c r="S112" s="3" t="s">
        <v>3823</v>
      </c>
      <c r="T112" s="3">
        <v>3762</v>
      </c>
      <c r="U112" s="3" t="s">
        <v>5059</v>
      </c>
      <c r="V112" s="3" t="s">
        <v>5060</v>
      </c>
      <c r="W112" s="3">
        <v>593.476</v>
      </c>
      <c r="X112" s="3">
        <v>46268</v>
      </c>
      <c r="Y112" s="3">
        <v>46266</v>
      </c>
      <c r="AA112" t="s">
        <v>3826</v>
      </c>
      <c r="AB112" t="s">
        <v>3827</v>
      </c>
      <c r="AC112" s="3" t="s">
        <v>5057</v>
      </c>
      <c r="AD112" t="s">
        <v>3955</v>
      </c>
      <c r="AE112" t="s">
        <v>4971</v>
      </c>
      <c r="AF112" t="s">
        <v>3831</v>
      </c>
      <c r="AG112" t="s">
        <v>3832</v>
      </c>
      <c r="AH112" t="s">
        <v>3908</v>
      </c>
      <c r="AI112" t="s">
        <v>3834</v>
      </c>
      <c r="AJ112" t="s">
        <v>3956</v>
      </c>
      <c r="AK112" t="s">
        <v>3832</v>
      </c>
      <c r="AM112" s="3" t="s">
        <v>5058</v>
      </c>
      <c r="AN112" s="3"/>
      <c r="AO112" s="3">
        <v>46275</v>
      </c>
      <c r="AP112" s="3"/>
      <c r="AQ112" s="3" t="s">
        <v>4037</v>
      </c>
      <c r="AR112" s="3"/>
      <c r="AS112" s="3" t="s">
        <v>3961</v>
      </c>
      <c r="AT112" s="3">
        <v>46289</v>
      </c>
      <c r="AU112" s="3"/>
      <c r="AV112" s="3">
        <v>46290</v>
      </c>
      <c r="AW112" t="s">
        <v>3839</v>
      </c>
      <c r="BC112" t="s">
        <v>18</v>
      </c>
      <c r="BE112" t="s">
        <v>5052</v>
      </c>
      <c r="BF112" t="s">
        <v>5053</v>
      </c>
      <c r="BG112" t="s">
        <v>3817</v>
      </c>
      <c r="CW112" s="6" t="str" cm="1">
        <f t="array" ref="CW112">IFERROR(_xlfn.IFS(H112=TIME(7,0,0),"GY",H112=TIME(7,30,0),"GY",H112=TIME(9,0,0),"GY",H112=TIME(15,0,0),"GY",H112=TIME(8,30,0),"GY",H112=TIME(5,30,0),"GY",H112=TIME(6,0,0),"GD",H112=TIME(6,30,0),"GD",H112=TIME(8,0,0),"GY",H112=TIME(6,15,0),"GD"),"")</f>
        <v>GD</v>
      </c>
      <c r="EE112"/>
    </row>
    <row r="113" spans="1:135" x14ac:dyDescent="0.45">
      <c r="A113" s="3" t="s">
        <v>32</v>
      </c>
      <c r="B113" s="3" t="s">
        <v>3814</v>
      </c>
      <c r="C113" s="3" t="s">
        <v>4759</v>
      </c>
      <c r="D113" s="3" t="s">
        <v>4760</v>
      </c>
      <c r="E113" s="100" t="s">
        <v>3817</v>
      </c>
      <c r="F113" s="3" t="s">
        <v>548</v>
      </c>
      <c r="G113" s="4">
        <v>46280</v>
      </c>
      <c r="H113" s="5">
        <v>0.22916666666666674</v>
      </c>
      <c r="I113" s="91">
        <v>46274</v>
      </c>
      <c r="J113" s="91"/>
      <c r="K113" s="91">
        <v>46274</v>
      </c>
      <c r="L113" s="3" t="s">
        <v>5413</v>
      </c>
      <c r="M113" s="3" t="s">
        <v>3819</v>
      </c>
      <c r="N113" s="3" t="s">
        <v>4761</v>
      </c>
      <c r="O113" t="s">
        <v>3821</v>
      </c>
      <c r="P113" s="3" t="s">
        <v>4645</v>
      </c>
      <c r="Q113">
        <v>46252</v>
      </c>
      <c r="R113" s="3">
        <v>726</v>
      </c>
      <c r="S113" s="3" t="s">
        <v>3823</v>
      </c>
      <c r="T113" s="3">
        <v>4477</v>
      </c>
      <c r="U113" s="3" t="s">
        <v>4762</v>
      </c>
      <c r="V113" s="3" t="s">
        <v>4763</v>
      </c>
      <c r="W113" s="3">
        <v>2046.27</v>
      </c>
      <c r="X113" s="3">
        <v>46263</v>
      </c>
      <c r="Y113" s="3">
        <v>46273</v>
      </c>
      <c r="AA113" t="s">
        <v>3926</v>
      </c>
      <c r="AB113" t="s">
        <v>3927</v>
      </c>
      <c r="AC113" s="3" t="s">
        <v>4764</v>
      </c>
      <c r="AD113" t="s">
        <v>4765</v>
      </c>
      <c r="AE113" t="s">
        <v>4766</v>
      </c>
      <c r="AF113" t="s">
        <v>3831</v>
      </c>
      <c r="AG113" t="s">
        <v>3832</v>
      </c>
      <c r="AH113" t="s">
        <v>4159</v>
      </c>
      <c r="AI113" t="s">
        <v>3834</v>
      </c>
      <c r="AJ113" t="s">
        <v>3835</v>
      </c>
      <c r="AK113" t="s">
        <v>3832</v>
      </c>
      <c r="AM113" s="3" t="s">
        <v>4767</v>
      </c>
      <c r="AN113" s="3"/>
      <c r="AO113" s="3">
        <v>46274</v>
      </c>
      <c r="AP113" s="3"/>
      <c r="AQ113" s="3" t="s">
        <v>4161</v>
      </c>
      <c r="AR113" s="3" t="s">
        <v>3814</v>
      </c>
      <c r="AS113" s="3"/>
      <c r="AT113" s="3">
        <v>46288</v>
      </c>
      <c r="AU113" s="3">
        <v>46349</v>
      </c>
      <c r="AV113" s="3"/>
      <c r="AW113" t="s">
        <v>3839</v>
      </c>
      <c r="BC113" t="s">
        <v>32</v>
      </c>
      <c r="BD113" t="s">
        <v>3814</v>
      </c>
      <c r="BE113" t="s">
        <v>4759</v>
      </c>
      <c r="BF113" t="s">
        <v>4760</v>
      </c>
      <c r="BG113" t="s">
        <v>3817</v>
      </c>
      <c r="CW113" s="6" t="str" cm="1">
        <f t="array" ref="CW113">IFERROR(_xlfn.IFS(H113=TIME(7,0,0),"GY",H113=TIME(7,30,0),"GY",H113=TIME(9,0,0),"GY",H113=TIME(15,0,0),"GY",H113=TIME(8,30,0),"GY",H113=TIME(5,30,0),"GY",H113=TIME(6,0,0),"GD",H113=TIME(6,30,0),"GD",H113=TIME(8,0,0),"GY",H113=TIME(6,15,0),"GD"),"")</f>
        <v>GY</v>
      </c>
      <c r="EE113"/>
    </row>
    <row r="114" spans="1:135" x14ac:dyDescent="0.45">
      <c r="A114" s="3" t="s">
        <v>32</v>
      </c>
      <c r="B114" s="3" t="s">
        <v>3814</v>
      </c>
      <c r="C114" s="3" t="s">
        <v>4996</v>
      </c>
      <c r="D114" s="3" t="s">
        <v>4997</v>
      </c>
      <c r="E114" s="100" t="s">
        <v>3817</v>
      </c>
      <c r="F114" s="3" t="s">
        <v>253</v>
      </c>
      <c r="G114" s="4">
        <v>46280</v>
      </c>
      <c r="H114" s="5">
        <v>0.22916666666666674</v>
      </c>
      <c r="I114" s="91">
        <v>46276</v>
      </c>
      <c r="J114" s="91"/>
      <c r="K114" s="91">
        <v>46275</v>
      </c>
      <c r="L114" s="3" t="s">
        <v>5443</v>
      </c>
      <c r="M114" s="3" t="s">
        <v>3819</v>
      </c>
      <c r="N114" s="3" t="s">
        <v>4998</v>
      </c>
      <c r="O114" t="s">
        <v>3867</v>
      </c>
      <c r="P114" s="3" t="s">
        <v>4251</v>
      </c>
      <c r="Q114">
        <v>46247</v>
      </c>
      <c r="R114" s="3">
        <v>726</v>
      </c>
      <c r="S114" s="3" t="s">
        <v>3823</v>
      </c>
      <c r="T114" s="3">
        <v>266</v>
      </c>
      <c r="U114" s="3" t="s">
        <v>4999</v>
      </c>
      <c r="V114" s="3" t="s">
        <v>5000</v>
      </c>
      <c r="W114" s="3">
        <v>2045.68</v>
      </c>
      <c r="X114" s="3">
        <v>46268</v>
      </c>
      <c r="Y114" s="3">
        <v>46266</v>
      </c>
      <c r="AA114" t="s">
        <v>3826</v>
      </c>
      <c r="AB114" t="s">
        <v>3827</v>
      </c>
      <c r="AC114" s="3" t="s">
        <v>5001</v>
      </c>
      <c r="AD114" t="s">
        <v>3955</v>
      </c>
      <c r="AE114" t="s">
        <v>4971</v>
      </c>
      <c r="AF114" t="s">
        <v>3831</v>
      </c>
      <c r="AG114" t="s">
        <v>3832</v>
      </c>
      <c r="AH114" t="s">
        <v>3908</v>
      </c>
      <c r="AI114" t="s">
        <v>3834</v>
      </c>
      <c r="AJ114" t="s">
        <v>3956</v>
      </c>
      <c r="AK114" t="s">
        <v>3832</v>
      </c>
      <c r="AM114" s="3" t="s">
        <v>5002</v>
      </c>
      <c r="AN114" s="3"/>
      <c r="AO114" s="3">
        <v>46276</v>
      </c>
      <c r="AP114" s="3"/>
      <c r="AQ114" s="3" t="s">
        <v>4037</v>
      </c>
      <c r="AR114" s="3"/>
      <c r="AS114" s="3" t="s">
        <v>3961</v>
      </c>
      <c r="AT114" s="3">
        <v>46289</v>
      </c>
      <c r="AU114" s="3"/>
      <c r="AV114" s="3">
        <v>46291</v>
      </c>
      <c r="AW114" t="s">
        <v>3839</v>
      </c>
      <c r="BC114" t="s">
        <v>32</v>
      </c>
      <c r="BD114" t="s">
        <v>3814</v>
      </c>
      <c r="BE114" t="s">
        <v>4996</v>
      </c>
      <c r="BF114" t="s">
        <v>4997</v>
      </c>
      <c r="BG114" t="s">
        <v>3817</v>
      </c>
      <c r="CW114" s="6" t="str" cm="1">
        <f t="array" ref="CW114">IFERROR(_xlfn.IFS(H114=TIME(7,0,0),"GY",H114=TIME(7,30,0),"GY",H114=TIME(9,0,0),"GY",H114=TIME(15,0,0),"GY",H114=TIME(8,30,0),"GY",H114=TIME(5,30,0),"GY",H114=TIME(6,0,0),"GD",H114=TIME(6,30,0),"GD",H114=TIME(8,0,0),"GY",H114=TIME(6,15,0),"GD"),"")</f>
        <v>GY</v>
      </c>
      <c r="EE114"/>
    </row>
    <row r="115" spans="1:135" x14ac:dyDescent="0.45">
      <c r="A115" s="3" t="s">
        <v>18</v>
      </c>
      <c r="B115" s="3" t="s">
        <v>3944</v>
      </c>
      <c r="C115" s="3" t="s">
        <v>5080</v>
      </c>
      <c r="D115" s="3" t="s">
        <v>5081</v>
      </c>
      <c r="E115" s="100" t="s">
        <v>3817</v>
      </c>
      <c r="F115" s="3" t="s">
        <v>974</v>
      </c>
      <c r="G115" s="4">
        <v>46280</v>
      </c>
      <c r="H115" s="5">
        <v>0.27083333333333326</v>
      </c>
      <c r="I115" s="91">
        <v>46275</v>
      </c>
      <c r="J115" s="91"/>
      <c r="K115" s="91">
        <v>46260</v>
      </c>
      <c r="L115" s="3" t="s">
        <v>5445</v>
      </c>
      <c r="M115" s="3" t="s">
        <v>3819</v>
      </c>
      <c r="N115" s="3" t="s">
        <v>5082</v>
      </c>
      <c r="O115" t="s">
        <v>3867</v>
      </c>
      <c r="P115" s="3"/>
      <c r="Q115">
        <v>46239</v>
      </c>
      <c r="R115" s="3">
        <v>726</v>
      </c>
      <c r="S115" s="3" t="s">
        <v>3823</v>
      </c>
      <c r="T115" s="3">
        <v>21447</v>
      </c>
      <c r="U115" s="3" t="s">
        <v>5083</v>
      </c>
      <c r="V115" s="3" t="s">
        <v>5084</v>
      </c>
      <c r="W115" s="3">
        <v>8952.3690000000006</v>
      </c>
      <c r="X115" s="3">
        <v>46254</v>
      </c>
      <c r="Y115" s="3">
        <v>46252</v>
      </c>
      <c r="AA115" t="s">
        <v>3826</v>
      </c>
      <c r="AB115" t="s">
        <v>3827</v>
      </c>
      <c r="AC115" s="3" t="s">
        <v>5085</v>
      </c>
      <c r="AD115" t="s">
        <v>4034</v>
      </c>
      <c r="AE115" t="s">
        <v>4035</v>
      </c>
      <c r="AF115" t="s">
        <v>3831</v>
      </c>
      <c r="AG115" t="s">
        <v>3832</v>
      </c>
      <c r="AH115" t="s">
        <v>3908</v>
      </c>
      <c r="AI115" t="s">
        <v>3834</v>
      </c>
      <c r="AJ115" t="s">
        <v>3956</v>
      </c>
      <c r="AK115" t="s">
        <v>3832</v>
      </c>
      <c r="AM115" s="3" t="s">
        <v>5086</v>
      </c>
      <c r="AN115" s="3"/>
      <c r="AO115" s="3">
        <v>46275</v>
      </c>
      <c r="AP115" s="3" t="s">
        <v>3958</v>
      </c>
      <c r="AQ115" s="3" t="s">
        <v>3959</v>
      </c>
      <c r="AR115" s="3" t="s">
        <v>5446</v>
      </c>
      <c r="AS115" s="3" t="s">
        <v>3961</v>
      </c>
      <c r="AT115" s="3"/>
      <c r="AU115" s="3"/>
      <c r="AV115" s="3"/>
      <c r="AW115" t="s">
        <v>3839</v>
      </c>
      <c r="BC115" t="s">
        <v>18</v>
      </c>
      <c r="BD115" t="s">
        <v>3944</v>
      </c>
      <c r="BE115" t="s">
        <v>5080</v>
      </c>
      <c r="BF115" t="s">
        <v>5081</v>
      </c>
      <c r="BG115" t="s">
        <v>3817</v>
      </c>
      <c r="CW115" s="6" t="str" cm="1">
        <f t="array" ref="CW115">IFERROR(_xlfn.IFS(H115=TIME(7,0,0),"GY",H115=TIME(7,30,0),"GY",H115=TIME(9,0,0),"GY",H115=TIME(15,0,0),"GY",H115=TIME(8,30,0),"GY",H115=TIME(5,30,0),"GY",H115=TIME(6,0,0),"GD",H115=TIME(6,30,0),"GD",H115=TIME(8,0,0),"GY",H115=TIME(6,15,0),"GD"),"")</f>
        <v>GD</v>
      </c>
      <c r="EE115"/>
    </row>
    <row r="116" spans="1:135" x14ac:dyDescent="0.45">
      <c r="A116" s="3" t="s">
        <v>18</v>
      </c>
      <c r="B116" s="3" t="s">
        <v>3944</v>
      </c>
      <c r="C116" s="3" t="s">
        <v>5080</v>
      </c>
      <c r="D116" s="3" t="s">
        <v>5081</v>
      </c>
      <c r="E116" s="100" t="s">
        <v>3817</v>
      </c>
      <c r="F116" s="3" t="s">
        <v>2330</v>
      </c>
      <c r="G116" s="4">
        <v>46280</v>
      </c>
      <c r="H116" s="5">
        <v>0.27083333333333326</v>
      </c>
      <c r="I116" s="91">
        <v>46275</v>
      </c>
      <c r="J116" s="91"/>
      <c r="K116" s="91">
        <v>46260</v>
      </c>
      <c r="L116" s="3" t="s">
        <v>5445</v>
      </c>
      <c r="M116" s="3" t="s">
        <v>3819</v>
      </c>
      <c r="N116" s="3" t="s">
        <v>5082</v>
      </c>
      <c r="O116" t="s">
        <v>3867</v>
      </c>
      <c r="P116" s="3"/>
      <c r="Q116">
        <v>46239</v>
      </c>
      <c r="R116" s="3">
        <v>726</v>
      </c>
      <c r="S116" s="3" t="s">
        <v>3823</v>
      </c>
      <c r="T116" s="3">
        <v>6434</v>
      </c>
      <c r="U116" s="3" t="s">
        <v>5087</v>
      </c>
      <c r="V116" s="3" t="s">
        <v>5088</v>
      </c>
      <c r="W116" s="3">
        <v>1750.6</v>
      </c>
      <c r="X116" s="3">
        <v>46254</v>
      </c>
      <c r="Y116" s="3">
        <v>46252</v>
      </c>
      <c r="AA116" t="s">
        <v>3826</v>
      </c>
      <c r="AB116" t="s">
        <v>3827</v>
      </c>
      <c r="AC116" s="3" t="s">
        <v>5085</v>
      </c>
      <c r="AD116" t="s">
        <v>4034</v>
      </c>
      <c r="AE116" t="s">
        <v>4035</v>
      </c>
      <c r="AF116" t="s">
        <v>3831</v>
      </c>
      <c r="AG116" t="s">
        <v>3832</v>
      </c>
      <c r="AH116" t="s">
        <v>3908</v>
      </c>
      <c r="AI116" t="s">
        <v>3834</v>
      </c>
      <c r="AJ116" t="s">
        <v>3956</v>
      </c>
      <c r="AK116" t="s">
        <v>3832</v>
      </c>
      <c r="AM116" s="3" t="s">
        <v>5086</v>
      </c>
      <c r="AN116" s="3"/>
      <c r="AO116" s="3">
        <v>46275</v>
      </c>
      <c r="AP116" s="3" t="s">
        <v>3958</v>
      </c>
      <c r="AQ116" s="3" t="s">
        <v>3959</v>
      </c>
      <c r="AR116" s="3" t="s">
        <v>5446</v>
      </c>
      <c r="AS116" s="3" t="s">
        <v>3961</v>
      </c>
      <c r="AT116" s="3"/>
      <c r="AU116" s="3"/>
      <c r="AV116" s="3"/>
      <c r="AW116" t="s">
        <v>3839</v>
      </c>
      <c r="BC116" t="s">
        <v>18</v>
      </c>
      <c r="BD116" t="s">
        <v>3944</v>
      </c>
      <c r="BE116" t="s">
        <v>5080</v>
      </c>
      <c r="BF116" t="s">
        <v>5081</v>
      </c>
      <c r="BG116" t="s">
        <v>3817</v>
      </c>
      <c r="CW116" s="6" t="str" cm="1">
        <f t="array" ref="CW116">IFERROR(_xlfn.IFS(H116=TIME(7,0,0),"GY",H116=TIME(7,30,0),"GY",H116=TIME(9,0,0),"GY",H116=TIME(15,0,0),"GY",H116=TIME(8,30,0),"GY",H116=TIME(5,30,0),"GY",H116=TIME(6,0,0),"GD",H116=TIME(6,30,0),"GD",H116=TIME(8,0,0),"GY",H116=TIME(6,15,0),"GD"),"")</f>
        <v>GD</v>
      </c>
      <c r="EE116"/>
    </row>
    <row r="117" spans="1:135" x14ac:dyDescent="0.45">
      <c r="A117" s="3" t="s">
        <v>32</v>
      </c>
      <c r="B117" s="3" t="s">
        <v>3814</v>
      </c>
      <c r="C117" s="3" t="s">
        <v>4784</v>
      </c>
      <c r="D117" s="3" t="s">
        <v>4785</v>
      </c>
      <c r="E117" s="100" t="s">
        <v>3817</v>
      </c>
      <c r="F117" s="3" t="s">
        <v>322</v>
      </c>
      <c r="G117" s="4">
        <v>46279</v>
      </c>
      <c r="H117" s="5">
        <v>0.22916666666666674</v>
      </c>
      <c r="I117" s="91">
        <v>46274</v>
      </c>
      <c r="J117" s="91"/>
      <c r="K117" s="91">
        <v>46273</v>
      </c>
      <c r="L117" s="3" t="s">
        <v>5401</v>
      </c>
      <c r="M117" s="3" t="s">
        <v>3819</v>
      </c>
      <c r="N117" s="3" t="s">
        <v>4786</v>
      </c>
      <c r="O117" t="s">
        <v>3821</v>
      </c>
      <c r="P117" s="3" t="s">
        <v>3852</v>
      </c>
      <c r="Q117">
        <v>46254</v>
      </c>
      <c r="R117" s="3">
        <v>726</v>
      </c>
      <c r="S117" s="3" t="s">
        <v>3823</v>
      </c>
      <c r="T117" s="3">
        <v>36</v>
      </c>
      <c r="U117" s="3" t="s">
        <v>4787</v>
      </c>
      <c r="V117" s="3" t="s">
        <v>4788</v>
      </c>
      <c r="W117" s="3">
        <v>796.75199999999995</v>
      </c>
      <c r="X117" s="3">
        <v>46275</v>
      </c>
      <c r="Y117" s="3">
        <v>46273</v>
      </c>
      <c r="AA117" t="s">
        <v>4205</v>
      </c>
      <c r="AB117" t="s">
        <v>4206</v>
      </c>
      <c r="AC117" s="3" t="s">
        <v>4789</v>
      </c>
      <c r="AD117" t="s">
        <v>4696</v>
      </c>
      <c r="AE117" t="s">
        <v>4782</v>
      </c>
      <c r="AF117" t="s">
        <v>3831</v>
      </c>
      <c r="AG117" t="s">
        <v>3832</v>
      </c>
      <c r="AH117" t="s">
        <v>3860</v>
      </c>
      <c r="AI117" t="s">
        <v>3834</v>
      </c>
      <c r="AJ117" t="s">
        <v>3835</v>
      </c>
      <c r="AK117" t="s">
        <v>3832</v>
      </c>
      <c r="AM117" s="3" t="s">
        <v>4790</v>
      </c>
      <c r="AN117" s="3"/>
      <c r="AO117" s="3">
        <v>46274</v>
      </c>
      <c r="AP117" s="3"/>
      <c r="AQ117" s="3" t="s">
        <v>3837</v>
      </c>
      <c r="AR117" s="3" t="s">
        <v>3814</v>
      </c>
      <c r="AS117" s="3"/>
      <c r="AT117" s="3">
        <v>46287</v>
      </c>
      <c r="AU117" s="3">
        <v>46319</v>
      </c>
      <c r="AV117" s="3"/>
      <c r="AW117" t="s">
        <v>3839</v>
      </c>
      <c r="BC117" t="s">
        <v>32</v>
      </c>
      <c r="BD117" t="s">
        <v>3814</v>
      </c>
      <c r="BE117" t="s">
        <v>4784</v>
      </c>
      <c r="BF117" t="s">
        <v>4785</v>
      </c>
      <c r="BG117" t="s">
        <v>3817</v>
      </c>
      <c r="CW117" s="6" t="str" cm="1">
        <f t="array" ref="CW117">IFERROR(_xlfn.IFS(H117=TIME(7,0,0),"GY",H117=TIME(7,30,0),"GY",H117=TIME(9,0,0),"GY",H117=TIME(15,0,0),"GY",H117=TIME(8,30,0),"GY",H117=TIME(5,30,0),"GY",H117=TIME(6,0,0),"GD",H117=TIME(6,30,0),"GD",H117=TIME(8,0,0),"GY",H117=TIME(6,15,0),"GD"),"")</f>
        <v>GY</v>
      </c>
      <c r="EE117"/>
    </row>
    <row r="118" spans="1:135" x14ac:dyDescent="0.45">
      <c r="A118" s="3" t="s">
        <v>63</v>
      </c>
      <c r="B118" s="3"/>
      <c r="C118" s="3" t="s">
        <v>4946</v>
      </c>
      <c r="D118" s="3" t="s">
        <v>4947</v>
      </c>
      <c r="E118" s="100" t="s">
        <v>3817</v>
      </c>
      <c r="F118" s="3" t="s">
        <v>68</v>
      </c>
      <c r="G118" s="4">
        <v>46279</v>
      </c>
      <c r="H118" s="5">
        <v>0.27083333333333326</v>
      </c>
      <c r="I118" s="91">
        <v>46275</v>
      </c>
      <c r="J118" s="91"/>
      <c r="K118" s="91">
        <v>46268</v>
      </c>
      <c r="L118" s="3" t="s">
        <v>5442</v>
      </c>
      <c r="M118" s="3" t="s">
        <v>3819</v>
      </c>
      <c r="N118" s="3" t="s">
        <v>4948</v>
      </c>
      <c r="O118" t="s">
        <v>4073</v>
      </c>
      <c r="P118" s="3" t="s">
        <v>4030</v>
      </c>
      <c r="Q118">
        <v>46237</v>
      </c>
      <c r="R118" s="3">
        <v>726</v>
      </c>
      <c r="S118" s="3" t="s">
        <v>3823</v>
      </c>
      <c r="T118" s="3">
        <v>9476</v>
      </c>
      <c r="U118" s="3" t="s">
        <v>4949</v>
      </c>
      <c r="V118" s="3" t="s">
        <v>4950</v>
      </c>
      <c r="W118" s="3">
        <v>2768.0509999999999</v>
      </c>
      <c r="X118" s="3">
        <v>46258</v>
      </c>
      <c r="Y118" s="3">
        <v>46254</v>
      </c>
      <c r="Z118">
        <v>46256</v>
      </c>
      <c r="AA118" t="s">
        <v>3926</v>
      </c>
      <c r="AB118" t="s">
        <v>3927</v>
      </c>
      <c r="AC118" s="3" t="s">
        <v>4951</v>
      </c>
      <c r="AD118" t="s">
        <v>4077</v>
      </c>
      <c r="AE118" t="s">
        <v>4952</v>
      </c>
      <c r="AF118" t="s">
        <v>3831</v>
      </c>
      <c r="AG118" t="s">
        <v>3832</v>
      </c>
      <c r="AH118" t="s">
        <v>3908</v>
      </c>
      <c r="AI118" t="s">
        <v>3834</v>
      </c>
      <c r="AJ118" t="s">
        <v>3956</v>
      </c>
      <c r="AK118" t="s">
        <v>3832</v>
      </c>
      <c r="AM118" s="3" t="s">
        <v>4953</v>
      </c>
      <c r="AN118" s="3"/>
      <c r="AO118" s="3">
        <v>46275</v>
      </c>
      <c r="AP118" s="3"/>
      <c r="AQ118" s="3" t="s">
        <v>4037</v>
      </c>
      <c r="AR118" s="3"/>
      <c r="AS118" s="3" t="s">
        <v>3961</v>
      </c>
      <c r="AT118" s="3">
        <v>46282</v>
      </c>
      <c r="AU118" s="3"/>
      <c r="AV118" s="3">
        <v>46290</v>
      </c>
      <c r="AW118" t="s">
        <v>3839</v>
      </c>
      <c r="BC118" t="s">
        <v>63</v>
      </c>
      <c r="BE118" t="s">
        <v>4946</v>
      </c>
      <c r="BF118" t="s">
        <v>4947</v>
      </c>
      <c r="BG118" t="s">
        <v>3817</v>
      </c>
      <c r="CW118" s="6" t="str" cm="1">
        <f t="array" ref="CW118">IFERROR(_xlfn.IFS(H118=TIME(7,0,0),"GY",H118=TIME(7,30,0),"GY",H118=TIME(9,0,0),"GY",H118=TIME(15,0,0),"GY",H118=TIME(8,30,0),"GY",H118=TIME(5,30,0),"GY",H118=TIME(6,0,0),"GD",H118=TIME(6,30,0),"GD",H118=TIME(8,0,0),"GY",H118=TIME(6,15,0),"GD"),"")</f>
        <v>GD</v>
      </c>
      <c r="EE118"/>
    </row>
    <row r="119" spans="1:135" x14ac:dyDescent="0.45">
      <c r="A119" s="3" t="s">
        <v>63</v>
      </c>
      <c r="B119" s="3"/>
      <c r="C119" s="3" t="s">
        <v>4946</v>
      </c>
      <c r="D119" s="3" t="s">
        <v>4947</v>
      </c>
      <c r="E119" s="100" t="s">
        <v>3817</v>
      </c>
      <c r="F119" s="3" t="s">
        <v>62</v>
      </c>
      <c r="G119" s="4">
        <v>46279</v>
      </c>
      <c r="H119" s="5">
        <v>0.27083333333333326</v>
      </c>
      <c r="I119" s="91">
        <v>46275</v>
      </c>
      <c r="J119" s="91"/>
      <c r="K119" s="91">
        <v>46268</v>
      </c>
      <c r="L119" s="3" t="s">
        <v>5442</v>
      </c>
      <c r="M119" s="3" t="s">
        <v>3819</v>
      </c>
      <c r="N119" s="3" t="s">
        <v>4948</v>
      </c>
      <c r="O119" t="s">
        <v>4073</v>
      </c>
      <c r="P119" s="3" t="s">
        <v>4030</v>
      </c>
      <c r="Q119">
        <v>46237</v>
      </c>
      <c r="R119" s="3">
        <v>726</v>
      </c>
      <c r="S119" s="3" t="s">
        <v>3823</v>
      </c>
      <c r="T119" s="3">
        <v>17617</v>
      </c>
      <c r="U119" s="3" t="s">
        <v>4954</v>
      </c>
      <c r="V119" s="3" t="s">
        <v>4955</v>
      </c>
      <c r="W119" s="3">
        <v>5142.384</v>
      </c>
      <c r="X119" s="3">
        <v>46258</v>
      </c>
      <c r="Y119" s="3">
        <v>46254</v>
      </c>
      <c r="Z119">
        <v>46256</v>
      </c>
      <c r="AA119" t="s">
        <v>3926</v>
      </c>
      <c r="AB119" t="s">
        <v>3927</v>
      </c>
      <c r="AC119" s="3" t="s">
        <v>4951</v>
      </c>
      <c r="AD119" t="s">
        <v>4077</v>
      </c>
      <c r="AE119" t="s">
        <v>4952</v>
      </c>
      <c r="AF119" t="s">
        <v>3831</v>
      </c>
      <c r="AG119" t="s">
        <v>3832</v>
      </c>
      <c r="AH119" t="s">
        <v>3908</v>
      </c>
      <c r="AI119" t="s">
        <v>3834</v>
      </c>
      <c r="AJ119" t="s">
        <v>3956</v>
      </c>
      <c r="AK119" t="s">
        <v>3832</v>
      </c>
      <c r="AM119" s="3" t="s">
        <v>4953</v>
      </c>
      <c r="AN119" s="3"/>
      <c r="AO119" s="3">
        <v>46275</v>
      </c>
      <c r="AP119" s="3"/>
      <c r="AQ119" s="3" t="s">
        <v>4037</v>
      </c>
      <c r="AR119" s="3"/>
      <c r="AS119" s="3" t="s">
        <v>3961</v>
      </c>
      <c r="AT119" s="3">
        <v>46282</v>
      </c>
      <c r="AU119" s="3"/>
      <c r="AV119" s="3">
        <v>46290</v>
      </c>
      <c r="AW119" t="s">
        <v>3839</v>
      </c>
      <c r="BC119" t="s">
        <v>63</v>
      </c>
      <c r="BE119" t="s">
        <v>4946</v>
      </c>
      <c r="BF119" t="s">
        <v>4947</v>
      </c>
      <c r="BG119" t="s">
        <v>3817</v>
      </c>
      <c r="CW119" s="6" t="str" cm="1">
        <f t="array" ref="CW119">IFERROR(_xlfn.IFS(H119=TIME(7,0,0),"GY",H119=TIME(7,30,0),"GY",H119=TIME(9,0,0),"GY",H119=TIME(15,0,0),"GY",H119=TIME(8,30,0),"GY",H119=TIME(5,30,0),"GY",H119=TIME(6,0,0),"GD",H119=TIME(6,30,0),"GD",H119=TIME(8,0,0),"GY",H119=TIME(6,15,0),"GD"),"")</f>
        <v>GD</v>
      </c>
      <c r="EE119"/>
    </row>
    <row r="120" spans="1:135" x14ac:dyDescent="0.45">
      <c r="A120" s="3" t="s">
        <v>63</v>
      </c>
      <c r="B120" s="3" t="s">
        <v>5061</v>
      </c>
      <c r="C120" s="3" t="s">
        <v>5062</v>
      </c>
      <c r="D120" s="3" t="s">
        <v>5063</v>
      </c>
      <c r="E120" s="100" t="s">
        <v>3817</v>
      </c>
      <c r="F120" s="3" t="s">
        <v>140</v>
      </c>
      <c r="G120" s="4">
        <v>46277</v>
      </c>
      <c r="H120" s="5">
        <v>0.26041666666666674</v>
      </c>
      <c r="I120" s="91">
        <v>46274</v>
      </c>
      <c r="J120" s="91"/>
      <c r="K120" s="91">
        <v>46260</v>
      </c>
      <c r="L120" s="3" t="s">
        <v>5412</v>
      </c>
      <c r="M120" s="3" t="s">
        <v>3819</v>
      </c>
      <c r="N120" s="3" t="s">
        <v>5064</v>
      </c>
      <c r="O120" t="s">
        <v>3867</v>
      </c>
      <c r="P120" s="3"/>
      <c r="Q120">
        <v>46233</v>
      </c>
      <c r="R120" s="3">
        <v>726</v>
      </c>
      <c r="S120" s="3" t="s">
        <v>3823</v>
      </c>
      <c r="T120" s="3">
        <v>19167</v>
      </c>
      <c r="U120" s="3" t="s">
        <v>5065</v>
      </c>
      <c r="V120" s="3" t="s">
        <v>5066</v>
      </c>
      <c r="W120" s="3">
        <v>3027.3560000000002</v>
      </c>
      <c r="X120" s="3">
        <v>46254</v>
      </c>
      <c r="Y120" s="3">
        <v>46252</v>
      </c>
      <c r="AA120" t="s">
        <v>3826</v>
      </c>
      <c r="AB120" t="s">
        <v>3827</v>
      </c>
      <c r="AC120" s="3" t="s">
        <v>5067</v>
      </c>
      <c r="AD120" t="s">
        <v>4034</v>
      </c>
      <c r="AE120" t="s">
        <v>4035</v>
      </c>
      <c r="AF120" t="s">
        <v>3831</v>
      </c>
      <c r="AG120" t="s">
        <v>3832</v>
      </c>
      <c r="AH120" t="s">
        <v>3908</v>
      </c>
      <c r="AI120" t="s">
        <v>3834</v>
      </c>
      <c r="AJ120" t="s">
        <v>3956</v>
      </c>
      <c r="AK120" t="s">
        <v>3832</v>
      </c>
      <c r="AM120" s="3" t="s">
        <v>5068</v>
      </c>
      <c r="AN120" s="3"/>
      <c r="AO120" s="3">
        <v>46274</v>
      </c>
      <c r="AP120" s="3" t="s">
        <v>3958</v>
      </c>
      <c r="AQ120" s="3" t="s">
        <v>3959</v>
      </c>
      <c r="AR120" s="3"/>
      <c r="AS120" s="3" t="s">
        <v>3961</v>
      </c>
      <c r="AT120" s="3"/>
      <c r="AU120" s="3"/>
      <c r="AV120" s="3"/>
      <c r="AW120" t="s">
        <v>3839</v>
      </c>
      <c r="BC120" t="s">
        <v>63</v>
      </c>
      <c r="BD120" t="s">
        <v>5061</v>
      </c>
      <c r="BE120" t="s">
        <v>5062</v>
      </c>
      <c r="BF120" t="s">
        <v>5063</v>
      </c>
      <c r="BG120" t="s">
        <v>3817</v>
      </c>
      <c r="CW120" s="6" t="str" cm="1">
        <f t="array" ref="CW120">IFERROR(_xlfn.IFS(H120=TIME(7,0,0),"GY",H120=TIME(7,30,0),"GY",H120=TIME(9,0,0),"GY",H120=TIME(15,0,0),"GY",H120=TIME(8,30,0),"GY",H120=TIME(5,30,0),"GY",H120=TIME(6,0,0),"GD",H120=TIME(6,30,0),"GD",H120=TIME(8,0,0),"GY",H120=TIME(6,15,0),"GD"),"")</f>
        <v>GD</v>
      </c>
      <c r="EE120"/>
    </row>
    <row r="121" spans="1:135" x14ac:dyDescent="0.45">
      <c r="A121" s="3" t="s">
        <v>63</v>
      </c>
      <c r="B121" s="3" t="s">
        <v>5061</v>
      </c>
      <c r="C121" s="3" t="s">
        <v>5062</v>
      </c>
      <c r="D121" s="3" t="s">
        <v>5063</v>
      </c>
      <c r="E121" s="100" t="s">
        <v>3817</v>
      </c>
      <c r="F121" s="3" t="s">
        <v>76</v>
      </c>
      <c r="G121" s="4">
        <v>46277</v>
      </c>
      <c r="H121" s="5">
        <v>0.26041666666666674</v>
      </c>
      <c r="I121" s="91">
        <v>46274</v>
      </c>
      <c r="J121" s="91"/>
      <c r="K121" s="91">
        <v>46260</v>
      </c>
      <c r="L121" s="3" t="s">
        <v>5412</v>
      </c>
      <c r="M121" s="3" t="s">
        <v>3819</v>
      </c>
      <c r="N121" s="3" t="s">
        <v>5064</v>
      </c>
      <c r="O121" t="s">
        <v>3867</v>
      </c>
      <c r="P121" s="3"/>
      <c r="Q121">
        <v>46233</v>
      </c>
      <c r="R121" s="3">
        <v>726</v>
      </c>
      <c r="S121" s="3" t="s">
        <v>3823</v>
      </c>
      <c r="T121" s="3">
        <v>13367</v>
      </c>
      <c r="U121" s="3" t="s">
        <v>5069</v>
      </c>
      <c r="V121" s="3" t="s">
        <v>5070</v>
      </c>
      <c r="W121" s="3">
        <v>6650.2460000000001</v>
      </c>
      <c r="X121" s="3">
        <v>46254</v>
      </c>
      <c r="Y121" s="3">
        <v>46252</v>
      </c>
      <c r="AA121" t="s">
        <v>3826</v>
      </c>
      <c r="AB121" t="s">
        <v>3827</v>
      </c>
      <c r="AC121" s="3" t="s">
        <v>5067</v>
      </c>
      <c r="AD121" t="s">
        <v>4034</v>
      </c>
      <c r="AE121" t="s">
        <v>4035</v>
      </c>
      <c r="AF121" t="s">
        <v>3831</v>
      </c>
      <c r="AG121" t="s">
        <v>3832</v>
      </c>
      <c r="AH121" t="s">
        <v>3908</v>
      </c>
      <c r="AI121" t="s">
        <v>3834</v>
      </c>
      <c r="AJ121" t="s">
        <v>3956</v>
      </c>
      <c r="AK121" t="s">
        <v>3832</v>
      </c>
      <c r="AM121" s="3" t="s">
        <v>5068</v>
      </c>
      <c r="AN121" s="3"/>
      <c r="AO121" s="3">
        <v>46274</v>
      </c>
      <c r="AP121" s="3" t="s">
        <v>3958</v>
      </c>
      <c r="AQ121" s="3" t="s">
        <v>3959</v>
      </c>
      <c r="AR121" s="3"/>
      <c r="AS121" s="3" t="s">
        <v>3961</v>
      </c>
      <c r="AT121" s="3"/>
      <c r="AU121" s="3"/>
      <c r="AV121" s="3"/>
      <c r="AW121" t="s">
        <v>3839</v>
      </c>
      <c r="BC121" t="s">
        <v>63</v>
      </c>
      <c r="BD121" t="s">
        <v>5061</v>
      </c>
      <c r="BE121" t="s">
        <v>5062</v>
      </c>
      <c r="BF121" t="s">
        <v>5063</v>
      </c>
      <c r="BG121" t="s">
        <v>3817</v>
      </c>
      <c r="CW121" s="6" t="str" cm="1">
        <f t="array" ref="CW121">IFERROR(_xlfn.IFS(H121=TIME(7,0,0),"GY",H121=TIME(7,30,0),"GY",H121=TIME(9,0,0),"GY",H121=TIME(15,0,0),"GY",H121=TIME(8,30,0),"GY",H121=TIME(5,30,0),"GY",H121=TIME(6,0,0),"GD",H121=TIME(6,30,0),"GD",H121=TIME(8,0,0),"GY",H121=TIME(6,15,0),"GD"),"")</f>
        <v>GD</v>
      </c>
      <c r="EE121"/>
    </row>
    <row r="122" spans="1:135" x14ac:dyDescent="0.45">
      <c r="A122" s="3" t="s">
        <v>63</v>
      </c>
      <c r="B122" s="3" t="s">
        <v>5061</v>
      </c>
      <c r="C122" s="3" t="s">
        <v>5071</v>
      </c>
      <c r="D122" s="3" t="s">
        <v>5072</v>
      </c>
      <c r="E122" s="100" t="s">
        <v>3817</v>
      </c>
      <c r="F122" s="3" t="s">
        <v>1979</v>
      </c>
      <c r="G122" s="4">
        <v>46276</v>
      </c>
      <c r="H122" s="5">
        <v>0.27083333333333326</v>
      </c>
      <c r="I122" s="91">
        <v>46272</v>
      </c>
      <c r="J122" s="91"/>
      <c r="K122" s="91">
        <v>46260</v>
      </c>
      <c r="L122" s="3" t="s">
        <v>5122</v>
      </c>
      <c r="M122" s="3" t="s">
        <v>3819</v>
      </c>
      <c r="N122" s="3" t="s">
        <v>5073</v>
      </c>
      <c r="O122" t="s">
        <v>3867</v>
      </c>
      <c r="P122" s="3" t="s">
        <v>4030</v>
      </c>
      <c r="Q122">
        <v>46237</v>
      </c>
      <c r="R122" s="3">
        <v>726</v>
      </c>
      <c r="S122" s="3" t="s">
        <v>3823</v>
      </c>
      <c r="T122" s="3">
        <v>8088</v>
      </c>
      <c r="U122" s="3" t="s">
        <v>5074</v>
      </c>
      <c r="V122" s="3" t="s">
        <v>5075</v>
      </c>
      <c r="W122" s="3">
        <v>2075.86</v>
      </c>
      <c r="X122" s="3">
        <v>46252</v>
      </c>
      <c r="Y122" s="3">
        <v>46249</v>
      </c>
      <c r="AA122" t="s">
        <v>3826</v>
      </c>
      <c r="AB122" t="s">
        <v>3827</v>
      </c>
      <c r="AC122" s="3" t="s">
        <v>5076</v>
      </c>
      <c r="AD122" t="s">
        <v>4034</v>
      </c>
      <c r="AE122" t="s">
        <v>4035</v>
      </c>
      <c r="AF122" t="s">
        <v>3831</v>
      </c>
      <c r="AG122" t="s">
        <v>3832</v>
      </c>
      <c r="AH122" t="s">
        <v>3908</v>
      </c>
      <c r="AI122" t="s">
        <v>3834</v>
      </c>
      <c r="AJ122" t="s">
        <v>3956</v>
      </c>
      <c r="AK122" t="s">
        <v>3832</v>
      </c>
      <c r="AM122" s="3" t="s">
        <v>5077</v>
      </c>
      <c r="AN122" s="3"/>
      <c r="AO122" s="3">
        <v>46272</v>
      </c>
      <c r="AP122" s="3" t="s">
        <v>3958</v>
      </c>
      <c r="AQ122" s="3" t="s">
        <v>3959</v>
      </c>
      <c r="AR122" s="3"/>
      <c r="AS122" s="3" t="s">
        <v>3961</v>
      </c>
      <c r="AT122" s="3"/>
      <c r="AU122" s="3"/>
      <c r="AV122" s="3"/>
      <c r="AW122" t="s">
        <v>3839</v>
      </c>
      <c r="BC122" t="s">
        <v>63</v>
      </c>
      <c r="BD122" t="s">
        <v>5061</v>
      </c>
      <c r="BE122" t="s">
        <v>5071</v>
      </c>
      <c r="BF122" t="s">
        <v>5072</v>
      </c>
      <c r="BG122" t="s">
        <v>3817</v>
      </c>
      <c r="CW122" s="6" t="str" cm="1">
        <f t="array" ref="CW122">IFERROR(_xlfn.IFS(H122=TIME(7,0,0),"GY",H122=TIME(7,30,0),"GY",H122=TIME(9,0,0),"GY",H122=TIME(15,0,0),"GY",H122=TIME(8,30,0),"GY",H122=TIME(5,30,0),"GY",H122=TIME(6,0,0),"GD",H122=TIME(6,30,0),"GD",H122=TIME(8,0,0),"GY",H122=TIME(6,15,0),"GD"),"")</f>
        <v>GD</v>
      </c>
      <c r="EE122"/>
    </row>
    <row r="123" spans="1:135" x14ac:dyDescent="0.45">
      <c r="A123" s="14" t="s">
        <v>63</v>
      </c>
      <c r="B123" s="14" t="s">
        <v>5061</v>
      </c>
      <c r="C123" s="14" t="s">
        <v>5071</v>
      </c>
      <c r="D123" s="14" t="s">
        <v>5072</v>
      </c>
      <c r="E123" s="100" t="s">
        <v>3817</v>
      </c>
      <c r="F123" s="14" t="s">
        <v>1328</v>
      </c>
      <c r="G123" s="4">
        <v>46276</v>
      </c>
      <c r="H123" s="5">
        <v>0.27083333333333326</v>
      </c>
      <c r="I123" s="91">
        <v>46272</v>
      </c>
      <c r="J123" s="91"/>
      <c r="K123" s="91">
        <v>46260</v>
      </c>
      <c r="L123" s="14" t="s">
        <v>5122</v>
      </c>
      <c r="M123" s="14" t="s">
        <v>3819</v>
      </c>
      <c r="N123" s="14" t="s">
        <v>5073</v>
      </c>
      <c r="O123" s="29" t="s">
        <v>3867</v>
      </c>
      <c r="P123" s="14" t="s">
        <v>4030</v>
      </c>
      <c r="Q123" s="29">
        <v>46237</v>
      </c>
      <c r="R123" s="14">
        <v>726</v>
      </c>
      <c r="S123" s="14" t="s">
        <v>3823</v>
      </c>
      <c r="T123" s="14">
        <v>10082</v>
      </c>
      <c r="U123" s="14" t="s">
        <v>5078</v>
      </c>
      <c r="V123" s="14" t="s">
        <v>5079</v>
      </c>
      <c r="W123" s="14">
        <v>3013.4380000000001</v>
      </c>
      <c r="X123" s="14">
        <v>46252</v>
      </c>
      <c r="Y123" s="14">
        <v>46249</v>
      </c>
      <c r="Z123" s="29"/>
      <c r="AA123" s="29" t="s">
        <v>3826</v>
      </c>
      <c r="AB123" s="29" t="s">
        <v>3827</v>
      </c>
      <c r="AC123" s="14" t="s">
        <v>5076</v>
      </c>
      <c r="AD123" s="29" t="s">
        <v>4034</v>
      </c>
      <c r="AE123" s="29" t="s">
        <v>4035</v>
      </c>
      <c r="AF123" s="29" t="s">
        <v>3831</v>
      </c>
      <c r="AG123" s="29" t="s">
        <v>3832</v>
      </c>
      <c r="AH123" s="29" t="s">
        <v>3908</v>
      </c>
      <c r="AI123" s="29" t="s">
        <v>3834</v>
      </c>
      <c r="AJ123" s="29" t="s">
        <v>3956</v>
      </c>
      <c r="AK123" s="29" t="s">
        <v>3832</v>
      </c>
      <c r="AL123" s="29"/>
      <c r="AM123" s="14" t="s">
        <v>5077</v>
      </c>
      <c r="AN123" s="14"/>
      <c r="AO123" s="14">
        <v>46272</v>
      </c>
      <c r="AP123" s="14" t="s">
        <v>3958</v>
      </c>
      <c r="AQ123" s="14" t="s">
        <v>3959</v>
      </c>
      <c r="AR123" s="14"/>
      <c r="AS123" s="14" t="s">
        <v>3961</v>
      </c>
      <c r="AT123" s="14"/>
      <c r="AU123" s="14"/>
      <c r="AV123" s="14"/>
      <c r="AW123" s="29" t="s">
        <v>3839</v>
      </c>
      <c r="AX123" s="29"/>
      <c r="AY123" s="29"/>
      <c r="AZ123" s="29"/>
      <c r="BA123" s="29"/>
      <c r="BB123" s="29"/>
      <c r="BC123" s="29" t="s">
        <v>63</v>
      </c>
      <c r="BD123" s="29" t="s">
        <v>5061</v>
      </c>
      <c r="BE123" s="29" t="s">
        <v>5071</v>
      </c>
      <c r="BF123" s="29" t="s">
        <v>5072</v>
      </c>
      <c r="BG123" s="29" t="s">
        <v>3817</v>
      </c>
      <c r="BH123" s="29"/>
      <c r="BI123" s="29"/>
      <c r="BJ123" s="29"/>
      <c r="BK123" s="29"/>
      <c r="BL123" s="29"/>
      <c r="BM123" s="29"/>
      <c r="BN123" s="29"/>
      <c r="CW123" s="6" t="str" cm="1">
        <f t="array" ref="CW123">IFERROR(_xlfn.IFS(H123=TIME(7,0,0),"GY",H123=TIME(7,30,0),"GY",H123=TIME(9,0,0),"GY",H123=TIME(15,0,0),"GY",H123=TIME(8,30,0),"GY",H123=TIME(5,30,0),"GY",H123=TIME(6,0,0),"GD",H123=TIME(6,30,0),"GD",H123=TIME(8,0,0),"GY",H123=TIME(6,15,0),"GD"),"")</f>
        <v>GD</v>
      </c>
      <c r="EE123"/>
    </row>
    <row r="124" spans="1:135" x14ac:dyDescent="0.45">
      <c r="A124" s="3" t="s">
        <v>32</v>
      </c>
      <c r="B124" s="3" t="s">
        <v>3814</v>
      </c>
      <c r="C124" s="3" t="s">
        <v>3815</v>
      </c>
      <c r="D124" s="3" t="s">
        <v>3816</v>
      </c>
      <c r="E124" s="100" t="s">
        <v>3817</v>
      </c>
      <c r="F124" s="3" t="s">
        <v>243</v>
      </c>
      <c r="G124" s="4">
        <v>46275</v>
      </c>
      <c r="H124" s="5">
        <v>0.35416666666666674</v>
      </c>
      <c r="I124" s="91">
        <v>46269</v>
      </c>
      <c r="J124" s="91">
        <v>46267</v>
      </c>
      <c r="K124" s="91">
        <v>46265</v>
      </c>
      <c r="L124" s="3" t="s">
        <v>3818</v>
      </c>
      <c r="M124" s="3" t="s">
        <v>3819</v>
      </c>
      <c r="N124" s="3" t="s">
        <v>3820</v>
      </c>
      <c r="O124" t="s">
        <v>3821</v>
      </c>
      <c r="P124" s="3" t="s">
        <v>3822</v>
      </c>
      <c r="Q124">
        <v>46231</v>
      </c>
      <c r="R124" s="3">
        <v>726</v>
      </c>
      <c r="S124" s="3" t="s">
        <v>3823</v>
      </c>
      <c r="T124" s="3">
        <v>94</v>
      </c>
      <c r="U124" s="3" t="s">
        <v>3824</v>
      </c>
      <c r="V124" s="3" t="s">
        <v>3825</v>
      </c>
      <c r="W124" s="3">
        <v>2141.58</v>
      </c>
      <c r="X124" s="3">
        <v>46258</v>
      </c>
      <c r="Y124" s="3">
        <v>46256</v>
      </c>
      <c r="AA124" t="s">
        <v>3826</v>
      </c>
      <c r="AB124" t="s">
        <v>3827</v>
      </c>
      <c r="AC124" s="3" t="s">
        <v>3828</v>
      </c>
      <c r="AD124" t="s">
        <v>3829</v>
      </c>
      <c r="AE124" t="s">
        <v>3830</v>
      </c>
      <c r="AF124" t="s">
        <v>3831</v>
      </c>
      <c r="AG124" t="s">
        <v>3832</v>
      </c>
      <c r="AH124" t="s">
        <v>3833</v>
      </c>
      <c r="AI124" t="s">
        <v>3834</v>
      </c>
      <c r="AJ124" t="s">
        <v>3835</v>
      </c>
      <c r="AK124" t="s">
        <v>3832</v>
      </c>
      <c r="AM124" s="3" t="s">
        <v>3836</v>
      </c>
      <c r="AN124" s="3"/>
      <c r="AO124" s="3">
        <v>46267</v>
      </c>
      <c r="AP124" s="3"/>
      <c r="AQ124" s="3" t="s">
        <v>3837</v>
      </c>
      <c r="AR124" s="3" t="s">
        <v>3838</v>
      </c>
      <c r="AS124" s="3"/>
      <c r="AT124" s="3">
        <v>46265</v>
      </c>
      <c r="AU124" s="3">
        <v>46314</v>
      </c>
      <c r="AV124" s="3"/>
      <c r="AW124" t="s">
        <v>3839</v>
      </c>
      <c r="BC124" t="s">
        <v>32</v>
      </c>
      <c r="BD124" t="s">
        <v>3814</v>
      </c>
      <c r="BE124" t="s">
        <v>3815</v>
      </c>
      <c r="BF124" t="s">
        <v>3816</v>
      </c>
      <c r="BG124" t="s">
        <v>3817</v>
      </c>
      <c r="CW124" s="6" t="str" cm="1">
        <f t="array" ref="CW124">IFERROR(_xlfn.IFS(H124=TIME(7,0,0),"GY",H124=TIME(7,30,0),"GY",H124=TIME(9,0,0),"GY",H124=TIME(15,0,0),"GY",H124=TIME(8,30,0),"GY",H124=TIME(5,30,0),"GY",H124=TIME(6,0,0),"GD",H124=TIME(6,30,0),"GD",H124=TIME(8,0,0),"GY",H124=TIME(6,15,0),"GD"),"")</f>
        <v>GY</v>
      </c>
      <c r="EE124"/>
    </row>
    <row r="125" spans="1:135" x14ac:dyDescent="0.45">
      <c r="A125" s="3" t="s">
        <v>32</v>
      </c>
      <c r="B125" s="3" t="s">
        <v>3814</v>
      </c>
      <c r="C125" s="3" t="s">
        <v>3848</v>
      </c>
      <c r="D125" s="3" t="s">
        <v>3849</v>
      </c>
      <c r="E125" s="100" t="s">
        <v>3817</v>
      </c>
      <c r="F125" s="3" t="s">
        <v>329</v>
      </c>
      <c r="G125" s="4">
        <v>46274</v>
      </c>
      <c r="H125" s="5">
        <v>0.35416666666666674</v>
      </c>
      <c r="I125" s="91">
        <v>46267</v>
      </c>
      <c r="J125" s="91"/>
      <c r="K125" s="91">
        <v>46267</v>
      </c>
      <c r="L125" s="3" t="s">
        <v>3850</v>
      </c>
      <c r="M125" s="3" t="s">
        <v>3819</v>
      </c>
      <c r="N125" s="3" t="s">
        <v>3851</v>
      </c>
      <c r="O125" t="s">
        <v>3821</v>
      </c>
      <c r="P125" s="3" t="s">
        <v>3852</v>
      </c>
      <c r="Q125">
        <v>46248</v>
      </c>
      <c r="R125" s="3">
        <v>726</v>
      </c>
      <c r="S125" s="3" t="s">
        <v>3823</v>
      </c>
      <c r="T125" s="3">
        <v>6</v>
      </c>
      <c r="U125" s="3" t="s">
        <v>3853</v>
      </c>
      <c r="V125" s="3" t="s">
        <v>3854</v>
      </c>
      <c r="W125" s="3">
        <v>170.61600000000001</v>
      </c>
      <c r="X125" s="3">
        <v>46268</v>
      </c>
      <c r="Y125" s="3">
        <v>46266</v>
      </c>
      <c r="AA125" t="s">
        <v>3855</v>
      </c>
      <c r="AB125" t="s">
        <v>3856</v>
      </c>
      <c r="AC125" s="3" t="s">
        <v>3857</v>
      </c>
      <c r="AD125" t="s">
        <v>3858</v>
      </c>
      <c r="AE125" t="s">
        <v>3859</v>
      </c>
      <c r="AF125" t="s">
        <v>3831</v>
      </c>
      <c r="AG125" t="s">
        <v>3832</v>
      </c>
      <c r="AH125" t="s">
        <v>3860</v>
      </c>
      <c r="AI125" t="s">
        <v>3834</v>
      </c>
      <c r="AJ125" t="s">
        <v>3835</v>
      </c>
      <c r="AK125" t="s">
        <v>3832</v>
      </c>
      <c r="AM125" s="3" t="s">
        <v>3861</v>
      </c>
      <c r="AN125" s="3"/>
      <c r="AO125" s="3">
        <v>46267</v>
      </c>
      <c r="AP125" s="3"/>
      <c r="AQ125" s="3" t="s">
        <v>3862</v>
      </c>
      <c r="AR125" s="3" t="s">
        <v>3814</v>
      </c>
      <c r="AS125" s="3"/>
      <c r="AT125" s="3">
        <v>46281</v>
      </c>
      <c r="AU125" s="3">
        <v>46312</v>
      </c>
      <c r="AV125" s="3"/>
      <c r="AW125" t="s">
        <v>3839</v>
      </c>
      <c r="BC125" t="s">
        <v>32</v>
      </c>
      <c r="BD125" t="s">
        <v>3814</v>
      </c>
      <c r="BE125" t="s">
        <v>3848</v>
      </c>
      <c r="BF125" t="s">
        <v>3849</v>
      </c>
      <c r="BG125" t="s">
        <v>3817</v>
      </c>
      <c r="CW125" s="6" t="str" cm="1">
        <f t="array" ref="CW125">IFERROR(_xlfn.IFS(H125=TIME(7,0,0),"GY",H125=TIME(7,30,0),"GY",H125=TIME(9,0,0),"GY",H125=TIME(15,0,0),"GY",H125=TIME(8,30,0),"GY",H125=TIME(5,30,0),"GY",H125=TIME(6,0,0),"GD",H125=TIME(6,30,0),"GD",H125=TIME(8,0,0),"GY",H125=TIME(6,15,0),"GD"),"")</f>
        <v>GY</v>
      </c>
      <c r="EE125"/>
    </row>
    <row r="126" spans="1:135" x14ac:dyDescent="0.45">
      <c r="A126" s="3" t="s">
        <v>32</v>
      </c>
      <c r="B126" s="3" t="s">
        <v>3814</v>
      </c>
      <c r="C126" s="3" t="s">
        <v>3840</v>
      </c>
      <c r="D126" s="3" t="s">
        <v>3841</v>
      </c>
      <c r="E126" s="100" t="s">
        <v>3817</v>
      </c>
      <c r="F126" s="3" t="s">
        <v>242</v>
      </c>
      <c r="G126" s="4">
        <v>46274</v>
      </c>
      <c r="H126" s="5">
        <v>0.22916666666666674</v>
      </c>
      <c r="I126" s="91">
        <v>46267</v>
      </c>
      <c r="J126" s="91"/>
      <c r="K126" s="91">
        <v>46265</v>
      </c>
      <c r="L126" s="3" t="s">
        <v>3842</v>
      </c>
      <c r="M126" s="3" t="s">
        <v>3819</v>
      </c>
      <c r="N126" s="3" t="s">
        <v>3843</v>
      </c>
      <c r="O126" t="s">
        <v>3821</v>
      </c>
      <c r="P126" s="3" t="s">
        <v>3822</v>
      </c>
      <c r="Q126">
        <v>46237</v>
      </c>
      <c r="R126" s="3">
        <v>726</v>
      </c>
      <c r="S126" s="3" t="s">
        <v>3823</v>
      </c>
      <c r="T126" s="3">
        <v>260</v>
      </c>
      <c r="U126" s="3" t="s">
        <v>3844</v>
      </c>
      <c r="V126" s="3" t="s">
        <v>3845</v>
      </c>
      <c r="W126" s="3">
        <v>2931.61</v>
      </c>
      <c r="X126" s="3">
        <v>46258</v>
      </c>
      <c r="Y126" s="3">
        <v>46256</v>
      </c>
      <c r="AA126" t="s">
        <v>3826</v>
      </c>
      <c r="AB126" t="s">
        <v>3827</v>
      </c>
      <c r="AC126" s="3" t="s">
        <v>3846</v>
      </c>
      <c r="AD126" t="s">
        <v>3829</v>
      </c>
      <c r="AE126" t="s">
        <v>3830</v>
      </c>
      <c r="AF126" t="s">
        <v>3831</v>
      </c>
      <c r="AG126" t="s">
        <v>3832</v>
      </c>
      <c r="AH126" t="s">
        <v>3833</v>
      </c>
      <c r="AI126" t="s">
        <v>3834</v>
      </c>
      <c r="AJ126" t="s">
        <v>3835</v>
      </c>
      <c r="AK126" t="s">
        <v>3832</v>
      </c>
      <c r="AM126" s="3" t="s">
        <v>3847</v>
      </c>
      <c r="AN126" s="3"/>
      <c r="AO126" s="3">
        <v>46267</v>
      </c>
      <c r="AP126" s="3"/>
      <c r="AQ126" s="3" t="s">
        <v>3837</v>
      </c>
      <c r="AR126" s="3" t="s">
        <v>3814</v>
      </c>
      <c r="AS126" s="3"/>
      <c r="AT126" s="3">
        <v>46265</v>
      </c>
      <c r="AU126" s="3">
        <v>46312</v>
      </c>
      <c r="AV126" s="3"/>
      <c r="AW126" t="s">
        <v>3839</v>
      </c>
      <c r="BC126" t="s">
        <v>32</v>
      </c>
      <c r="BD126" t="s">
        <v>3814</v>
      </c>
      <c r="BE126" t="s">
        <v>3840</v>
      </c>
      <c r="BF126" t="s">
        <v>3841</v>
      </c>
      <c r="BG126" t="s">
        <v>3817</v>
      </c>
      <c r="CW126" s="6" t="str" cm="1">
        <f t="array" ref="CW126">IFERROR(_xlfn.IFS(H126=TIME(7,0,0),"GY",H126=TIME(7,30,0),"GY",H126=TIME(9,0,0),"GY",H126=TIME(15,0,0),"GY",H126=TIME(8,30,0),"GY",H126=TIME(5,30,0),"GY",H126=TIME(6,0,0),"GD",H126=TIME(6,30,0),"GD",H126=TIME(8,0,0),"GY",H126=TIME(6,15,0),"GD"),"")</f>
        <v>GY</v>
      </c>
      <c r="EE126"/>
    </row>
    <row r="127" spans="1:135" x14ac:dyDescent="0.45">
      <c r="A127" s="14" t="s">
        <v>63</v>
      </c>
      <c r="B127" s="14" t="s">
        <v>5061</v>
      </c>
      <c r="C127" s="14" t="s">
        <v>5089</v>
      </c>
      <c r="D127" s="14" t="s">
        <v>5090</v>
      </c>
      <c r="E127" s="100" t="s">
        <v>3817</v>
      </c>
      <c r="F127" s="14" t="s">
        <v>85</v>
      </c>
      <c r="G127" s="4">
        <v>46274</v>
      </c>
      <c r="H127" s="5">
        <v>0.27083333333333326</v>
      </c>
      <c r="I127" s="91">
        <v>46269</v>
      </c>
      <c r="J127" s="91"/>
      <c r="K127" s="91">
        <v>46260</v>
      </c>
      <c r="L127" s="14" t="s">
        <v>5105</v>
      </c>
      <c r="M127" s="14" t="s">
        <v>3819</v>
      </c>
      <c r="N127" s="14" t="s">
        <v>5091</v>
      </c>
      <c r="O127" s="29" t="s">
        <v>3867</v>
      </c>
      <c r="P127" s="14" t="s">
        <v>4030</v>
      </c>
      <c r="Q127" s="29">
        <v>46239</v>
      </c>
      <c r="R127" s="14">
        <v>726</v>
      </c>
      <c r="S127" s="14" t="s">
        <v>3823</v>
      </c>
      <c r="T127" s="14">
        <v>6375</v>
      </c>
      <c r="U127" s="14" t="s">
        <v>5092</v>
      </c>
      <c r="V127" s="14" t="s">
        <v>5093</v>
      </c>
      <c r="W127" s="14">
        <v>1407.7929999999999</v>
      </c>
      <c r="X127" s="14">
        <v>46254</v>
      </c>
      <c r="Y127" s="14">
        <v>46252</v>
      </c>
      <c r="Z127" s="29"/>
      <c r="AA127" s="29" t="s">
        <v>3826</v>
      </c>
      <c r="AB127" s="29" t="s">
        <v>3827</v>
      </c>
      <c r="AC127" s="14" t="s">
        <v>5094</v>
      </c>
      <c r="AD127" s="29" t="s">
        <v>4034</v>
      </c>
      <c r="AE127" s="29" t="s">
        <v>4035</v>
      </c>
      <c r="AF127" s="29" t="s">
        <v>3831</v>
      </c>
      <c r="AG127" s="29" t="s">
        <v>3832</v>
      </c>
      <c r="AH127" s="29" t="s">
        <v>3908</v>
      </c>
      <c r="AI127" s="29" t="s">
        <v>3834</v>
      </c>
      <c r="AJ127" s="29" t="s">
        <v>3956</v>
      </c>
      <c r="AK127" s="29" t="s">
        <v>3832</v>
      </c>
      <c r="AL127" s="29"/>
      <c r="AM127" s="14" t="s">
        <v>5095</v>
      </c>
      <c r="AN127" s="14"/>
      <c r="AO127" s="14">
        <v>46269</v>
      </c>
      <c r="AP127" s="14" t="s">
        <v>3958</v>
      </c>
      <c r="AQ127" s="14" t="s">
        <v>3959</v>
      </c>
      <c r="AR127" s="14"/>
      <c r="AS127" s="14" t="s">
        <v>3961</v>
      </c>
      <c r="AT127" s="14"/>
      <c r="AU127" s="14"/>
      <c r="AV127" s="14"/>
      <c r="AW127" s="29" t="s">
        <v>3839</v>
      </c>
      <c r="AX127" s="29"/>
      <c r="AY127" s="29"/>
      <c r="AZ127" s="29"/>
      <c r="BA127" s="29"/>
      <c r="BB127" s="29"/>
      <c r="BC127" s="29" t="s">
        <v>63</v>
      </c>
      <c r="BD127" s="29" t="s">
        <v>5061</v>
      </c>
      <c r="BE127" s="29" t="s">
        <v>5089</v>
      </c>
      <c r="BF127" s="29" t="s">
        <v>5090</v>
      </c>
      <c r="BG127" s="29" t="s">
        <v>3817</v>
      </c>
      <c r="BH127" s="29"/>
      <c r="BI127" s="29"/>
      <c r="BJ127" s="29"/>
      <c r="BK127" s="29"/>
      <c r="BL127" s="29"/>
      <c r="BM127" s="29"/>
      <c r="BN127" s="29"/>
      <c r="CW127" s="6" t="str" cm="1">
        <f t="array" ref="CW127">IFERROR(_xlfn.IFS(H127=TIME(7,0,0),"GY",H127=TIME(7,30,0),"GY",H127=TIME(9,0,0),"GY",H127=TIME(15,0,0),"GY",H127=TIME(8,30,0),"GY",H127=TIME(5,30,0),"GY",H127=TIME(6,0,0),"GD",H127=TIME(6,30,0),"GD",H127=TIME(8,0,0),"GY",H127=TIME(6,15,0),"GD"),"")</f>
        <v>GD</v>
      </c>
      <c r="EE127"/>
    </row>
    <row r="128" spans="1:135" x14ac:dyDescent="0.45">
      <c r="A128" s="3" t="s">
        <v>63</v>
      </c>
      <c r="B128" s="3" t="s">
        <v>5061</v>
      </c>
      <c r="C128" s="3" t="s">
        <v>5089</v>
      </c>
      <c r="D128" s="3" t="s">
        <v>5090</v>
      </c>
      <c r="E128" s="100" t="s">
        <v>3817</v>
      </c>
      <c r="F128" s="3" t="s">
        <v>79</v>
      </c>
      <c r="G128" s="4">
        <v>46274</v>
      </c>
      <c r="H128" s="5">
        <v>0.27083333333333326</v>
      </c>
      <c r="I128" s="91">
        <v>46269</v>
      </c>
      <c r="J128" s="91"/>
      <c r="K128" s="91">
        <v>46260</v>
      </c>
      <c r="L128" s="3" t="s">
        <v>5105</v>
      </c>
      <c r="M128" s="3" t="s">
        <v>3819</v>
      </c>
      <c r="N128" s="3" t="s">
        <v>5091</v>
      </c>
      <c r="O128" t="s">
        <v>3867</v>
      </c>
      <c r="P128" s="3" t="s">
        <v>4030</v>
      </c>
      <c r="Q128">
        <v>46239</v>
      </c>
      <c r="R128" s="3">
        <v>726</v>
      </c>
      <c r="S128" s="3" t="s">
        <v>3823</v>
      </c>
      <c r="T128" s="3">
        <v>16828</v>
      </c>
      <c r="U128" s="3" t="s">
        <v>5096</v>
      </c>
      <c r="V128" s="3" t="s">
        <v>5097</v>
      </c>
      <c r="W128" s="3">
        <v>7556.7259999999997</v>
      </c>
      <c r="X128" s="3">
        <v>46254</v>
      </c>
      <c r="Y128" s="3">
        <v>46252</v>
      </c>
      <c r="AA128" t="s">
        <v>3826</v>
      </c>
      <c r="AB128" t="s">
        <v>3827</v>
      </c>
      <c r="AC128" s="3" t="s">
        <v>5094</v>
      </c>
      <c r="AD128" t="s">
        <v>4034</v>
      </c>
      <c r="AE128" t="s">
        <v>4035</v>
      </c>
      <c r="AF128" t="s">
        <v>3831</v>
      </c>
      <c r="AG128" t="s">
        <v>3832</v>
      </c>
      <c r="AH128" t="s">
        <v>3908</v>
      </c>
      <c r="AI128" t="s">
        <v>3834</v>
      </c>
      <c r="AJ128" t="s">
        <v>3956</v>
      </c>
      <c r="AK128" t="s">
        <v>3832</v>
      </c>
      <c r="AM128" s="3" t="s">
        <v>5095</v>
      </c>
      <c r="AN128" s="3"/>
      <c r="AO128" s="3">
        <v>46269</v>
      </c>
      <c r="AP128" s="3" t="s">
        <v>3958</v>
      </c>
      <c r="AQ128" s="3" t="s">
        <v>3959</v>
      </c>
      <c r="AR128" s="3"/>
      <c r="AS128" s="3" t="s">
        <v>3961</v>
      </c>
      <c r="AT128" s="3"/>
      <c r="AU128" s="3"/>
      <c r="AV128" s="3"/>
      <c r="AW128" t="s">
        <v>3839</v>
      </c>
      <c r="BC128" t="s">
        <v>63</v>
      </c>
      <c r="BD128" t="s">
        <v>5061</v>
      </c>
      <c r="BE128" t="s">
        <v>5089</v>
      </c>
      <c r="BF128" t="s">
        <v>5090</v>
      </c>
      <c r="BG128" t="s">
        <v>3817</v>
      </c>
      <c r="CW128" s="6" t="str" cm="1">
        <f t="array" ref="CW128">IFERROR(_xlfn.IFS(H128=TIME(7,0,0),"GY",H128=TIME(7,30,0),"GY",H128=TIME(9,0,0),"GY",H128=TIME(15,0,0),"GY",H128=TIME(8,30,0),"GY",H128=TIME(5,30,0),"GY",H128=TIME(6,0,0),"GD",H128=TIME(6,30,0),"GD",H128=TIME(8,0,0),"GY",H128=TIME(6,15,0),"GD"),"")</f>
        <v>GD</v>
      </c>
      <c r="EE128"/>
    </row>
    <row r="129" spans="1:135" x14ac:dyDescent="0.45">
      <c r="A129" s="3" t="s">
        <v>18</v>
      </c>
      <c r="B129" s="3" t="s">
        <v>0</v>
      </c>
      <c r="C129" s="3" t="s">
        <v>3863</v>
      </c>
      <c r="D129" s="3" t="s">
        <v>3864</v>
      </c>
      <c r="E129" s="100" t="s">
        <v>3817</v>
      </c>
      <c r="F129" s="3" t="s">
        <v>23</v>
      </c>
      <c r="G129" s="4">
        <v>46273</v>
      </c>
      <c r="H129" s="5">
        <v>0.27083333333333326</v>
      </c>
      <c r="I129" s="91">
        <v>46269</v>
      </c>
      <c r="J129" s="91"/>
      <c r="K129" s="91">
        <v>46268</v>
      </c>
      <c r="L129" s="3" t="s">
        <v>3865</v>
      </c>
      <c r="M129" s="3" t="s">
        <v>3819</v>
      </c>
      <c r="N129" s="3" t="s">
        <v>3866</v>
      </c>
      <c r="O129" t="s">
        <v>3867</v>
      </c>
      <c r="P129" s="3"/>
      <c r="Q129">
        <v>46246</v>
      </c>
      <c r="R129" s="3">
        <v>726</v>
      </c>
      <c r="S129" s="3" t="s">
        <v>3823</v>
      </c>
      <c r="T129" s="3">
        <v>13901</v>
      </c>
      <c r="U129" s="3" t="s">
        <v>3868</v>
      </c>
      <c r="V129" s="3" t="s">
        <v>3869</v>
      </c>
      <c r="W129" s="3">
        <v>10148.374</v>
      </c>
      <c r="X129" s="3">
        <v>46263</v>
      </c>
      <c r="Y129" s="3">
        <v>46261</v>
      </c>
      <c r="AA129" t="s">
        <v>3870</v>
      </c>
      <c r="AB129" t="s">
        <v>3871</v>
      </c>
      <c r="AC129" s="3" t="s">
        <v>3872</v>
      </c>
      <c r="AD129" t="s">
        <v>3873</v>
      </c>
      <c r="AE129" t="s">
        <v>3874</v>
      </c>
      <c r="AF129" t="s">
        <v>3831</v>
      </c>
      <c r="AG129" t="s">
        <v>3832</v>
      </c>
      <c r="AH129" t="s">
        <v>3875</v>
      </c>
      <c r="AI129" t="s">
        <v>3834</v>
      </c>
      <c r="AJ129" t="s">
        <v>3835</v>
      </c>
      <c r="AK129" t="s">
        <v>3832</v>
      </c>
      <c r="AM129" s="3" t="s">
        <v>3876</v>
      </c>
      <c r="AN129" s="3"/>
      <c r="AO129" s="3">
        <v>46269</v>
      </c>
      <c r="AP129" s="3"/>
      <c r="AQ129" s="3" t="s">
        <v>3877</v>
      </c>
      <c r="AR129" s="3"/>
      <c r="AS129" s="3"/>
      <c r="AT129" s="3">
        <v>46282</v>
      </c>
      <c r="AU129" s="3">
        <v>46314</v>
      </c>
      <c r="AV129" s="3"/>
      <c r="AW129" t="s">
        <v>3839</v>
      </c>
      <c r="BC129" t="s">
        <v>18</v>
      </c>
      <c r="BD129" t="s">
        <v>0</v>
      </c>
      <c r="BE129" t="s">
        <v>3863</v>
      </c>
      <c r="BF129" t="s">
        <v>3864</v>
      </c>
      <c r="BG129" t="s">
        <v>3817</v>
      </c>
      <c r="CW129" s="6" t="str" cm="1">
        <f t="array" ref="CW129">IFERROR(_xlfn.IFS(H129=TIME(7,0,0),"GY",H129=TIME(7,30,0),"GY",H129=TIME(9,0,0),"GY",H129=TIME(15,0,0),"GY",H129=TIME(8,30,0),"GY",H129=TIME(5,30,0),"GY",H129=TIME(6,0,0),"GD",H129=TIME(6,30,0),"GD",H129=TIME(8,0,0),"GY",H129=TIME(6,15,0),"GD"),"")</f>
        <v>GD</v>
      </c>
      <c r="EE129"/>
    </row>
    <row r="130" spans="1:135" x14ac:dyDescent="0.45">
      <c r="A130" s="3" t="s">
        <v>18</v>
      </c>
      <c r="B130" s="3" t="s">
        <v>0</v>
      </c>
      <c r="C130" s="3" t="s">
        <v>3863</v>
      </c>
      <c r="D130" s="3" t="s">
        <v>3864</v>
      </c>
      <c r="E130" s="100" t="s">
        <v>3817</v>
      </c>
      <c r="F130" s="3" t="s">
        <v>631</v>
      </c>
      <c r="G130" s="4">
        <v>46273</v>
      </c>
      <c r="H130" s="5">
        <v>0.27083333333333326</v>
      </c>
      <c r="I130" s="91">
        <v>46269</v>
      </c>
      <c r="J130" s="91"/>
      <c r="K130" s="91">
        <v>46268</v>
      </c>
      <c r="L130" s="3" t="s">
        <v>3865</v>
      </c>
      <c r="M130" s="3" t="s">
        <v>3819</v>
      </c>
      <c r="N130" s="3" t="s">
        <v>3866</v>
      </c>
      <c r="O130" t="s">
        <v>3867</v>
      </c>
      <c r="P130" s="3"/>
      <c r="Q130">
        <v>46246</v>
      </c>
      <c r="R130" s="3">
        <v>726</v>
      </c>
      <c r="S130" s="3" t="s">
        <v>3823</v>
      </c>
      <c r="T130" s="3">
        <v>940</v>
      </c>
      <c r="U130" s="3" t="s">
        <v>3878</v>
      </c>
      <c r="V130" s="3" t="s">
        <v>3879</v>
      </c>
      <c r="W130" s="3">
        <v>274.50799999999998</v>
      </c>
      <c r="X130" s="3">
        <v>46263</v>
      </c>
      <c r="Y130" s="3">
        <v>46261</v>
      </c>
      <c r="AA130" t="s">
        <v>3870</v>
      </c>
      <c r="AB130" t="s">
        <v>3871</v>
      </c>
      <c r="AC130" s="3" t="s">
        <v>3872</v>
      </c>
      <c r="AD130" t="s">
        <v>3873</v>
      </c>
      <c r="AE130" t="s">
        <v>3874</v>
      </c>
      <c r="AF130" t="s">
        <v>3831</v>
      </c>
      <c r="AG130" t="s">
        <v>3832</v>
      </c>
      <c r="AH130" t="s">
        <v>3875</v>
      </c>
      <c r="AI130" t="s">
        <v>3834</v>
      </c>
      <c r="AJ130" t="s">
        <v>3835</v>
      </c>
      <c r="AK130" t="s">
        <v>3832</v>
      </c>
      <c r="AM130" s="3" t="s">
        <v>3876</v>
      </c>
      <c r="AN130" s="3"/>
      <c r="AO130" s="3">
        <v>46269</v>
      </c>
      <c r="AP130" s="3"/>
      <c r="AQ130" s="3" t="s">
        <v>3877</v>
      </c>
      <c r="AR130" s="3"/>
      <c r="AS130" s="3"/>
      <c r="AT130" s="3">
        <v>46282</v>
      </c>
      <c r="AU130" s="3">
        <v>46314</v>
      </c>
      <c r="AV130" s="3"/>
      <c r="AW130" t="s">
        <v>3839</v>
      </c>
      <c r="BC130" t="s">
        <v>18</v>
      </c>
      <c r="BD130" t="s">
        <v>0</v>
      </c>
      <c r="BE130" t="s">
        <v>3863</v>
      </c>
      <c r="BF130" t="s">
        <v>3864</v>
      </c>
      <c r="BG130" t="s">
        <v>3817</v>
      </c>
      <c r="CW130" s="6" t="str" cm="1">
        <f t="array" ref="CW130">IFERROR(_xlfn.IFS(H130=TIME(7,0,0),"GY",H130=TIME(7,30,0),"GY",H130=TIME(9,0,0),"GY",H130=TIME(15,0,0),"GY",H130=TIME(8,30,0),"GY",H130=TIME(5,30,0),"GY",H130=TIME(6,0,0),"GD",H130=TIME(6,30,0),"GD",H130=TIME(8,0,0),"GY",H130=TIME(6,15,0),"GD"),"")</f>
        <v>GD</v>
      </c>
      <c r="EE130"/>
    </row>
    <row r="131" spans="1:135" x14ac:dyDescent="0.45">
      <c r="A131" s="3" t="s">
        <v>32</v>
      </c>
      <c r="B131" s="3" t="s">
        <v>3814</v>
      </c>
      <c r="C131" s="3" t="s">
        <v>3890</v>
      </c>
      <c r="D131" s="3" t="s">
        <v>3891</v>
      </c>
      <c r="E131" s="100" t="s">
        <v>3817</v>
      </c>
      <c r="F131" s="3" t="s">
        <v>153</v>
      </c>
      <c r="G131" s="4">
        <v>46273</v>
      </c>
      <c r="H131" s="5">
        <v>0.35416666666666674</v>
      </c>
      <c r="I131" s="91">
        <v>46267</v>
      </c>
      <c r="J131" s="91"/>
      <c r="K131" s="91">
        <v>46265</v>
      </c>
      <c r="L131" s="3" t="s">
        <v>3892</v>
      </c>
      <c r="M131" s="3" t="s">
        <v>3819</v>
      </c>
      <c r="N131" s="3" t="s">
        <v>3893</v>
      </c>
      <c r="O131" t="s">
        <v>3821</v>
      </c>
      <c r="P131" s="3" t="s">
        <v>3822</v>
      </c>
      <c r="Q131">
        <v>46230</v>
      </c>
      <c r="R131" s="3">
        <v>726</v>
      </c>
      <c r="S131" s="3" t="s">
        <v>3823</v>
      </c>
      <c r="T131" s="3">
        <v>397</v>
      </c>
      <c r="U131" s="3" t="s">
        <v>3894</v>
      </c>
      <c r="V131" s="3" t="s">
        <v>3895</v>
      </c>
      <c r="W131" s="3">
        <v>9409.19</v>
      </c>
      <c r="X131" s="3">
        <v>46258</v>
      </c>
      <c r="Y131" s="3">
        <v>46256</v>
      </c>
      <c r="AA131" t="s">
        <v>3826</v>
      </c>
      <c r="AB131" t="s">
        <v>3827</v>
      </c>
      <c r="AC131" s="3" t="s">
        <v>3896</v>
      </c>
      <c r="AD131" t="s">
        <v>3829</v>
      </c>
      <c r="AE131" t="s">
        <v>3830</v>
      </c>
      <c r="AF131" t="s">
        <v>3831</v>
      </c>
      <c r="AG131" t="s">
        <v>3832</v>
      </c>
      <c r="AH131" t="s">
        <v>3833</v>
      </c>
      <c r="AI131" t="s">
        <v>3834</v>
      </c>
      <c r="AJ131" t="s">
        <v>3835</v>
      </c>
      <c r="AK131" t="s">
        <v>3832</v>
      </c>
      <c r="AM131" s="3" t="s">
        <v>3897</v>
      </c>
      <c r="AN131" s="3"/>
      <c r="AO131" s="3">
        <v>46267</v>
      </c>
      <c r="AP131" s="3"/>
      <c r="AQ131" s="3" t="s">
        <v>3837</v>
      </c>
      <c r="AR131" s="3" t="s">
        <v>3814</v>
      </c>
      <c r="AS131" s="3"/>
      <c r="AT131" s="3">
        <v>46265</v>
      </c>
      <c r="AU131" s="3">
        <v>46312</v>
      </c>
      <c r="AV131" s="3"/>
      <c r="AW131" t="s">
        <v>3839</v>
      </c>
      <c r="BC131" t="s">
        <v>32</v>
      </c>
      <c r="BD131" t="s">
        <v>3814</v>
      </c>
      <c r="BE131" t="s">
        <v>3890</v>
      </c>
      <c r="BF131" t="s">
        <v>3891</v>
      </c>
      <c r="BG131" t="s">
        <v>3817</v>
      </c>
      <c r="CW131" s="6" t="str" cm="1">
        <f t="array" ref="CW131">IFERROR(_xlfn.IFS(H131=TIME(7,0,0),"GY",H131=TIME(7,30,0),"GY",H131=TIME(9,0,0),"GY",H131=TIME(15,0,0),"GY",H131=TIME(8,30,0),"GY",H131=TIME(5,30,0),"GY",H131=TIME(6,0,0),"GD",H131=TIME(6,30,0),"GD",H131=TIME(8,0,0),"GY",H131=TIME(6,15,0),"GD"),"")</f>
        <v>GY</v>
      </c>
      <c r="EE131"/>
    </row>
    <row r="132" spans="1:135" x14ac:dyDescent="0.45">
      <c r="A132" s="3" t="s">
        <v>32</v>
      </c>
      <c r="B132" s="3" t="s">
        <v>3814</v>
      </c>
      <c r="C132" s="3" t="s">
        <v>3880</v>
      </c>
      <c r="D132" s="3" t="s">
        <v>3881</v>
      </c>
      <c r="E132" s="100" t="s">
        <v>3817</v>
      </c>
      <c r="F132" s="3" t="s">
        <v>321</v>
      </c>
      <c r="G132" s="4">
        <v>46273</v>
      </c>
      <c r="H132" s="5">
        <v>0.22916666666666674</v>
      </c>
      <c r="I132" s="91">
        <v>46267</v>
      </c>
      <c r="J132" s="91"/>
      <c r="K132" s="91">
        <v>46265</v>
      </c>
      <c r="L132" s="3" t="s">
        <v>3882</v>
      </c>
      <c r="M132" s="3" t="s">
        <v>3819</v>
      </c>
      <c r="N132" s="3" t="s">
        <v>3883</v>
      </c>
      <c r="O132" t="s">
        <v>3821</v>
      </c>
      <c r="P132" s="3" t="s">
        <v>3852</v>
      </c>
      <c r="Q132">
        <v>46244</v>
      </c>
      <c r="R132" s="3">
        <v>726</v>
      </c>
      <c r="S132" s="3" t="s">
        <v>3823</v>
      </c>
      <c r="T132" s="3">
        <v>6</v>
      </c>
      <c r="U132" s="3" t="s">
        <v>3884</v>
      </c>
      <c r="V132" s="3" t="s">
        <v>3885</v>
      </c>
      <c r="W132" s="3">
        <v>108.99</v>
      </c>
      <c r="X132" s="3">
        <v>46265</v>
      </c>
      <c r="Y132" s="3">
        <v>46262</v>
      </c>
      <c r="AA132" t="s">
        <v>3855</v>
      </c>
      <c r="AB132" t="s">
        <v>3856</v>
      </c>
      <c r="AC132" s="3" t="s">
        <v>3886</v>
      </c>
      <c r="AD132" t="s">
        <v>3887</v>
      </c>
      <c r="AE132" t="s">
        <v>3888</v>
      </c>
      <c r="AF132" t="s">
        <v>3831</v>
      </c>
      <c r="AG132" t="s">
        <v>3832</v>
      </c>
      <c r="AH132" t="s">
        <v>3860</v>
      </c>
      <c r="AI132" t="s">
        <v>3834</v>
      </c>
      <c r="AJ132" t="s">
        <v>3835</v>
      </c>
      <c r="AK132" t="s">
        <v>3832</v>
      </c>
      <c r="AM132" s="3" t="s">
        <v>3889</v>
      </c>
      <c r="AN132" s="3"/>
      <c r="AO132" s="3">
        <v>46267</v>
      </c>
      <c r="AP132" s="3"/>
      <c r="AQ132" s="3" t="s">
        <v>3862</v>
      </c>
      <c r="AR132" s="3" t="s">
        <v>3814</v>
      </c>
      <c r="AS132" s="3"/>
      <c r="AT132" s="3">
        <v>46265</v>
      </c>
      <c r="AU132" s="3">
        <v>46312</v>
      </c>
      <c r="AV132" s="3"/>
      <c r="AW132" t="s">
        <v>3839</v>
      </c>
      <c r="BC132" t="s">
        <v>32</v>
      </c>
      <c r="BD132" t="s">
        <v>3814</v>
      </c>
      <c r="BE132" t="s">
        <v>3880</v>
      </c>
      <c r="BF132" t="s">
        <v>3881</v>
      </c>
      <c r="BG132" t="s">
        <v>3817</v>
      </c>
      <c r="CW132" s="6" t="str" cm="1">
        <f t="array" ref="CW132">IFERROR(_xlfn.IFS(H132=TIME(7,0,0),"GY",H132=TIME(7,30,0),"GY",H132=TIME(9,0,0),"GY",H132=TIME(15,0,0),"GY",H132=TIME(8,30,0),"GY",H132=TIME(5,30,0),"GY",H132=TIME(6,0,0),"GD",H132=TIME(6,30,0),"GD",H132=TIME(8,0,0),"GY",H132=TIME(6,15,0),"GD"),"")</f>
        <v>GY</v>
      </c>
      <c r="EE132"/>
    </row>
    <row r="133" spans="1:135" x14ac:dyDescent="0.45">
      <c r="A133" s="3" t="s">
        <v>32</v>
      </c>
      <c r="B133" s="3" t="s">
        <v>3814</v>
      </c>
      <c r="C133" s="3" t="s">
        <v>3912</v>
      </c>
      <c r="D133" s="3" t="s">
        <v>3913</v>
      </c>
      <c r="E133" s="100" t="s">
        <v>3817</v>
      </c>
      <c r="F133" s="3" t="s">
        <v>318</v>
      </c>
      <c r="G133" s="4">
        <v>46272</v>
      </c>
      <c r="H133" s="5">
        <v>0.22916666666666674</v>
      </c>
      <c r="I133" s="91">
        <v>46267</v>
      </c>
      <c r="J133" s="91"/>
      <c r="K133" s="91">
        <v>46265</v>
      </c>
      <c r="L133" s="3" t="s">
        <v>3914</v>
      </c>
      <c r="M133" s="3" t="s">
        <v>3819</v>
      </c>
      <c r="N133" s="3" t="s">
        <v>3915</v>
      </c>
      <c r="O133" t="s">
        <v>3867</v>
      </c>
      <c r="P133" s="3" t="s">
        <v>3852</v>
      </c>
      <c r="Q133">
        <v>46237</v>
      </c>
      <c r="R133" s="3">
        <v>726</v>
      </c>
      <c r="S133" s="3" t="s">
        <v>3823</v>
      </c>
      <c r="T133" s="3">
        <v>42</v>
      </c>
      <c r="U133" s="3" t="s">
        <v>3916</v>
      </c>
      <c r="V133" s="3" t="s">
        <v>3917</v>
      </c>
      <c r="W133" s="3">
        <v>1072.086</v>
      </c>
      <c r="X133" s="3">
        <v>46261</v>
      </c>
      <c r="Y133" s="3">
        <v>46258</v>
      </c>
      <c r="AA133" t="s">
        <v>3855</v>
      </c>
      <c r="AB133" t="s">
        <v>3856</v>
      </c>
      <c r="AC133" s="3" t="s">
        <v>3918</v>
      </c>
      <c r="AD133" t="s">
        <v>3887</v>
      </c>
      <c r="AE133" t="s">
        <v>3888</v>
      </c>
      <c r="AF133" t="s">
        <v>3831</v>
      </c>
      <c r="AG133" t="s">
        <v>3832</v>
      </c>
      <c r="AH133" t="s">
        <v>3860</v>
      </c>
      <c r="AI133" t="s">
        <v>3834</v>
      </c>
      <c r="AJ133" t="s">
        <v>3835</v>
      </c>
      <c r="AK133" t="s">
        <v>3832</v>
      </c>
      <c r="AM133" s="3" t="s">
        <v>3919</v>
      </c>
      <c r="AN133" s="3"/>
      <c r="AO133" s="3">
        <v>46267</v>
      </c>
      <c r="AP133" s="3"/>
      <c r="AQ133" s="3" t="s">
        <v>3862</v>
      </c>
      <c r="AR133" s="3" t="s">
        <v>3814</v>
      </c>
      <c r="AS133" s="3"/>
      <c r="AT133" s="3">
        <v>46265</v>
      </c>
      <c r="AU133" s="3">
        <v>46312</v>
      </c>
      <c r="AV133" s="3"/>
      <c r="AW133" t="s">
        <v>3839</v>
      </c>
      <c r="BC133" t="s">
        <v>32</v>
      </c>
      <c r="BD133" t="s">
        <v>3814</v>
      </c>
      <c r="BE133" t="s">
        <v>3912</v>
      </c>
      <c r="BF133" t="s">
        <v>3913</v>
      </c>
      <c r="BG133" t="s">
        <v>3817</v>
      </c>
      <c r="CW133" s="6" t="str" cm="1">
        <f t="array" ref="CW133">IFERROR(_xlfn.IFS(H133=TIME(7,0,0),"GY",H133=TIME(7,30,0),"GY",H133=TIME(9,0,0),"GY",H133=TIME(15,0,0),"GY",H133=TIME(8,30,0),"GY",H133=TIME(5,30,0),"GY",H133=TIME(6,0,0),"GD",H133=TIME(6,30,0),"GD",H133=TIME(8,0,0),"GY",H133=TIME(6,15,0),"GD"),"")</f>
        <v>GY</v>
      </c>
      <c r="EE133"/>
    </row>
    <row r="134" spans="1:135" x14ac:dyDescent="0.45">
      <c r="A134" s="14" t="s">
        <v>18</v>
      </c>
      <c r="B134" s="14" t="s">
        <v>0</v>
      </c>
      <c r="C134" s="14" t="s">
        <v>3898</v>
      </c>
      <c r="D134" s="14" t="s">
        <v>3899</v>
      </c>
      <c r="E134" s="100" t="s">
        <v>3817</v>
      </c>
      <c r="F134" s="14" t="s">
        <v>19</v>
      </c>
      <c r="G134" s="4">
        <v>46272</v>
      </c>
      <c r="H134" s="5">
        <v>0.27083333333333326</v>
      </c>
      <c r="I134" s="91">
        <v>46265</v>
      </c>
      <c r="J134" s="91"/>
      <c r="K134" s="91">
        <v>46263</v>
      </c>
      <c r="L134" s="14" t="s">
        <v>3900</v>
      </c>
      <c r="M134" s="14" t="s">
        <v>3819</v>
      </c>
      <c r="N134" s="14" t="s">
        <v>3901</v>
      </c>
      <c r="O134" s="29" t="s">
        <v>3821</v>
      </c>
      <c r="P134" s="14" t="s">
        <v>3902</v>
      </c>
      <c r="Q134" s="29">
        <v>46233</v>
      </c>
      <c r="R134" s="14">
        <v>726</v>
      </c>
      <c r="S134" s="14" t="s">
        <v>3823</v>
      </c>
      <c r="T134" s="14">
        <v>6461</v>
      </c>
      <c r="U134" s="14" t="s">
        <v>3903</v>
      </c>
      <c r="V134" s="14" t="s">
        <v>3904</v>
      </c>
      <c r="W134" s="14">
        <v>9867.3909999999996</v>
      </c>
      <c r="X134" s="14">
        <v>46248</v>
      </c>
      <c r="Y134" s="14">
        <v>46246</v>
      </c>
      <c r="Z134" s="29"/>
      <c r="AA134" s="29" t="s">
        <v>3826</v>
      </c>
      <c r="AB134" s="29" t="s">
        <v>3827</v>
      </c>
      <c r="AC134" s="14" t="s">
        <v>3905</v>
      </c>
      <c r="AD134" s="29" t="s">
        <v>3906</v>
      </c>
      <c r="AE134" s="29" t="s">
        <v>3907</v>
      </c>
      <c r="AF134" s="29" t="s">
        <v>3831</v>
      </c>
      <c r="AG134" s="29" t="s">
        <v>3832</v>
      </c>
      <c r="AH134" s="29" t="s">
        <v>3908</v>
      </c>
      <c r="AI134" s="29" t="s">
        <v>3834</v>
      </c>
      <c r="AJ134" s="29" t="s">
        <v>3835</v>
      </c>
      <c r="AK134" s="29" t="s">
        <v>3832</v>
      </c>
      <c r="AL134" s="29"/>
      <c r="AM134" s="14" t="s">
        <v>3909</v>
      </c>
      <c r="AN134" s="14"/>
      <c r="AO134" s="14">
        <v>46265</v>
      </c>
      <c r="AP134" s="14"/>
      <c r="AQ134" s="14" t="s">
        <v>3837</v>
      </c>
      <c r="AR134" s="14"/>
      <c r="AS134" s="14"/>
      <c r="AT134" s="14">
        <v>46277</v>
      </c>
      <c r="AU134" s="14">
        <v>46310</v>
      </c>
      <c r="AV134" s="14"/>
      <c r="AW134" s="29" t="s">
        <v>3839</v>
      </c>
      <c r="AX134" s="29"/>
      <c r="AY134" s="29"/>
      <c r="AZ134" s="29"/>
      <c r="BA134" s="29"/>
      <c r="BB134" s="29"/>
      <c r="BC134" s="29" t="s">
        <v>18</v>
      </c>
      <c r="BD134" s="29" t="s">
        <v>0</v>
      </c>
      <c r="BE134" s="29" t="s">
        <v>3898</v>
      </c>
      <c r="BF134" s="29" t="s">
        <v>3899</v>
      </c>
      <c r="BG134" s="29" t="s">
        <v>3817</v>
      </c>
      <c r="BH134" s="29"/>
      <c r="BI134" s="29"/>
      <c r="BJ134" s="29"/>
      <c r="BK134" s="29"/>
      <c r="BL134" s="29"/>
      <c r="BM134" s="29"/>
      <c r="BN134" s="29"/>
      <c r="CW134" s="6" t="str" cm="1">
        <f t="array" ref="CW134">IFERROR(_xlfn.IFS(H134=TIME(7,0,0),"GY",H134=TIME(7,30,0),"GY",H134=TIME(9,0,0),"GY",H134=TIME(15,0,0),"GY",H134=TIME(8,30,0),"GY",H134=TIME(5,30,0),"GY",H134=TIME(6,0,0),"GD",H134=TIME(6,30,0),"GD",H134=TIME(8,0,0),"GY",H134=TIME(6,15,0),"GD"),"")</f>
        <v>GD</v>
      </c>
      <c r="EE134"/>
    </row>
    <row r="135" spans="1:135" x14ac:dyDescent="0.45">
      <c r="A135" s="3" t="s">
        <v>18</v>
      </c>
      <c r="B135" s="3" t="s">
        <v>0</v>
      </c>
      <c r="C135" s="3" t="s">
        <v>3898</v>
      </c>
      <c r="D135" s="3" t="s">
        <v>3899</v>
      </c>
      <c r="E135" s="100" t="s">
        <v>3817</v>
      </c>
      <c r="F135" s="3" t="s">
        <v>238</v>
      </c>
      <c r="G135" s="4">
        <v>46272</v>
      </c>
      <c r="H135" s="5">
        <v>0.27083333333333326</v>
      </c>
      <c r="I135" s="91">
        <v>46265</v>
      </c>
      <c r="J135" s="91"/>
      <c r="K135" s="91">
        <v>46263</v>
      </c>
      <c r="L135" s="3" t="s">
        <v>3900</v>
      </c>
      <c r="M135" s="3" t="s">
        <v>3819</v>
      </c>
      <c r="N135" s="3" t="s">
        <v>3901</v>
      </c>
      <c r="O135" t="s">
        <v>3821</v>
      </c>
      <c r="P135" s="3" t="s">
        <v>3902</v>
      </c>
      <c r="Q135">
        <v>46233</v>
      </c>
      <c r="R135" s="3">
        <v>726</v>
      </c>
      <c r="S135" s="3" t="s">
        <v>3823</v>
      </c>
      <c r="T135" s="3">
        <v>2157</v>
      </c>
      <c r="U135" s="3" t="s">
        <v>3910</v>
      </c>
      <c r="V135" s="3" t="s">
        <v>3911</v>
      </c>
      <c r="W135" s="3">
        <v>1981.1959999999999</v>
      </c>
      <c r="X135" s="3">
        <v>46248</v>
      </c>
      <c r="Y135" s="3">
        <v>46246</v>
      </c>
      <c r="AA135" t="s">
        <v>3826</v>
      </c>
      <c r="AB135" t="s">
        <v>3827</v>
      </c>
      <c r="AC135" s="3" t="s">
        <v>3905</v>
      </c>
      <c r="AD135" t="s">
        <v>3906</v>
      </c>
      <c r="AE135" t="s">
        <v>3907</v>
      </c>
      <c r="AF135" t="s">
        <v>3831</v>
      </c>
      <c r="AG135" t="s">
        <v>3832</v>
      </c>
      <c r="AH135" t="s">
        <v>3908</v>
      </c>
      <c r="AI135" t="s">
        <v>3834</v>
      </c>
      <c r="AJ135" t="s">
        <v>3835</v>
      </c>
      <c r="AK135" t="s">
        <v>3832</v>
      </c>
      <c r="AM135" s="3" t="s">
        <v>3909</v>
      </c>
      <c r="AN135" s="3"/>
      <c r="AO135" s="3">
        <v>46265</v>
      </c>
      <c r="AP135" s="3"/>
      <c r="AQ135" s="3" t="s">
        <v>3837</v>
      </c>
      <c r="AR135" s="3"/>
      <c r="AS135" s="3"/>
      <c r="AT135" s="3">
        <v>46277</v>
      </c>
      <c r="AU135" s="3">
        <v>46310</v>
      </c>
      <c r="AV135" s="3"/>
      <c r="AW135" t="s">
        <v>3839</v>
      </c>
      <c r="BC135" t="s">
        <v>18</v>
      </c>
      <c r="BD135" t="s">
        <v>0</v>
      </c>
      <c r="BE135" t="s">
        <v>3898</v>
      </c>
      <c r="BF135" t="s">
        <v>3899</v>
      </c>
      <c r="BG135" t="s">
        <v>3817</v>
      </c>
      <c r="CW135" s="6" t="str" cm="1">
        <f t="array" ref="CW135">IFERROR(_xlfn.IFS(H135=TIME(7,0,0),"GY",H135=TIME(7,30,0),"GY",H135=TIME(9,0,0),"GY",H135=TIME(15,0,0),"GY",H135=TIME(8,30,0),"GY",H135=TIME(5,30,0),"GY",H135=TIME(6,0,0),"GD",H135=TIME(6,30,0),"GD",H135=TIME(8,0,0),"GY",H135=TIME(6,15,0),"GD"),"")</f>
        <v>GD</v>
      </c>
      <c r="EE135"/>
    </row>
    <row r="136" spans="1:135" x14ac:dyDescent="0.45">
      <c r="A136" s="3" t="s">
        <v>18</v>
      </c>
      <c r="B136" s="3" t="s">
        <v>0</v>
      </c>
      <c r="C136" s="3" t="s">
        <v>3920</v>
      </c>
      <c r="D136" s="3" t="s">
        <v>3921</v>
      </c>
      <c r="E136" s="100" t="s">
        <v>3817</v>
      </c>
      <c r="F136" s="3" t="s">
        <v>17</v>
      </c>
      <c r="G136" s="4">
        <v>46271</v>
      </c>
      <c r="H136" s="5">
        <v>0.26041666666666674</v>
      </c>
      <c r="I136" s="91">
        <v>46265</v>
      </c>
      <c r="J136" s="91"/>
      <c r="K136" s="91">
        <v>46263</v>
      </c>
      <c r="L136" s="3" t="s">
        <v>3922</v>
      </c>
      <c r="M136" s="3" t="s">
        <v>3819</v>
      </c>
      <c r="N136" s="3" t="s">
        <v>3923</v>
      </c>
      <c r="O136" t="s">
        <v>3867</v>
      </c>
      <c r="P136" s="3"/>
      <c r="Q136">
        <v>46233</v>
      </c>
      <c r="R136" s="3">
        <v>726</v>
      </c>
      <c r="S136" s="3" t="s">
        <v>3823</v>
      </c>
      <c r="T136" s="3">
        <v>6488</v>
      </c>
      <c r="U136" s="3" t="s">
        <v>3924</v>
      </c>
      <c r="V136" s="3" t="s">
        <v>3925</v>
      </c>
      <c r="W136" s="3">
        <v>11996.361000000001</v>
      </c>
      <c r="X136" s="3">
        <v>46257</v>
      </c>
      <c r="Y136" s="3">
        <v>46255</v>
      </c>
      <c r="AA136" t="s">
        <v>3926</v>
      </c>
      <c r="AB136" t="s">
        <v>3927</v>
      </c>
      <c r="AC136" s="3" t="s">
        <v>3928</v>
      </c>
      <c r="AD136" t="s">
        <v>3929</v>
      </c>
      <c r="AE136" t="s">
        <v>3930</v>
      </c>
      <c r="AF136" t="s">
        <v>3831</v>
      </c>
      <c r="AG136" t="s">
        <v>3832</v>
      </c>
      <c r="AH136" t="s">
        <v>3875</v>
      </c>
      <c r="AI136" t="s">
        <v>3834</v>
      </c>
      <c r="AJ136" t="s">
        <v>3835</v>
      </c>
      <c r="AK136" t="s">
        <v>3832</v>
      </c>
      <c r="AM136" s="3" t="s">
        <v>3931</v>
      </c>
      <c r="AN136" s="3"/>
      <c r="AO136" s="3">
        <v>46265</v>
      </c>
      <c r="AP136" s="3"/>
      <c r="AQ136" s="3" t="s">
        <v>3877</v>
      </c>
      <c r="AR136" s="3"/>
      <c r="AS136" s="3"/>
      <c r="AT136" s="3">
        <v>46277</v>
      </c>
      <c r="AU136" s="3">
        <v>46310</v>
      </c>
      <c r="AV136" s="3"/>
      <c r="AW136" t="s">
        <v>3839</v>
      </c>
      <c r="BC136" t="s">
        <v>18</v>
      </c>
      <c r="BD136" t="s">
        <v>0</v>
      </c>
      <c r="BE136" t="s">
        <v>3920</v>
      </c>
      <c r="BF136" t="s">
        <v>3921</v>
      </c>
      <c r="BG136" t="s">
        <v>3817</v>
      </c>
      <c r="CW136" s="6" t="str" cm="1">
        <f t="array" ref="CW136">IFERROR(_xlfn.IFS(H136=TIME(7,0,0),"GY",H136=TIME(7,30,0),"GY",H136=TIME(9,0,0),"GY",H136=TIME(15,0,0),"GY",H136=TIME(8,30,0),"GY",H136=TIME(5,30,0),"GY",H136=TIME(6,0,0),"GD",H136=TIME(6,30,0),"GD",H136=TIME(8,0,0),"GY",H136=TIME(6,15,0),"GD"),"")</f>
        <v>GD</v>
      </c>
      <c r="EE136"/>
    </row>
    <row r="137" spans="1:135" x14ac:dyDescent="0.45">
      <c r="A137" s="3" t="s">
        <v>18</v>
      </c>
      <c r="B137" s="3" t="s">
        <v>0</v>
      </c>
      <c r="C137" s="3" t="s">
        <v>3920</v>
      </c>
      <c r="D137" s="3" t="s">
        <v>3921</v>
      </c>
      <c r="E137" s="100" t="s">
        <v>3817</v>
      </c>
      <c r="F137" s="3" t="s">
        <v>732</v>
      </c>
      <c r="G137" s="4">
        <v>46271</v>
      </c>
      <c r="H137" s="5">
        <v>0.26041666666666674</v>
      </c>
      <c r="I137" s="91">
        <v>46265</v>
      </c>
      <c r="J137" s="91"/>
      <c r="K137" s="91">
        <v>46263</v>
      </c>
      <c r="L137" s="3" t="s">
        <v>3922</v>
      </c>
      <c r="M137" s="3" t="s">
        <v>3819</v>
      </c>
      <c r="N137" s="3" t="s">
        <v>3923</v>
      </c>
      <c r="O137" t="s">
        <v>3867</v>
      </c>
      <c r="P137" s="3"/>
      <c r="Q137">
        <v>46233</v>
      </c>
      <c r="R137" s="3">
        <v>726</v>
      </c>
      <c r="S137" s="3" t="s">
        <v>3823</v>
      </c>
      <c r="T137" s="3">
        <v>2256</v>
      </c>
      <c r="U137" s="3" t="s">
        <v>3932</v>
      </c>
      <c r="V137" s="3" t="s">
        <v>3933</v>
      </c>
      <c r="W137" s="3">
        <v>713.99199999999996</v>
      </c>
      <c r="X137" s="3">
        <v>46257</v>
      </c>
      <c r="Y137" s="3">
        <v>46255</v>
      </c>
      <c r="AA137" t="s">
        <v>3926</v>
      </c>
      <c r="AB137" t="s">
        <v>3927</v>
      </c>
      <c r="AC137" s="3" t="s">
        <v>3928</v>
      </c>
      <c r="AD137" t="s">
        <v>3929</v>
      </c>
      <c r="AE137" t="s">
        <v>3930</v>
      </c>
      <c r="AF137" t="s">
        <v>3831</v>
      </c>
      <c r="AG137" t="s">
        <v>3832</v>
      </c>
      <c r="AH137" t="s">
        <v>3875</v>
      </c>
      <c r="AI137" t="s">
        <v>3834</v>
      </c>
      <c r="AJ137" t="s">
        <v>3835</v>
      </c>
      <c r="AK137" t="s">
        <v>3832</v>
      </c>
      <c r="AM137" s="3" t="s">
        <v>3931</v>
      </c>
      <c r="AN137" s="3"/>
      <c r="AO137" s="3">
        <v>46265</v>
      </c>
      <c r="AP137" s="3"/>
      <c r="AQ137" s="3" t="s">
        <v>3877</v>
      </c>
      <c r="AR137" s="3"/>
      <c r="AS137" s="3"/>
      <c r="AT137" s="3">
        <v>46277</v>
      </c>
      <c r="AU137" s="3">
        <v>46310</v>
      </c>
      <c r="AV137" s="3"/>
      <c r="AW137" t="s">
        <v>3839</v>
      </c>
      <c r="BC137" t="s">
        <v>18</v>
      </c>
      <c r="BD137" t="s">
        <v>0</v>
      </c>
      <c r="BE137" t="s">
        <v>3920</v>
      </c>
      <c r="BF137" t="s">
        <v>3921</v>
      </c>
      <c r="BG137" t="s">
        <v>3817</v>
      </c>
      <c r="CW137" s="6" t="str" cm="1">
        <f t="array" ref="CW137">IFERROR(_xlfn.IFS(H137=TIME(7,0,0),"GY",H137=TIME(7,30,0),"GY",H137=TIME(9,0,0),"GY",H137=TIME(15,0,0),"GY",H137=TIME(8,30,0),"GY",H137=TIME(5,30,0),"GY",H137=TIME(6,0,0),"GD",H137=TIME(6,30,0),"GD",H137=TIME(8,0,0),"GY",H137=TIME(6,15,0),"GD"),"")</f>
        <v>GD</v>
      </c>
      <c r="EE137"/>
    </row>
    <row r="138" spans="1:135" x14ac:dyDescent="0.45">
      <c r="A138" s="3" t="s">
        <v>18</v>
      </c>
      <c r="B138" s="3" t="s">
        <v>0</v>
      </c>
      <c r="C138" s="3" t="s">
        <v>3934</v>
      </c>
      <c r="D138" s="3" t="s">
        <v>3935</v>
      </c>
      <c r="E138" s="100" t="s">
        <v>3817</v>
      </c>
      <c r="F138" s="3" t="s">
        <v>40</v>
      </c>
      <c r="G138" s="4">
        <v>46270</v>
      </c>
      <c r="H138" s="5">
        <v>0.26041666666666674</v>
      </c>
      <c r="I138" s="91">
        <v>46265</v>
      </c>
      <c r="J138" s="91"/>
      <c r="K138" s="91">
        <v>46263</v>
      </c>
      <c r="L138" s="3" t="s">
        <v>3936</v>
      </c>
      <c r="M138" s="3" t="s">
        <v>3819</v>
      </c>
      <c r="N138" s="3" t="s">
        <v>3937</v>
      </c>
      <c r="O138" t="s">
        <v>3821</v>
      </c>
      <c r="P138" s="3"/>
      <c r="Q138">
        <v>46237</v>
      </c>
      <c r="R138" s="3">
        <v>726</v>
      </c>
      <c r="S138" s="3" t="s">
        <v>3823</v>
      </c>
      <c r="T138" s="3">
        <v>14985</v>
      </c>
      <c r="U138" s="3" t="s">
        <v>3938</v>
      </c>
      <c r="V138" s="3" t="s">
        <v>3939</v>
      </c>
      <c r="W138" s="3">
        <v>10253.803</v>
      </c>
      <c r="X138" s="3">
        <v>46253</v>
      </c>
      <c r="Y138" s="3">
        <v>46250</v>
      </c>
      <c r="AA138" t="s">
        <v>3826</v>
      </c>
      <c r="AB138" t="s">
        <v>3827</v>
      </c>
      <c r="AC138" s="3" t="s">
        <v>3940</v>
      </c>
      <c r="AD138" t="s">
        <v>3906</v>
      </c>
      <c r="AE138" t="s">
        <v>3907</v>
      </c>
      <c r="AF138" t="s">
        <v>3831</v>
      </c>
      <c r="AG138" t="s">
        <v>3832</v>
      </c>
      <c r="AH138" t="s">
        <v>3908</v>
      </c>
      <c r="AI138" t="s">
        <v>3834</v>
      </c>
      <c r="AJ138" t="s">
        <v>3835</v>
      </c>
      <c r="AK138" t="s">
        <v>3832</v>
      </c>
      <c r="AM138" s="3" t="s">
        <v>3941</v>
      </c>
      <c r="AN138" s="3"/>
      <c r="AO138" s="3">
        <v>46265</v>
      </c>
      <c r="AP138" s="3"/>
      <c r="AQ138" s="3" t="s">
        <v>3837</v>
      </c>
      <c r="AR138" s="3"/>
      <c r="AS138" s="3"/>
      <c r="AT138" s="3">
        <v>46277</v>
      </c>
      <c r="AU138" s="3">
        <v>46310</v>
      </c>
      <c r="AV138" s="3"/>
      <c r="AW138" t="s">
        <v>3839</v>
      </c>
      <c r="BC138" t="s">
        <v>18</v>
      </c>
      <c r="BD138" t="s">
        <v>0</v>
      </c>
      <c r="BE138" t="s">
        <v>3934</v>
      </c>
      <c r="BF138" t="s">
        <v>3935</v>
      </c>
      <c r="BG138" t="s">
        <v>3817</v>
      </c>
      <c r="CW138" s="6" t="str" cm="1">
        <f t="array" ref="CW138">IFERROR(_xlfn.IFS(H138=TIME(7,0,0),"GY",H138=TIME(7,30,0),"GY",H138=TIME(9,0,0),"GY",H138=TIME(15,0,0),"GY",H138=TIME(8,30,0),"GY",H138=TIME(5,30,0),"GY",H138=TIME(6,0,0),"GD",H138=TIME(6,30,0),"GD",H138=TIME(8,0,0),"GY",H138=TIME(6,15,0),"GD"),"")</f>
        <v>GD</v>
      </c>
      <c r="EE138"/>
    </row>
    <row r="139" spans="1:135" x14ac:dyDescent="0.45">
      <c r="A139" s="3" t="s">
        <v>18</v>
      </c>
      <c r="B139" s="3" t="s">
        <v>0</v>
      </c>
      <c r="C139" s="3" t="s">
        <v>3934</v>
      </c>
      <c r="D139" s="3" t="s">
        <v>3935</v>
      </c>
      <c r="E139" s="100" t="s">
        <v>3817</v>
      </c>
      <c r="F139" s="3" t="s">
        <v>562</v>
      </c>
      <c r="G139" s="4">
        <v>46270</v>
      </c>
      <c r="H139" s="5">
        <v>0.26041666666666674</v>
      </c>
      <c r="I139" s="91">
        <v>46265</v>
      </c>
      <c r="J139" s="91"/>
      <c r="K139" s="91">
        <v>46263</v>
      </c>
      <c r="L139" s="3" t="s">
        <v>3936</v>
      </c>
      <c r="M139" s="3" t="s">
        <v>3819</v>
      </c>
      <c r="N139" s="3" t="s">
        <v>3937</v>
      </c>
      <c r="O139" t="s">
        <v>3821</v>
      </c>
      <c r="P139" s="3"/>
      <c r="Q139">
        <v>46237</v>
      </c>
      <c r="R139" s="3">
        <v>726</v>
      </c>
      <c r="S139" s="3" t="s">
        <v>3823</v>
      </c>
      <c r="T139" s="3">
        <v>1844</v>
      </c>
      <c r="U139" s="3" t="s">
        <v>3942</v>
      </c>
      <c r="V139" s="3" t="s">
        <v>3943</v>
      </c>
      <c r="W139" s="3">
        <v>966.9</v>
      </c>
      <c r="X139" s="3">
        <v>46253</v>
      </c>
      <c r="Y139" s="3">
        <v>46250</v>
      </c>
      <c r="AA139" t="s">
        <v>3826</v>
      </c>
      <c r="AB139" t="s">
        <v>3827</v>
      </c>
      <c r="AC139" s="3" t="s">
        <v>3940</v>
      </c>
      <c r="AD139" t="s">
        <v>3906</v>
      </c>
      <c r="AE139" t="s">
        <v>3907</v>
      </c>
      <c r="AF139" t="s">
        <v>3831</v>
      </c>
      <c r="AG139" t="s">
        <v>3832</v>
      </c>
      <c r="AH139" t="s">
        <v>3908</v>
      </c>
      <c r="AI139" t="s">
        <v>3834</v>
      </c>
      <c r="AJ139" t="s">
        <v>3835</v>
      </c>
      <c r="AK139" t="s">
        <v>3832</v>
      </c>
      <c r="AM139" s="3" t="s">
        <v>3941</v>
      </c>
      <c r="AN139" s="3"/>
      <c r="AO139" s="3">
        <v>46265</v>
      </c>
      <c r="AP139" s="3"/>
      <c r="AQ139" s="3" t="s">
        <v>3837</v>
      </c>
      <c r="AR139" s="3"/>
      <c r="AS139" s="3"/>
      <c r="AT139" s="3">
        <v>46277</v>
      </c>
      <c r="AU139" s="3">
        <v>46310</v>
      </c>
      <c r="AV139" s="3"/>
      <c r="AW139" t="s">
        <v>3839</v>
      </c>
      <c r="BC139" t="s">
        <v>18</v>
      </c>
      <c r="BD139" t="s">
        <v>0</v>
      </c>
      <c r="BE139" t="s">
        <v>3934</v>
      </c>
      <c r="BF139" t="s">
        <v>3935</v>
      </c>
      <c r="BG139" t="s">
        <v>3817</v>
      </c>
      <c r="CW139" s="6" t="str" cm="1">
        <f t="array" ref="CW139">IFERROR(_xlfn.IFS(H139=TIME(7,0,0),"GY",H139=TIME(7,30,0),"GY",H139=TIME(9,0,0),"GY",H139=TIME(15,0,0),"GY",H139=TIME(8,30,0),"GY",H139=TIME(5,30,0),"GY",H139=TIME(6,0,0),"GD",H139=TIME(6,30,0),"GD",H139=TIME(8,0,0),"GY",H139=TIME(6,15,0),"GD"),"")</f>
        <v>GD</v>
      </c>
      <c r="EE139"/>
    </row>
    <row r="140" spans="1:135" x14ac:dyDescent="0.45">
      <c r="A140" s="3" t="s">
        <v>32</v>
      </c>
      <c r="B140" s="3" t="s">
        <v>3814</v>
      </c>
      <c r="C140" s="3" t="s">
        <v>3962</v>
      </c>
      <c r="D140" s="3" t="s">
        <v>3963</v>
      </c>
      <c r="E140" s="100" t="s">
        <v>3947</v>
      </c>
      <c r="F140" s="3" t="s">
        <v>3964</v>
      </c>
      <c r="G140" s="4">
        <v>46269</v>
      </c>
      <c r="H140" s="5">
        <v>0.35416666666666674</v>
      </c>
      <c r="I140" s="91">
        <v>46265</v>
      </c>
      <c r="J140" s="91"/>
      <c r="K140" s="91">
        <v>46264</v>
      </c>
      <c r="L140" s="3" t="s">
        <v>3965</v>
      </c>
      <c r="M140" s="3" t="s">
        <v>3966</v>
      </c>
      <c r="N140" s="3" t="s">
        <v>3967</v>
      </c>
      <c r="O140" t="s">
        <v>3821</v>
      </c>
      <c r="P140" s="3" t="s">
        <v>3968</v>
      </c>
      <c r="Q140">
        <v>46231</v>
      </c>
      <c r="R140" s="3">
        <v>726</v>
      </c>
      <c r="S140" s="3" t="s">
        <v>3823</v>
      </c>
      <c r="T140" s="3">
        <v>112</v>
      </c>
      <c r="U140" s="3" t="s">
        <v>3969</v>
      </c>
      <c r="V140" s="3" t="s">
        <v>3970</v>
      </c>
      <c r="W140" s="3">
        <v>208.05</v>
      </c>
      <c r="X140" s="3">
        <v>46260</v>
      </c>
      <c r="Y140" s="3">
        <v>46258</v>
      </c>
      <c r="AA140" t="s">
        <v>3971</v>
      </c>
      <c r="AB140" t="s">
        <v>3972</v>
      </c>
      <c r="AC140" s="3" t="s">
        <v>3973</v>
      </c>
      <c r="AD140" t="s">
        <v>3974</v>
      </c>
      <c r="AE140" t="s">
        <v>3975</v>
      </c>
      <c r="AF140" t="s">
        <v>3976</v>
      </c>
      <c r="AG140" t="s">
        <v>3832</v>
      </c>
      <c r="AH140" t="s">
        <v>3977</v>
      </c>
      <c r="AI140" t="s">
        <v>3834</v>
      </c>
      <c r="AJ140" t="s">
        <v>3956</v>
      </c>
      <c r="AK140" t="s">
        <v>3832</v>
      </c>
      <c r="AM140" s="3" t="s">
        <v>3978</v>
      </c>
      <c r="AN140" s="3"/>
      <c r="AO140" s="3">
        <v>46265</v>
      </c>
      <c r="AP140" s="3"/>
      <c r="AQ140" s="3" t="s">
        <v>3979</v>
      </c>
      <c r="AR140" s="3"/>
      <c r="AS140" s="3" t="s">
        <v>3961</v>
      </c>
      <c r="AT140" s="3">
        <v>46278</v>
      </c>
      <c r="AU140" s="3"/>
      <c r="AV140" s="3">
        <v>46280</v>
      </c>
      <c r="AW140" t="s">
        <v>3839</v>
      </c>
      <c r="BC140" t="s">
        <v>32</v>
      </c>
      <c r="BD140" t="s">
        <v>3814</v>
      </c>
      <c r="BE140" t="s">
        <v>3962</v>
      </c>
      <c r="BF140" t="s">
        <v>3963</v>
      </c>
      <c r="BG140" t="s">
        <v>3947</v>
      </c>
      <c r="CW140" s="6" t="str" cm="1">
        <f t="array" ref="CW140">IFERROR(_xlfn.IFS(H140=TIME(7,0,0),"GY",H140=TIME(7,30,0),"GY",H140=TIME(9,0,0),"GY",H140=TIME(15,0,0),"GY",H140=TIME(8,30,0),"GY",H140=TIME(5,30,0),"GY",H140=TIME(6,0,0),"GD",H140=TIME(6,30,0),"GD",H140=TIME(8,0,0),"GY",H140=TIME(6,15,0),"GD"),"")</f>
        <v>GY</v>
      </c>
      <c r="EE140"/>
    </row>
    <row r="141" spans="1:135" x14ac:dyDescent="0.45">
      <c r="A141" s="3" t="s">
        <v>32</v>
      </c>
      <c r="B141" s="3" t="s">
        <v>3814</v>
      </c>
      <c r="C141" s="3" t="s">
        <v>3962</v>
      </c>
      <c r="D141" s="3" t="s">
        <v>3963</v>
      </c>
      <c r="E141" s="100" t="s">
        <v>3947</v>
      </c>
      <c r="F141" s="3" t="s">
        <v>3980</v>
      </c>
      <c r="G141" s="4">
        <v>46269</v>
      </c>
      <c r="H141" s="5">
        <v>0.35416666666666674</v>
      </c>
      <c r="I141" s="91">
        <v>46265</v>
      </c>
      <c r="J141" s="91"/>
      <c r="K141" s="91">
        <v>46264</v>
      </c>
      <c r="L141" s="3" t="s">
        <v>3965</v>
      </c>
      <c r="M141" s="3" t="s">
        <v>3966</v>
      </c>
      <c r="N141" s="3" t="s">
        <v>3967</v>
      </c>
      <c r="O141" t="s">
        <v>3821</v>
      </c>
      <c r="P141" s="3" t="s">
        <v>3968</v>
      </c>
      <c r="Q141">
        <v>46231</v>
      </c>
      <c r="R141" s="3">
        <v>726</v>
      </c>
      <c r="S141" s="3" t="s">
        <v>3823</v>
      </c>
      <c r="T141" s="3">
        <v>84</v>
      </c>
      <c r="U141" s="3" t="s">
        <v>3981</v>
      </c>
      <c r="V141" s="3" t="s">
        <v>3982</v>
      </c>
      <c r="W141" s="3">
        <v>122.39</v>
      </c>
      <c r="X141" s="3">
        <v>46260</v>
      </c>
      <c r="Y141" s="3">
        <v>46258</v>
      </c>
      <c r="AA141" t="s">
        <v>3971</v>
      </c>
      <c r="AB141" t="s">
        <v>3972</v>
      </c>
      <c r="AC141" s="3" t="s">
        <v>3973</v>
      </c>
      <c r="AD141" t="s">
        <v>3974</v>
      </c>
      <c r="AE141" t="s">
        <v>3975</v>
      </c>
      <c r="AF141" t="s">
        <v>3976</v>
      </c>
      <c r="AG141" t="s">
        <v>3832</v>
      </c>
      <c r="AH141" t="s">
        <v>3977</v>
      </c>
      <c r="AI141" t="s">
        <v>3834</v>
      </c>
      <c r="AJ141" t="s">
        <v>3956</v>
      </c>
      <c r="AK141" t="s">
        <v>3832</v>
      </c>
      <c r="AM141" s="3" t="s">
        <v>3978</v>
      </c>
      <c r="AN141" s="3"/>
      <c r="AO141" s="3">
        <v>46265</v>
      </c>
      <c r="AP141" s="3"/>
      <c r="AQ141" s="3" t="s">
        <v>3979</v>
      </c>
      <c r="AR141" s="3"/>
      <c r="AS141" s="3" t="s">
        <v>3961</v>
      </c>
      <c r="AT141" s="3">
        <v>46278</v>
      </c>
      <c r="AU141" s="3"/>
      <c r="AV141" s="3">
        <v>46280</v>
      </c>
      <c r="AW141" t="s">
        <v>3839</v>
      </c>
      <c r="BC141" t="s">
        <v>32</v>
      </c>
      <c r="BD141" t="s">
        <v>3814</v>
      </c>
      <c r="BE141" t="s">
        <v>3962</v>
      </c>
      <c r="BF141" t="s">
        <v>3963</v>
      </c>
      <c r="BG141" t="s">
        <v>3947</v>
      </c>
      <c r="CW141" s="6" t="str" cm="1">
        <f t="array" ref="CW141">IFERROR(_xlfn.IFS(H141=TIME(7,0,0),"GY",H141=TIME(7,30,0),"GY",H141=TIME(9,0,0),"GY",H141=TIME(15,0,0),"GY",H141=TIME(8,30,0),"GY",H141=TIME(5,30,0),"GY",H141=TIME(6,0,0),"GD",H141=TIME(6,30,0),"GD",H141=TIME(8,0,0),"GY",H141=TIME(6,15,0),"GD"),"")</f>
        <v>GY</v>
      </c>
      <c r="EE141"/>
    </row>
    <row r="142" spans="1:135" x14ac:dyDescent="0.45">
      <c r="A142" s="3" t="s">
        <v>32</v>
      </c>
      <c r="B142" s="3" t="s">
        <v>3814</v>
      </c>
      <c r="C142" s="3" t="s">
        <v>3962</v>
      </c>
      <c r="D142" s="3" t="s">
        <v>3963</v>
      </c>
      <c r="E142" s="100" t="s">
        <v>3947</v>
      </c>
      <c r="F142" s="3" t="s">
        <v>3987</v>
      </c>
      <c r="G142" s="4">
        <v>46269</v>
      </c>
      <c r="H142" s="5">
        <v>0.35416666666666674</v>
      </c>
      <c r="I142" s="91">
        <v>46265</v>
      </c>
      <c r="J142" s="91"/>
      <c r="K142" s="91">
        <v>46264</v>
      </c>
      <c r="L142" s="3" t="s">
        <v>3965</v>
      </c>
      <c r="M142" s="3" t="s">
        <v>3966</v>
      </c>
      <c r="N142" s="3" t="s">
        <v>3967</v>
      </c>
      <c r="O142" t="s">
        <v>3821</v>
      </c>
      <c r="P142" s="3" t="s">
        <v>3968</v>
      </c>
      <c r="Q142">
        <v>46231</v>
      </c>
      <c r="R142" s="3">
        <v>726</v>
      </c>
      <c r="S142" s="3" t="s">
        <v>3823</v>
      </c>
      <c r="T142" s="3">
        <v>5216</v>
      </c>
      <c r="U142" s="3" t="s">
        <v>3988</v>
      </c>
      <c r="V142" s="3" t="s">
        <v>3989</v>
      </c>
      <c r="W142" s="3">
        <v>947.38</v>
      </c>
      <c r="X142" s="3">
        <v>46260</v>
      </c>
      <c r="Y142" s="3">
        <v>46258</v>
      </c>
      <c r="AA142" t="s">
        <v>3971</v>
      </c>
      <c r="AB142" t="s">
        <v>3972</v>
      </c>
      <c r="AC142" s="3" t="s">
        <v>3973</v>
      </c>
      <c r="AD142" t="s">
        <v>3974</v>
      </c>
      <c r="AE142" t="s">
        <v>3975</v>
      </c>
      <c r="AF142" t="s">
        <v>3976</v>
      </c>
      <c r="AG142" t="s">
        <v>3832</v>
      </c>
      <c r="AH142" t="s">
        <v>3977</v>
      </c>
      <c r="AI142" t="s">
        <v>3834</v>
      </c>
      <c r="AJ142" t="s">
        <v>3956</v>
      </c>
      <c r="AK142" t="s">
        <v>3832</v>
      </c>
      <c r="AM142" s="3" t="s">
        <v>3978</v>
      </c>
      <c r="AN142" s="3"/>
      <c r="AO142" s="3">
        <v>46265</v>
      </c>
      <c r="AP142" s="3"/>
      <c r="AQ142" s="3" t="s">
        <v>3979</v>
      </c>
      <c r="AR142" s="3"/>
      <c r="AS142" s="3" t="s">
        <v>3961</v>
      </c>
      <c r="AT142" s="3">
        <v>46278</v>
      </c>
      <c r="AU142" s="3"/>
      <c r="AV142" s="3">
        <v>46280</v>
      </c>
      <c r="AW142" t="s">
        <v>3839</v>
      </c>
      <c r="BC142" t="s">
        <v>32</v>
      </c>
      <c r="BD142" t="s">
        <v>3814</v>
      </c>
      <c r="BE142" t="s">
        <v>3962</v>
      </c>
      <c r="BF142" t="s">
        <v>3963</v>
      </c>
      <c r="BG142" t="s">
        <v>3947</v>
      </c>
      <c r="CW142" s="6" t="str" cm="1">
        <f t="array" ref="CW142">IFERROR(_xlfn.IFS(H142=TIME(7,0,0),"GY",H142=TIME(7,30,0),"GY",H142=TIME(9,0,0),"GY",H142=TIME(15,0,0),"GY",H142=TIME(8,30,0),"GY",H142=TIME(5,30,0),"GY",H142=TIME(6,0,0),"GD",H142=TIME(6,30,0),"GD",H142=TIME(8,0,0),"GY",H142=TIME(6,15,0),"GD"),"")</f>
        <v>GY</v>
      </c>
      <c r="EE142"/>
    </row>
    <row r="143" spans="1:135" x14ac:dyDescent="0.45">
      <c r="A143" s="14" t="s">
        <v>63</v>
      </c>
      <c r="B143" s="14" t="s">
        <v>3944</v>
      </c>
      <c r="C143" s="14" t="s">
        <v>3945</v>
      </c>
      <c r="D143" s="14" t="s">
        <v>3946</v>
      </c>
      <c r="E143" s="100" t="s">
        <v>3947</v>
      </c>
      <c r="F143" s="14" t="s">
        <v>3948</v>
      </c>
      <c r="G143" s="4">
        <v>46269</v>
      </c>
      <c r="H143" s="5">
        <v>0.27083333333333326</v>
      </c>
      <c r="I143" s="91">
        <v>46259</v>
      </c>
      <c r="J143" s="91"/>
      <c r="K143" s="91">
        <v>46243</v>
      </c>
      <c r="L143" s="14" t="s">
        <v>3949</v>
      </c>
      <c r="M143" s="14" t="s">
        <v>3819</v>
      </c>
      <c r="N143" s="14" t="s">
        <v>3950</v>
      </c>
      <c r="O143" s="29" t="s">
        <v>3867</v>
      </c>
      <c r="P143" s="14" t="s">
        <v>3951</v>
      </c>
      <c r="Q143" s="29">
        <v>46223</v>
      </c>
      <c r="R143" s="14">
        <v>726</v>
      </c>
      <c r="S143" s="14" t="s">
        <v>3823</v>
      </c>
      <c r="T143" s="14">
        <v>7060</v>
      </c>
      <c r="U143" s="14" t="s">
        <v>3952</v>
      </c>
      <c r="V143" s="14" t="s">
        <v>3953</v>
      </c>
      <c r="W143" s="14">
        <v>1675.4069999999999</v>
      </c>
      <c r="X143" s="14">
        <v>46237</v>
      </c>
      <c r="Y143" s="14">
        <v>46235</v>
      </c>
      <c r="Z143" s="29"/>
      <c r="AA143" s="29" t="s">
        <v>3826</v>
      </c>
      <c r="AB143" s="29" t="s">
        <v>3827</v>
      </c>
      <c r="AC143" s="14" t="s">
        <v>3954</v>
      </c>
      <c r="AD143" s="29" t="s">
        <v>3955</v>
      </c>
      <c r="AE143" s="29" t="s">
        <v>3907</v>
      </c>
      <c r="AF143" s="29" t="s">
        <v>3831</v>
      </c>
      <c r="AG143" s="29" t="s">
        <v>3832</v>
      </c>
      <c r="AH143" s="29" t="s">
        <v>3908</v>
      </c>
      <c r="AI143" s="29" t="s">
        <v>3834</v>
      </c>
      <c r="AJ143" s="29" t="s">
        <v>3956</v>
      </c>
      <c r="AK143" s="29" t="s">
        <v>3832</v>
      </c>
      <c r="AL143" s="29"/>
      <c r="AM143" s="14" t="s">
        <v>3957</v>
      </c>
      <c r="AN143" s="14"/>
      <c r="AO143" s="14">
        <v>46259</v>
      </c>
      <c r="AP143" s="14" t="s">
        <v>3958</v>
      </c>
      <c r="AQ143" s="14" t="s">
        <v>3959</v>
      </c>
      <c r="AR143" s="14" t="s">
        <v>3960</v>
      </c>
      <c r="AS143" s="14" t="s">
        <v>3961</v>
      </c>
      <c r="AT143" s="14"/>
      <c r="AU143" s="14"/>
      <c r="AV143" s="14"/>
      <c r="AW143" s="29" t="s">
        <v>3839</v>
      </c>
      <c r="AX143" s="29"/>
      <c r="AY143" s="29"/>
      <c r="AZ143" s="29"/>
      <c r="BA143" s="29"/>
      <c r="BB143" s="29"/>
      <c r="BC143" s="29" t="s">
        <v>63</v>
      </c>
      <c r="BD143" s="29" t="s">
        <v>3944</v>
      </c>
      <c r="BE143" s="29" t="s">
        <v>3945</v>
      </c>
      <c r="BF143" s="29" t="s">
        <v>3946</v>
      </c>
      <c r="BG143" s="29" t="s">
        <v>3947</v>
      </c>
      <c r="BH143" s="29"/>
      <c r="BI143" s="29"/>
      <c r="BJ143" s="29"/>
      <c r="BK143" s="29"/>
      <c r="BL143" s="29"/>
      <c r="BM143" s="29"/>
      <c r="BN143" s="29"/>
      <c r="CW143" s="6" t="str" cm="1">
        <f t="array" ref="CW143">IFERROR(_xlfn.IFS(H143=TIME(7,0,0),"GY",H143=TIME(7,30,0),"GY",H143=TIME(9,0,0),"GY",H143=TIME(15,0,0),"GY",H143=TIME(8,30,0),"GY",H143=TIME(5,30,0),"GY",H143=TIME(6,0,0),"GD",H143=TIME(6,30,0),"GD",H143=TIME(8,0,0),"GY",H143=TIME(6,15,0),"GD"),"")</f>
        <v>GD</v>
      </c>
      <c r="EE143"/>
    </row>
    <row r="144" spans="1:135" x14ac:dyDescent="0.45">
      <c r="A144" s="14" t="s">
        <v>63</v>
      </c>
      <c r="B144" s="14" t="s">
        <v>3944</v>
      </c>
      <c r="C144" s="14" t="s">
        <v>3945</v>
      </c>
      <c r="D144" s="14" t="s">
        <v>3946</v>
      </c>
      <c r="E144" s="100" t="s">
        <v>3947</v>
      </c>
      <c r="F144" s="14" t="s">
        <v>3983</v>
      </c>
      <c r="G144" s="4">
        <v>46269</v>
      </c>
      <c r="H144" s="5">
        <v>0.27083333333333326</v>
      </c>
      <c r="I144" s="91">
        <v>46259</v>
      </c>
      <c r="J144" s="91"/>
      <c r="K144" s="91">
        <v>46243</v>
      </c>
      <c r="L144" s="14" t="s">
        <v>3949</v>
      </c>
      <c r="M144" s="14" t="s">
        <v>3819</v>
      </c>
      <c r="N144" s="14" t="s">
        <v>3950</v>
      </c>
      <c r="O144" s="29" t="s">
        <v>3867</v>
      </c>
      <c r="P144" s="14" t="s">
        <v>3951</v>
      </c>
      <c r="Q144" s="29">
        <v>46223</v>
      </c>
      <c r="R144" s="14">
        <v>726</v>
      </c>
      <c r="S144" s="14" t="s">
        <v>3823</v>
      </c>
      <c r="T144" s="14">
        <v>9952</v>
      </c>
      <c r="U144" s="14" t="s">
        <v>3984</v>
      </c>
      <c r="V144" s="14" t="s">
        <v>3985</v>
      </c>
      <c r="W144" s="14">
        <v>2992.82</v>
      </c>
      <c r="X144" s="14">
        <v>46237</v>
      </c>
      <c r="Y144" s="14">
        <v>46235</v>
      </c>
      <c r="Z144" s="29"/>
      <c r="AA144" s="29" t="s">
        <v>3826</v>
      </c>
      <c r="AB144" s="29" t="s">
        <v>3827</v>
      </c>
      <c r="AC144" s="14" t="s">
        <v>3954</v>
      </c>
      <c r="AD144" s="29" t="s">
        <v>3955</v>
      </c>
      <c r="AE144" s="29" t="s">
        <v>3907</v>
      </c>
      <c r="AF144" s="29" t="s">
        <v>3831</v>
      </c>
      <c r="AG144" s="29" t="s">
        <v>3832</v>
      </c>
      <c r="AH144" s="29" t="s">
        <v>3908</v>
      </c>
      <c r="AI144" s="29" t="s">
        <v>3834</v>
      </c>
      <c r="AJ144" s="29" t="s">
        <v>3956</v>
      </c>
      <c r="AK144" s="29" t="s">
        <v>3832</v>
      </c>
      <c r="AL144" s="29"/>
      <c r="AM144" s="14" t="s">
        <v>3957</v>
      </c>
      <c r="AN144" s="14"/>
      <c r="AO144" s="14">
        <v>46259</v>
      </c>
      <c r="AP144" s="14" t="s">
        <v>3958</v>
      </c>
      <c r="AQ144" s="14" t="s">
        <v>3959</v>
      </c>
      <c r="AR144" s="14" t="s">
        <v>3986</v>
      </c>
      <c r="AS144" s="14" t="s">
        <v>3961</v>
      </c>
      <c r="AT144" s="14"/>
      <c r="AU144" s="14"/>
      <c r="AV144" s="14"/>
      <c r="AW144" s="29" t="s">
        <v>3839</v>
      </c>
      <c r="AX144" s="29"/>
      <c r="AY144" s="29"/>
      <c r="AZ144" s="29"/>
      <c r="BA144" s="29"/>
      <c r="BB144" s="29"/>
      <c r="BC144" s="29" t="s">
        <v>63</v>
      </c>
      <c r="BD144" s="29" t="s">
        <v>3944</v>
      </c>
      <c r="BE144" s="29" t="s">
        <v>3945</v>
      </c>
      <c r="BF144" s="29" t="s">
        <v>3946</v>
      </c>
      <c r="BG144" s="29" t="s">
        <v>3947</v>
      </c>
      <c r="BH144" s="29"/>
      <c r="BI144" s="29"/>
      <c r="BJ144" s="29"/>
      <c r="BK144" s="29"/>
      <c r="BL144" s="29"/>
      <c r="BM144" s="29"/>
      <c r="BN144" s="29"/>
      <c r="CW144" s="6" t="str" cm="1">
        <f t="array" ref="CW144">IFERROR(_xlfn.IFS(H144=TIME(7,0,0),"GY",H144=TIME(7,30,0),"GY",H144=TIME(9,0,0),"GY",H144=TIME(15,0,0),"GY",H144=TIME(8,30,0),"GY",H144=TIME(5,30,0),"GY",H144=TIME(6,0,0),"GD",H144=TIME(6,30,0),"GD",H144=TIME(8,0,0),"GY",H144=TIME(6,15,0),"GD"),"")</f>
        <v>GD</v>
      </c>
      <c r="EE144"/>
    </row>
    <row r="145" spans="1:135" x14ac:dyDescent="0.45">
      <c r="A145" s="3" t="s">
        <v>18</v>
      </c>
      <c r="B145" s="3" t="s">
        <v>0</v>
      </c>
      <c r="C145" s="3" t="s">
        <v>3990</v>
      </c>
      <c r="D145" s="3" t="s">
        <v>3991</v>
      </c>
      <c r="E145" s="100" t="s">
        <v>3817</v>
      </c>
      <c r="F145" s="3" t="s">
        <v>3992</v>
      </c>
      <c r="G145" s="4">
        <v>46268</v>
      </c>
      <c r="H145" s="5">
        <v>0.27083333333333326</v>
      </c>
      <c r="I145" s="91">
        <v>46265</v>
      </c>
      <c r="J145" s="91"/>
      <c r="K145" s="91">
        <v>46263</v>
      </c>
      <c r="L145" s="3" t="s">
        <v>3993</v>
      </c>
      <c r="M145" s="3" t="s">
        <v>3819</v>
      </c>
      <c r="N145" s="3" t="s">
        <v>3994</v>
      </c>
      <c r="O145" t="s">
        <v>3867</v>
      </c>
      <c r="P145" s="3" t="s">
        <v>3852</v>
      </c>
      <c r="Q145">
        <v>46245</v>
      </c>
      <c r="R145" s="3">
        <v>726</v>
      </c>
      <c r="S145" s="3" t="s">
        <v>3823</v>
      </c>
      <c r="T145" s="3">
        <v>8767</v>
      </c>
      <c r="U145" s="3" t="s">
        <v>3995</v>
      </c>
      <c r="V145" s="3" t="s">
        <v>3996</v>
      </c>
      <c r="W145" s="3">
        <v>8040.3459999999995</v>
      </c>
      <c r="X145" s="3">
        <v>46259</v>
      </c>
      <c r="Y145" s="3">
        <v>46257</v>
      </c>
      <c r="AA145" t="s">
        <v>3870</v>
      </c>
      <c r="AB145" t="s">
        <v>3871</v>
      </c>
      <c r="AC145" s="3" t="s">
        <v>3997</v>
      </c>
      <c r="AD145" t="s">
        <v>3929</v>
      </c>
      <c r="AE145" t="s">
        <v>3930</v>
      </c>
      <c r="AF145" t="s">
        <v>3831</v>
      </c>
      <c r="AG145" t="s">
        <v>3832</v>
      </c>
      <c r="AH145" t="s">
        <v>3875</v>
      </c>
      <c r="AI145" t="s">
        <v>3834</v>
      </c>
      <c r="AJ145" t="s">
        <v>3835</v>
      </c>
      <c r="AK145" t="s">
        <v>3832</v>
      </c>
      <c r="AM145" s="3" t="s">
        <v>3998</v>
      </c>
      <c r="AN145" s="3"/>
      <c r="AO145" s="3">
        <v>46265</v>
      </c>
      <c r="AP145" s="3"/>
      <c r="AQ145" s="3" t="s">
        <v>3877</v>
      </c>
      <c r="AR145" s="3"/>
      <c r="AS145" s="3"/>
      <c r="AT145" s="3">
        <v>46277</v>
      </c>
      <c r="AU145" s="3">
        <v>46310</v>
      </c>
      <c r="AV145" s="3"/>
      <c r="AW145" t="s">
        <v>3839</v>
      </c>
      <c r="BC145" t="s">
        <v>18</v>
      </c>
      <c r="BD145" t="s">
        <v>0</v>
      </c>
      <c r="BE145" t="s">
        <v>3990</v>
      </c>
      <c r="BF145" t="s">
        <v>3991</v>
      </c>
      <c r="BG145" t="s">
        <v>3817</v>
      </c>
      <c r="CW145" s="6" t="str" cm="1">
        <f t="array" ref="CW145">IFERROR(_xlfn.IFS(H145=TIME(7,0,0),"GY",H145=TIME(7,30,0),"GY",H145=TIME(9,0,0),"GY",H145=TIME(15,0,0),"GY",H145=TIME(8,30,0),"GY",H145=TIME(5,30,0),"GY",H145=TIME(6,0,0),"GD",H145=TIME(6,30,0),"GD",H145=TIME(8,0,0),"GY",H145=TIME(6,15,0),"GD"),"")</f>
        <v>GD</v>
      </c>
      <c r="EE145"/>
    </row>
    <row r="146" spans="1:135" x14ac:dyDescent="0.45">
      <c r="A146" s="3" t="s">
        <v>18</v>
      </c>
      <c r="B146" s="3" t="s">
        <v>0</v>
      </c>
      <c r="C146" s="3" t="s">
        <v>3990</v>
      </c>
      <c r="D146" s="3" t="s">
        <v>3991</v>
      </c>
      <c r="E146" s="100" t="s">
        <v>3817</v>
      </c>
      <c r="F146" s="3" t="s">
        <v>3999</v>
      </c>
      <c r="G146" s="4">
        <v>46268</v>
      </c>
      <c r="H146" s="5">
        <v>0.27083333333333326</v>
      </c>
      <c r="I146" s="91">
        <v>46265</v>
      </c>
      <c r="J146" s="91"/>
      <c r="K146" s="91">
        <v>46263</v>
      </c>
      <c r="L146" s="3" t="s">
        <v>3993</v>
      </c>
      <c r="M146" s="3" t="s">
        <v>3819</v>
      </c>
      <c r="N146" s="3" t="s">
        <v>3994</v>
      </c>
      <c r="O146" t="s">
        <v>3867</v>
      </c>
      <c r="P146" s="3" t="s">
        <v>3852</v>
      </c>
      <c r="Q146">
        <v>46245</v>
      </c>
      <c r="R146" s="3">
        <v>726</v>
      </c>
      <c r="S146" s="3" t="s">
        <v>3823</v>
      </c>
      <c r="T146" s="3">
        <v>3272</v>
      </c>
      <c r="U146" s="3" t="s">
        <v>4000</v>
      </c>
      <c r="V146" s="3" t="s">
        <v>4001</v>
      </c>
      <c r="W146" s="3">
        <v>1624.346</v>
      </c>
      <c r="X146" s="3">
        <v>46259</v>
      </c>
      <c r="Y146" s="3">
        <v>46257</v>
      </c>
      <c r="AA146" t="s">
        <v>3870</v>
      </c>
      <c r="AB146" t="s">
        <v>3871</v>
      </c>
      <c r="AC146" s="3" t="s">
        <v>3997</v>
      </c>
      <c r="AD146" t="s">
        <v>3929</v>
      </c>
      <c r="AE146" t="s">
        <v>3930</v>
      </c>
      <c r="AF146" t="s">
        <v>3831</v>
      </c>
      <c r="AG146" t="s">
        <v>3832</v>
      </c>
      <c r="AH146" t="s">
        <v>3875</v>
      </c>
      <c r="AI146" t="s">
        <v>3834</v>
      </c>
      <c r="AJ146" t="s">
        <v>3835</v>
      </c>
      <c r="AK146" t="s">
        <v>3832</v>
      </c>
      <c r="AM146" s="3" t="s">
        <v>3998</v>
      </c>
      <c r="AN146" s="3"/>
      <c r="AO146" s="3">
        <v>46265</v>
      </c>
      <c r="AP146" s="3"/>
      <c r="AQ146" s="3" t="s">
        <v>3877</v>
      </c>
      <c r="AR146" s="3"/>
      <c r="AS146" s="3"/>
      <c r="AT146" s="3">
        <v>46277</v>
      </c>
      <c r="AU146" s="3">
        <v>46310</v>
      </c>
      <c r="AV146" s="3"/>
      <c r="AW146" t="s">
        <v>3839</v>
      </c>
      <c r="BC146" t="s">
        <v>18</v>
      </c>
      <c r="BD146" t="s">
        <v>0</v>
      </c>
      <c r="BE146" t="s">
        <v>3990</v>
      </c>
      <c r="BF146" t="s">
        <v>3991</v>
      </c>
      <c r="BG146" t="s">
        <v>3817</v>
      </c>
      <c r="CW146" s="6" t="str" cm="1">
        <f t="array" ref="CW146">IFERROR(_xlfn.IFS(H146=TIME(7,0,0),"GY",H146=TIME(7,30,0),"GY",H146=TIME(9,0,0),"GY",H146=TIME(15,0,0),"GY",H146=TIME(8,30,0),"GY",H146=TIME(5,30,0),"GY",H146=TIME(6,0,0),"GD",H146=TIME(6,30,0),"GD",H146=TIME(8,0,0),"GY",H146=TIME(6,15,0),"GD"),"")</f>
        <v>GD</v>
      </c>
      <c r="EE146"/>
    </row>
    <row r="147" spans="1:135" x14ac:dyDescent="0.45">
      <c r="A147" s="3" t="s">
        <v>32</v>
      </c>
      <c r="B147" s="3" t="s">
        <v>3814</v>
      </c>
      <c r="C147" s="3" t="s">
        <v>4002</v>
      </c>
      <c r="D147" s="3" t="s">
        <v>4003</v>
      </c>
      <c r="E147" s="100" t="s">
        <v>3817</v>
      </c>
      <c r="F147" s="3" t="s">
        <v>4004</v>
      </c>
      <c r="G147" s="4">
        <v>46268</v>
      </c>
      <c r="H147" s="5">
        <v>0.22916666666666674</v>
      </c>
      <c r="I147" s="91">
        <v>46265</v>
      </c>
      <c r="J147" s="91"/>
      <c r="K147" s="91">
        <v>46263</v>
      </c>
      <c r="L147" s="3" t="s">
        <v>4005</v>
      </c>
      <c r="M147" s="3" t="s">
        <v>4006</v>
      </c>
      <c r="N147" s="3" t="s">
        <v>4007</v>
      </c>
      <c r="O147" t="s">
        <v>3867</v>
      </c>
      <c r="P147" s="3" t="s">
        <v>4008</v>
      </c>
      <c r="Q147">
        <v>46232</v>
      </c>
      <c r="R147" s="3">
        <v>726</v>
      </c>
      <c r="S147" s="3" t="s">
        <v>3823</v>
      </c>
      <c r="T147" s="3">
        <v>24</v>
      </c>
      <c r="U147" s="3" t="s">
        <v>4009</v>
      </c>
      <c r="V147" s="3" t="s">
        <v>4010</v>
      </c>
      <c r="W147" s="3">
        <v>115</v>
      </c>
      <c r="X147" s="3">
        <v>46248</v>
      </c>
      <c r="Y147" s="3">
        <v>46250</v>
      </c>
      <c r="AA147" t="s">
        <v>3826</v>
      </c>
      <c r="AB147" t="s">
        <v>3827</v>
      </c>
      <c r="AC147" s="3" t="s">
        <v>4011</v>
      </c>
      <c r="AD147" t="s">
        <v>3906</v>
      </c>
      <c r="AE147" t="s">
        <v>3907</v>
      </c>
      <c r="AF147" t="s">
        <v>3831</v>
      </c>
      <c r="AG147" t="s">
        <v>3832</v>
      </c>
      <c r="AH147" t="s">
        <v>3908</v>
      </c>
      <c r="AI147" t="s">
        <v>3834</v>
      </c>
      <c r="AJ147" t="s">
        <v>3835</v>
      </c>
      <c r="AK147" t="s">
        <v>3832</v>
      </c>
      <c r="AM147" s="3" t="s">
        <v>4012</v>
      </c>
      <c r="AN147" s="3"/>
      <c r="AO147" s="3">
        <v>46265</v>
      </c>
      <c r="AP147" s="3"/>
      <c r="AQ147" s="3" t="s">
        <v>3837</v>
      </c>
      <c r="AR147" s="3" t="s">
        <v>3814</v>
      </c>
      <c r="AS147" s="3"/>
      <c r="AT147" s="3">
        <v>46277</v>
      </c>
      <c r="AU147" s="3">
        <v>46310</v>
      </c>
      <c r="AV147" s="3"/>
      <c r="AW147" t="s">
        <v>3839</v>
      </c>
      <c r="BC147" t="s">
        <v>32</v>
      </c>
      <c r="BD147" t="s">
        <v>3814</v>
      </c>
      <c r="BE147" t="s">
        <v>4002</v>
      </c>
      <c r="BF147" t="s">
        <v>4003</v>
      </c>
      <c r="BG147" t="s">
        <v>3817</v>
      </c>
      <c r="CW147" s="6" t="str" cm="1">
        <f t="array" ref="CW147">IFERROR(_xlfn.IFS(H147=TIME(7,0,0),"GY",H147=TIME(7,30,0),"GY",H147=TIME(9,0,0),"GY",H147=TIME(15,0,0),"GY",H147=TIME(8,30,0),"GY",H147=TIME(5,30,0),"GY",H147=TIME(6,0,0),"GD",H147=TIME(6,30,0),"GD",H147=TIME(8,0,0),"GY",H147=TIME(6,15,0),"GD"),"")</f>
        <v>GY</v>
      </c>
      <c r="EE147"/>
    </row>
    <row r="148" spans="1:135" x14ac:dyDescent="0.45">
      <c r="A148" s="3" t="s">
        <v>32</v>
      </c>
      <c r="B148" s="3" t="s">
        <v>3814</v>
      </c>
      <c r="C148" s="3" t="s">
        <v>4013</v>
      </c>
      <c r="D148" s="3" t="s">
        <v>4014</v>
      </c>
      <c r="E148" s="100" t="s">
        <v>3817</v>
      </c>
      <c r="F148" s="3" t="s">
        <v>4015</v>
      </c>
      <c r="G148" s="4">
        <v>46267</v>
      </c>
      <c r="H148" s="5">
        <v>0.35416666666666674</v>
      </c>
      <c r="I148" s="91">
        <v>46265</v>
      </c>
      <c r="J148" s="91"/>
      <c r="K148" s="91">
        <v>46263</v>
      </c>
      <c r="L148" s="3" t="s">
        <v>4016</v>
      </c>
      <c r="M148" s="3" t="s">
        <v>3966</v>
      </c>
      <c r="N148" s="3" t="s">
        <v>4017</v>
      </c>
      <c r="O148" t="s">
        <v>3821</v>
      </c>
      <c r="P148" s="3" t="s">
        <v>4008</v>
      </c>
      <c r="Q148">
        <v>46225</v>
      </c>
      <c r="R148" s="3">
        <v>726</v>
      </c>
      <c r="S148" s="3" t="s">
        <v>3823</v>
      </c>
      <c r="T148" s="3">
        <v>64</v>
      </c>
      <c r="U148" s="3" t="s">
        <v>4018</v>
      </c>
      <c r="V148" s="3" t="s">
        <v>4019</v>
      </c>
      <c r="W148" s="3">
        <v>1136.646</v>
      </c>
      <c r="X148" s="3">
        <v>46248</v>
      </c>
      <c r="Y148" s="3">
        <v>46246</v>
      </c>
      <c r="AA148" t="s">
        <v>3826</v>
      </c>
      <c r="AB148" t="s">
        <v>3827</v>
      </c>
      <c r="AC148" s="3" t="s">
        <v>4020</v>
      </c>
      <c r="AD148" t="s">
        <v>3906</v>
      </c>
      <c r="AE148" t="s">
        <v>3907</v>
      </c>
      <c r="AF148" t="s">
        <v>3831</v>
      </c>
      <c r="AG148" t="s">
        <v>3832</v>
      </c>
      <c r="AH148" t="s">
        <v>3908</v>
      </c>
      <c r="AI148" t="s">
        <v>3834</v>
      </c>
      <c r="AJ148" t="s">
        <v>3835</v>
      </c>
      <c r="AK148" t="s">
        <v>3832</v>
      </c>
      <c r="AM148" s="3" t="s">
        <v>4021</v>
      </c>
      <c r="AN148" s="3"/>
      <c r="AO148" s="3">
        <v>46265</v>
      </c>
      <c r="AP148" s="3"/>
      <c r="AQ148" s="3" t="s">
        <v>3837</v>
      </c>
      <c r="AR148" s="3" t="s">
        <v>3814</v>
      </c>
      <c r="AS148" s="3"/>
      <c r="AT148" s="3">
        <v>46277</v>
      </c>
      <c r="AU148" s="3">
        <v>46310</v>
      </c>
      <c r="AV148" s="3"/>
      <c r="AW148" t="s">
        <v>3839</v>
      </c>
      <c r="BC148" t="s">
        <v>32</v>
      </c>
      <c r="BD148" t="s">
        <v>3814</v>
      </c>
      <c r="BE148" t="s">
        <v>4013</v>
      </c>
      <c r="BF148" t="s">
        <v>4014</v>
      </c>
      <c r="BG148" t="s">
        <v>3817</v>
      </c>
      <c r="CW148" s="6" t="str" cm="1">
        <f t="array" ref="CW148">IFERROR(_xlfn.IFS(H148=TIME(7,0,0),"GY",H148=TIME(7,30,0),"GY",H148=TIME(9,0,0),"GY",H148=TIME(15,0,0),"GY",H148=TIME(8,30,0),"GY",H148=TIME(5,30,0),"GY",H148=TIME(6,0,0),"GD",H148=TIME(6,30,0),"GD",H148=TIME(8,0,0),"GY",H148=TIME(6,15,0),"GD"),"")</f>
        <v>GY</v>
      </c>
      <c r="EE148"/>
    </row>
    <row r="149" spans="1:135" x14ac:dyDescent="0.45">
      <c r="A149" s="3" t="s">
        <v>32</v>
      </c>
      <c r="B149" s="3" t="s">
        <v>3814</v>
      </c>
      <c r="C149" s="3" t="s">
        <v>4013</v>
      </c>
      <c r="D149" s="3" t="s">
        <v>4014</v>
      </c>
      <c r="E149" s="100" t="s">
        <v>3817</v>
      </c>
      <c r="F149" s="3" t="s">
        <v>4022</v>
      </c>
      <c r="G149" s="4">
        <v>46267</v>
      </c>
      <c r="H149" s="5">
        <v>0.35416666666666674</v>
      </c>
      <c r="I149" s="91">
        <v>46265</v>
      </c>
      <c r="J149" s="91"/>
      <c r="K149" s="91">
        <v>46263</v>
      </c>
      <c r="L149" s="3" t="s">
        <v>4016</v>
      </c>
      <c r="M149" s="3" t="s">
        <v>3966</v>
      </c>
      <c r="N149" s="3" t="s">
        <v>4017</v>
      </c>
      <c r="O149" t="s">
        <v>3821</v>
      </c>
      <c r="P149" s="3" t="s">
        <v>4008</v>
      </c>
      <c r="Q149">
        <v>46225</v>
      </c>
      <c r="R149" s="3">
        <v>726</v>
      </c>
      <c r="S149" s="3" t="s">
        <v>3823</v>
      </c>
      <c r="T149" s="3">
        <v>106</v>
      </c>
      <c r="U149" s="3" t="s">
        <v>4023</v>
      </c>
      <c r="V149" s="3" t="s">
        <v>4024</v>
      </c>
      <c r="W149" s="3">
        <v>1202.3399999999999</v>
      </c>
      <c r="X149" s="3">
        <v>46261</v>
      </c>
      <c r="Y149" s="3">
        <v>46246</v>
      </c>
      <c r="AA149" t="s">
        <v>3826</v>
      </c>
      <c r="AB149" t="s">
        <v>3827</v>
      </c>
      <c r="AC149" s="3" t="s">
        <v>4020</v>
      </c>
      <c r="AD149" t="s">
        <v>3906</v>
      </c>
      <c r="AE149" t="s">
        <v>3907</v>
      </c>
      <c r="AF149" t="s">
        <v>3831</v>
      </c>
      <c r="AG149" t="s">
        <v>3832</v>
      </c>
      <c r="AH149" t="s">
        <v>3908</v>
      </c>
      <c r="AI149" t="s">
        <v>3834</v>
      </c>
      <c r="AJ149" t="s">
        <v>3835</v>
      </c>
      <c r="AK149" t="s">
        <v>3832</v>
      </c>
      <c r="AM149" s="3" t="s">
        <v>4021</v>
      </c>
      <c r="AN149" s="3"/>
      <c r="AO149" s="3">
        <v>46265</v>
      </c>
      <c r="AP149" s="3"/>
      <c r="AQ149" s="3" t="s">
        <v>3837</v>
      </c>
      <c r="AR149" s="3" t="s">
        <v>3814</v>
      </c>
      <c r="AS149" s="3"/>
      <c r="AT149" s="3">
        <v>46277</v>
      </c>
      <c r="AU149" s="3">
        <v>46310</v>
      </c>
      <c r="AV149" s="3"/>
      <c r="AW149" t="s">
        <v>3839</v>
      </c>
      <c r="BC149" t="s">
        <v>32</v>
      </c>
      <c r="BD149" t="s">
        <v>3814</v>
      </c>
      <c r="BE149" t="s">
        <v>4013</v>
      </c>
      <c r="BF149" t="s">
        <v>4014</v>
      </c>
      <c r="BG149" t="s">
        <v>3817</v>
      </c>
      <c r="CW149" s="6" t="str" cm="1">
        <f t="array" ref="CW149">IFERROR(_xlfn.IFS(H149=TIME(7,0,0),"GY",H149=TIME(7,30,0),"GY",H149=TIME(9,0,0),"GY",H149=TIME(15,0,0),"GY",H149=TIME(8,30,0),"GY",H149=TIME(5,30,0),"GY",H149=TIME(6,0,0),"GD",H149=TIME(6,30,0),"GD",H149=TIME(8,0,0),"GY",H149=TIME(6,15,0),"GD"),"")</f>
        <v>GY</v>
      </c>
      <c r="EE149"/>
    </row>
    <row r="150" spans="1:135" x14ac:dyDescent="0.45">
      <c r="A150" s="3" t="s">
        <v>63</v>
      </c>
      <c r="B150" s="3"/>
      <c r="C150" s="3" t="s">
        <v>4025</v>
      </c>
      <c r="D150" s="3" t="s">
        <v>4026</v>
      </c>
      <c r="E150" s="100" t="s">
        <v>3817</v>
      </c>
      <c r="F150" s="3" t="s">
        <v>4027</v>
      </c>
      <c r="G150" s="4">
        <v>46267</v>
      </c>
      <c r="H150" s="5">
        <v>0.27083333333333326</v>
      </c>
      <c r="I150" s="91">
        <v>46262</v>
      </c>
      <c r="J150" s="91"/>
      <c r="K150" s="91">
        <v>46260</v>
      </c>
      <c r="L150" s="3" t="s">
        <v>4028</v>
      </c>
      <c r="M150" s="3" t="s">
        <v>3819</v>
      </c>
      <c r="N150" s="3" t="s">
        <v>4029</v>
      </c>
      <c r="O150" t="s">
        <v>3867</v>
      </c>
      <c r="P150" s="3" t="s">
        <v>4030</v>
      </c>
      <c r="Q150">
        <v>46237</v>
      </c>
      <c r="R150" s="3">
        <v>726</v>
      </c>
      <c r="S150" s="3" t="s">
        <v>3823</v>
      </c>
      <c r="T150" s="3">
        <v>3546</v>
      </c>
      <c r="U150" s="3" t="s">
        <v>4031</v>
      </c>
      <c r="V150" s="3" t="s">
        <v>4032</v>
      </c>
      <c r="W150" s="3">
        <v>1490.8579999999999</v>
      </c>
      <c r="X150" s="3">
        <v>46252</v>
      </c>
      <c r="Y150" s="3">
        <v>46249</v>
      </c>
      <c r="AA150" t="s">
        <v>3826</v>
      </c>
      <c r="AB150" t="s">
        <v>3827</v>
      </c>
      <c r="AC150" s="3" t="s">
        <v>4033</v>
      </c>
      <c r="AD150" t="s">
        <v>4034</v>
      </c>
      <c r="AE150" t="s">
        <v>4035</v>
      </c>
      <c r="AF150" t="s">
        <v>3831</v>
      </c>
      <c r="AG150" t="s">
        <v>3832</v>
      </c>
      <c r="AH150" t="s">
        <v>3908</v>
      </c>
      <c r="AI150" t="s">
        <v>3834</v>
      </c>
      <c r="AJ150" t="s">
        <v>3956</v>
      </c>
      <c r="AK150" t="s">
        <v>3832</v>
      </c>
      <c r="AM150" s="3" t="s">
        <v>4036</v>
      </c>
      <c r="AN150" s="3"/>
      <c r="AO150" s="3">
        <v>46262</v>
      </c>
      <c r="AP150" s="3"/>
      <c r="AQ150" s="3" t="s">
        <v>4037</v>
      </c>
      <c r="AR150" s="3"/>
      <c r="AS150" s="3" t="s">
        <v>3961</v>
      </c>
      <c r="AT150" s="3">
        <v>46274</v>
      </c>
      <c r="AU150" s="3"/>
      <c r="AV150" s="3">
        <v>46277</v>
      </c>
      <c r="AW150" t="s">
        <v>3839</v>
      </c>
      <c r="BC150" t="s">
        <v>63</v>
      </c>
      <c r="BE150" t="s">
        <v>4025</v>
      </c>
      <c r="BF150" t="s">
        <v>4026</v>
      </c>
      <c r="BG150" t="s">
        <v>3817</v>
      </c>
      <c r="CW150" s="6" t="str" cm="1">
        <f t="array" ref="CW150">IFERROR(_xlfn.IFS(H150=TIME(7,0,0),"GY",H150=TIME(7,30,0),"GY",H150=TIME(9,0,0),"GY",H150=TIME(15,0,0),"GY",H150=TIME(8,30,0),"GY",H150=TIME(5,30,0),"GY",H150=TIME(6,0,0),"GD",H150=TIME(6,30,0),"GD",H150=TIME(8,0,0),"GY",H150=TIME(6,15,0),"GD"),"")</f>
        <v>GD</v>
      </c>
      <c r="EE150"/>
    </row>
    <row r="151" spans="1:135" x14ac:dyDescent="0.45">
      <c r="A151" s="3" t="s">
        <v>63</v>
      </c>
      <c r="B151" s="3"/>
      <c r="C151" s="3" t="s">
        <v>4025</v>
      </c>
      <c r="D151" s="3" t="s">
        <v>4026</v>
      </c>
      <c r="E151" s="100" t="s">
        <v>3817</v>
      </c>
      <c r="F151" s="3" t="s">
        <v>4038</v>
      </c>
      <c r="G151" s="4">
        <v>46267</v>
      </c>
      <c r="H151" s="5">
        <v>0.27083333333333326</v>
      </c>
      <c r="I151" s="91">
        <v>46262</v>
      </c>
      <c r="J151" s="91"/>
      <c r="K151" s="91">
        <v>46260</v>
      </c>
      <c r="L151" s="3" t="s">
        <v>4028</v>
      </c>
      <c r="M151" s="3" t="s">
        <v>3819</v>
      </c>
      <c r="N151" s="3" t="s">
        <v>4029</v>
      </c>
      <c r="O151" t="s">
        <v>3867</v>
      </c>
      <c r="P151" s="3" t="s">
        <v>4030</v>
      </c>
      <c r="Q151">
        <v>46237</v>
      </c>
      <c r="R151" s="3">
        <v>726</v>
      </c>
      <c r="S151" s="3" t="s">
        <v>3823</v>
      </c>
      <c r="T151" s="3">
        <v>10361</v>
      </c>
      <c r="U151" s="3" t="s">
        <v>4039</v>
      </c>
      <c r="V151" s="3" t="s">
        <v>4040</v>
      </c>
      <c r="W151" s="3">
        <v>3737.9090000000001</v>
      </c>
      <c r="X151" s="3">
        <v>46252</v>
      </c>
      <c r="Y151" s="3">
        <v>46249</v>
      </c>
      <c r="AA151" t="s">
        <v>3826</v>
      </c>
      <c r="AB151" t="s">
        <v>3827</v>
      </c>
      <c r="AC151" s="3" t="s">
        <v>4033</v>
      </c>
      <c r="AD151" t="s">
        <v>4034</v>
      </c>
      <c r="AE151" t="s">
        <v>4035</v>
      </c>
      <c r="AF151" t="s">
        <v>3831</v>
      </c>
      <c r="AG151" t="s">
        <v>3832</v>
      </c>
      <c r="AH151" t="s">
        <v>3908</v>
      </c>
      <c r="AI151" t="s">
        <v>3834</v>
      </c>
      <c r="AJ151" t="s">
        <v>3956</v>
      </c>
      <c r="AK151" t="s">
        <v>3832</v>
      </c>
      <c r="AM151" s="3" t="s">
        <v>4036</v>
      </c>
      <c r="AN151" s="3"/>
      <c r="AO151" s="3">
        <v>46262</v>
      </c>
      <c r="AP151" s="3"/>
      <c r="AQ151" s="3" t="s">
        <v>4037</v>
      </c>
      <c r="AR151" s="3"/>
      <c r="AS151" s="3" t="s">
        <v>3961</v>
      </c>
      <c r="AT151" s="3">
        <v>46274</v>
      </c>
      <c r="AU151" s="3"/>
      <c r="AV151" s="3">
        <v>46277</v>
      </c>
      <c r="AW151" t="s">
        <v>3839</v>
      </c>
      <c r="BC151" t="s">
        <v>63</v>
      </c>
      <c r="BE151" t="s">
        <v>4025</v>
      </c>
      <c r="BF151" t="s">
        <v>4026</v>
      </c>
      <c r="BG151" t="s">
        <v>3817</v>
      </c>
      <c r="CW151" s="6" t="str" cm="1">
        <f t="array" ref="CW151">IFERROR(_xlfn.IFS(H151=TIME(7,0,0),"GY",H151=TIME(7,30,0),"GY",H151=TIME(9,0,0),"GY",H151=TIME(15,0,0),"GY",H151=TIME(8,30,0),"GY",H151=TIME(5,30,0),"GY",H151=TIME(6,0,0),"GD",H151=TIME(6,30,0),"GD",H151=TIME(8,0,0),"GY",H151=TIME(6,15,0),"GD"),"")</f>
        <v>GD</v>
      </c>
      <c r="EE151"/>
    </row>
    <row r="152" spans="1:135" x14ac:dyDescent="0.45">
      <c r="A152" s="3" t="s">
        <v>63</v>
      </c>
      <c r="B152" s="3" t="s">
        <v>3944</v>
      </c>
      <c r="C152" s="3" t="s">
        <v>4041</v>
      </c>
      <c r="D152" s="3" t="s">
        <v>4042</v>
      </c>
      <c r="E152" s="100" t="s">
        <v>3947</v>
      </c>
      <c r="F152" s="3" t="s">
        <v>4043</v>
      </c>
      <c r="G152" s="4">
        <v>46266</v>
      </c>
      <c r="H152" s="5">
        <v>0.27083333333333326</v>
      </c>
      <c r="I152" s="91">
        <v>46259</v>
      </c>
      <c r="J152" s="91"/>
      <c r="K152" s="91">
        <v>46243</v>
      </c>
      <c r="L152" s="3" t="s">
        <v>4044</v>
      </c>
      <c r="M152" s="3" t="s">
        <v>3819</v>
      </c>
      <c r="N152" s="3" t="s">
        <v>4045</v>
      </c>
      <c r="O152" t="s">
        <v>3867</v>
      </c>
      <c r="P152" s="3" t="s">
        <v>4030</v>
      </c>
      <c r="Q152">
        <v>46212</v>
      </c>
      <c r="R152" s="3">
        <v>726</v>
      </c>
      <c r="S152" s="3" t="s">
        <v>3823</v>
      </c>
      <c r="T152" s="3">
        <v>4636</v>
      </c>
      <c r="U152" s="3" t="s">
        <v>4046</v>
      </c>
      <c r="V152" s="3" t="s">
        <v>4047</v>
      </c>
      <c r="W152" s="3">
        <v>1238.511</v>
      </c>
      <c r="X152" s="3">
        <v>46232</v>
      </c>
      <c r="Y152" s="3">
        <v>46230</v>
      </c>
      <c r="AA152" t="s">
        <v>3826</v>
      </c>
      <c r="AB152" t="s">
        <v>3827</v>
      </c>
      <c r="AC152" s="3" t="s">
        <v>4048</v>
      </c>
      <c r="AD152" t="s">
        <v>4049</v>
      </c>
      <c r="AE152" t="s">
        <v>4050</v>
      </c>
      <c r="AF152" t="s">
        <v>3831</v>
      </c>
      <c r="AG152" t="s">
        <v>3832</v>
      </c>
      <c r="AH152" t="s">
        <v>3908</v>
      </c>
      <c r="AI152" t="s">
        <v>3834</v>
      </c>
      <c r="AJ152" t="s">
        <v>3956</v>
      </c>
      <c r="AK152" t="s">
        <v>3832</v>
      </c>
      <c r="AM152" s="3" t="s">
        <v>4051</v>
      </c>
      <c r="AN152" s="3"/>
      <c r="AO152" s="3">
        <v>46259</v>
      </c>
      <c r="AP152" s="3" t="s">
        <v>3958</v>
      </c>
      <c r="AQ152" s="3" t="s">
        <v>3959</v>
      </c>
      <c r="AR152" s="3" t="s">
        <v>4052</v>
      </c>
      <c r="AS152" s="3" t="s">
        <v>3961</v>
      </c>
      <c r="AT152" s="3"/>
      <c r="AU152" s="3"/>
      <c r="AV152" s="3"/>
      <c r="AW152" t="s">
        <v>3839</v>
      </c>
      <c r="BC152" t="s">
        <v>63</v>
      </c>
      <c r="BD152" t="s">
        <v>3944</v>
      </c>
      <c r="BE152" t="s">
        <v>4041</v>
      </c>
      <c r="BF152" t="s">
        <v>4042</v>
      </c>
      <c r="BG152" t="s">
        <v>3947</v>
      </c>
      <c r="CW152" s="6" t="str" cm="1">
        <f t="array" ref="CW152">IFERROR(_xlfn.IFS(H152=TIME(7,0,0),"GY",H152=TIME(7,30,0),"GY",H152=TIME(9,0,0),"GY",H152=TIME(15,0,0),"GY",H152=TIME(8,30,0),"GY",H152=TIME(5,30,0),"GY",H152=TIME(6,0,0),"GD",H152=TIME(6,30,0),"GD",H152=TIME(8,0,0),"GY",H152=TIME(6,15,0),"GD"),"")</f>
        <v>GD</v>
      </c>
      <c r="EE152"/>
    </row>
    <row r="153" spans="1:135" x14ac:dyDescent="0.45">
      <c r="A153" s="3" t="s">
        <v>63</v>
      </c>
      <c r="B153" s="3" t="s">
        <v>3944</v>
      </c>
      <c r="C153" s="3" t="s">
        <v>4041</v>
      </c>
      <c r="D153" s="3" t="s">
        <v>4042</v>
      </c>
      <c r="E153" s="100" t="s">
        <v>3947</v>
      </c>
      <c r="F153" s="3" t="s">
        <v>4053</v>
      </c>
      <c r="G153" s="4">
        <v>46266</v>
      </c>
      <c r="H153" s="5">
        <v>0.27083333333333326</v>
      </c>
      <c r="I153" s="91">
        <v>46259</v>
      </c>
      <c r="J153" s="91"/>
      <c r="K153" s="91">
        <v>46243</v>
      </c>
      <c r="L153" s="3" t="s">
        <v>4044</v>
      </c>
      <c r="M153" s="3" t="s">
        <v>3819</v>
      </c>
      <c r="N153" s="3" t="s">
        <v>4045</v>
      </c>
      <c r="O153" t="s">
        <v>3867</v>
      </c>
      <c r="P153" s="3" t="s">
        <v>4030</v>
      </c>
      <c r="Q153">
        <v>46212</v>
      </c>
      <c r="R153" s="3">
        <v>726</v>
      </c>
      <c r="S153" s="3" t="s">
        <v>3823</v>
      </c>
      <c r="T153" s="3">
        <v>10559</v>
      </c>
      <c r="U153" s="3" t="s">
        <v>4054</v>
      </c>
      <c r="V153" s="3" t="s">
        <v>4055</v>
      </c>
      <c r="W153" s="3">
        <v>3422.8919999999998</v>
      </c>
      <c r="X153" s="3">
        <v>46232</v>
      </c>
      <c r="Y153" s="3">
        <v>46230</v>
      </c>
      <c r="AA153" t="s">
        <v>3826</v>
      </c>
      <c r="AB153" t="s">
        <v>3827</v>
      </c>
      <c r="AC153" s="3" t="s">
        <v>4048</v>
      </c>
      <c r="AD153" t="s">
        <v>4049</v>
      </c>
      <c r="AE153" t="s">
        <v>4050</v>
      </c>
      <c r="AF153" t="s">
        <v>3831</v>
      </c>
      <c r="AG153" t="s">
        <v>3832</v>
      </c>
      <c r="AH153" t="s">
        <v>3908</v>
      </c>
      <c r="AI153" t="s">
        <v>3834</v>
      </c>
      <c r="AJ153" t="s">
        <v>3956</v>
      </c>
      <c r="AK153" t="s">
        <v>3832</v>
      </c>
      <c r="AM153" s="3" t="s">
        <v>4051</v>
      </c>
      <c r="AN153" s="3"/>
      <c r="AO153" s="3">
        <v>46259</v>
      </c>
      <c r="AP153" s="3" t="s">
        <v>3958</v>
      </c>
      <c r="AQ153" s="3" t="s">
        <v>3959</v>
      </c>
      <c r="AR153" s="3" t="s">
        <v>4052</v>
      </c>
      <c r="AS153" s="3" t="s">
        <v>3961</v>
      </c>
      <c r="AT153" s="3"/>
      <c r="AU153" s="3"/>
      <c r="AV153" s="3"/>
      <c r="AW153" t="s">
        <v>3839</v>
      </c>
      <c r="BC153" t="s">
        <v>63</v>
      </c>
      <c r="BD153" t="s">
        <v>3944</v>
      </c>
      <c r="BE153" t="s">
        <v>4041</v>
      </c>
      <c r="BF153" t="s">
        <v>4042</v>
      </c>
      <c r="BG153" t="s">
        <v>3947</v>
      </c>
      <c r="CW153" s="6" t="str" cm="1">
        <f t="array" ref="CW153">IFERROR(_xlfn.IFS(H153=TIME(7,0,0),"GY",H153=TIME(7,30,0),"GY",H153=TIME(9,0,0),"GY",H153=TIME(15,0,0),"GY",H153=TIME(8,30,0),"GY",H153=TIME(5,30,0),"GY",H153=TIME(6,0,0),"GD",H153=TIME(6,30,0),"GD",H153=TIME(8,0,0),"GY",H153=TIME(6,15,0),"GD"),"")</f>
        <v>GD</v>
      </c>
      <c r="EE153"/>
    </row>
    <row r="154" spans="1:135" x14ac:dyDescent="0.45">
      <c r="A154" s="3" t="s">
        <v>32</v>
      </c>
      <c r="B154" s="3" t="s">
        <v>3814</v>
      </c>
      <c r="C154" s="3" t="s">
        <v>4056</v>
      </c>
      <c r="D154" s="3" t="s">
        <v>4057</v>
      </c>
      <c r="E154" s="100" t="s">
        <v>3817</v>
      </c>
      <c r="F154" s="3" t="s">
        <v>4058</v>
      </c>
      <c r="G154" s="4">
        <v>46265</v>
      </c>
      <c r="H154" s="5">
        <v>0.22916666666666674</v>
      </c>
      <c r="I154" s="91">
        <v>46258</v>
      </c>
      <c r="J154" s="91"/>
      <c r="K154" s="91">
        <v>46256</v>
      </c>
      <c r="L154" s="3" t="s">
        <v>4059</v>
      </c>
      <c r="M154" s="3" t="s">
        <v>3819</v>
      </c>
      <c r="N154" s="3" t="s">
        <v>4060</v>
      </c>
      <c r="O154" t="s">
        <v>3867</v>
      </c>
      <c r="P154" s="3" t="s">
        <v>3852</v>
      </c>
      <c r="Q154">
        <v>46223</v>
      </c>
      <c r="R154" s="3">
        <v>726</v>
      </c>
      <c r="S154" s="3" t="s">
        <v>3823</v>
      </c>
      <c r="T154" s="3">
        <v>60</v>
      </c>
      <c r="U154" s="3" t="s">
        <v>4061</v>
      </c>
      <c r="V154" s="3" t="s">
        <v>4062</v>
      </c>
      <c r="W154" s="3">
        <v>1541.8679999999999</v>
      </c>
      <c r="X154" s="3">
        <v>46248</v>
      </c>
      <c r="Y154" s="3">
        <v>46246</v>
      </c>
      <c r="AA154" t="s">
        <v>3855</v>
      </c>
      <c r="AB154" t="s">
        <v>3856</v>
      </c>
      <c r="AC154" s="3" t="s">
        <v>4063</v>
      </c>
      <c r="AD154" t="s">
        <v>4064</v>
      </c>
      <c r="AE154" t="s">
        <v>4065</v>
      </c>
      <c r="AF154" t="s">
        <v>3831</v>
      </c>
      <c r="AG154" t="s">
        <v>3832</v>
      </c>
      <c r="AH154" t="s">
        <v>3860</v>
      </c>
      <c r="AI154" t="s">
        <v>3834</v>
      </c>
      <c r="AJ154" t="s">
        <v>3835</v>
      </c>
      <c r="AK154" t="s">
        <v>3832</v>
      </c>
      <c r="AL154" t="s">
        <v>4066</v>
      </c>
      <c r="AM154" s="3" t="s">
        <v>4067</v>
      </c>
      <c r="AN154" s="3"/>
      <c r="AO154" s="3">
        <v>46258</v>
      </c>
      <c r="AP154" s="3"/>
      <c r="AQ154" s="3" t="s">
        <v>3862</v>
      </c>
      <c r="AR154" s="3" t="s">
        <v>3814</v>
      </c>
      <c r="AS154" s="3"/>
      <c r="AT154" s="3">
        <v>46270</v>
      </c>
      <c r="AU154" s="3"/>
      <c r="AV154" s="3"/>
      <c r="AW154" t="s">
        <v>3839</v>
      </c>
      <c r="BC154" t="s">
        <v>32</v>
      </c>
      <c r="BD154" t="s">
        <v>3814</v>
      </c>
      <c r="BE154" t="s">
        <v>4056</v>
      </c>
      <c r="BF154" t="s">
        <v>4057</v>
      </c>
      <c r="BG154" t="s">
        <v>3817</v>
      </c>
      <c r="CW154" s="6" t="str" cm="1">
        <f t="array" ref="CW154">IFERROR(_xlfn.IFS(H154=TIME(7,0,0),"GY",H154=TIME(7,30,0),"GY",H154=TIME(9,0,0),"GY",H154=TIME(15,0,0),"GY",H154=TIME(8,30,0),"GY",H154=TIME(5,30,0),"GY",H154=TIME(6,0,0),"GD",H154=TIME(6,30,0),"GD",H154=TIME(8,0,0),"GY",H154=TIME(6,15,0),"GD"),"")</f>
        <v>GY</v>
      </c>
      <c r="EE154"/>
    </row>
    <row r="155" spans="1:135" x14ac:dyDescent="0.45">
      <c r="A155" s="3" t="s">
        <v>32</v>
      </c>
      <c r="B155" s="3" t="s">
        <v>3814</v>
      </c>
      <c r="C155" s="3" t="s">
        <v>4089</v>
      </c>
      <c r="D155" s="3" t="s">
        <v>4090</v>
      </c>
      <c r="E155" s="100" t="s">
        <v>3947</v>
      </c>
      <c r="F155" s="3" t="s">
        <v>4091</v>
      </c>
      <c r="G155" s="4">
        <v>46264</v>
      </c>
      <c r="H155" s="5">
        <v>0.22916666666666674</v>
      </c>
      <c r="I155" s="91">
        <v>46258</v>
      </c>
      <c r="J155" s="91"/>
      <c r="K155" s="91">
        <v>46257</v>
      </c>
      <c r="L155" s="3" t="s">
        <v>4092</v>
      </c>
      <c r="M155" s="3" t="s">
        <v>3966</v>
      </c>
      <c r="N155" s="3" t="s">
        <v>4093</v>
      </c>
      <c r="O155" t="s">
        <v>3821</v>
      </c>
      <c r="P155" s="3" t="s">
        <v>3968</v>
      </c>
      <c r="Q155">
        <v>46209</v>
      </c>
      <c r="R155" s="3">
        <v>726</v>
      </c>
      <c r="S155" s="3" t="s">
        <v>3823</v>
      </c>
      <c r="T155" s="3">
        <v>4800</v>
      </c>
      <c r="U155" s="3" t="s">
        <v>4094</v>
      </c>
      <c r="V155" s="3" t="s">
        <v>4095</v>
      </c>
      <c r="W155" s="3">
        <v>257.16000000000003</v>
      </c>
      <c r="X155" s="3">
        <v>46237</v>
      </c>
      <c r="Y155" s="3">
        <v>46252</v>
      </c>
      <c r="AA155" t="s">
        <v>3971</v>
      </c>
      <c r="AB155" t="s">
        <v>3972</v>
      </c>
      <c r="AC155" s="3" t="s">
        <v>4096</v>
      </c>
      <c r="AD155" t="s">
        <v>4097</v>
      </c>
      <c r="AE155" t="s">
        <v>4098</v>
      </c>
      <c r="AF155" t="s">
        <v>3976</v>
      </c>
      <c r="AG155" t="s">
        <v>3832</v>
      </c>
      <c r="AH155" t="s">
        <v>3977</v>
      </c>
      <c r="AI155" t="s">
        <v>3834</v>
      </c>
      <c r="AJ155" t="s">
        <v>3956</v>
      </c>
      <c r="AK155" t="s">
        <v>3832</v>
      </c>
      <c r="AM155" s="3" t="s">
        <v>4099</v>
      </c>
      <c r="AN155" s="3"/>
      <c r="AO155" s="3">
        <v>46258</v>
      </c>
      <c r="AP155" s="3"/>
      <c r="AQ155" s="3" t="s">
        <v>3979</v>
      </c>
      <c r="AR155" s="3"/>
      <c r="AS155" s="3" t="s">
        <v>3961</v>
      </c>
      <c r="AT155" s="3">
        <v>46271</v>
      </c>
      <c r="AU155" s="3"/>
      <c r="AV155" s="3">
        <v>46273</v>
      </c>
      <c r="AW155" t="s">
        <v>3839</v>
      </c>
      <c r="BC155" t="s">
        <v>32</v>
      </c>
      <c r="BD155" t="s">
        <v>3814</v>
      </c>
      <c r="BE155" t="s">
        <v>4089</v>
      </c>
      <c r="BF155" t="s">
        <v>4090</v>
      </c>
      <c r="BG155" t="s">
        <v>3947</v>
      </c>
      <c r="CW155" s="6" t="str" cm="1">
        <f t="array" ref="CW155">IFERROR(_xlfn.IFS(H155=TIME(7,0,0),"GY",H155=TIME(7,30,0),"GY",H155=TIME(9,0,0),"GY",H155=TIME(15,0,0),"GY",H155=TIME(8,30,0),"GY",H155=TIME(5,30,0),"GY",H155=TIME(6,0,0),"GD",H155=TIME(6,30,0),"GD",H155=TIME(8,0,0),"GY",H155=TIME(6,15,0),"GD"),"")</f>
        <v>GY</v>
      </c>
      <c r="EE155"/>
    </row>
    <row r="156" spans="1:135" x14ac:dyDescent="0.45">
      <c r="A156" s="3" t="s">
        <v>63</v>
      </c>
      <c r="B156" s="3"/>
      <c r="C156" s="3" t="s">
        <v>4068</v>
      </c>
      <c r="D156" s="3" t="s">
        <v>4069</v>
      </c>
      <c r="E156" s="100" t="s">
        <v>3817</v>
      </c>
      <c r="F156" s="3" t="s">
        <v>4070</v>
      </c>
      <c r="G156" s="4">
        <v>46264</v>
      </c>
      <c r="H156" s="5">
        <v>0.26041666666666674</v>
      </c>
      <c r="I156" s="91">
        <v>46258</v>
      </c>
      <c r="J156" s="91"/>
      <c r="K156" s="91">
        <v>46255</v>
      </c>
      <c r="L156" s="3" t="s">
        <v>4071</v>
      </c>
      <c r="M156" s="3" t="s">
        <v>3819</v>
      </c>
      <c r="N156" s="3" t="s">
        <v>4072</v>
      </c>
      <c r="O156" t="s">
        <v>4073</v>
      </c>
      <c r="P156" s="3" t="s">
        <v>3951</v>
      </c>
      <c r="Q156">
        <v>46223</v>
      </c>
      <c r="R156" s="3">
        <v>726</v>
      </c>
      <c r="S156" s="3" t="s">
        <v>3823</v>
      </c>
      <c r="T156" s="3">
        <v>12916</v>
      </c>
      <c r="U156" s="3" t="s">
        <v>4074</v>
      </c>
      <c r="V156" s="3" t="s">
        <v>4075</v>
      </c>
      <c r="W156" s="3">
        <v>2981.9929999999999</v>
      </c>
      <c r="X156" s="3">
        <v>46243</v>
      </c>
      <c r="Y156" s="3">
        <v>46241</v>
      </c>
      <c r="Z156">
        <v>46239</v>
      </c>
      <c r="AA156" t="s">
        <v>3926</v>
      </c>
      <c r="AB156" t="s">
        <v>3927</v>
      </c>
      <c r="AC156" s="3" t="s">
        <v>4076</v>
      </c>
      <c r="AD156" t="s">
        <v>4077</v>
      </c>
      <c r="AE156" t="s">
        <v>4078</v>
      </c>
      <c r="AF156" t="s">
        <v>3831</v>
      </c>
      <c r="AG156" t="s">
        <v>3832</v>
      </c>
      <c r="AH156" t="s">
        <v>3908</v>
      </c>
      <c r="AI156" t="s">
        <v>3834</v>
      </c>
      <c r="AJ156" t="s">
        <v>3956</v>
      </c>
      <c r="AK156" t="s">
        <v>3832</v>
      </c>
      <c r="AM156" s="3" t="s">
        <v>4079</v>
      </c>
      <c r="AN156" s="3"/>
      <c r="AO156" s="3">
        <v>46258</v>
      </c>
      <c r="AP156" s="3"/>
      <c r="AQ156" s="3" t="s">
        <v>4037</v>
      </c>
      <c r="AR156" s="3"/>
      <c r="AS156" s="3" t="s">
        <v>3961</v>
      </c>
      <c r="AT156" s="3">
        <v>46269</v>
      </c>
      <c r="AU156" s="3"/>
      <c r="AV156" s="3">
        <v>46273</v>
      </c>
      <c r="AW156" t="s">
        <v>3839</v>
      </c>
      <c r="BC156" t="s">
        <v>63</v>
      </c>
      <c r="BE156" t="s">
        <v>4068</v>
      </c>
      <c r="BF156" t="s">
        <v>4069</v>
      </c>
      <c r="BG156" t="s">
        <v>3817</v>
      </c>
      <c r="CW156" s="6" t="str" cm="1">
        <f t="array" ref="CW156">IFERROR(_xlfn.IFS(H156=TIME(7,0,0),"GY",H156=TIME(7,30,0),"GY",H156=TIME(9,0,0),"GY",H156=TIME(15,0,0),"GY",H156=TIME(8,30,0),"GY",H156=TIME(5,30,0),"GY",H156=TIME(6,0,0),"GD",H156=TIME(6,30,0),"GD",H156=TIME(8,0,0),"GY",H156=TIME(6,15,0),"GD"),"")</f>
        <v>GD</v>
      </c>
      <c r="EE156"/>
    </row>
    <row r="157" spans="1:135" x14ac:dyDescent="0.45">
      <c r="A157" s="3" t="s">
        <v>63</v>
      </c>
      <c r="B157" s="3"/>
      <c r="C157" s="3" t="s">
        <v>4068</v>
      </c>
      <c r="D157" s="3" t="s">
        <v>4069</v>
      </c>
      <c r="E157" s="100" t="s">
        <v>3817</v>
      </c>
      <c r="F157" s="3" t="s">
        <v>4080</v>
      </c>
      <c r="G157" s="4">
        <v>46264</v>
      </c>
      <c r="H157" s="5">
        <v>0.26041666666666674</v>
      </c>
      <c r="I157" s="91">
        <v>46258</v>
      </c>
      <c r="J157" s="91"/>
      <c r="K157" s="91">
        <v>46255</v>
      </c>
      <c r="L157" s="3" t="s">
        <v>4071</v>
      </c>
      <c r="M157" s="3" t="s">
        <v>3819</v>
      </c>
      <c r="N157" s="3" t="s">
        <v>4072</v>
      </c>
      <c r="O157" t="s">
        <v>4073</v>
      </c>
      <c r="P157" s="3" t="s">
        <v>3951</v>
      </c>
      <c r="Q157">
        <v>46223</v>
      </c>
      <c r="R157" s="3">
        <v>726</v>
      </c>
      <c r="S157" s="3" t="s">
        <v>3823</v>
      </c>
      <c r="T157" s="3">
        <v>364</v>
      </c>
      <c r="U157" s="3" t="s">
        <v>4081</v>
      </c>
      <c r="V157" s="3" t="s">
        <v>4082</v>
      </c>
      <c r="W157" s="3">
        <v>217.68</v>
      </c>
      <c r="X157" s="3">
        <v>46243</v>
      </c>
      <c r="Y157" s="3">
        <v>46241</v>
      </c>
      <c r="Z157">
        <v>46239</v>
      </c>
      <c r="AA157" t="s">
        <v>3926</v>
      </c>
      <c r="AB157" t="s">
        <v>3927</v>
      </c>
      <c r="AC157" s="3" t="s">
        <v>4076</v>
      </c>
      <c r="AD157" t="s">
        <v>4077</v>
      </c>
      <c r="AE157" t="s">
        <v>4078</v>
      </c>
      <c r="AF157" t="s">
        <v>3831</v>
      </c>
      <c r="AG157" t="s">
        <v>3832</v>
      </c>
      <c r="AH157" t="s">
        <v>3908</v>
      </c>
      <c r="AI157" t="s">
        <v>3834</v>
      </c>
      <c r="AJ157" t="s">
        <v>3956</v>
      </c>
      <c r="AK157" t="s">
        <v>3832</v>
      </c>
      <c r="AM157" s="3" t="s">
        <v>4079</v>
      </c>
      <c r="AN157" s="3"/>
      <c r="AO157" s="3">
        <v>46258</v>
      </c>
      <c r="AP157" s="3"/>
      <c r="AQ157" s="3" t="s">
        <v>4037</v>
      </c>
      <c r="AR157" s="3"/>
      <c r="AS157" s="3" t="s">
        <v>3961</v>
      </c>
      <c r="AT157" s="3">
        <v>46269</v>
      </c>
      <c r="AU157" s="3"/>
      <c r="AV157" s="3">
        <v>46273</v>
      </c>
      <c r="AW157" t="s">
        <v>3839</v>
      </c>
      <c r="BC157" t="s">
        <v>63</v>
      </c>
      <c r="BE157" t="s">
        <v>4068</v>
      </c>
      <c r="BF157" t="s">
        <v>4069</v>
      </c>
      <c r="BG157" t="s">
        <v>3817</v>
      </c>
      <c r="CW157" s="6" t="str" cm="1">
        <f t="array" ref="CW157">IFERROR(_xlfn.IFS(H157=TIME(7,0,0),"GY",H157=TIME(7,30,0),"GY",H157=TIME(9,0,0),"GY",H157=TIME(15,0,0),"GY",H157=TIME(8,30,0),"GY",H157=TIME(5,30,0),"GY",H157=TIME(6,0,0),"GD",H157=TIME(6,30,0),"GD",H157=TIME(8,0,0),"GY",H157=TIME(6,15,0),"GD"),"")</f>
        <v>GD</v>
      </c>
      <c r="EE157"/>
    </row>
    <row r="158" spans="1:135" x14ac:dyDescent="0.45">
      <c r="A158" s="3" t="s">
        <v>63</v>
      </c>
      <c r="B158" s="3"/>
      <c r="C158" s="3" t="s">
        <v>4068</v>
      </c>
      <c r="D158" s="3" t="s">
        <v>4069</v>
      </c>
      <c r="E158" s="100" t="s">
        <v>3817</v>
      </c>
      <c r="F158" s="3" t="s">
        <v>4083</v>
      </c>
      <c r="G158" s="4">
        <v>46264</v>
      </c>
      <c r="H158" s="5">
        <v>0.26041666666666674</v>
      </c>
      <c r="I158" s="91">
        <v>46258</v>
      </c>
      <c r="J158" s="91"/>
      <c r="K158" s="91">
        <v>46255</v>
      </c>
      <c r="L158" s="3" t="s">
        <v>4071</v>
      </c>
      <c r="M158" s="3" t="s">
        <v>3819</v>
      </c>
      <c r="N158" s="3" t="s">
        <v>4072</v>
      </c>
      <c r="O158" t="s">
        <v>4073</v>
      </c>
      <c r="P158" s="3" t="s">
        <v>3951</v>
      </c>
      <c r="Q158">
        <v>46223</v>
      </c>
      <c r="R158" s="3">
        <v>726</v>
      </c>
      <c r="S158" s="3" t="s">
        <v>3823</v>
      </c>
      <c r="T158" s="3">
        <v>11970</v>
      </c>
      <c r="U158" s="3" t="s">
        <v>4084</v>
      </c>
      <c r="V158" s="3" t="s">
        <v>4085</v>
      </c>
      <c r="W158" s="3">
        <v>5518.6880000000001</v>
      </c>
      <c r="X158" s="3">
        <v>46243</v>
      </c>
      <c r="Y158" s="3">
        <v>46241</v>
      </c>
      <c r="Z158">
        <v>46239</v>
      </c>
      <c r="AA158" t="s">
        <v>3926</v>
      </c>
      <c r="AB158" t="s">
        <v>3927</v>
      </c>
      <c r="AC158" s="3" t="s">
        <v>4076</v>
      </c>
      <c r="AD158" t="s">
        <v>4077</v>
      </c>
      <c r="AE158" t="s">
        <v>4078</v>
      </c>
      <c r="AF158" t="s">
        <v>3831</v>
      </c>
      <c r="AG158" t="s">
        <v>3832</v>
      </c>
      <c r="AH158" t="s">
        <v>3908</v>
      </c>
      <c r="AI158" t="s">
        <v>3834</v>
      </c>
      <c r="AJ158" t="s">
        <v>3956</v>
      </c>
      <c r="AK158" t="s">
        <v>3832</v>
      </c>
      <c r="AM158" s="3" t="s">
        <v>4079</v>
      </c>
      <c r="AN158" s="3"/>
      <c r="AO158" s="3">
        <v>46258</v>
      </c>
      <c r="AP158" s="3"/>
      <c r="AQ158" s="3" t="s">
        <v>4037</v>
      </c>
      <c r="AR158" s="3"/>
      <c r="AS158" s="3" t="s">
        <v>3961</v>
      </c>
      <c r="AT158" s="3">
        <v>46269</v>
      </c>
      <c r="AU158" s="3"/>
      <c r="AV158" s="3">
        <v>46273</v>
      </c>
      <c r="AW158" t="s">
        <v>3839</v>
      </c>
      <c r="BC158" t="s">
        <v>63</v>
      </c>
      <c r="BE158" t="s">
        <v>4068</v>
      </c>
      <c r="BF158" t="s">
        <v>4069</v>
      </c>
      <c r="BG158" t="s">
        <v>3817</v>
      </c>
      <c r="CW158" s="6" t="str" cm="1">
        <f t="array" ref="CW158">IFERROR(_xlfn.IFS(H158=TIME(7,0,0),"GY",H158=TIME(7,30,0),"GY",H158=TIME(9,0,0),"GY",H158=TIME(15,0,0),"GY",H158=TIME(8,30,0),"GY",H158=TIME(5,30,0),"GY",H158=TIME(6,0,0),"GD",H158=TIME(6,30,0),"GD",H158=TIME(8,0,0),"GY",H158=TIME(6,15,0),"GD"),"")</f>
        <v>GD</v>
      </c>
      <c r="EE158"/>
    </row>
    <row r="159" spans="1:135" x14ac:dyDescent="0.45">
      <c r="A159" s="3" t="s">
        <v>63</v>
      </c>
      <c r="B159" s="3"/>
      <c r="C159" s="3" t="s">
        <v>4068</v>
      </c>
      <c r="D159" s="3" t="s">
        <v>4069</v>
      </c>
      <c r="E159" s="100" t="s">
        <v>3817</v>
      </c>
      <c r="F159" s="3" t="s">
        <v>4086</v>
      </c>
      <c r="G159" s="4">
        <v>46264</v>
      </c>
      <c r="H159" s="5">
        <v>0.26041666666666674</v>
      </c>
      <c r="I159" s="91">
        <v>46258</v>
      </c>
      <c r="J159" s="91"/>
      <c r="K159" s="91">
        <v>46255</v>
      </c>
      <c r="L159" s="3" t="s">
        <v>4071</v>
      </c>
      <c r="M159" s="3" t="s">
        <v>3819</v>
      </c>
      <c r="N159" s="3" t="s">
        <v>4072</v>
      </c>
      <c r="O159" t="s">
        <v>4073</v>
      </c>
      <c r="P159" s="3" t="s">
        <v>3951</v>
      </c>
      <c r="Q159">
        <v>46223</v>
      </c>
      <c r="R159" s="3">
        <v>726</v>
      </c>
      <c r="S159" s="3" t="s">
        <v>3823</v>
      </c>
      <c r="T159" s="3">
        <v>258</v>
      </c>
      <c r="U159" s="3" t="s">
        <v>4087</v>
      </c>
      <c r="V159" s="3" t="s">
        <v>4088</v>
      </c>
      <c r="W159" s="3">
        <v>426.32400000000001</v>
      </c>
      <c r="X159" s="3">
        <v>46243</v>
      </c>
      <c r="Y159" s="3">
        <v>46241</v>
      </c>
      <c r="Z159">
        <v>46239</v>
      </c>
      <c r="AA159" t="s">
        <v>3926</v>
      </c>
      <c r="AB159" t="s">
        <v>3927</v>
      </c>
      <c r="AC159" s="3" t="s">
        <v>4076</v>
      </c>
      <c r="AD159" t="s">
        <v>4077</v>
      </c>
      <c r="AE159" t="s">
        <v>4078</v>
      </c>
      <c r="AF159" t="s">
        <v>3831</v>
      </c>
      <c r="AG159" t="s">
        <v>3832</v>
      </c>
      <c r="AH159" t="s">
        <v>3908</v>
      </c>
      <c r="AI159" t="s">
        <v>3834</v>
      </c>
      <c r="AJ159" t="s">
        <v>3956</v>
      </c>
      <c r="AK159" t="s">
        <v>3832</v>
      </c>
      <c r="AM159" s="3" t="s">
        <v>4079</v>
      </c>
      <c r="AN159" s="3"/>
      <c r="AO159" s="3">
        <v>46258</v>
      </c>
      <c r="AP159" s="3"/>
      <c r="AQ159" s="3" t="s">
        <v>4037</v>
      </c>
      <c r="AR159" s="3"/>
      <c r="AS159" s="3" t="s">
        <v>3961</v>
      </c>
      <c r="AT159" s="3">
        <v>46269</v>
      </c>
      <c r="AU159" s="3"/>
      <c r="AV159" s="3">
        <v>46273</v>
      </c>
      <c r="AW159" t="s">
        <v>3839</v>
      </c>
      <c r="BC159" t="s">
        <v>63</v>
      </c>
      <c r="BE159" t="s">
        <v>4068</v>
      </c>
      <c r="BF159" t="s">
        <v>4069</v>
      </c>
      <c r="BG159" t="s">
        <v>3817</v>
      </c>
      <c r="CW159" s="6" t="str" cm="1">
        <f t="array" ref="CW159">IFERROR(_xlfn.IFS(H159=TIME(7,0,0),"GY",H159=TIME(7,30,0),"GY",H159=TIME(9,0,0),"GY",H159=TIME(15,0,0),"GY",H159=TIME(8,30,0),"GY",H159=TIME(5,30,0),"GY",H159=TIME(6,0,0),"GD",H159=TIME(6,30,0),"GD",H159=TIME(8,0,0),"GY",H159=TIME(6,15,0),"GD"),"")</f>
        <v>GD</v>
      </c>
      <c r="EE159"/>
    </row>
    <row r="160" spans="1:135" x14ac:dyDescent="0.45">
      <c r="A160" s="3" t="s">
        <v>32</v>
      </c>
      <c r="B160" s="3" t="s">
        <v>3814</v>
      </c>
      <c r="C160" s="3" t="s">
        <v>4100</v>
      </c>
      <c r="D160" s="3" t="s">
        <v>4101</v>
      </c>
      <c r="E160" s="100" t="s">
        <v>3817</v>
      </c>
      <c r="F160" s="3" t="s">
        <v>4102</v>
      </c>
      <c r="G160" s="4">
        <v>46263</v>
      </c>
      <c r="H160" s="5">
        <v>0.25</v>
      </c>
      <c r="I160" s="91">
        <v>46258</v>
      </c>
      <c r="J160" s="91"/>
      <c r="K160" s="91">
        <v>46256</v>
      </c>
      <c r="L160" s="3" t="s">
        <v>4103</v>
      </c>
      <c r="M160" s="3" t="s">
        <v>3819</v>
      </c>
      <c r="N160" s="3" t="s">
        <v>4104</v>
      </c>
      <c r="O160" t="s">
        <v>3821</v>
      </c>
      <c r="P160" s="3" t="s">
        <v>3852</v>
      </c>
      <c r="Q160">
        <v>46230</v>
      </c>
      <c r="R160" s="3">
        <v>726</v>
      </c>
      <c r="S160" s="3" t="s">
        <v>3823</v>
      </c>
      <c r="T160" s="3">
        <v>24</v>
      </c>
      <c r="U160" s="3" t="s">
        <v>4105</v>
      </c>
      <c r="V160" s="3" t="s">
        <v>4106</v>
      </c>
      <c r="W160" s="3">
        <v>612.91200000000003</v>
      </c>
      <c r="X160" s="3">
        <v>46251</v>
      </c>
      <c r="Y160" s="3">
        <v>46244</v>
      </c>
      <c r="AA160" t="s">
        <v>3855</v>
      </c>
      <c r="AB160" t="s">
        <v>3856</v>
      </c>
      <c r="AC160" s="3" t="s">
        <v>4107</v>
      </c>
      <c r="AD160" t="s">
        <v>4064</v>
      </c>
      <c r="AE160" t="s">
        <v>4065</v>
      </c>
      <c r="AF160" t="s">
        <v>3831</v>
      </c>
      <c r="AG160" t="s">
        <v>3832</v>
      </c>
      <c r="AH160" t="s">
        <v>3860</v>
      </c>
      <c r="AI160" t="s">
        <v>3834</v>
      </c>
      <c r="AJ160" t="s">
        <v>3835</v>
      </c>
      <c r="AK160" t="s">
        <v>3832</v>
      </c>
      <c r="AM160" s="3" t="s">
        <v>4108</v>
      </c>
      <c r="AN160" s="3"/>
      <c r="AO160" s="3">
        <v>46258</v>
      </c>
      <c r="AP160" s="3"/>
      <c r="AQ160" s="3" t="s">
        <v>3862</v>
      </c>
      <c r="AR160" s="3" t="s">
        <v>3814</v>
      </c>
      <c r="AS160" s="3"/>
      <c r="AT160" s="3">
        <v>46270</v>
      </c>
      <c r="AU160" s="3">
        <v>46303</v>
      </c>
      <c r="AV160" s="3"/>
      <c r="AW160" t="s">
        <v>3839</v>
      </c>
      <c r="BC160" t="s">
        <v>32</v>
      </c>
      <c r="BD160" t="s">
        <v>3814</v>
      </c>
      <c r="BE160" t="s">
        <v>4100</v>
      </c>
      <c r="BF160" t="s">
        <v>4101</v>
      </c>
      <c r="BG160" t="s">
        <v>3817</v>
      </c>
      <c r="CW160" s="6" t="str" cm="1">
        <f t="array" ref="CW160">IFERROR(_xlfn.IFS(H160=TIME(7,0,0),"GY",H160=TIME(7,30,0),"GY",H160=TIME(9,0,0),"GY",H160=TIME(15,0,0),"GY",H160=TIME(8,30,0),"GY",H160=TIME(5,30,0),"GY",H160=TIME(6,0,0),"GD",H160=TIME(6,30,0),"GD",H160=TIME(8,0,0),"GY",H160=TIME(6,15,0),"GD"),"")</f>
        <v>GD</v>
      </c>
      <c r="EE160"/>
    </row>
    <row r="161" spans="1:135" x14ac:dyDescent="0.45">
      <c r="A161" s="3" t="s">
        <v>18</v>
      </c>
      <c r="B161" s="3" t="s">
        <v>3944</v>
      </c>
      <c r="C161" s="3" t="s">
        <v>4109</v>
      </c>
      <c r="D161" s="3" t="s">
        <v>4110</v>
      </c>
      <c r="E161" s="100" t="s">
        <v>3817</v>
      </c>
      <c r="F161" s="3" t="s">
        <v>4111</v>
      </c>
      <c r="G161" s="4">
        <v>46263</v>
      </c>
      <c r="H161" s="5">
        <v>0.26041666666666674</v>
      </c>
      <c r="I161" s="91">
        <v>46258</v>
      </c>
      <c r="J161" s="91"/>
      <c r="K161" s="91">
        <v>46243</v>
      </c>
      <c r="L161" s="3" t="s">
        <v>4112</v>
      </c>
      <c r="M161" s="3" t="s">
        <v>3819</v>
      </c>
      <c r="N161" s="3" t="s">
        <v>4113</v>
      </c>
      <c r="O161" t="s">
        <v>3821</v>
      </c>
      <c r="P161" s="3"/>
      <c r="Q161">
        <v>46218</v>
      </c>
      <c r="R161" s="3">
        <v>726</v>
      </c>
      <c r="S161" s="3" t="s">
        <v>3823</v>
      </c>
      <c r="T161" s="3">
        <v>9139</v>
      </c>
      <c r="U161" s="3" t="s">
        <v>4114</v>
      </c>
      <c r="V161" s="3" t="s">
        <v>4115</v>
      </c>
      <c r="W161" s="3">
        <v>4699.1750000000002</v>
      </c>
      <c r="X161" s="3">
        <v>46229</v>
      </c>
      <c r="Y161" s="3">
        <v>46227</v>
      </c>
      <c r="AA161" t="s">
        <v>3826</v>
      </c>
      <c r="AB161" t="s">
        <v>3827</v>
      </c>
      <c r="AC161" s="3" t="s">
        <v>4116</v>
      </c>
      <c r="AD161" t="s">
        <v>4049</v>
      </c>
      <c r="AE161" t="s">
        <v>4050</v>
      </c>
      <c r="AF161" t="s">
        <v>3831</v>
      </c>
      <c r="AG161" t="s">
        <v>3832</v>
      </c>
      <c r="AH161" t="s">
        <v>3908</v>
      </c>
      <c r="AI161" t="s">
        <v>3834</v>
      </c>
      <c r="AJ161" t="s">
        <v>3956</v>
      </c>
      <c r="AK161" t="s">
        <v>3832</v>
      </c>
      <c r="AM161" s="3" t="s">
        <v>4117</v>
      </c>
      <c r="AN161" s="3"/>
      <c r="AO161" s="3">
        <v>46258</v>
      </c>
      <c r="AP161" s="3" t="s">
        <v>3958</v>
      </c>
      <c r="AQ161" s="3" t="s">
        <v>3959</v>
      </c>
      <c r="AR161" s="3" t="s">
        <v>4118</v>
      </c>
      <c r="AS161" s="3" t="s">
        <v>3961</v>
      </c>
      <c r="AT161" s="3"/>
      <c r="AU161" s="3"/>
      <c r="AV161" s="3"/>
      <c r="AW161" t="s">
        <v>3839</v>
      </c>
      <c r="BC161" t="s">
        <v>18</v>
      </c>
      <c r="BD161" t="s">
        <v>3944</v>
      </c>
      <c r="BE161" t="s">
        <v>4109</v>
      </c>
      <c r="BF161" t="s">
        <v>4110</v>
      </c>
      <c r="BG161" t="s">
        <v>3817</v>
      </c>
      <c r="CW161" s="6" t="str" cm="1">
        <f t="array" ref="CW161">IFERROR(_xlfn.IFS(H161=TIME(7,0,0),"GY",H161=TIME(7,30,0),"GY",H161=TIME(9,0,0),"GY",H161=TIME(15,0,0),"GY",H161=TIME(8,30,0),"GY",H161=TIME(5,30,0),"GY",H161=TIME(6,0,0),"GD",H161=TIME(6,30,0),"GD",H161=TIME(8,0,0),"GY",H161=TIME(6,15,0),"GD"),"")</f>
        <v>GD</v>
      </c>
      <c r="EE161"/>
    </row>
    <row r="162" spans="1:135" x14ac:dyDescent="0.45">
      <c r="A162" s="14" t="s">
        <v>18</v>
      </c>
      <c r="B162" s="14" t="s">
        <v>3944</v>
      </c>
      <c r="C162" s="14" t="s">
        <v>4109</v>
      </c>
      <c r="D162" s="14" t="s">
        <v>4110</v>
      </c>
      <c r="E162" s="100" t="s">
        <v>3817</v>
      </c>
      <c r="F162" s="14" t="s">
        <v>4119</v>
      </c>
      <c r="G162" s="4">
        <v>46263</v>
      </c>
      <c r="H162" s="5">
        <v>0.26041666666666674</v>
      </c>
      <c r="I162" s="91">
        <v>46258</v>
      </c>
      <c r="J162" s="91"/>
      <c r="K162" s="91">
        <v>46243</v>
      </c>
      <c r="L162" s="14" t="s">
        <v>4112</v>
      </c>
      <c r="M162" s="14" t="s">
        <v>3819</v>
      </c>
      <c r="N162" s="14" t="s">
        <v>4113</v>
      </c>
      <c r="O162" s="29" t="s">
        <v>3821</v>
      </c>
      <c r="P162" s="14"/>
      <c r="Q162" s="29">
        <v>46218</v>
      </c>
      <c r="R162" s="14">
        <v>726</v>
      </c>
      <c r="S162" s="14" t="s">
        <v>3823</v>
      </c>
      <c r="T162" s="14">
        <v>29279</v>
      </c>
      <c r="U162" s="14" t="s">
        <v>4120</v>
      </c>
      <c r="V162" s="14" t="s">
        <v>4121</v>
      </c>
      <c r="W162" s="14">
        <v>9382.0669999999991</v>
      </c>
      <c r="X162" s="14">
        <v>46229</v>
      </c>
      <c r="Y162" s="14">
        <v>46227</v>
      </c>
      <c r="Z162" s="29"/>
      <c r="AA162" s="29" t="s">
        <v>3826</v>
      </c>
      <c r="AB162" s="29" t="s">
        <v>3827</v>
      </c>
      <c r="AC162" s="14" t="s">
        <v>4116</v>
      </c>
      <c r="AD162" s="29" t="s">
        <v>4049</v>
      </c>
      <c r="AE162" s="29" t="s">
        <v>4050</v>
      </c>
      <c r="AF162" s="29" t="s">
        <v>3831</v>
      </c>
      <c r="AG162" s="29" t="s">
        <v>3832</v>
      </c>
      <c r="AH162" s="29" t="s">
        <v>3908</v>
      </c>
      <c r="AI162" s="29" t="s">
        <v>3834</v>
      </c>
      <c r="AJ162" s="29" t="s">
        <v>3956</v>
      </c>
      <c r="AK162" s="29" t="s">
        <v>3832</v>
      </c>
      <c r="AL162" s="29"/>
      <c r="AM162" s="14" t="s">
        <v>4117</v>
      </c>
      <c r="AN162" s="14"/>
      <c r="AO162" s="14">
        <v>46258</v>
      </c>
      <c r="AP162" s="14" t="s">
        <v>3958</v>
      </c>
      <c r="AQ162" s="14" t="s">
        <v>3959</v>
      </c>
      <c r="AR162" s="14" t="s">
        <v>4118</v>
      </c>
      <c r="AS162" s="14" t="s">
        <v>3961</v>
      </c>
      <c r="AT162" s="14"/>
      <c r="AU162" s="14"/>
      <c r="AV162" s="14"/>
      <c r="AW162" s="29" t="s">
        <v>3839</v>
      </c>
      <c r="AX162" s="29"/>
      <c r="AY162" s="29"/>
      <c r="AZ162" s="29"/>
      <c r="BA162" s="29"/>
      <c r="BB162" s="29"/>
      <c r="BC162" s="29" t="s">
        <v>18</v>
      </c>
      <c r="BD162" s="29" t="s">
        <v>3944</v>
      </c>
      <c r="BE162" s="29" t="s">
        <v>4109</v>
      </c>
      <c r="BF162" s="29" t="s">
        <v>4110</v>
      </c>
      <c r="BG162" s="29" t="s">
        <v>3817</v>
      </c>
      <c r="BH162" s="29"/>
      <c r="BI162" s="29"/>
      <c r="BJ162" s="29"/>
      <c r="BK162" s="29"/>
      <c r="BL162" s="29"/>
      <c r="BM162" s="29"/>
      <c r="BN162" s="29"/>
      <c r="CW162" s="6" t="str" cm="1">
        <f t="array" ref="CW162">IFERROR(_xlfn.IFS(H162=TIME(7,0,0),"GY",H162=TIME(7,30,0),"GY",H162=TIME(9,0,0),"GY",H162=TIME(15,0,0),"GY",H162=TIME(8,30,0),"GY",H162=TIME(5,30,0),"GY",H162=TIME(6,0,0),"GD",H162=TIME(6,30,0),"GD",H162=TIME(8,0,0),"GY",H162=TIME(6,15,0),"GD"),"")</f>
        <v>GD</v>
      </c>
      <c r="EE162"/>
    </row>
    <row r="163" spans="1:135" x14ac:dyDescent="0.45">
      <c r="A163" s="3" t="s">
        <v>32</v>
      </c>
      <c r="B163" s="3" t="s">
        <v>3814</v>
      </c>
      <c r="C163" s="3" t="s">
        <v>4122</v>
      </c>
      <c r="D163" s="3" t="s">
        <v>4123</v>
      </c>
      <c r="E163" s="100" t="s">
        <v>3817</v>
      </c>
      <c r="F163" s="3" t="s">
        <v>4124</v>
      </c>
      <c r="G163" s="4">
        <v>46262</v>
      </c>
      <c r="H163" s="5">
        <v>0.22916666666666674</v>
      </c>
      <c r="I163" s="91">
        <v>46256</v>
      </c>
      <c r="J163" s="91"/>
      <c r="K163" s="91">
        <v>46255</v>
      </c>
      <c r="L163" s="3" t="s">
        <v>4125</v>
      </c>
      <c r="M163" s="3" t="s">
        <v>3819</v>
      </c>
      <c r="N163" s="3" t="s">
        <v>4126</v>
      </c>
      <c r="O163" t="s">
        <v>3867</v>
      </c>
      <c r="P163" s="3" t="s">
        <v>4127</v>
      </c>
      <c r="Q163">
        <v>46234</v>
      </c>
      <c r="R163" s="3">
        <v>726</v>
      </c>
      <c r="S163" s="3" t="s">
        <v>3823</v>
      </c>
      <c r="T163" s="3">
        <v>5869</v>
      </c>
      <c r="U163" s="3" t="s">
        <v>4128</v>
      </c>
      <c r="V163" s="3" t="s">
        <v>4129</v>
      </c>
      <c r="W163" s="3">
        <v>3183.53</v>
      </c>
      <c r="X163" s="3">
        <v>46277</v>
      </c>
      <c r="Y163" s="3">
        <v>46253</v>
      </c>
      <c r="AA163" t="s">
        <v>3826</v>
      </c>
      <c r="AB163" t="s">
        <v>3827</v>
      </c>
      <c r="AC163" s="3" t="s">
        <v>4130</v>
      </c>
      <c r="AD163" t="s">
        <v>4131</v>
      </c>
      <c r="AE163" t="s">
        <v>4035</v>
      </c>
      <c r="AF163" t="s">
        <v>3831</v>
      </c>
      <c r="AG163" t="s">
        <v>3832</v>
      </c>
      <c r="AH163" t="s">
        <v>4132</v>
      </c>
      <c r="AI163" t="s">
        <v>3834</v>
      </c>
      <c r="AJ163" t="s">
        <v>3835</v>
      </c>
      <c r="AK163" t="s">
        <v>3832</v>
      </c>
      <c r="AM163" s="3" t="s">
        <v>4133</v>
      </c>
      <c r="AN163" s="3"/>
      <c r="AO163" s="3">
        <v>46255</v>
      </c>
      <c r="AP163" s="3"/>
      <c r="AQ163" s="3" t="s">
        <v>3837</v>
      </c>
      <c r="AR163" s="3" t="s">
        <v>3814</v>
      </c>
      <c r="AS163" s="3"/>
      <c r="AT163" s="3">
        <v>46269</v>
      </c>
      <c r="AU163" s="3">
        <v>46301</v>
      </c>
      <c r="AV163" s="3"/>
      <c r="AW163" t="s">
        <v>3839</v>
      </c>
      <c r="BC163" t="s">
        <v>32</v>
      </c>
      <c r="BD163" t="s">
        <v>3814</v>
      </c>
      <c r="BE163" t="s">
        <v>4122</v>
      </c>
      <c r="BF163" t="s">
        <v>4123</v>
      </c>
      <c r="BG163" t="s">
        <v>3817</v>
      </c>
      <c r="CW163" s="6" t="str" cm="1">
        <f t="array" ref="CW163">IFERROR(_xlfn.IFS(H163=TIME(7,0,0),"GY",H163=TIME(7,30,0),"GY",H163=TIME(9,0,0),"GY",H163=TIME(15,0,0),"GY",H163=TIME(8,30,0),"GY",H163=TIME(5,30,0),"GY",H163=TIME(6,0,0),"GD",H163=TIME(6,30,0),"GD",H163=TIME(8,0,0),"GY",H163=TIME(6,15,0),"GD"),"")</f>
        <v>GY</v>
      </c>
      <c r="EE163"/>
    </row>
    <row r="164" spans="1:135" x14ac:dyDescent="0.45">
      <c r="A164" s="3" t="s">
        <v>63</v>
      </c>
      <c r="B164" s="3"/>
      <c r="C164" s="3" t="s">
        <v>4134</v>
      </c>
      <c r="D164" s="3" t="s">
        <v>4135</v>
      </c>
      <c r="E164" s="100" t="s">
        <v>3817</v>
      </c>
      <c r="F164" s="3" t="s">
        <v>4136</v>
      </c>
      <c r="G164" s="4">
        <v>46262</v>
      </c>
      <c r="H164" s="5">
        <v>0.27083333333333326</v>
      </c>
      <c r="I164" s="91">
        <v>46255</v>
      </c>
      <c r="J164" s="91"/>
      <c r="K164" s="91">
        <v>46255</v>
      </c>
      <c r="L164" s="3" t="s">
        <v>4137</v>
      </c>
      <c r="M164" s="3" t="s">
        <v>3819</v>
      </c>
      <c r="N164" s="3" t="s">
        <v>4138</v>
      </c>
      <c r="O164" t="s">
        <v>3867</v>
      </c>
      <c r="P164" s="3" t="s">
        <v>4030</v>
      </c>
      <c r="Q164">
        <v>46230</v>
      </c>
      <c r="R164" s="3">
        <v>726</v>
      </c>
      <c r="S164" s="3" t="s">
        <v>3823</v>
      </c>
      <c r="T164" s="3">
        <v>9798</v>
      </c>
      <c r="U164" s="3" t="s">
        <v>4139</v>
      </c>
      <c r="V164" s="3" t="s">
        <v>4140</v>
      </c>
      <c r="W164" s="3">
        <v>2221.873</v>
      </c>
      <c r="X164" s="3">
        <v>46243</v>
      </c>
      <c r="Y164" s="3">
        <v>46241</v>
      </c>
      <c r="AA164" t="s">
        <v>3826</v>
      </c>
      <c r="AB164" t="s">
        <v>3827</v>
      </c>
      <c r="AC164" s="3" t="s">
        <v>4141</v>
      </c>
      <c r="AD164" t="s">
        <v>4142</v>
      </c>
      <c r="AE164" t="s">
        <v>4143</v>
      </c>
      <c r="AF164" t="s">
        <v>3831</v>
      </c>
      <c r="AG164" t="s">
        <v>3832</v>
      </c>
      <c r="AH164" t="s">
        <v>3908</v>
      </c>
      <c r="AI164" t="s">
        <v>3834</v>
      </c>
      <c r="AJ164" t="s">
        <v>3956</v>
      </c>
      <c r="AK164" t="s">
        <v>3832</v>
      </c>
      <c r="AM164" s="3" t="s">
        <v>4144</v>
      </c>
      <c r="AN164" s="3"/>
      <c r="AO164" s="3">
        <v>46255</v>
      </c>
      <c r="AP164" s="3"/>
      <c r="AQ164" s="3" t="s">
        <v>4037</v>
      </c>
      <c r="AR164" s="3"/>
      <c r="AS164" s="3" t="s">
        <v>3961</v>
      </c>
      <c r="AT164" s="3">
        <v>46269</v>
      </c>
      <c r="AU164" s="3"/>
      <c r="AV164" s="3">
        <v>46270</v>
      </c>
      <c r="AW164" t="s">
        <v>3839</v>
      </c>
      <c r="BC164" t="s">
        <v>63</v>
      </c>
      <c r="BE164" t="s">
        <v>4134</v>
      </c>
      <c r="BF164" t="s">
        <v>4135</v>
      </c>
      <c r="BG164" t="s">
        <v>3817</v>
      </c>
      <c r="CW164" s="6" t="str" cm="1">
        <f t="array" ref="CW164">IFERROR(_xlfn.IFS(H164=TIME(7,0,0),"GY",H164=TIME(7,30,0),"GY",H164=TIME(9,0,0),"GY",H164=TIME(15,0,0),"GY",H164=TIME(8,30,0),"GY",H164=TIME(5,30,0),"GY",H164=TIME(6,0,0),"GD",H164=TIME(6,30,0),"GD",H164=TIME(8,0,0),"GY",H164=TIME(6,15,0),"GD"),"")</f>
        <v>GD</v>
      </c>
      <c r="EE164"/>
    </row>
    <row r="165" spans="1:135" x14ac:dyDescent="0.45">
      <c r="A165" s="3" t="s">
        <v>63</v>
      </c>
      <c r="B165" s="3"/>
      <c r="C165" s="3" t="s">
        <v>4134</v>
      </c>
      <c r="D165" s="3" t="s">
        <v>4135</v>
      </c>
      <c r="E165" s="100" t="s">
        <v>3817</v>
      </c>
      <c r="F165" s="3" t="s">
        <v>4145</v>
      </c>
      <c r="G165" s="4">
        <v>46262</v>
      </c>
      <c r="H165" s="5">
        <v>0.27083333333333326</v>
      </c>
      <c r="I165" s="91">
        <v>46255</v>
      </c>
      <c r="J165" s="91"/>
      <c r="K165" s="91">
        <v>46255</v>
      </c>
      <c r="L165" s="3" t="s">
        <v>4137</v>
      </c>
      <c r="M165" s="3" t="s">
        <v>3819</v>
      </c>
      <c r="N165" s="3" t="s">
        <v>4138</v>
      </c>
      <c r="O165" t="s">
        <v>3867</v>
      </c>
      <c r="P165" s="3" t="s">
        <v>4030</v>
      </c>
      <c r="Q165">
        <v>46230</v>
      </c>
      <c r="R165" s="3">
        <v>726</v>
      </c>
      <c r="S165" s="3" t="s">
        <v>3823</v>
      </c>
      <c r="T165" s="3">
        <v>12529</v>
      </c>
      <c r="U165" s="3" t="s">
        <v>4146</v>
      </c>
      <c r="V165" s="3" t="s">
        <v>4147</v>
      </c>
      <c r="W165" s="3">
        <v>7401.3379999999997</v>
      </c>
      <c r="X165" s="3">
        <v>46243</v>
      </c>
      <c r="Y165" s="3">
        <v>46241</v>
      </c>
      <c r="AA165" t="s">
        <v>3826</v>
      </c>
      <c r="AB165" t="s">
        <v>3827</v>
      </c>
      <c r="AC165" s="3" t="s">
        <v>4141</v>
      </c>
      <c r="AD165" t="s">
        <v>4142</v>
      </c>
      <c r="AE165" t="s">
        <v>4143</v>
      </c>
      <c r="AF165" t="s">
        <v>3831</v>
      </c>
      <c r="AG165" t="s">
        <v>3832</v>
      </c>
      <c r="AH165" t="s">
        <v>3908</v>
      </c>
      <c r="AI165" t="s">
        <v>3834</v>
      </c>
      <c r="AJ165" t="s">
        <v>3956</v>
      </c>
      <c r="AK165" t="s">
        <v>3832</v>
      </c>
      <c r="AM165" s="3" t="s">
        <v>4144</v>
      </c>
      <c r="AN165" s="3"/>
      <c r="AO165" s="3">
        <v>46255</v>
      </c>
      <c r="AP165" s="3"/>
      <c r="AQ165" s="3" t="s">
        <v>4037</v>
      </c>
      <c r="AR165" s="3"/>
      <c r="AS165" s="3" t="s">
        <v>3961</v>
      </c>
      <c r="AT165" s="3">
        <v>46269</v>
      </c>
      <c r="AU165" s="3"/>
      <c r="AV165" s="3">
        <v>46270</v>
      </c>
      <c r="AW165" t="s">
        <v>3839</v>
      </c>
      <c r="BC165" t="s">
        <v>63</v>
      </c>
      <c r="BE165" t="s">
        <v>4134</v>
      </c>
      <c r="BF165" t="s">
        <v>4135</v>
      </c>
      <c r="BG165" t="s">
        <v>3817</v>
      </c>
      <c r="CW165" s="6" t="str" cm="1">
        <f t="array" ref="CW165">IFERROR(_xlfn.IFS(H165=TIME(7,0,0),"GY",H165=TIME(7,30,0),"GY",H165=TIME(9,0,0),"GY",H165=TIME(15,0,0),"GY",H165=TIME(8,30,0),"GY",H165=TIME(5,30,0),"GY",H165=TIME(6,0,0),"GD",H165=TIME(6,30,0),"GD",H165=TIME(8,0,0),"GY",H165=TIME(6,15,0),"GD"),"")</f>
        <v>GD</v>
      </c>
      <c r="EE165"/>
    </row>
    <row r="166" spans="1:135" x14ac:dyDescent="0.45">
      <c r="A166" s="3" t="s">
        <v>18</v>
      </c>
      <c r="B166" s="3" t="s">
        <v>0</v>
      </c>
      <c r="C166" s="3" t="s">
        <v>4162</v>
      </c>
      <c r="D166" s="3" t="s">
        <v>4163</v>
      </c>
      <c r="E166" s="100" t="s">
        <v>3817</v>
      </c>
      <c r="F166" s="3" t="s">
        <v>4164</v>
      </c>
      <c r="G166" s="4">
        <v>46261</v>
      </c>
      <c r="H166" s="5">
        <v>0.27083333333333326</v>
      </c>
      <c r="I166" s="91">
        <v>46255</v>
      </c>
      <c r="J166" s="91"/>
      <c r="K166" s="91">
        <v>46249</v>
      </c>
      <c r="L166" s="3" t="s">
        <v>4165</v>
      </c>
      <c r="M166" s="3" t="s">
        <v>3819</v>
      </c>
      <c r="N166" s="3" t="s">
        <v>4166</v>
      </c>
      <c r="O166" t="s">
        <v>3821</v>
      </c>
      <c r="P166" s="3"/>
      <c r="Q166">
        <v>46230</v>
      </c>
      <c r="R166" s="3">
        <v>726</v>
      </c>
      <c r="S166" s="3" t="s">
        <v>3823</v>
      </c>
      <c r="T166" s="3">
        <v>6791</v>
      </c>
      <c r="U166" s="3" t="s">
        <v>4167</v>
      </c>
      <c r="V166" s="3" t="s">
        <v>4168</v>
      </c>
      <c r="W166" s="3">
        <v>9109.7610000000004</v>
      </c>
      <c r="X166" s="3">
        <v>46244</v>
      </c>
      <c r="Y166" s="3">
        <v>46242</v>
      </c>
      <c r="AA166" t="s">
        <v>3926</v>
      </c>
      <c r="AB166" t="s">
        <v>3927</v>
      </c>
      <c r="AC166" s="3"/>
      <c r="AD166" t="s">
        <v>4169</v>
      </c>
      <c r="AE166" t="s">
        <v>4170</v>
      </c>
      <c r="AF166" t="s">
        <v>3831</v>
      </c>
      <c r="AG166" t="s">
        <v>3832</v>
      </c>
      <c r="AH166" t="s">
        <v>3875</v>
      </c>
      <c r="AI166" t="s">
        <v>3834</v>
      </c>
      <c r="AJ166" t="s">
        <v>3835</v>
      </c>
      <c r="AK166" t="s">
        <v>3832</v>
      </c>
      <c r="AM166" s="3" t="s">
        <v>4171</v>
      </c>
      <c r="AN166" s="3"/>
      <c r="AO166" s="3">
        <v>46255</v>
      </c>
      <c r="AP166" s="3"/>
      <c r="AQ166" s="3" t="s">
        <v>3877</v>
      </c>
      <c r="AR166" s="3"/>
      <c r="AS166" s="3"/>
      <c r="AT166" s="3">
        <v>46263</v>
      </c>
      <c r="AU166" s="3">
        <v>46300</v>
      </c>
      <c r="AV166" s="3"/>
      <c r="AW166" t="s">
        <v>3839</v>
      </c>
      <c r="BC166" t="s">
        <v>18</v>
      </c>
      <c r="BD166" t="s">
        <v>0</v>
      </c>
      <c r="BE166" t="s">
        <v>4162</v>
      </c>
      <c r="BF166" t="s">
        <v>4163</v>
      </c>
      <c r="BG166" t="s">
        <v>3817</v>
      </c>
      <c r="CW166" s="6" t="str" cm="1">
        <f t="array" ref="CW166">IFERROR(_xlfn.IFS(H166=TIME(7,0,0),"GY",H166=TIME(7,30,0),"GY",H166=TIME(9,0,0),"GY",H166=TIME(15,0,0),"GY",H166=TIME(8,30,0),"GY",H166=TIME(5,30,0),"GY",H166=TIME(6,0,0),"GD",H166=TIME(6,30,0),"GD",H166=TIME(8,0,0),"GY",H166=TIME(6,15,0),"GD"),"")</f>
        <v>GD</v>
      </c>
      <c r="EE166"/>
    </row>
    <row r="167" spans="1:135" x14ac:dyDescent="0.45">
      <c r="A167" s="3" t="s">
        <v>18</v>
      </c>
      <c r="B167" s="3" t="s">
        <v>0</v>
      </c>
      <c r="C167" s="3" t="s">
        <v>4162</v>
      </c>
      <c r="D167" s="3" t="s">
        <v>4163</v>
      </c>
      <c r="E167" s="100" t="s">
        <v>3817</v>
      </c>
      <c r="F167" s="3" t="s">
        <v>4172</v>
      </c>
      <c r="G167" s="4">
        <v>46261</v>
      </c>
      <c r="H167" s="5">
        <v>0.27083333333333326</v>
      </c>
      <c r="I167" s="91">
        <v>46255</v>
      </c>
      <c r="J167" s="91"/>
      <c r="K167" s="91">
        <v>46249</v>
      </c>
      <c r="L167" s="3" t="s">
        <v>4165</v>
      </c>
      <c r="M167" s="3" t="s">
        <v>3819</v>
      </c>
      <c r="N167" s="3" t="s">
        <v>4166</v>
      </c>
      <c r="O167" t="s">
        <v>3821</v>
      </c>
      <c r="P167" s="3"/>
      <c r="Q167">
        <v>46230</v>
      </c>
      <c r="R167" s="3">
        <v>726</v>
      </c>
      <c r="S167" s="3" t="s">
        <v>3823</v>
      </c>
      <c r="T167" s="3">
        <v>634</v>
      </c>
      <c r="U167" s="3" t="s">
        <v>4173</v>
      </c>
      <c r="V167" s="3" t="s">
        <v>4174</v>
      </c>
      <c r="W167" s="3">
        <v>1175.6679999999999</v>
      </c>
      <c r="X167" s="3">
        <v>46244</v>
      </c>
      <c r="Y167" s="3">
        <v>46242</v>
      </c>
      <c r="AA167" t="s">
        <v>3926</v>
      </c>
      <c r="AB167" t="s">
        <v>3927</v>
      </c>
      <c r="AC167" s="3"/>
      <c r="AD167" t="s">
        <v>4169</v>
      </c>
      <c r="AE167" t="s">
        <v>4170</v>
      </c>
      <c r="AF167" t="s">
        <v>3831</v>
      </c>
      <c r="AG167" t="s">
        <v>3832</v>
      </c>
      <c r="AH167" t="s">
        <v>3875</v>
      </c>
      <c r="AI167" t="s">
        <v>3834</v>
      </c>
      <c r="AJ167" t="s">
        <v>3835</v>
      </c>
      <c r="AK167" t="s">
        <v>3832</v>
      </c>
      <c r="AM167" s="3" t="s">
        <v>4171</v>
      </c>
      <c r="AN167" s="3"/>
      <c r="AO167" s="3">
        <v>46255</v>
      </c>
      <c r="AP167" s="3"/>
      <c r="AQ167" s="3" t="s">
        <v>3877</v>
      </c>
      <c r="AR167" s="3"/>
      <c r="AS167" s="3"/>
      <c r="AT167" s="3">
        <v>46263</v>
      </c>
      <c r="AU167" s="3">
        <v>46300</v>
      </c>
      <c r="AV167" s="3"/>
      <c r="AW167" t="s">
        <v>3839</v>
      </c>
      <c r="BC167" t="s">
        <v>18</v>
      </c>
      <c r="BD167" t="s">
        <v>0</v>
      </c>
      <c r="BE167" t="s">
        <v>4162</v>
      </c>
      <c r="BF167" t="s">
        <v>4163</v>
      </c>
      <c r="BG167" t="s">
        <v>3817</v>
      </c>
      <c r="CW167" s="6" t="str" cm="1">
        <f t="array" ref="CW167">IFERROR(_xlfn.IFS(H167=TIME(7,0,0),"GY",H167=TIME(7,30,0),"GY",H167=TIME(9,0,0),"GY",H167=TIME(15,0,0),"GY",H167=TIME(8,30,0),"GY",H167=TIME(5,30,0),"GY",H167=TIME(6,0,0),"GD",H167=TIME(6,30,0),"GD",H167=TIME(8,0,0),"GY",H167=TIME(6,15,0),"GD"),"")</f>
        <v>GD</v>
      </c>
      <c r="EE167"/>
    </row>
    <row r="168" spans="1:135" x14ac:dyDescent="0.45">
      <c r="A168" s="3" t="s">
        <v>32</v>
      </c>
      <c r="B168" s="3" t="s">
        <v>3814</v>
      </c>
      <c r="C168" s="3" t="s">
        <v>4148</v>
      </c>
      <c r="D168" s="3" t="s">
        <v>4149</v>
      </c>
      <c r="E168" s="100" t="s">
        <v>3817</v>
      </c>
      <c r="F168" s="3" t="s">
        <v>4150</v>
      </c>
      <c r="G168" s="4">
        <v>46261</v>
      </c>
      <c r="H168" s="5">
        <v>0.22916666666666674</v>
      </c>
      <c r="I168" s="91">
        <v>46254</v>
      </c>
      <c r="J168" s="91"/>
      <c r="K168" s="91">
        <v>46248</v>
      </c>
      <c r="L168" s="3" t="s">
        <v>4151</v>
      </c>
      <c r="M168" s="3" t="s">
        <v>3819</v>
      </c>
      <c r="N168" s="3" t="s">
        <v>4152</v>
      </c>
      <c r="O168" t="s">
        <v>3821</v>
      </c>
      <c r="P168" s="3" t="s">
        <v>4153</v>
      </c>
      <c r="Q168">
        <v>46223</v>
      </c>
      <c r="R168" s="3">
        <v>726</v>
      </c>
      <c r="S168" s="3" t="s">
        <v>3823</v>
      </c>
      <c r="T168" s="3">
        <v>7613</v>
      </c>
      <c r="U168" s="3" t="s">
        <v>4154</v>
      </c>
      <c r="V168" s="3" t="s">
        <v>4155</v>
      </c>
      <c r="W168" s="3">
        <v>2679.72</v>
      </c>
      <c r="X168" s="3">
        <v>46244</v>
      </c>
      <c r="Y168" s="3">
        <v>46245</v>
      </c>
      <c r="AA168" t="s">
        <v>3926</v>
      </c>
      <c r="AB168" t="s">
        <v>3927</v>
      </c>
      <c r="AC168" s="3" t="s">
        <v>4156</v>
      </c>
      <c r="AD168" t="s">
        <v>4157</v>
      </c>
      <c r="AE168" t="s">
        <v>4158</v>
      </c>
      <c r="AF168" t="s">
        <v>3831</v>
      </c>
      <c r="AG168" t="s">
        <v>3832</v>
      </c>
      <c r="AH168" t="s">
        <v>4159</v>
      </c>
      <c r="AI168" t="s">
        <v>3834</v>
      </c>
      <c r="AJ168" t="s">
        <v>3835</v>
      </c>
      <c r="AK168" t="s">
        <v>3832</v>
      </c>
      <c r="AM168" s="3" t="s">
        <v>4160</v>
      </c>
      <c r="AN168" s="3"/>
      <c r="AO168" s="3">
        <v>46254</v>
      </c>
      <c r="AP168" s="3"/>
      <c r="AQ168" s="3" t="s">
        <v>4161</v>
      </c>
      <c r="AR168" s="3" t="s">
        <v>3814</v>
      </c>
      <c r="AS168" s="3"/>
      <c r="AT168" s="3">
        <v>46262</v>
      </c>
      <c r="AU168" s="3">
        <v>46329</v>
      </c>
      <c r="AV168" s="3"/>
      <c r="AW168" t="s">
        <v>3839</v>
      </c>
      <c r="BC168" t="s">
        <v>32</v>
      </c>
      <c r="BD168" t="s">
        <v>3814</v>
      </c>
      <c r="BE168" t="s">
        <v>4148</v>
      </c>
      <c r="BF168" t="s">
        <v>4149</v>
      </c>
      <c r="BG168" t="s">
        <v>3817</v>
      </c>
      <c r="CW168" s="6" t="str" cm="1">
        <f t="array" ref="CW168">IFERROR(_xlfn.IFS(H168=TIME(7,0,0),"GY",H168=TIME(7,30,0),"GY",H168=TIME(9,0,0),"GY",H168=TIME(15,0,0),"GY",H168=TIME(8,30,0),"GY",H168=TIME(5,30,0),"GY",H168=TIME(6,0,0),"GD",H168=TIME(6,30,0),"GD",H168=TIME(8,0,0),"GY",H168=TIME(6,15,0),"GD"),"")</f>
        <v>GY</v>
      </c>
      <c r="EE168"/>
    </row>
    <row r="169" spans="1:135" x14ac:dyDescent="0.45">
      <c r="A169" s="3" t="s">
        <v>32</v>
      </c>
      <c r="B169" s="3" t="s">
        <v>3814</v>
      </c>
      <c r="C169" s="3" t="s">
        <v>4175</v>
      </c>
      <c r="D169" s="3" t="s">
        <v>4176</v>
      </c>
      <c r="E169" s="100" t="s">
        <v>3817</v>
      </c>
      <c r="F169" s="3" t="s">
        <v>4177</v>
      </c>
      <c r="G169" s="4">
        <v>46260</v>
      </c>
      <c r="H169" s="5">
        <v>0.35416666666666674</v>
      </c>
      <c r="I169" s="91">
        <v>46252</v>
      </c>
      <c r="J169" s="91"/>
      <c r="K169" s="91">
        <v>46251</v>
      </c>
      <c r="L169" s="3" t="s">
        <v>4178</v>
      </c>
      <c r="M169" s="3" t="s">
        <v>3819</v>
      </c>
      <c r="N169" s="3" t="s">
        <v>4179</v>
      </c>
      <c r="O169" t="s">
        <v>3867</v>
      </c>
      <c r="P169" s="3" t="s">
        <v>3822</v>
      </c>
      <c r="Q169">
        <v>46220</v>
      </c>
      <c r="R169" s="3">
        <v>726</v>
      </c>
      <c r="S169" s="3" t="s">
        <v>3823</v>
      </c>
      <c r="T169" s="3">
        <v>38</v>
      </c>
      <c r="U169" s="3" t="s">
        <v>4180</v>
      </c>
      <c r="V169" s="3" t="s">
        <v>4181</v>
      </c>
      <c r="W169" s="3">
        <v>910.6</v>
      </c>
      <c r="X169" s="3">
        <v>46244</v>
      </c>
      <c r="Y169" s="3">
        <v>46242</v>
      </c>
      <c r="AA169" t="s">
        <v>3826</v>
      </c>
      <c r="AB169" t="s">
        <v>3827</v>
      </c>
      <c r="AC169" s="3" t="s">
        <v>4182</v>
      </c>
      <c r="AD169" t="s">
        <v>4183</v>
      </c>
      <c r="AE169" t="s">
        <v>4184</v>
      </c>
      <c r="AF169" t="s">
        <v>3831</v>
      </c>
      <c r="AG169" t="s">
        <v>3832</v>
      </c>
      <c r="AH169" t="s">
        <v>3833</v>
      </c>
      <c r="AI169" t="s">
        <v>3834</v>
      </c>
      <c r="AJ169" t="s">
        <v>3835</v>
      </c>
      <c r="AK169" t="s">
        <v>3832</v>
      </c>
      <c r="AM169" s="3" t="s">
        <v>4185</v>
      </c>
      <c r="AN169" s="3"/>
      <c r="AO169" s="3">
        <v>46252</v>
      </c>
      <c r="AP169" s="3"/>
      <c r="AQ169" s="3" t="s">
        <v>3837</v>
      </c>
      <c r="AR169" s="3" t="s">
        <v>3814</v>
      </c>
      <c r="AS169" s="3"/>
      <c r="AT169" s="3">
        <v>46265</v>
      </c>
      <c r="AU169" s="3">
        <v>46297</v>
      </c>
      <c r="AV169" s="3"/>
      <c r="AW169" t="s">
        <v>3839</v>
      </c>
      <c r="BC169" t="s">
        <v>32</v>
      </c>
      <c r="BD169" t="s">
        <v>3814</v>
      </c>
      <c r="BE169" t="s">
        <v>4175</v>
      </c>
      <c r="BF169" t="s">
        <v>4176</v>
      </c>
      <c r="BG169" t="s">
        <v>3817</v>
      </c>
      <c r="CW169" s="6" t="str" cm="1">
        <f t="array" ref="CW169">IFERROR(_xlfn.IFS(H169=TIME(7,0,0),"GY",H169=TIME(7,30,0),"GY",H169=TIME(9,0,0),"GY",H169=TIME(15,0,0),"GY",H169=TIME(8,30,0),"GY",H169=TIME(5,30,0),"GY",H169=TIME(6,0,0),"GD",H169=TIME(6,30,0),"GD",H169=TIME(8,0,0),"GY",H169=TIME(6,15,0),"GD"),"")</f>
        <v>GY</v>
      </c>
      <c r="EE169"/>
    </row>
    <row r="170" spans="1:135" x14ac:dyDescent="0.45">
      <c r="A170" s="3" t="s">
        <v>63</v>
      </c>
      <c r="B170" s="3"/>
      <c r="C170" s="3" t="s">
        <v>4186</v>
      </c>
      <c r="D170" s="3" t="s">
        <v>4187</v>
      </c>
      <c r="E170" s="100" t="s">
        <v>3817</v>
      </c>
      <c r="F170" s="3" t="s">
        <v>4188</v>
      </c>
      <c r="G170" s="4">
        <v>46260</v>
      </c>
      <c r="H170" s="5">
        <v>0.27083333333333326</v>
      </c>
      <c r="I170" s="91">
        <v>46255</v>
      </c>
      <c r="J170" s="91"/>
      <c r="K170" s="91">
        <v>46255</v>
      </c>
      <c r="L170" s="3" t="s">
        <v>4189</v>
      </c>
      <c r="M170" s="3" t="s">
        <v>3819</v>
      </c>
      <c r="N170" s="3" t="s">
        <v>4190</v>
      </c>
      <c r="O170" t="s">
        <v>3867</v>
      </c>
      <c r="P170" s="3"/>
      <c r="Q170">
        <v>46227</v>
      </c>
      <c r="R170" s="3">
        <v>726</v>
      </c>
      <c r="S170" s="3" t="s">
        <v>3823</v>
      </c>
      <c r="T170" s="3">
        <v>9521</v>
      </c>
      <c r="U170" s="3" t="s">
        <v>4191</v>
      </c>
      <c r="V170" s="3" t="s">
        <v>4192</v>
      </c>
      <c r="W170" s="3">
        <v>2242.5630000000001</v>
      </c>
      <c r="X170" s="3">
        <v>46243</v>
      </c>
      <c r="Y170" s="3">
        <v>46241</v>
      </c>
      <c r="AA170" t="s">
        <v>3826</v>
      </c>
      <c r="AB170" t="s">
        <v>3827</v>
      </c>
      <c r="AC170" s="3" t="s">
        <v>4193</v>
      </c>
      <c r="AD170" t="s">
        <v>4142</v>
      </c>
      <c r="AE170" t="s">
        <v>4143</v>
      </c>
      <c r="AF170" t="s">
        <v>3831</v>
      </c>
      <c r="AG170" t="s">
        <v>3832</v>
      </c>
      <c r="AH170" t="s">
        <v>3908</v>
      </c>
      <c r="AI170" t="s">
        <v>3834</v>
      </c>
      <c r="AJ170" t="s">
        <v>3956</v>
      </c>
      <c r="AK170" t="s">
        <v>3832</v>
      </c>
      <c r="AM170" s="3" t="s">
        <v>4194</v>
      </c>
      <c r="AN170" s="3"/>
      <c r="AO170" s="3">
        <v>46255</v>
      </c>
      <c r="AP170" s="3"/>
      <c r="AQ170" s="3" t="s">
        <v>4037</v>
      </c>
      <c r="AR170" s="3"/>
      <c r="AS170" s="3" t="s">
        <v>3961</v>
      </c>
      <c r="AT170" s="3">
        <v>46269</v>
      </c>
      <c r="AU170" s="3"/>
      <c r="AV170" s="3">
        <v>46270</v>
      </c>
      <c r="AW170" t="s">
        <v>3839</v>
      </c>
      <c r="BC170" t="s">
        <v>63</v>
      </c>
      <c r="BE170" t="s">
        <v>4186</v>
      </c>
      <c r="BF170" t="s">
        <v>4187</v>
      </c>
      <c r="BG170" t="s">
        <v>3817</v>
      </c>
      <c r="CW170" s="6" t="str" cm="1">
        <f t="array" ref="CW170">IFERROR(_xlfn.IFS(H170=TIME(7,0,0),"GY",H170=TIME(7,30,0),"GY",H170=TIME(9,0,0),"GY",H170=TIME(15,0,0),"GY",H170=TIME(8,30,0),"GY",H170=TIME(5,30,0),"GY",H170=TIME(6,0,0),"GD",H170=TIME(6,30,0),"GD",H170=TIME(8,0,0),"GY",H170=TIME(6,15,0),"GD"),"")</f>
        <v>GD</v>
      </c>
      <c r="EE170"/>
    </row>
    <row r="171" spans="1:135" x14ac:dyDescent="0.45">
      <c r="A171" s="3" t="s">
        <v>63</v>
      </c>
      <c r="B171" s="3"/>
      <c r="C171" s="3" t="s">
        <v>4186</v>
      </c>
      <c r="D171" s="3" t="s">
        <v>4187</v>
      </c>
      <c r="E171" s="100" t="s">
        <v>3817</v>
      </c>
      <c r="F171" s="3" t="s">
        <v>4195</v>
      </c>
      <c r="G171" s="4">
        <v>46260</v>
      </c>
      <c r="H171" s="5">
        <v>0.27083333333333326</v>
      </c>
      <c r="I171" s="91">
        <v>46255</v>
      </c>
      <c r="J171" s="91"/>
      <c r="K171" s="91">
        <v>46255</v>
      </c>
      <c r="L171" s="3" t="s">
        <v>4189</v>
      </c>
      <c r="M171" s="3" t="s">
        <v>3819</v>
      </c>
      <c r="N171" s="3" t="s">
        <v>4190</v>
      </c>
      <c r="O171" t="s">
        <v>3867</v>
      </c>
      <c r="P171" s="3"/>
      <c r="Q171">
        <v>46227</v>
      </c>
      <c r="R171" s="3">
        <v>726</v>
      </c>
      <c r="S171" s="3" t="s">
        <v>3823</v>
      </c>
      <c r="T171" s="3">
        <v>8923</v>
      </c>
      <c r="U171" s="3" t="s">
        <v>4196</v>
      </c>
      <c r="V171" s="3" t="s">
        <v>4197</v>
      </c>
      <c r="W171" s="3">
        <v>5614.3729999999996</v>
      </c>
      <c r="X171" s="3">
        <v>46243</v>
      </c>
      <c r="Y171" s="3">
        <v>46241</v>
      </c>
      <c r="AA171" t="s">
        <v>3826</v>
      </c>
      <c r="AB171" t="s">
        <v>3827</v>
      </c>
      <c r="AC171" s="3" t="s">
        <v>4193</v>
      </c>
      <c r="AD171" t="s">
        <v>4142</v>
      </c>
      <c r="AE171" t="s">
        <v>4143</v>
      </c>
      <c r="AF171" t="s">
        <v>3831</v>
      </c>
      <c r="AG171" t="s">
        <v>3832</v>
      </c>
      <c r="AH171" t="s">
        <v>3908</v>
      </c>
      <c r="AI171" t="s">
        <v>3834</v>
      </c>
      <c r="AJ171" t="s">
        <v>3956</v>
      </c>
      <c r="AK171" t="s">
        <v>3832</v>
      </c>
      <c r="AM171" s="3" t="s">
        <v>4194</v>
      </c>
      <c r="AN171" s="3"/>
      <c r="AO171" s="3">
        <v>46255</v>
      </c>
      <c r="AP171" s="3"/>
      <c r="AQ171" s="3" t="s">
        <v>4037</v>
      </c>
      <c r="AR171" s="3"/>
      <c r="AS171" s="3" t="s">
        <v>3961</v>
      </c>
      <c r="AT171" s="3">
        <v>46269</v>
      </c>
      <c r="AU171" s="3"/>
      <c r="AV171" s="3">
        <v>46270</v>
      </c>
      <c r="AW171" t="s">
        <v>3839</v>
      </c>
      <c r="BC171" t="s">
        <v>63</v>
      </c>
      <c r="BE171" t="s">
        <v>4186</v>
      </c>
      <c r="BF171" t="s">
        <v>4187</v>
      </c>
      <c r="BG171" t="s">
        <v>3817</v>
      </c>
      <c r="CW171" s="6" t="str" cm="1">
        <f t="array" ref="CW171">IFERROR(_xlfn.IFS(H171=TIME(7,0,0),"GY",H171=TIME(7,30,0),"GY",H171=TIME(9,0,0),"GY",H171=TIME(15,0,0),"GY",H171=TIME(8,30,0),"GY",H171=TIME(5,30,0),"GY",H171=TIME(6,0,0),"GD",H171=TIME(6,30,0),"GD",H171=TIME(8,0,0),"GY",H171=TIME(6,15,0),"GD"),"")</f>
        <v>GD</v>
      </c>
      <c r="EE171"/>
    </row>
    <row r="172" spans="1:135" x14ac:dyDescent="0.45">
      <c r="A172" s="3" t="s">
        <v>18</v>
      </c>
      <c r="B172" s="3" t="s">
        <v>0</v>
      </c>
      <c r="C172" s="3" t="s">
        <v>4211</v>
      </c>
      <c r="D172" s="3" t="s">
        <v>4212</v>
      </c>
      <c r="E172" s="100" t="s">
        <v>3817</v>
      </c>
      <c r="F172" s="3" t="s">
        <v>4213</v>
      </c>
      <c r="G172" s="4">
        <v>46259</v>
      </c>
      <c r="H172" s="5">
        <v>0.27083333333333326</v>
      </c>
      <c r="I172" s="91">
        <v>46252</v>
      </c>
      <c r="J172" s="91"/>
      <c r="K172" s="91">
        <v>46249</v>
      </c>
      <c r="L172" s="3" t="s">
        <v>4214</v>
      </c>
      <c r="M172" s="3" t="s">
        <v>3819</v>
      </c>
      <c r="N172" s="3" t="s">
        <v>4215</v>
      </c>
      <c r="O172" t="s">
        <v>3821</v>
      </c>
      <c r="P172" s="3"/>
      <c r="Q172">
        <v>46231</v>
      </c>
      <c r="R172" s="3">
        <v>726</v>
      </c>
      <c r="S172" s="3" t="s">
        <v>3823</v>
      </c>
      <c r="T172" s="3">
        <v>10867</v>
      </c>
      <c r="U172" s="3" t="s">
        <v>4216</v>
      </c>
      <c r="V172" s="3" t="s">
        <v>4217</v>
      </c>
      <c r="W172" s="3">
        <v>8858.0630000000001</v>
      </c>
      <c r="X172" s="3">
        <v>46246</v>
      </c>
      <c r="Y172" s="3">
        <v>46244</v>
      </c>
      <c r="AA172" t="s">
        <v>3870</v>
      </c>
      <c r="AB172" t="s">
        <v>3871</v>
      </c>
      <c r="AC172" s="3" t="s">
        <v>4218</v>
      </c>
      <c r="AD172" t="s">
        <v>4169</v>
      </c>
      <c r="AE172" t="s">
        <v>4170</v>
      </c>
      <c r="AF172" t="s">
        <v>3831</v>
      </c>
      <c r="AG172" t="s">
        <v>3832</v>
      </c>
      <c r="AH172" t="s">
        <v>3875</v>
      </c>
      <c r="AI172" t="s">
        <v>3834</v>
      </c>
      <c r="AJ172" t="s">
        <v>3835</v>
      </c>
      <c r="AK172" t="s">
        <v>3832</v>
      </c>
      <c r="AL172" t="s">
        <v>4066</v>
      </c>
      <c r="AM172" s="3" t="s">
        <v>4219</v>
      </c>
      <c r="AN172" s="3"/>
      <c r="AO172" s="3">
        <v>46252</v>
      </c>
      <c r="AP172" s="3"/>
      <c r="AQ172" s="3" t="s">
        <v>3877</v>
      </c>
      <c r="AR172" s="3"/>
      <c r="AS172" s="3"/>
      <c r="AT172" s="3">
        <v>46263</v>
      </c>
      <c r="AU172" s="3"/>
      <c r="AV172" s="3"/>
      <c r="AW172" t="s">
        <v>3839</v>
      </c>
      <c r="BC172" t="s">
        <v>18</v>
      </c>
      <c r="BD172" t="s">
        <v>0</v>
      </c>
      <c r="BE172" t="s">
        <v>4211</v>
      </c>
      <c r="BF172" t="s">
        <v>4212</v>
      </c>
      <c r="BG172" t="s">
        <v>3817</v>
      </c>
      <c r="CW172" s="6" t="str" cm="1">
        <f t="array" ref="CW172">IFERROR(_xlfn.IFS(H172=TIME(7,0,0),"GY",H172=TIME(7,30,0),"GY",H172=TIME(9,0,0),"GY",H172=TIME(15,0,0),"GY",H172=TIME(8,30,0),"GY",H172=TIME(5,30,0),"GY",H172=TIME(6,0,0),"GD",H172=TIME(6,30,0),"GD",H172=TIME(8,0,0),"GY",H172=TIME(6,15,0),"GD"),"")</f>
        <v>GD</v>
      </c>
      <c r="EE172"/>
    </row>
    <row r="173" spans="1:135" x14ac:dyDescent="0.45">
      <c r="A173" s="3" t="s">
        <v>18</v>
      </c>
      <c r="B173" s="3" t="s">
        <v>0</v>
      </c>
      <c r="C173" s="3" t="s">
        <v>4211</v>
      </c>
      <c r="D173" s="3" t="s">
        <v>4212</v>
      </c>
      <c r="E173" s="100" t="s">
        <v>3817</v>
      </c>
      <c r="F173" s="3" t="s">
        <v>4220</v>
      </c>
      <c r="G173" s="4">
        <v>46259</v>
      </c>
      <c r="H173" s="5">
        <v>0.27083333333333326</v>
      </c>
      <c r="I173" s="91">
        <v>46252</v>
      </c>
      <c r="J173" s="91"/>
      <c r="K173" s="91">
        <v>46249</v>
      </c>
      <c r="L173" s="3" t="s">
        <v>4214</v>
      </c>
      <c r="M173" s="3" t="s">
        <v>3819</v>
      </c>
      <c r="N173" s="3" t="s">
        <v>4215</v>
      </c>
      <c r="O173" t="s">
        <v>3821</v>
      </c>
      <c r="P173" s="3"/>
      <c r="Q173">
        <v>46231</v>
      </c>
      <c r="R173" s="3">
        <v>726</v>
      </c>
      <c r="S173" s="3" t="s">
        <v>3823</v>
      </c>
      <c r="T173" s="3">
        <v>2142</v>
      </c>
      <c r="U173" s="3" t="s">
        <v>4221</v>
      </c>
      <c r="V173" s="3" t="s">
        <v>4222</v>
      </c>
      <c r="W173" s="3">
        <v>647.58399999999995</v>
      </c>
      <c r="X173" s="3">
        <v>46246</v>
      </c>
      <c r="Y173" s="3">
        <v>46244</v>
      </c>
      <c r="AA173" t="s">
        <v>3870</v>
      </c>
      <c r="AB173" t="s">
        <v>3871</v>
      </c>
      <c r="AC173" s="3" t="s">
        <v>4218</v>
      </c>
      <c r="AD173" t="s">
        <v>4169</v>
      </c>
      <c r="AE173" t="s">
        <v>4170</v>
      </c>
      <c r="AF173" t="s">
        <v>3831</v>
      </c>
      <c r="AG173" t="s">
        <v>3832</v>
      </c>
      <c r="AH173" t="s">
        <v>3875</v>
      </c>
      <c r="AI173" t="s">
        <v>3834</v>
      </c>
      <c r="AJ173" t="s">
        <v>3835</v>
      </c>
      <c r="AK173" t="s">
        <v>3832</v>
      </c>
      <c r="AL173" t="s">
        <v>4066</v>
      </c>
      <c r="AM173" s="3" t="s">
        <v>4219</v>
      </c>
      <c r="AN173" s="3"/>
      <c r="AO173" s="3">
        <v>46252</v>
      </c>
      <c r="AP173" s="3"/>
      <c r="AQ173" s="3" t="s">
        <v>3877</v>
      </c>
      <c r="AR173" s="3"/>
      <c r="AS173" s="3"/>
      <c r="AT173" s="3">
        <v>46263</v>
      </c>
      <c r="AU173" s="3"/>
      <c r="AV173" s="3"/>
      <c r="AW173" t="s">
        <v>3839</v>
      </c>
      <c r="BC173" t="s">
        <v>18</v>
      </c>
      <c r="BD173" t="s">
        <v>0</v>
      </c>
      <c r="BE173" t="s">
        <v>4211</v>
      </c>
      <c r="BF173" t="s">
        <v>4212</v>
      </c>
      <c r="BG173" t="s">
        <v>3817</v>
      </c>
      <c r="CW173" s="6" t="str" cm="1">
        <f t="array" ref="CW173">IFERROR(_xlfn.IFS(H173=TIME(7,0,0),"GY",H173=TIME(7,30,0),"GY",H173=TIME(9,0,0),"GY",H173=TIME(15,0,0),"GY",H173=TIME(8,30,0),"GY",H173=TIME(5,30,0),"GY",H173=TIME(6,0,0),"GD",H173=TIME(6,30,0),"GD",H173=TIME(8,0,0),"GY",H173=TIME(6,15,0),"GD"),"")</f>
        <v>GD</v>
      </c>
      <c r="EE173"/>
    </row>
    <row r="174" spans="1:135" x14ac:dyDescent="0.45">
      <c r="A174" s="3" t="s">
        <v>32</v>
      </c>
      <c r="B174" s="3" t="s">
        <v>3814</v>
      </c>
      <c r="C174" s="3" t="s">
        <v>4198</v>
      </c>
      <c r="D174" s="3" t="s">
        <v>4199</v>
      </c>
      <c r="E174" s="100" t="s">
        <v>3817</v>
      </c>
      <c r="F174" s="3" t="s">
        <v>4200</v>
      </c>
      <c r="G174" s="4">
        <v>46259</v>
      </c>
      <c r="H174" s="5">
        <v>0.35416666666666674</v>
      </c>
      <c r="I174" s="91">
        <v>46248</v>
      </c>
      <c r="J174" s="91"/>
      <c r="K174" s="91">
        <v>46246</v>
      </c>
      <c r="L174" s="3" t="s">
        <v>4201</v>
      </c>
      <c r="M174" s="3" t="s">
        <v>3819</v>
      </c>
      <c r="N174" s="3" t="s">
        <v>4202</v>
      </c>
      <c r="O174" t="s">
        <v>3867</v>
      </c>
      <c r="P174" s="3" t="s">
        <v>3852</v>
      </c>
      <c r="Q174">
        <v>46217</v>
      </c>
      <c r="R174" s="3">
        <v>726</v>
      </c>
      <c r="S174" s="3" t="s">
        <v>3823</v>
      </c>
      <c r="T174" s="3">
        <v>36</v>
      </c>
      <c r="U174" s="3" t="s">
        <v>4203</v>
      </c>
      <c r="V174" s="3" t="s">
        <v>4204</v>
      </c>
      <c r="W174" s="3">
        <v>1064.49</v>
      </c>
      <c r="X174" s="3">
        <v>46251</v>
      </c>
      <c r="Y174" s="3">
        <v>46245</v>
      </c>
      <c r="AA174" t="s">
        <v>4205</v>
      </c>
      <c r="AB174" t="s">
        <v>4206</v>
      </c>
      <c r="AC174" s="3" t="s">
        <v>4207</v>
      </c>
      <c r="AD174" t="s">
        <v>4208</v>
      </c>
      <c r="AE174" t="s">
        <v>4209</v>
      </c>
      <c r="AF174" t="s">
        <v>3831</v>
      </c>
      <c r="AG174" t="s">
        <v>3832</v>
      </c>
      <c r="AH174" t="s">
        <v>3860</v>
      </c>
      <c r="AI174" t="s">
        <v>3834</v>
      </c>
      <c r="AJ174" t="s">
        <v>3835</v>
      </c>
      <c r="AK174" t="s">
        <v>3832</v>
      </c>
      <c r="AL174" t="s">
        <v>4066</v>
      </c>
      <c r="AM174" s="3" t="s">
        <v>4210</v>
      </c>
      <c r="AN174" s="3"/>
      <c r="AO174" s="3">
        <v>46248</v>
      </c>
      <c r="AP174" s="3"/>
      <c r="AQ174" s="3" t="s">
        <v>3837</v>
      </c>
      <c r="AR174" s="3" t="s">
        <v>3814</v>
      </c>
      <c r="AS174" s="3"/>
      <c r="AT174" s="3">
        <v>46260</v>
      </c>
      <c r="AU174" s="3"/>
      <c r="AV174" s="3"/>
      <c r="AW174" t="s">
        <v>3839</v>
      </c>
      <c r="BC174" t="s">
        <v>32</v>
      </c>
      <c r="BD174" t="s">
        <v>3814</v>
      </c>
      <c r="BE174" t="s">
        <v>4198</v>
      </c>
      <c r="BF174" t="s">
        <v>4199</v>
      </c>
      <c r="BG174" t="s">
        <v>3817</v>
      </c>
      <c r="CW174" s="6" t="str" cm="1">
        <f t="array" ref="CW174">IFERROR(_xlfn.IFS(H174=TIME(7,0,0),"GY",H174=TIME(7,30,0),"GY",H174=TIME(9,0,0),"GY",H174=TIME(15,0,0),"GY",H174=TIME(8,30,0),"GY",H174=TIME(5,30,0),"GY",H174=TIME(6,0,0),"GD",H174=TIME(6,30,0),"GD",H174=TIME(8,0,0),"GY",H174=TIME(6,15,0),"GD"),"")</f>
        <v>GY</v>
      </c>
      <c r="EE174"/>
    </row>
    <row r="175" spans="1:135" x14ac:dyDescent="0.45">
      <c r="A175" s="3" t="s">
        <v>18</v>
      </c>
      <c r="B175" s="3" t="s">
        <v>0</v>
      </c>
      <c r="C175" s="3" t="s">
        <v>4223</v>
      </c>
      <c r="D175" s="3" t="s">
        <v>4224</v>
      </c>
      <c r="E175" s="100" t="s">
        <v>3817</v>
      </c>
      <c r="F175" s="3" t="s">
        <v>4225</v>
      </c>
      <c r="G175" s="4">
        <v>46258</v>
      </c>
      <c r="H175" s="5">
        <v>0.27083333333333326</v>
      </c>
      <c r="I175" s="91">
        <v>46252</v>
      </c>
      <c r="J175" s="91"/>
      <c r="K175" s="91">
        <v>46249</v>
      </c>
      <c r="L175" s="3" t="s">
        <v>4226</v>
      </c>
      <c r="M175" s="3" t="s">
        <v>3819</v>
      </c>
      <c r="N175" s="3" t="s">
        <v>4227</v>
      </c>
      <c r="O175" t="s">
        <v>3821</v>
      </c>
      <c r="P175" s="3"/>
      <c r="Q175">
        <v>46225</v>
      </c>
      <c r="R175" s="3">
        <v>726</v>
      </c>
      <c r="S175" s="3" t="s">
        <v>3823</v>
      </c>
      <c r="T175" s="3">
        <v>13801</v>
      </c>
      <c r="U175" s="3" t="s">
        <v>4228</v>
      </c>
      <c r="V175" s="3" t="s">
        <v>4229</v>
      </c>
      <c r="W175" s="3">
        <v>8528.4879999999994</v>
      </c>
      <c r="X175" s="3">
        <v>46246</v>
      </c>
      <c r="Y175" s="3">
        <v>46244</v>
      </c>
      <c r="AA175" t="s">
        <v>3870</v>
      </c>
      <c r="AB175" t="s">
        <v>3871</v>
      </c>
      <c r="AC175" s="3" t="s">
        <v>4230</v>
      </c>
      <c r="AD175" t="s">
        <v>4169</v>
      </c>
      <c r="AE175" t="s">
        <v>4170</v>
      </c>
      <c r="AF175" t="s">
        <v>3831</v>
      </c>
      <c r="AG175" t="s">
        <v>3832</v>
      </c>
      <c r="AH175" t="s">
        <v>3875</v>
      </c>
      <c r="AI175" t="s">
        <v>3834</v>
      </c>
      <c r="AJ175" t="s">
        <v>3835</v>
      </c>
      <c r="AK175" t="s">
        <v>3832</v>
      </c>
      <c r="AM175" s="3" t="s">
        <v>4231</v>
      </c>
      <c r="AN175" s="3"/>
      <c r="AO175" s="3">
        <v>46252</v>
      </c>
      <c r="AP175" s="3"/>
      <c r="AQ175" s="3" t="s">
        <v>3877</v>
      </c>
      <c r="AR175" s="3"/>
      <c r="AS175" s="3"/>
      <c r="AT175" s="3">
        <v>46263</v>
      </c>
      <c r="AU175" s="3">
        <v>46297</v>
      </c>
      <c r="AV175" s="3"/>
      <c r="AW175" t="s">
        <v>3839</v>
      </c>
      <c r="BC175" t="s">
        <v>18</v>
      </c>
      <c r="BD175" t="s">
        <v>0</v>
      </c>
      <c r="BE175" t="s">
        <v>4223</v>
      </c>
      <c r="BF175" t="s">
        <v>4224</v>
      </c>
      <c r="BG175" t="s">
        <v>3817</v>
      </c>
      <c r="CW175" s="6" t="str" cm="1">
        <f t="array" ref="CW175">IFERROR(_xlfn.IFS(H175=TIME(7,0,0),"GY",H175=TIME(7,30,0),"GY",H175=TIME(9,0,0),"GY",H175=TIME(15,0,0),"GY",H175=TIME(8,30,0),"GY",H175=TIME(5,30,0),"GY",H175=TIME(6,0,0),"GD",H175=TIME(6,30,0),"GD",H175=TIME(8,0,0),"GY",H175=TIME(6,15,0),"GD"),"")</f>
        <v>GD</v>
      </c>
      <c r="EE175"/>
    </row>
    <row r="176" spans="1:135" x14ac:dyDescent="0.45">
      <c r="A176" s="3" t="s">
        <v>18</v>
      </c>
      <c r="B176" s="3" t="s">
        <v>0</v>
      </c>
      <c r="C176" s="3" t="s">
        <v>4223</v>
      </c>
      <c r="D176" s="3" t="s">
        <v>4224</v>
      </c>
      <c r="E176" s="100" t="s">
        <v>3817</v>
      </c>
      <c r="F176" s="3" t="s">
        <v>4232</v>
      </c>
      <c r="G176" s="4">
        <v>46258</v>
      </c>
      <c r="H176" s="5">
        <v>0.27083333333333326</v>
      </c>
      <c r="I176" s="91">
        <v>46252</v>
      </c>
      <c r="J176" s="91"/>
      <c r="K176" s="91">
        <v>46249</v>
      </c>
      <c r="L176" s="3" t="s">
        <v>4226</v>
      </c>
      <c r="M176" s="3" t="s">
        <v>3819</v>
      </c>
      <c r="N176" s="3" t="s">
        <v>4227</v>
      </c>
      <c r="O176" t="s">
        <v>3821</v>
      </c>
      <c r="P176" s="3"/>
      <c r="Q176">
        <v>46225</v>
      </c>
      <c r="R176" s="3">
        <v>726</v>
      </c>
      <c r="S176" s="3" t="s">
        <v>3823</v>
      </c>
      <c r="T176" s="3">
        <v>2407</v>
      </c>
      <c r="U176" s="3" t="s">
        <v>4233</v>
      </c>
      <c r="V176" s="3" t="s">
        <v>4234</v>
      </c>
      <c r="W176" s="3">
        <v>1388.1279999999999</v>
      </c>
      <c r="X176" s="3">
        <v>46246</v>
      </c>
      <c r="Y176" s="3">
        <v>46244</v>
      </c>
      <c r="AA176" t="s">
        <v>3870</v>
      </c>
      <c r="AB176" t="s">
        <v>3871</v>
      </c>
      <c r="AC176" s="3" t="s">
        <v>4230</v>
      </c>
      <c r="AD176" t="s">
        <v>4169</v>
      </c>
      <c r="AE176" t="s">
        <v>4170</v>
      </c>
      <c r="AF176" t="s">
        <v>3831</v>
      </c>
      <c r="AG176" t="s">
        <v>3832</v>
      </c>
      <c r="AH176" t="s">
        <v>3875</v>
      </c>
      <c r="AI176" t="s">
        <v>3834</v>
      </c>
      <c r="AJ176" t="s">
        <v>3835</v>
      </c>
      <c r="AK176" t="s">
        <v>3832</v>
      </c>
      <c r="AM176" s="3" t="s">
        <v>4231</v>
      </c>
      <c r="AN176" s="3"/>
      <c r="AO176" s="3">
        <v>46252</v>
      </c>
      <c r="AP176" s="3"/>
      <c r="AQ176" s="3" t="s">
        <v>3877</v>
      </c>
      <c r="AR176" s="3"/>
      <c r="AS176" s="3"/>
      <c r="AT176" s="3">
        <v>46263</v>
      </c>
      <c r="AU176" s="3">
        <v>46297</v>
      </c>
      <c r="AV176" s="3"/>
      <c r="AW176" t="s">
        <v>3839</v>
      </c>
      <c r="BC176" t="s">
        <v>18</v>
      </c>
      <c r="BD176" t="s">
        <v>0</v>
      </c>
      <c r="BE176" t="s">
        <v>4223</v>
      </c>
      <c r="BF176" t="s">
        <v>4224</v>
      </c>
      <c r="BG176" t="s">
        <v>3817</v>
      </c>
      <c r="CW176" s="6" t="str" cm="1">
        <f t="array" ref="CW176">IFERROR(_xlfn.IFS(H176=TIME(7,0,0),"GY",H176=TIME(7,30,0),"GY",H176=TIME(9,0,0),"GY",H176=TIME(15,0,0),"GY",H176=TIME(8,30,0),"GY",H176=TIME(5,30,0),"GY",H176=TIME(6,0,0),"GD",H176=TIME(6,30,0),"GD",H176=TIME(8,0,0),"GY",H176=TIME(6,15,0),"GD"),"")</f>
        <v>GD</v>
      </c>
      <c r="EE176"/>
    </row>
    <row r="177" spans="1:135" x14ac:dyDescent="0.45">
      <c r="A177" s="3" t="s">
        <v>32</v>
      </c>
      <c r="B177" s="3" t="s">
        <v>3814</v>
      </c>
      <c r="C177" s="3" t="s">
        <v>4235</v>
      </c>
      <c r="D177" s="3" t="s">
        <v>4236</v>
      </c>
      <c r="E177" s="100" t="s">
        <v>3947</v>
      </c>
      <c r="F177" s="3" t="s">
        <v>4237</v>
      </c>
      <c r="G177" s="4">
        <v>46258</v>
      </c>
      <c r="H177" s="5">
        <v>0.35416666666666674</v>
      </c>
      <c r="I177" s="91">
        <v>46247</v>
      </c>
      <c r="J177" s="91"/>
      <c r="K177" s="91">
        <v>46247</v>
      </c>
      <c r="L177" s="3" t="s">
        <v>4238</v>
      </c>
      <c r="M177" s="3" t="s">
        <v>3966</v>
      </c>
      <c r="N177" s="3" t="s">
        <v>4239</v>
      </c>
      <c r="O177" t="s">
        <v>3821</v>
      </c>
      <c r="P177" s="3" t="s">
        <v>3968</v>
      </c>
      <c r="Q177">
        <v>46203</v>
      </c>
      <c r="R177" s="3">
        <v>726</v>
      </c>
      <c r="S177" s="3" t="s">
        <v>3823</v>
      </c>
      <c r="T177" s="3">
        <v>1476</v>
      </c>
      <c r="U177" s="3" t="s">
        <v>4240</v>
      </c>
      <c r="V177" s="3" t="s">
        <v>4241</v>
      </c>
      <c r="W177" s="3">
        <v>303.14</v>
      </c>
      <c r="X177" s="3">
        <v>46236</v>
      </c>
      <c r="Y177" s="3">
        <v>46239</v>
      </c>
      <c r="AA177" t="s">
        <v>3971</v>
      </c>
      <c r="AB177" t="s">
        <v>3972</v>
      </c>
      <c r="AC177" s="3" t="s">
        <v>4242</v>
      </c>
      <c r="AD177" t="s">
        <v>4243</v>
      </c>
      <c r="AE177" t="s">
        <v>4244</v>
      </c>
      <c r="AF177" t="s">
        <v>3976</v>
      </c>
      <c r="AG177" t="s">
        <v>3832</v>
      </c>
      <c r="AH177" t="s">
        <v>3977</v>
      </c>
      <c r="AI177" t="s">
        <v>3834</v>
      </c>
      <c r="AJ177" t="s">
        <v>3956</v>
      </c>
      <c r="AK177" t="s">
        <v>3832</v>
      </c>
      <c r="AL177" t="s">
        <v>4245</v>
      </c>
      <c r="AM177" s="3" t="s">
        <v>4246</v>
      </c>
      <c r="AN177" s="3"/>
      <c r="AO177" s="3">
        <v>46247</v>
      </c>
      <c r="AP177" s="3"/>
      <c r="AQ177" s="3" t="s">
        <v>3979</v>
      </c>
      <c r="AR177" s="3"/>
      <c r="AS177" s="3" t="s">
        <v>3961</v>
      </c>
      <c r="AT177" s="3">
        <v>46261</v>
      </c>
      <c r="AU177" s="3"/>
      <c r="AV177" s="3"/>
      <c r="AW177" t="s">
        <v>3839</v>
      </c>
      <c r="BC177" t="s">
        <v>32</v>
      </c>
      <c r="BD177" t="s">
        <v>3814</v>
      </c>
      <c r="BE177" t="s">
        <v>4235</v>
      </c>
      <c r="BF177" t="s">
        <v>4236</v>
      </c>
      <c r="BG177" t="s">
        <v>3947</v>
      </c>
      <c r="CW177" s="6" t="str" cm="1">
        <f t="array" ref="CW177">IFERROR(_xlfn.IFS(H177=TIME(7,0,0),"GY",H177=TIME(7,30,0),"GY",H177=TIME(9,0,0),"GY",H177=TIME(15,0,0),"GY",H177=TIME(8,30,0),"GY",H177=TIME(5,30,0),"GY",H177=TIME(6,0,0),"GD",H177=TIME(6,30,0),"GD",H177=TIME(8,0,0),"GY",H177=TIME(6,15,0),"GD"),"")</f>
        <v>GY</v>
      </c>
      <c r="EE177"/>
    </row>
    <row r="178" spans="1:135" x14ac:dyDescent="0.45">
      <c r="A178" s="3" t="s">
        <v>32</v>
      </c>
      <c r="B178" s="3" t="s">
        <v>0</v>
      </c>
      <c r="C178" s="3" t="s">
        <v>4247</v>
      </c>
      <c r="D178" s="3" t="s">
        <v>4248</v>
      </c>
      <c r="E178" s="100" t="s">
        <v>3817</v>
      </c>
      <c r="F178" s="3" t="s">
        <v>3516</v>
      </c>
      <c r="G178" s="4">
        <v>46257</v>
      </c>
      <c r="H178" s="5">
        <v>0.26041666666666674</v>
      </c>
      <c r="I178" s="91">
        <v>46252</v>
      </c>
      <c r="J178" s="91"/>
      <c r="K178" s="91">
        <v>46249</v>
      </c>
      <c r="L178" s="3" t="s">
        <v>4249</v>
      </c>
      <c r="M178" s="3" t="s">
        <v>3819</v>
      </c>
      <c r="N178" s="3" t="s">
        <v>4250</v>
      </c>
      <c r="O178" t="s">
        <v>3821</v>
      </c>
      <c r="P178" s="3" t="s">
        <v>4251</v>
      </c>
      <c r="Q178">
        <v>46220</v>
      </c>
      <c r="R178" s="3">
        <v>726</v>
      </c>
      <c r="S178" s="3" t="s">
        <v>3823</v>
      </c>
      <c r="T178" s="3">
        <v>728</v>
      </c>
      <c r="U178" s="3" t="s">
        <v>4252</v>
      </c>
      <c r="V178" s="3" t="s">
        <v>4253</v>
      </c>
      <c r="W178" s="3">
        <v>21973.77</v>
      </c>
      <c r="X178" s="3">
        <v>46244</v>
      </c>
      <c r="Y178" s="3">
        <v>46242</v>
      </c>
      <c r="AA178" t="s">
        <v>3870</v>
      </c>
      <c r="AB178" t="s">
        <v>3871</v>
      </c>
      <c r="AC178" s="3" t="s">
        <v>4254</v>
      </c>
      <c r="AD178" t="s">
        <v>4169</v>
      </c>
      <c r="AE178" t="s">
        <v>4170</v>
      </c>
      <c r="AF178" t="s">
        <v>3831</v>
      </c>
      <c r="AG178" t="s">
        <v>3832</v>
      </c>
      <c r="AH178" t="s">
        <v>3875</v>
      </c>
      <c r="AI178" t="s">
        <v>3834</v>
      </c>
      <c r="AJ178" t="s">
        <v>3835</v>
      </c>
      <c r="AK178" t="s">
        <v>3832</v>
      </c>
      <c r="AM178" s="3" t="s">
        <v>4255</v>
      </c>
      <c r="AN178" s="3"/>
      <c r="AO178" s="3">
        <v>46252</v>
      </c>
      <c r="AP178" s="3"/>
      <c r="AQ178" s="3" t="s">
        <v>3877</v>
      </c>
      <c r="AR178" s="3"/>
      <c r="AS178" s="3"/>
      <c r="AT178" s="3">
        <v>46263</v>
      </c>
      <c r="AU178" s="3">
        <v>46297</v>
      </c>
      <c r="AV178" s="3"/>
      <c r="AW178" t="s">
        <v>3839</v>
      </c>
      <c r="BC178" t="s">
        <v>32</v>
      </c>
      <c r="BD178" t="s">
        <v>0</v>
      </c>
      <c r="BE178" t="s">
        <v>4247</v>
      </c>
      <c r="BF178" t="s">
        <v>4248</v>
      </c>
      <c r="BG178" t="s">
        <v>3817</v>
      </c>
      <c r="CW178" s="6" t="str" cm="1">
        <f t="array" ref="CW178">IFERROR(_xlfn.IFS(H178=TIME(7,0,0),"GY",H178=TIME(7,30,0),"GY",H178=TIME(9,0,0),"GY",H178=TIME(15,0,0),"GY",H178=TIME(8,30,0),"GY",H178=TIME(5,30,0),"GY",H178=TIME(6,0,0),"GD",H178=TIME(6,30,0),"GD",H178=TIME(8,0,0),"GY",H178=TIME(6,15,0),"GD"),"")</f>
        <v>GD</v>
      </c>
      <c r="EE178"/>
    </row>
    <row r="179" spans="1:135" x14ac:dyDescent="0.45">
      <c r="A179" s="14" t="s">
        <v>18</v>
      </c>
      <c r="B179" s="14"/>
      <c r="C179" s="14" t="s">
        <v>4256</v>
      </c>
      <c r="D179" s="14" t="s">
        <v>4257</v>
      </c>
      <c r="E179" s="100" t="s">
        <v>3817</v>
      </c>
      <c r="F179" s="14" t="s">
        <v>4258</v>
      </c>
      <c r="G179" s="4">
        <v>46256</v>
      </c>
      <c r="H179" s="5">
        <v>0.26041666666666674</v>
      </c>
      <c r="I179" s="91">
        <v>46244</v>
      </c>
      <c r="J179" s="91"/>
      <c r="K179" s="91">
        <v>46243</v>
      </c>
      <c r="L179" s="14" t="s">
        <v>4259</v>
      </c>
      <c r="M179" s="14" t="s">
        <v>3819</v>
      </c>
      <c r="N179" s="14" t="s">
        <v>4260</v>
      </c>
      <c r="O179" s="29" t="s">
        <v>3821</v>
      </c>
      <c r="P179" s="14"/>
      <c r="Q179" s="29">
        <v>46226</v>
      </c>
      <c r="R179" s="14">
        <v>726</v>
      </c>
      <c r="S179" s="14" t="s">
        <v>3823</v>
      </c>
      <c r="T179" s="14">
        <v>3953</v>
      </c>
      <c r="U179" s="14" t="s">
        <v>4261</v>
      </c>
      <c r="V179" s="14" t="s">
        <v>4262</v>
      </c>
      <c r="W179" s="14">
        <v>9592.5190000000002</v>
      </c>
      <c r="X179" s="14">
        <v>46237</v>
      </c>
      <c r="Y179" s="14">
        <v>46235</v>
      </c>
      <c r="Z179" s="29"/>
      <c r="AA179" s="29" t="s">
        <v>3826</v>
      </c>
      <c r="AB179" s="29" t="s">
        <v>3827</v>
      </c>
      <c r="AC179" s="14" t="s">
        <v>4263</v>
      </c>
      <c r="AD179" s="29" t="s">
        <v>3955</v>
      </c>
      <c r="AE179" s="29" t="s">
        <v>3907</v>
      </c>
      <c r="AF179" s="29" t="s">
        <v>3831</v>
      </c>
      <c r="AG179" s="29" t="s">
        <v>3832</v>
      </c>
      <c r="AH179" s="29" t="s">
        <v>3908</v>
      </c>
      <c r="AI179" s="29" t="s">
        <v>3834</v>
      </c>
      <c r="AJ179" s="29" t="s">
        <v>3956</v>
      </c>
      <c r="AK179" s="29" t="s">
        <v>3832</v>
      </c>
      <c r="AL179" s="29" t="s">
        <v>4245</v>
      </c>
      <c r="AM179" s="14" t="s">
        <v>4264</v>
      </c>
      <c r="AN179" s="14"/>
      <c r="AO179" s="14">
        <v>46244</v>
      </c>
      <c r="AP179" s="14"/>
      <c r="AQ179" s="14" t="s">
        <v>4037</v>
      </c>
      <c r="AR179" s="14"/>
      <c r="AS179" s="14" t="s">
        <v>3961</v>
      </c>
      <c r="AT179" s="14">
        <v>46257</v>
      </c>
      <c r="AU179" s="14"/>
      <c r="AV179" s="14"/>
      <c r="AW179" s="29" t="s">
        <v>3839</v>
      </c>
      <c r="AX179" s="29"/>
      <c r="AY179" s="29"/>
      <c r="AZ179" s="29"/>
      <c r="BA179" s="29"/>
      <c r="BB179" s="29"/>
      <c r="BC179" s="29" t="s">
        <v>18</v>
      </c>
      <c r="BD179" s="29"/>
      <c r="BE179" s="29" t="s">
        <v>4256</v>
      </c>
      <c r="BF179" s="29" t="s">
        <v>4257</v>
      </c>
      <c r="BG179" s="29" t="s">
        <v>3817</v>
      </c>
      <c r="BH179" s="29"/>
      <c r="BI179" s="29"/>
      <c r="BJ179" s="29"/>
      <c r="BK179" s="29"/>
      <c r="BL179" s="29"/>
      <c r="BM179" s="29"/>
      <c r="BN179" s="29"/>
      <c r="CW179" s="6" t="str" cm="1">
        <f t="array" ref="CW179">IFERROR(_xlfn.IFS(H179=TIME(7,0,0),"GY",H179=TIME(7,30,0),"GY",H179=TIME(9,0,0),"GY",H179=TIME(15,0,0),"GY",H179=TIME(8,30,0),"GY",H179=TIME(5,30,0),"GY",H179=TIME(6,0,0),"GD",H179=TIME(6,30,0),"GD",H179=TIME(8,0,0),"GY",H179=TIME(6,15,0),"GD"),"")</f>
        <v>GD</v>
      </c>
      <c r="EE179"/>
    </row>
    <row r="180" spans="1:135" x14ac:dyDescent="0.45">
      <c r="A180" s="3" t="s">
        <v>18</v>
      </c>
      <c r="B180" s="3"/>
      <c r="C180" s="3" t="s">
        <v>4256</v>
      </c>
      <c r="D180" s="3" t="s">
        <v>4257</v>
      </c>
      <c r="E180" s="100" t="s">
        <v>3817</v>
      </c>
      <c r="F180" s="3" t="s">
        <v>4265</v>
      </c>
      <c r="G180" s="4">
        <v>46256</v>
      </c>
      <c r="H180" s="5">
        <v>0.26041666666666674</v>
      </c>
      <c r="I180" s="91">
        <v>46244</v>
      </c>
      <c r="J180" s="91"/>
      <c r="K180" s="91">
        <v>46243</v>
      </c>
      <c r="L180" s="3" t="s">
        <v>4259</v>
      </c>
      <c r="M180" s="3" t="s">
        <v>3819</v>
      </c>
      <c r="N180" s="3" t="s">
        <v>4260</v>
      </c>
      <c r="O180" t="s">
        <v>3821</v>
      </c>
      <c r="P180" s="3"/>
      <c r="Q180">
        <v>46226</v>
      </c>
      <c r="R180" s="3">
        <v>726</v>
      </c>
      <c r="S180" s="3" t="s">
        <v>3823</v>
      </c>
      <c r="T180" s="3">
        <v>3272</v>
      </c>
      <c r="U180" s="3" t="s">
        <v>4266</v>
      </c>
      <c r="V180" s="3" t="s">
        <v>4267</v>
      </c>
      <c r="W180" s="3">
        <v>968.86800000000005</v>
      </c>
      <c r="X180" s="3">
        <v>46237</v>
      </c>
      <c r="Y180" s="3">
        <v>46235</v>
      </c>
      <c r="AA180" t="s">
        <v>3826</v>
      </c>
      <c r="AB180" t="s">
        <v>3827</v>
      </c>
      <c r="AC180" s="3" t="s">
        <v>4263</v>
      </c>
      <c r="AD180" t="s">
        <v>3955</v>
      </c>
      <c r="AE180" t="s">
        <v>3907</v>
      </c>
      <c r="AF180" t="s">
        <v>3831</v>
      </c>
      <c r="AG180" t="s">
        <v>3832</v>
      </c>
      <c r="AH180" t="s">
        <v>3908</v>
      </c>
      <c r="AI180" t="s">
        <v>3834</v>
      </c>
      <c r="AJ180" t="s">
        <v>3956</v>
      </c>
      <c r="AK180" t="s">
        <v>3832</v>
      </c>
      <c r="AL180" t="s">
        <v>4245</v>
      </c>
      <c r="AM180" s="3" t="s">
        <v>4264</v>
      </c>
      <c r="AN180" s="3"/>
      <c r="AO180" s="3">
        <v>46244</v>
      </c>
      <c r="AP180" s="3"/>
      <c r="AQ180" s="3" t="s">
        <v>4037</v>
      </c>
      <c r="AR180" s="3"/>
      <c r="AS180" s="3" t="s">
        <v>3961</v>
      </c>
      <c r="AT180" s="3">
        <v>46257</v>
      </c>
      <c r="AU180" s="3"/>
      <c r="AV180" s="3"/>
      <c r="AW180" t="s">
        <v>3839</v>
      </c>
      <c r="BC180" t="s">
        <v>18</v>
      </c>
      <c r="BE180" t="s">
        <v>4256</v>
      </c>
      <c r="BF180" t="s">
        <v>4257</v>
      </c>
      <c r="BG180" t="s">
        <v>3817</v>
      </c>
      <c r="CW180" s="6" t="str" cm="1">
        <f t="array" ref="CW180">IFERROR(_xlfn.IFS(H180=TIME(7,0,0),"GY",H180=TIME(7,30,0),"GY",H180=TIME(9,0,0),"GY",H180=TIME(15,0,0),"GY",H180=TIME(8,30,0),"GY",H180=TIME(5,30,0),"GY",H180=TIME(6,0,0),"GD",H180=TIME(6,30,0),"GD",H180=TIME(8,0,0),"GY",H180=TIME(6,15,0),"GD"),"")</f>
        <v>GD</v>
      </c>
      <c r="EE180"/>
    </row>
    <row r="181" spans="1:135" x14ac:dyDescent="0.45">
      <c r="A181" s="3" t="s">
        <v>32</v>
      </c>
      <c r="B181" s="3" t="s">
        <v>3814</v>
      </c>
      <c r="C181" s="3" t="s">
        <v>4268</v>
      </c>
      <c r="D181" s="3" t="s">
        <v>4269</v>
      </c>
      <c r="E181" s="100" t="s">
        <v>3817</v>
      </c>
      <c r="F181" s="3" t="s">
        <v>4270</v>
      </c>
      <c r="G181" s="4">
        <v>46255</v>
      </c>
      <c r="H181" s="5">
        <v>0.35416666666666674</v>
      </c>
      <c r="I181" s="91">
        <v>46245</v>
      </c>
      <c r="J181" s="91"/>
      <c r="K181" s="91">
        <v>46244</v>
      </c>
      <c r="L181" s="3" t="s">
        <v>4271</v>
      </c>
      <c r="M181" s="3" t="s">
        <v>3819</v>
      </c>
      <c r="N181" s="3" t="s">
        <v>4272</v>
      </c>
      <c r="O181" t="s">
        <v>3867</v>
      </c>
      <c r="P181" s="3" t="s">
        <v>3852</v>
      </c>
      <c r="Q181">
        <v>46209</v>
      </c>
      <c r="R181" s="3">
        <v>726</v>
      </c>
      <c r="S181" s="3" t="s">
        <v>3823</v>
      </c>
      <c r="T181" s="3">
        <v>60</v>
      </c>
      <c r="U181" s="3" t="s">
        <v>4273</v>
      </c>
      <c r="V181" s="3" t="s">
        <v>4274</v>
      </c>
      <c r="W181" s="3">
        <v>1674.2159999999999</v>
      </c>
      <c r="X181" s="3">
        <v>46239</v>
      </c>
      <c r="Y181" s="3">
        <v>46233</v>
      </c>
      <c r="AA181" t="s">
        <v>3855</v>
      </c>
      <c r="AB181" t="s">
        <v>3856</v>
      </c>
      <c r="AC181" s="3" t="s">
        <v>4275</v>
      </c>
      <c r="AD181" t="s">
        <v>4276</v>
      </c>
      <c r="AE181" t="s">
        <v>4277</v>
      </c>
      <c r="AF181" t="s">
        <v>3831</v>
      </c>
      <c r="AG181" t="s">
        <v>3832</v>
      </c>
      <c r="AH181" t="s">
        <v>3860</v>
      </c>
      <c r="AI181" t="s">
        <v>3834</v>
      </c>
      <c r="AJ181" t="s">
        <v>3835</v>
      </c>
      <c r="AK181" t="s">
        <v>3832</v>
      </c>
      <c r="AL181" t="s">
        <v>4066</v>
      </c>
      <c r="AM181" s="3" t="s">
        <v>4278</v>
      </c>
      <c r="AN181" s="3"/>
      <c r="AO181" s="3">
        <v>46245</v>
      </c>
      <c r="AP181" s="3"/>
      <c r="AQ181" s="3" t="s">
        <v>3862</v>
      </c>
      <c r="AR181" s="3" t="s">
        <v>3814</v>
      </c>
      <c r="AS181" s="3"/>
      <c r="AT181" s="3">
        <v>46258</v>
      </c>
      <c r="AU181" s="3"/>
      <c r="AV181" s="3"/>
      <c r="AW181" t="s">
        <v>3839</v>
      </c>
      <c r="BC181" t="s">
        <v>32</v>
      </c>
      <c r="BD181" t="s">
        <v>3814</v>
      </c>
      <c r="BE181" t="s">
        <v>4268</v>
      </c>
      <c r="BF181" t="s">
        <v>4269</v>
      </c>
      <c r="BG181" t="s">
        <v>3817</v>
      </c>
      <c r="CW181" s="6" t="str" cm="1">
        <f t="array" ref="CW181">IFERROR(_xlfn.IFS(H181=TIME(7,0,0),"GY",H181=TIME(7,30,0),"GY",H181=TIME(9,0,0),"GY",H181=TIME(15,0,0),"GY",H181=TIME(8,30,0),"GY",H181=TIME(5,30,0),"GY",H181=TIME(6,0,0),"GD",H181=TIME(6,30,0),"GD",H181=TIME(8,0,0),"GY",H181=TIME(6,15,0),"GD"),"")</f>
        <v>GY</v>
      </c>
      <c r="EE181"/>
    </row>
    <row r="182" spans="1:135" x14ac:dyDescent="0.45">
      <c r="A182" s="14" t="s">
        <v>63</v>
      </c>
      <c r="B182" s="14"/>
      <c r="C182" s="14" t="s">
        <v>4279</v>
      </c>
      <c r="D182" s="14" t="s">
        <v>4280</v>
      </c>
      <c r="E182" s="100" t="s">
        <v>3817</v>
      </c>
      <c r="F182" s="14" t="s">
        <v>4281</v>
      </c>
      <c r="G182" s="4">
        <v>46255</v>
      </c>
      <c r="H182" s="5">
        <v>0.27083333333333326</v>
      </c>
      <c r="I182" s="91">
        <v>46248</v>
      </c>
      <c r="J182" s="91">
        <v>46248</v>
      </c>
      <c r="K182" s="91">
        <v>46243</v>
      </c>
      <c r="L182" s="14" t="s">
        <v>4282</v>
      </c>
      <c r="M182" s="14" t="s">
        <v>3819</v>
      </c>
      <c r="N182" s="14" t="s">
        <v>4283</v>
      </c>
      <c r="O182" s="29" t="s">
        <v>3867</v>
      </c>
      <c r="P182" s="14" t="s">
        <v>4030</v>
      </c>
      <c r="Q182" s="29">
        <v>46217</v>
      </c>
      <c r="R182" s="14">
        <v>726</v>
      </c>
      <c r="S182" s="14" t="s">
        <v>3823</v>
      </c>
      <c r="T182" s="14">
        <v>3165</v>
      </c>
      <c r="U182" s="14" t="s">
        <v>4284</v>
      </c>
      <c r="V182" s="14" t="s">
        <v>4285</v>
      </c>
      <c r="W182" s="14">
        <v>1864.453</v>
      </c>
      <c r="X182" s="14">
        <v>46229</v>
      </c>
      <c r="Y182" s="14">
        <v>46227</v>
      </c>
      <c r="Z182" s="29"/>
      <c r="AA182" s="29" t="s">
        <v>3826</v>
      </c>
      <c r="AB182" s="29" t="s">
        <v>3827</v>
      </c>
      <c r="AC182" s="14" t="s">
        <v>4286</v>
      </c>
      <c r="AD182" s="29" t="s">
        <v>4049</v>
      </c>
      <c r="AE182" s="29" t="s">
        <v>4050</v>
      </c>
      <c r="AF182" s="29" t="s">
        <v>3831</v>
      </c>
      <c r="AG182" s="29" t="s">
        <v>3832</v>
      </c>
      <c r="AH182" s="29" t="s">
        <v>3908</v>
      </c>
      <c r="AI182" s="29" t="s">
        <v>3834</v>
      </c>
      <c r="AJ182" s="29" t="s">
        <v>3956</v>
      </c>
      <c r="AK182" s="29" t="s">
        <v>3832</v>
      </c>
      <c r="AL182" s="29"/>
      <c r="AM182" s="14" t="s">
        <v>4287</v>
      </c>
      <c r="AN182" s="14"/>
      <c r="AO182" s="14">
        <v>46245</v>
      </c>
      <c r="AP182" s="14"/>
      <c r="AQ182" s="14" t="s">
        <v>4037</v>
      </c>
      <c r="AR182" s="14" t="s">
        <v>4288</v>
      </c>
      <c r="AS182" s="14" t="s">
        <v>3961</v>
      </c>
      <c r="AT182" s="14">
        <v>46257</v>
      </c>
      <c r="AU182" s="14"/>
      <c r="AV182" s="14">
        <v>46263</v>
      </c>
      <c r="AW182" s="29" t="s">
        <v>3839</v>
      </c>
      <c r="AX182" s="29"/>
      <c r="AY182" s="29"/>
      <c r="AZ182" s="29"/>
      <c r="BA182" s="29"/>
      <c r="BB182" s="29"/>
      <c r="BC182" s="29" t="s">
        <v>63</v>
      </c>
      <c r="BD182" s="29"/>
      <c r="BE182" s="29" t="s">
        <v>4279</v>
      </c>
      <c r="BF182" s="29" t="s">
        <v>4280</v>
      </c>
      <c r="BG182" s="29" t="s">
        <v>3817</v>
      </c>
      <c r="BH182" s="29"/>
      <c r="BI182" s="29"/>
      <c r="BJ182" s="29"/>
      <c r="BK182" s="29"/>
      <c r="BL182" s="29"/>
      <c r="BM182" s="29"/>
      <c r="BN182" s="29"/>
      <c r="CW182" s="6" t="str" cm="1">
        <f t="array" ref="CW182">IFERROR(_xlfn.IFS(H182=TIME(7,0,0),"GY",H182=TIME(7,30,0),"GY",H182=TIME(9,0,0),"GY",H182=TIME(15,0,0),"GY",H182=TIME(8,30,0),"GY",H182=TIME(5,30,0),"GY",H182=TIME(6,0,0),"GD",H182=TIME(6,30,0),"GD",H182=TIME(8,0,0),"GY",H182=TIME(6,15,0),"GD"),"")</f>
        <v>GD</v>
      </c>
      <c r="EE182"/>
    </row>
    <row r="183" spans="1:135" x14ac:dyDescent="0.45">
      <c r="A183" s="3" t="s">
        <v>63</v>
      </c>
      <c r="B183" s="3"/>
      <c r="C183" s="3" t="s">
        <v>4279</v>
      </c>
      <c r="D183" s="3" t="s">
        <v>4280</v>
      </c>
      <c r="E183" s="100" t="s">
        <v>3817</v>
      </c>
      <c r="F183" s="3" t="s">
        <v>4289</v>
      </c>
      <c r="G183" s="4">
        <v>46255</v>
      </c>
      <c r="H183" s="5">
        <v>0.27083333333333326</v>
      </c>
      <c r="I183" s="91">
        <v>46248</v>
      </c>
      <c r="J183" s="91">
        <v>46248</v>
      </c>
      <c r="K183" s="91">
        <v>46243</v>
      </c>
      <c r="L183" s="3" t="s">
        <v>4282</v>
      </c>
      <c r="M183" s="3" t="s">
        <v>3819</v>
      </c>
      <c r="N183" s="3" t="s">
        <v>4283</v>
      </c>
      <c r="O183" t="s">
        <v>3867</v>
      </c>
      <c r="P183" s="3" t="s">
        <v>4030</v>
      </c>
      <c r="Q183">
        <v>46217</v>
      </c>
      <c r="R183" s="3">
        <v>726</v>
      </c>
      <c r="S183" s="3" t="s">
        <v>3823</v>
      </c>
      <c r="T183" s="3">
        <v>15130</v>
      </c>
      <c r="U183" s="3" t="s">
        <v>4290</v>
      </c>
      <c r="V183" s="3" t="s">
        <v>4291</v>
      </c>
      <c r="W183" s="3">
        <v>9766.35</v>
      </c>
      <c r="X183" s="3">
        <v>46229</v>
      </c>
      <c r="Y183" s="3">
        <v>46227</v>
      </c>
      <c r="AA183" t="s">
        <v>3826</v>
      </c>
      <c r="AB183" t="s">
        <v>3827</v>
      </c>
      <c r="AC183" s="3" t="s">
        <v>4286</v>
      </c>
      <c r="AD183" t="s">
        <v>4049</v>
      </c>
      <c r="AE183" t="s">
        <v>4050</v>
      </c>
      <c r="AF183" t="s">
        <v>3831</v>
      </c>
      <c r="AG183" t="s">
        <v>3832</v>
      </c>
      <c r="AH183" t="s">
        <v>3908</v>
      </c>
      <c r="AI183" t="s">
        <v>3834</v>
      </c>
      <c r="AJ183" t="s">
        <v>3956</v>
      </c>
      <c r="AK183" t="s">
        <v>3832</v>
      </c>
      <c r="AM183" s="3" t="s">
        <v>4287</v>
      </c>
      <c r="AN183" s="3"/>
      <c r="AO183" s="3">
        <v>46245</v>
      </c>
      <c r="AP183" s="3"/>
      <c r="AQ183" s="3" t="s">
        <v>4037</v>
      </c>
      <c r="AR183" s="3" t="s">
        <v>4288</v>
      </c>
      <c r="AS183" s="3" t="s">
        <v>3961</v>
      </c>
      <c r="AT183" s="3">
        <v>46257</v>
      </c>
      <c r="AU183" s="3"/>
      <c r="AV183" s="3">
        <v>46263</v>
      </c>
      <c r="AW183" t="s">
        <v>3839</v>
      </c>
      <c r="BC183" t="s">
        <v>63</v>
      </c>
      <c r="BE183" t="s">
        <v>4279</v>
      </c>
      <c r="BF183" t="s">
        <v>4280</v>
      </c>
      <c r="BG183" t="s">
        <v>3817</v>
      </c>
      <c r="CW183" s="6" t="str" cm="1">
        <f t="array" ref="CW183">IFERROR(_xlfn.IFS(H183=TIME(7,0,0),"GY",H183=TIME(7,30,0),"GY",H183=TIME(9,0,0),"GY",H183=TIME(15,0,0),"GY",H183=TIME(8,30,0),"GY",H183=TIME(5,30,0),"GY",H183=TIME(6,0,0),"GD",H183=TIME(6,30,0),"GD",H183=TIME(8,0,0),"GY",H183=TIME(6,15,0),"GD"),"")</f>
        <v>GD</v>
      </c>
      <c r="EE183"/>
    </row>
    <row r="184" spans="1:135" x14ac:dyDescent="0.45">
      <c r="A184" s="3" t="s">
        <v>32</v>
      </c>
      <c r="B184" s="3" t="s">
        <v>3814</v>
      </c>
      <c r="C184" s="3" t="s">
        <v>4292</v>
      </c>
      <c r="D184" s="3" t="s">
        <v>4293</v>
      </c>
      <c r="E184" s="100" t="s">
        <v>3817</v>
      </c>
      <c r="F184" s="3" t="s">
        <v>4294</v>
      </c>
      <c r="G184" s="4">
        <v>46254</v>
      </c>
      <c r="H184" s="5">
        <v>0.35416666666666674</v>
      </c>
      <c r="I184" s="91">
        <v>46245</v>
      </c>
      <c r="J184" s="91"/>
      <c r="K184" s="91">
        <v>46244</v>
      </c>
      <c r="L184" s="3" t="s">
        <v>4295</v>
      </c>
      <c r="M184" s="3" t="s">
        <v>3819</v>
      </c>
      <c r="N184" s="3" t="s">
        <v>4296</v>
      </c>
      <c r="O184" t="s">
        <v>3867</v>
      </c>
      <c r="P184" s="3" t="s">
        <v>3852</v>
      </c>
      <c r="Q184">
        <v>46209</v>
      </c>
      <c r="R184" s="3">
        <v>726</v>
      </c>
      <c r="S184" s="3" t="s">
        <v>3823</v>
      </c>
      <c r="T184" s="3">
        <v>24</v>
      </c>
      <c r="U184" s="3" t="s">
        <v>4297</v>
      </c>
      <c r="V184" s="3" t="s">
        <v>4298</v>
      </c>
      <c r="W184" s="3">
        <v>633.55799999999999</v>
      </c>
      <c r="X184" s="3">
        <v>46221</v>
      </c>
      <c r="Y184" s="3">
        <v>46233</v>
      </c>
      <c r="AA184" t="s">
        <v>3855</v>
      </c>
      <c r="AB184" t="s">
        <v>3856</v>
      </c>
      <c r="AC184" s="3" t="s">
        <v>4299</v>
      </c>
      <c r="AD184" t="s">
        <v>4276</v>
      </c>
      <c r="AE184" t="s">
        <v>4300</v>
      </c>
      <c r="AF184" t="s">
        <v>3831</v>
      </c>
      <c r="AG184" t="s">
        <v>3832</v>
      </c>
      <c r="AH184" t="s">
        <v>3860</v>
      </c>
      <c r="AI184" t="s">
        <v>3834</v>
      </c>
      <c r="AJ184" t="s">
        <v>3835</v>
      </c>
      <c r="AK184" t="s">
        <v>3832</v>
      </c>
      <c r="AL184" t="s">
        <v>4066</v>
      </c>
      <c r="AM184" s="3" t="s">
        <v>4301</v>
      </c>
      <c r="AN184" s="3"/>
      <c r="AO184" s="3">
        <v>46245</v>
      </c>
      <c r="AP184" s="3"/>
      <c r="AQ184" s="3" t="s">
        <v>3862</v>
      </c>
      <c r="AR184" s="3" t="s">
        <v>3814</v>
      </c>
      <c r="AS184" s="3"/>
      <c r="AT184" s="3">
        <v>46258</v>
      </c>
      <c r="AU184" s="3"/>
      <c r="AV184" s="3"/>
      <c r="AW184" t="s">
        <v>3839</v>
      </c>
      <c r="BC184" t="s">
        <v>32</v>
      </c>
      <c r="BD184" t="s">
        <v>3814</v>
      </c>
      <c r="BE184" t="s">
        <v>4292</v>
      </c>
      <c r="BF184" t="s">
        <v>4293</v>
      </c>
      <c r="BG184" t="s">
        <v>3817</v>
      </c>
      <c r="CW184" s="6" t="str" cm="1">
        <f t="array" ref="CW184">IFERROR(_xlfn.IFS(H184=TIME(7,0,0),"GY",H184=TIME(7,30,0),"GY",H184=TIME(9,0,0),"GY",H184=TIME(15,0,0),"GY",H184=TIME(8,30,0),"GY",H184=TIME(5,30,0),"GY",H184=TIME(6,0,0),"GD",H184=TIME(6,30,0),"GD",H184=TIME(8,0,0),"GY",H184=TIME(6,15,0),"GD"),"")</f>
        <v>GY</v>
      </c>
      <c r="EE184"/>
    </row>
    <row r="185" spans="1:135" x14ac:dyDescent="0.45">
      <c r="A185" s="3" t="s">
        <v>18</v>
      </c>
      <c r="B185" s="3"/>
      <c r="C185" s="3" t="s">
        <v>4302</v>
      </c>
      <c r="D185" s="3" t="s">
        <v>4303</v>
      </c>
      <c r="E185" s="100" t="s">
        <v>3817</v>
      </c>
      <c r="F185" s="3" t="s">
        <v>4304</v>
      </c>
      <c r="G185" s="4">
        <v>46254</v>
      </c>
      <c r="H185" s="5">
        <v>0.27083333333333326</v>
      </c>
      <c r="I185" s="91">
        <v>46245</v>
      </c>
      <c r="J185" s="91"/>
      <c r="K185" s="91">
        <v>46243</v>
      </c>
      <c r="L185" s="3" t="s">
        <v>4305</v>
      </c>
      <c r="M185" s="3" t="s">
        <v>3819</v>
      </c>
      <c r="N185" s="3" t="s">
        <v>4306</v>
      </c>
      <c r="O185" t="s">
        <v>3821</v>
      </c>
      <c r="P185" s="3"/>
      <c r="Q185">
        <v>46219</v>
      </c>
      <c r="R185" s="3">
        <v>726</v>
      </c>
      <c r="S185" s="3" t="s">
        <v>3823</v>
      </c>
      <c r="T185" s="3">
        <v>12033</v>
      </c>
      <c r="U185" s="3" t="s">
        <v>4307</v>
      </c>
      <c r="V185" s="3" t="s">
        <v>4308</v>
      </c>
      <c r="W185" s="3">
        <v>11601.325000000001</v>
      </c>
      <c r="X185" s="3">
        <v>46229</v>
      </c>
      <c r="Y185" s="3">
        <v>46227</v>
      </c>
      <c r="AA185" t="s">
        <v>3826</v>
      </c>
      <c r="AB185" t="s">
        <v>3827</v>
      </c>
      <c r="AC185" s="3" t="s">
        <v>4309</v>
      </c>
      <c r="AD185" t="s">
        <v>4049</v>
      </c>
      <c r="AE185" t="s">
        <v>4050</v>
      </c>
      <c r="AF185" t="s">
        <v>3831</v>
      </c>
      <c r="AG185" t="s">
        <v>3832</v>
      </c>
      <c r="AH185" t="s">
        <v>3908</v>
      </c>
      <c r="AI185" t="s">
        <v>3834</v>
      </c>
      <c r="AJ185" t="s">
        <v>3956</v>
      </c>
      <c r="AK185" t="s">
        <v>3832</v>
      </c>
      <c r="AM185" s="3" t="s">
        <v>4310</v>
      </c>
      <c r="AN185" s="3"/>
      <c r="AO185" s="3">
        <v>46245</v>
      </c>
      <c r="AP185" s="3"/>
      <c r="AQ185" s="3" t="s">
        <v>4037</v>
      </c>
      <c r="AR185" s="3"/>
      <c r="AS185" s="3" t="s">
        <v>3961</v>
      </c>
      <c r="AT185" s="3">
        <v>46257</v>
      </c>
      <c r="AU185" s="3"/>
      <c r="AV185" s="3">
        <v>46260</v>
      </c>
      <c r="AW185" t="s">
        <v>3839</v>
      </c>
      <c r="BC185" t="s">
        <v>18</v>
      </c>
      <c r="BE185" t="s">
        <v>4302</v>
      </c>
      <c r="BF185" t="s">
        <v>4303</v>
      </c>
      <c r="BG185" t="s">
        <v>3817</v>
      </c>
      <c r="CW185" s="6" t="str" cm="1">
        <f t="array" ref="CW185">IFERROR(_xlfn.IFS(H185=TIME(7,0,0),"GY",H185=TIME(7,30,0),"GY",H185=TIME(9,0,0),"GY",H185=TIME(15,0,0),"GY",H185=TIME(8,30,0),"GY",H185=TIME(5,30,0),"GY",H185=TIME(6,0,0),"GD",H185=TIME(6,30,0),"GD",H185=TIME(8,0,0),"GY",H185=TIME(6,15,0),"GD"),"")</f>
        <v>GD</v>
      </c>
      <c r="EE185"/>
    </row>
    <row r="186" spans="1:135" x14ac:dyDescent="0.45">
      <c r="A186" s="3" t="s">
        <v>32</v>
      </c>
      <c r="B186" s="3" t="s">
        <v>3814</v>
      </c>
      <c r="C186" s="3" t="s">
        <v>4311</v>
      </c>
      <c r="D186" s="3" t="s">
        <v>4312</v>
      </c>
      <c r="E186" s="100" t="s">
        <v>3817</v>
      </c>
      <c r="F186" s="3" t="s">
        <v>4313</v>
      </c>
      <c r="G186" s="4">
        <v>46253</v>
      </c>
      <c r="H186" s="5">
        <v>0.35416666666666674</v>
      </c>
      <c r="I186" s="91">
        <v>46245</v>
      </c>
      <c r="J186" s="91"/>
      <c r="K186" s="91">
        <v>46244</v>
      </c>
      <c r="L186" s="3" t="s">
        <v>4314</v>
      </c>
      <c r="M186" s="3" t="s">
        <v>3819</v>
      </c>
      <c r="N186" s="3" t="s">
        <v>4315</v>
      </c>
      <c r="O186" t="s">
        <v>3821</v>
      </c>
      <c r="P186" s="3" t="s">
        <v>3902</v>
      </c>
      <c r="Q186">
        <v>46206</v>
      </c>
      <c r="R186" s="3">
        <v>726</v>
      </c>
      <c r="S186" s="3" t="s">
        <v>3823</v>
      </c>
      <c r="T186" s="3">
        <v>24</v>
      </c>
      <c r="U186" s="3" t="s">
        <v>4316</v>
      </c>
      <c r="V186" s="3" t="s">
        <v>4317</v>
      </c>
      <c r="W186" s="3">
        <v>659.45399999999995</v>
      </c>
      <c r="X186" s="3">
        <v>46239</v>
      </c>
      <c r="Y186" s="3">
        <v>46237</v>
      </c>
      <c r="AA186" t="s">
        <v>3855</v>
      </c>
      <c r="AB186" t="s">
        <v>3856</v>
      </c>
      <c r="AC186" s="3" t="s">
        <v>4318</v>
      </c>
      <c r="AD186" t="s">
        <v>4276</v>
      </c>
      <c r="AE186" t="s">
        <v>4277</v>
      </c>
      <c r="AF186" t="s">
        <v>3831</v>
      </c>
      <c r="AG186" t="s">
        <v>3832</v>
      </c>
      <c r="AH186" t="s">
        <v>3860</v>
      </c>
      <c r="AI186" t="s">
        <v>3834</v>
      </c>
      <c r="AJ186" t="s">
        <v>3835</v>
      </c>
      <c r="AK186" t="s">
        <v>3832</v>
      </c>
      <c r="AL186" t="s">
        <v>4066</v>
      </c>
      <c r="AM186" s="3" t="s">
        <v>4319</v>
      </c>
      <c r="AN186" s="3"/>
      <c r="AO186" s="3">
        <v>46245</v>
      </c>
      <c r="AP186" s="3"/>
      <c r="AQ186" s="3" t="s">
        <v>3862</v>
      </c>
      <c r="AR186" s="3" t="s">
        <v>3814</v>
      </c>
      <c r="AS186" s="3"/>
      <c r="AT186" s="3">
        <v>46258</v>
      </c>
      <c r="AU186" s="3"/>
      <c r="AV186" s="3"/>
      <c r="AW186" t="s">
        <v>3839</v>
      </c>
      <c r="BC186" t="s">
        <v>32</v>
      </c>
      <c r="BD186" t="s">
        <v>3814</v>
      </c>
      <c r="BE186" t="s">
        <v>4311</v>
      </c>
      <c r="BF186" t="s">
        <v>4312</v>
      </c>
      <c r="BG186" t="s">
        <v>3817</v>
      </c>
      <c r="CW186" s="6" t="str" cm="1">
        <f t="array" ref="CW186">IFERROR(_xlfn.IFS(H186=TIME(7,0,0),"GY",H186=TIME(7,30,0),"GY",H186=TIME(9,0,0),"GY",H186=TIME(15,0,0),"GY",H186=TIME(8,30,0),"GY",H186=TIME(5,30,0),"GY",H186=TIME(6,0,0),"GD",H186=TIME(6,30,0),"GD",H186=TIME(8,0,0),"GY",H186=TIME(6,15,0),"GD"),"")</f>
        <v>GY</v>
      </c>
      <c r="EE186"/>
    </row>
    <row r="187" spans="1:135" x14ac:dyDescent="0.45">
      <c r="A187" s="3" t="s">
        <v>63</v>
      </c>
      <c r="B187" s="3"/>
      <c r="C187" s="3" t="s">
        <v>4320</v>
      </c>
      <c r="D187" s="3" t="s">
        <v>4321</v>
      </c>
      <c r="E187" s="100" t="s">
        <v>3817</v>
      </c>
      <c r="F187" s="3" t="s">
        <v>4322</v>
      </c>
      <c r="G187" s="4">
        <v>46253</v>
      </c>
      <c r="H187" s="5">
        <v>0.27083333333333326</v>
      </c>
      <c r="I187" s="91">
        <v>46245</v>
      </c>
      <c r="J187" s="91"/>
      <c r="K187" s="91">
        <v>46243</v>
      </c>
      <c r="L187" s="3" t="s">
        <v>4323</v>
      </c>
      <c r="M187" s="3" t="s">
        <v>3819</v>
      </c>
      <c r="N187" s="3" t="s">
        <v>4324</v>
      </c>
      <c r="O187" t="s">
        <v>3867</v>
      </c>
      <c r="P187" s="3"/>
      <c r="Q187">
        <v>46225</v>
      </c>
      <c r="R187" s="3">
        <v>726</v>
      </c>
      <c r="S187" s="3" t="s">
        <v>3823</v>
      </c>
      <c r="T187" s="3">
        <v>9689</v>
      </c>
      <c r="U187" s="3" t="s">
        <v>4325</v>
      </c>
      <c r="V187" s="3" t="s">
        <v>4326</v>
      </c>
      <c r="W187" s="3">
        <v>2166.4319999999998</v>
      </c>
      <c r="X187" s="3">
        <v>46237</v>
      </c>
      <c r="Y187" s="3">
        <v>46235</v>
      </c>
      <c r="AA187" t="s">
        <v>3826</v>
      </c>
      <c r="AB187" t="s">
        <v>3827</v>
      </c>
      <c r="AC187" s="3" t="s">
        <v>4327</v>
      </c>
      <c r="AD187" t="s">
        <v>3955</v>
      </c>
      <c r="AE187" t="s">
        <v>3907</v>
      </c>
      <c r="AF187" t="s">
        <v>3831</v>
      </c>
      <c r="AG187" t="s">
        <v>3832</v>
      </c>
      <c r="AH187" t="s">
        <v>3908</v>
      </c>
      <c r="AI187" t="s">
        <v>3834</v>
      </c>
      <c r="AJ187" t="s">
        <v>3956</v>
      </c>
      <c r="AK187" t="s">
        <v>3832</v>
      </c>
      <c r="AM187" s="3" t="s">
        <v>4328</v>
      </c>
      <c r="AN187" s="3"/>
      <c r="AO187" s="3">
        <v>46245</v>
      </c>
      <c r="AP187" s="3"/>
      <c r="AQ187" s="3" t="s">
        <v>4037</v>
      </c>
      <c r="AR187" s="3"/>
      <c r="AS187" s="3" t="s">
        <v>3961</v>
      </c>
      <c r="AT187" s="3">
        <v>46257</v>
      </c>
      <c r="AU187" s="3"/>
      <c r="AV187" s="3">
        <v>46260</v>
      </c>
      <c r="AW187" t="s">
        <v>3839</v>
      </c>
      <c r="BC187" t="s">
        <v>63</v>
      </c>
      <c r="BE187" t="s">
        <v>4320</v>
      </c>
      <c r="BF187" t="s">
        <v>4321</v>
      </c>
      <c r="BG187" t="s">
        <v>3817</v>
      </c>
      <c r="CW187" s="6" t="str" cm="1">
        <f t="array" ref="CW187">IFERROR(_xlfn.IFS(H187=TIME(7,0,0),"GY",H187=TIME(7,30,0),"GY",H187=TIME(9,0,0),"GY",H187=TIME(15,0,0),"GY",H187=TIME(8,30,0),"GY",H187=TIME(5,30,0),"GY",H187=TIME(6,0,0),"GD",H187=TIME(6,30,0),"GD",H187=TIME(8,0,0),"GY",H187=TIME(6,15,0),"GD"),"")</f>
        <v>GD</v>
      </c>
      <c r="EE187"/>
    </row>
    <row r="188" spans="1:135" x14ac:dyDescent="0.45">
      <c r="A188" s="14" t="s">
        <v>63</v>
      </c>
      <c r="B188" s="14"/>
      <c r="C188" s="14" t="s">
        <v>4320</v>
      </c>
      <c r="D188" s="14" t="s">
        <v>4321</v>
      </c>
      <c r="E188" s="100" t="s">
        <v>3817</v>
      </c>
      <c r="F188" s="14" t="s">
        <v>4329</v>
      </c>
      <c r="G188" s="4">
        <v>46253</v>
      </c>
      <c r="H188" s="5">
        <v>0.27083333333333326</v>
      </c>
      <c r="I188" s="91">
        <v>46245</v>
      </c>
      <c r="J188" s="91"/>
      <c r="K188" s="91">
        <v>46243</v>
      </c>
      <c r="L188" s="14" t="s">
        <v>4323</v>
      </c>
      <c r="M188" s="14" t="s">
        <v>3819</v>
      </c>
      <c r="N188" s="14" t="s">
        <v>4324</v>
      </c>
      <c r="O188" s="29" t="s">
        <v>3867</v>
      </c>
      <c r="P188" s="14"/>
      <c r="Q188" s="29">
        <v>46225</v>
      </c>
      <c r="R188" s="14">
        <v>726</v>
      </c>
      <c r="S188" s="14" t="s">
        <v>3823</v>
      </c>
      <c r="T188" s="14">
        <v>14688</v>
      </c>
      <c r="U188" s="14" t="s">
        <v>4330</v>
      </c>
      <c r="V188" s="14" t="s">
        <v>4331</v>
      </c>
      <c r="W188" s="14">
        <v>8107.5460000000003</v>
      </c>
      <c r="X188" s="14">
        <v>46237</v>
      </c>
      <c r="Y188" s="14">
        <v>46235</v>
      </c>
      <c r="Z188" s="29"/>
      <c r="AA188" s="29" t="s">
        <v>3826</v>
      </c>
      <c r="AB188" s="29" t="s">
        <v>3827</v>
      </c>
      <c r="AC188" s="14" t="s">
        <v>4327</v>
      </c>
      <c r="AD188" s="29" t="s">
        <v>3955</v>
      </c>
      <c r="AE188" s="29" t="s">
        <v>3907</v>
      </c>
      <c r="AF188" s="29" t="s">
        <v>3831</v>
      </c>
      <c r="AG188" s="29" t="s">
        <v>3832</v>
      </c>
      <c r="AH188" s="29" t="s">
        <v>3908</v>
      </c>
      <c r="AI188" s="29" t="s">
        <v>3834</v>
      </c>
      <c r="AJ188" s="29" t="s">
        <v>3956</v>
      </c>
      <c r="AK188" s="29" t="s">
        <v>3832</v>
      </c>
      <c r="AL188" s="29"/>
      <c r="AM188" s="14" t="s">
        <v>4328</v>
      </c>
      <c r="AN188" s="14"/>
      <c r="AO188" s="14">
        <v>46245</v>
      </c>
      <c r="AP188" s="14"/>
      <c r="AQ188" s="14" t="s">
        <v>4037</v>
      </c>
      <c r="AR188" s="14"/>
      <c r="AS188" s="14" t="s">
        <v>3961</v>
      </c>
      <c r="AT188" s="14">
        <v>46257</v>
      </c>
      <c r="AU188" s="14"/>
      <c r="AV188" s="14">
        <v>46260</v>
      </c>
      <c r="AW188" s="29" t="s">
        <v>3839</v>
      </c>
      <c r="AX188" s="29"/>
      <c r="AY188" s="29"/>
      <c r="AZ188" s="29"/>
      <c r="BA188" s="29"/>
      <c r="BB188" s="29"/>
      <c r="BC188" s="29" t="s">
        <v>63</v>
      </c>
      <c r="BD188" s="29"/>
      <c r="BE188" s="29" t="s">
        <v>4320</v>
      </c>
      <c r="BF188" s="29" t="s">
        <v>4321</v>
      </c>
      <c r="BG188" s="29" t="s">
        <v>3817</v>
      </c>
      <c r="BH188" s="29"/>
      <c r="BI188" s="29"/>
      <c r="BJ188" s="29"/>
      <c r="BK188" s="29"/>
      <c r="BL188" s="29"/>
      <c r="BM188" s="29"/>
      <c r="BN188" s="29"/>
      <c r="CW188" s="6" t="str" cm="1">
        <f t="array" ref="CW188">IFERROR(_xlfn.IFS(H188=TIME(7,0,0),"GY",H188=TIME(7,30,0),"GY",H188=TIME(9,0,0),"GY",H188=TIME(15,0,0),"GY",H188=TIME(8,30,0),"GY",H188=TIME(5,30,0),"GY",H188=TIME(6,0,0),"GD",H188=TIME(6,30,0),"GD",H188=TIME(8,0,0),"GY",H188=TIME(6,15,0),"GD"),"")</f>
        <v>GD</v>
      </c>
      <c r="EE188"/>
    </row>
    <row r="189" spans="1:135" x14ac:dyDescent="0.45">
      <c r="A189" s="3" t="s">
        <v>18</v>
      </c>
      <c r="B189" s="3" t="s">
        <v>0</v>
      </c>
      <c r="C189" s="3" t="s">
        <v>4332</v>
      </c>
      <c r="D189" s="3" t="s">
        <v>4333</v>
      </c>
      <c r="E189" s="100" t="s">
        <v>3817</v>
      </c>
      <c r="F189" s="3" t="s">
        <v>4334</v>
      </c>
      <c r="G189" s="4">
        <v>46252</v>
      </c>
      <c r="H189" s="5">
        <v>0.625</v>
      </c>
      <c r="I189" s="91">
        <v>46245</v>
      </c>
      <c r="J189" s="91"/>
      <c r="K189" s="91">
        <v>46242</v>
      </c>
      <c r="L189" s="3" t="s">
        <v>4335</v>
      </c>
      <c r="M189" s="3" t="s">
        <v>3819</v>
      </c>
      <c r="N189" s="3" t="s">
        <v>4336</v>
      </c>
      <c r="O189" t="s">
        <v>3867</v>
      </c>
      <c r="P189" s="3"/>
      <c r="Q189">
        <v>46219</v>
      </c>
      <c r="R189" s="3">
        <v>726</v>
      </c>
      <c r="S189" s="3" t="s">
        <v>3823</v>
      </c>
      <c r="T189" s="3">
        <v>7718</v>
      </c>
      <c r="U189" s="3" t="s">
        <v>4337</v>
      </c>
      <c r="V189" s="3" t="s">
        <v>4338</v>
      </c>
      <c r="W189" s="3">
        <v>9945.9809999999998</v>
      </c>
      <c r="X189" s="3">
        <v>46241</v>
      </c>
      <c r="Y189" s="3">
        <v>46240</v>
      </c>
      <c r="AA189" t="s">
        <v>3870</v>
      </c>
      <c r="AB189" t="s">
        <v>3871</v>
      </c>
      <c r="AC189" s="3" t="s">
        <v>4339</v>
      </c>
      <c r="AD189" t="s">
        <v>4340</v>
      </c>
      <c r="AE189" t="s">
        <v>4341</v>
      </c>
      <c r="AF189" t="s">
        <v>3831</v>
      </c>
      <c r="AG189" t="s">
        <v>3832</v>
      </c>
      <c r="AH189" t="s">
        <v>3875</v>
      </c>
      <c r="AI189" t="s">
        <v>3834</v>
      </c>
      <c r="AJ189" t="s">
        <v>3835</v>
      </c>
      <c r="AK189" t="s">
        <v>3832</v>
      </c>
      <c r="AM189" s="3" t="s">
        <v>4342</v>
      </c>
      <c r="AN189" s="3"/>
      <c r="AO189" s="3">
        <v>46245</v>
      </c>
      <c r="AP189" s="3"/>
      <c r="AQ189" s="3" t="s">
        <v>3877</v>
      </c>
      <c r="AR189" s="3"/>
      <c r="AS189" s="3"/>
      <c r="AT189" s="3">
        <v>46256</v>
      </c>
      <c r="AU189" s="3">
        <v>46290</v>
      </c>
      <c r="AV189" s="3"/>
      <c r="AW189" t="s">
        <v>3839</v>
      </c>
      <c r="BC189" t="s">
        <v>18</v>
      </c>
      <c r="BD189" t="s">
        <v>0</v>
      </c>
      <c r="BE189" t="s">
        <v>4332</v>
      </c>
      <c r="BF189" t="s">
        <v>4333</v>
      </c>
      <c r="BG189" t="s">
        <v>3817</v>
      </c>
      <c r="CW189" s="6" t="str" cm="1">
        <f t="array" ref="CW189">IFERROR(_xlfn.IFS(H189=TIME(7,0,0),"GY",H189=TIME(7,30,0),"GY",H189=TIME(9,0,0),"GY",H189=TIME(15,0,0),"GY",H189=TIME(8,30,0),"GY",H189=TIME(5,30,0),"GY",H189=TIME(6,0,0),"GD",H189=TIME(6,30,0),"GD",H189=TIME(8,0,0),"GY",H189=TIME(6,15,0),"GD"),"")</f>
        <v>GY</v>
      </c>
      <c r="EE189"/>
    </row>
    <row r="190" spans="1:135" x14ac:dyDescent="0.45">
      <c r="A190" s="3" t="s">
        <v>18</v>
      </c>
      <c r="B190" s="3" t="s">
        <v>0</v>
      </c>
      <c r="C190" s="3" t="s">
        <v>4332</v>
      </c>
      <c r="D190" s="3" t="s">
        <v>4333</v>
      </c>
      <c r="E190" s="100" t="s">
        <v>3817</v>
      </c>
      <c r="F190" s="3" t="s">
        <v>4343</v>
      </c>
      <c r="G190" s="4">
        <v>46252</v>
      </c>
      <c r="H190" s="5">
        <v>0.625</v>
      </c>
      <c r="I190" s="91">
        <v>46245</v>
      </c>
      <c r="J190" s="91"/>
      <c r="K190" s="91">
        <v>46242</v>
      </c>
      <c r="L190" s="3" t="s">
        <v>4335</v>
      </c>
      <c r="M190" s="3" t="s">
        <v>3819</v>
      </c>
      <c r="N190" s="3" t="s">
        <v>4336</v>
      </c>
      <c r="O190" t="s">
        <v>3867</v>
      </c>
      <c r="P190" s="3"/>
      <c r="Q190">
        <v>46219</v>
      </c>
      <c r="R190" s="3">
        <v>726</v>
      </c>
      <c r="S190" s="3" t="s">
        <v>3823</v>
      </c>
      <c r="T190" s="3">
        <v>3722</v>
      </c>
      <c r="U190" s="3" t="s">
        <v>4344</v>
      </c>
      <c r="V190" s="3" t="s">
        <v>4345</v>
      </c>
      <c r="W190" s="3">
        <v>1069.018</v>
      </c>
      <c r="X190" s="3">
        <v>46241</v>
      </c>
      <c r="Y190" s="3">
        <v>46240</v>
      </c>
      <c r="AA190" t="s">
        <v>3870</v>
      </c>
      <c r="AB190" t="s">
        <v>3871</v>
      </c>
      <c r="AC190" s="3" t="s">
        <v>4339</v>
      </c>
      <c r="AD190" t="s">
        <v>4340</v>
      </c>
      <c r="AE190" t="s">
        <v>4341</v>
      </c>
      <c r="AF190" t="s">
        <v>3831</v>
      </c>
      <c r="AG190" t="s">
        <v>3832</v>
      </c>
      <c r="AH190" t="s">
        <v>3875</v>
      </c>
      <c r="AI190" t="s">
        <v>3834</v>
      </c>
      <c r="AJ190" t="s">
        <v>3835</v>
      </c>
      <c r="AK190" t="s">
        <v>3832</v>
      </c>
      <c r="AM190" s="3" t="s">
        <v>4342</v>
      </c>
      <c r="AN190" s="3"/>
      <c r="AO190" s="3">
        <v>46245</v>
      </c>
      <c r="AP190" s="3"/>
      <c r="AQ190" s="3" t="s">
        <v>3877</v>
      </c>
      <c r="AR190" s="3"/>
      <c r="AS190" s="3"/>
      <c r="AT190" s="3">
        <v>46256</v>
      </c>
      <c r="AU190" s="3">
        <v>46290</v>
      </c>
      <c r="AV190" s="3"/>
      <c r="AW190" t="s">
        <v>3839</v>
      </c>
      <c r="BC190" t="s">
        <v>18</v>
      </c>
      <c r="BD190" t="s">
        <v>0</v>
      </c>
      <c r="BE190" t="s">
        <v>4332</v>
      </c>
      <c r="BF190" t="s">
        <v>4333</v>
      </c>
      <c r="BG190" t="s">
        <v>3817</v>
      </c>
      <c r="CW190" s="6" t="str" cm="1">
        <f t="array" ref="CW190">IFERROR(_xlfn.IFS(H190=TIME(7,0,0),"GY",H190=TIME(7,30,0),"GY",H190=TIME(9,0,0),"GY",H190=TIME(15,0,0),"GY",H190=TIME(8,30,0),"GY",H190=TIME(5,30,0),"GY",H190=TIME(6,0,0),"GD",H190=TIME(6,30,0),"GD",H190=TIME(8,0,0),"GY",H190=TIME(6,15,0),"GD"),"")</f>
        <v>GY</v>
      </c>
      <c r="EE190"/>
    </row>
    <row r="191" spans="1:135" x14ac:dyDescent="0.45">
      <c r="A191" s="3" t="s">
        <v>32</v>
      </c>
      <c r="B191" s="3" t="s">
        <v>3814</v>
      </c>
      <c r="C191" s="3" t="s">
        <v>4346</v>
      </c>
      <c r="D191" s="3" t="s">
        <v>4347</v>
      </c>
      <c r="E191" s="100" t="s">
        <v>3817</v>
      </c>
      <c r="F191" s="3" t="s">
        <v>4348</v>
      </c>
      <c r="G191" s="4">
        <v>46252</v>
      </c>
      <c r="H191" s="5">
        <v>0.35416666666666674</v>
      </c>
      <c r="I191" s="91">
        <v>46244</v>
      </c>
      <c r="J191" s="91"/>
      <c r="K191" s="91">
        <v>46242</v>
      </c>
      <c r="L191" s="3" t="s">
        <v>4349</v>
      </c>
      <c r="M191" s="3" t="s">
        <v>3966</v>
      </c>
      <c r="N191" s="3" t="s">
        <v>4350</v>
      </c>
      <c r="O191" t="s">
        <v>3821</v>
      </c>
      <c r="P191" s="3" t="s">
        <v>4008</v>
      </c>
      <c r="Q191">
        <v>46220</v>
      </c>
      <c r="R191" s="3">
        <v>726</v>
      </c>
      <c r="S191" s="3" t="s">
        <v>3823</v>
      </c>
      <c r="T191" s="3">
        <v>244</v>
      </c>
      <c r="U191" s="3" t="s">
        <v>4351</v>
      </c>
      <c r="V191" s="3" t="s">
        <v>4352</v>
      </c>
      <c r="W191" s="3">
        <v>981.2</v>
      </c>
      <c r="X191" s="3">
        <v>46241</v>
      </c>
      <c r="Y191" s="3">
        <v>46239</v>
      </c>
      <c r="AA191" t="s">
        <v>3826</v>
      </c>
      <c r="AB191" t="s">
        <v>3827</v>
      </c>
      <c r="AC191" s="3" t="s">
        <v>4353</v>
      </c>
      <c r="AD191" t="s">
        <v>4354</v>
      </c>
      <c r="AE191" t="s">
        <v>4050</v>
      </c>
      <c r="AF191" t="s">
        <v>3831</v>
      </c>
      <c r="AG191" t="s">
        <v>3832</v>
      </c>
      <c r="AH191" t="s">
        <v>3908</v>
      </c>
      <c r="AI191" t="s">
        <v>3834</v>
      </c>
      <c r="AJ191" t="s">
        <v>3835</v>
      </c>
      <c r="AK191" t="s">
        <v>3832</v>
      </c>
      <c r="AM191" s="3" t="s">
        <v>4355</v>
      </c>
      <c r="AN191" s="3"/>
      <c r="AO191" s="3">
        <v>46244</v>
      </c>
      <c r="AP191" s="3"/>
      <c r="AQ191" s="3" t="s">
        <v>3837</v>
      </c>
      <c r="AR191" s="3" t="s">
        <v>3814</v>
      </c>
      <c r="AS191" s="3"/>
      <c r="AT191" s="3">
        <v>46256</v>
      </c>
      <c r="AU191" s="3">
        <v>46289</v>
      </c>
      <c r="AV191" s="3"/>
      <c r="AW191" t="s">
        <v>3839</v>
      </c>
      <c r="BC191" t="s">
        <v>32</v>
      </c>
      <c r="BD191" t="s">
        <v>3814</v>
      </c>
      <c r="BE191" t="s">
        <v>4346</v>
      </c>
      <c r="BF191" t="s">
        <v>4347</v>
      </c>
      <c r="BG191" t="s">
        <v>3817</v>
      </c>
      <c r="CW191" s="6" t="str" cm="1">
        <f t="array" ref="CW191">IFERROR(_xlfn.IFS(H191=TIME(7,0,0),"GY",H191=TIME(7,30,0),"GY",H191=TIME(9,0,0),"GY",H191=TIME(15,0,0),"GY",H191=TIME(8,30,0),"GY",H191=TIME(5,30,0),"GY",H191=TIME(6,0,0),"GD",H191=TIME(6,30,0),"GD",H191=TIME(8,0,0),"GY",H191=TIME(6,15,0),"GD"),"")</f>
        <v>GY</v>
      </c>
      <c r="EE191"/>
    </row>
    <row r="192" spans="1:135" x14ac:dyDescent="0.45">
      <c r="A192" s="3" t="s">
        <v>32</v>
      </c>
      <c r="B192" s="3" t="s">
        <v>3814</v>
      </c>
      <c r="C192" s="3" t="s">
        <v>4346</v>
      </c>
      <c r="D192" s="3" t="s">
        <v>4347</v>
      </c>
      <c r="E192" s="100" t="s">
        <v>3817</v>
      </c>
      <c r="F192" s="3" t="s">
        <v>4356</v>
      </c>
      <c r="G192" s="4">
        <v>46252</v>
      </c>
      <c r="H192" s="5">
        <v>0.35416666666666674</v>
      </c>
      <c r="I192" s="91">
        <v>46244</v>
      </c>
      <c r="J192" s="91"/>
      <c r="K192" s="91">
        <v>46242</v>
      </c>
      <c r="L192" s="3" t="s">
        <v>4349</v>
      </c>
      <c r="M192" s="3" t="s">
        <v>3966</v>
      </c>
      <c r="N192" s="3" t="s">
        <v>4350</v>
      </c>
      <c r="O192" t="s">
        <v>3821</v>
      </c>
      <c r="P192" s="3" t="s">
        <v>4008</v>
      </c>
      <c r="Q192">
        <v>46220</v>
      </c>
      <c r="R192" s="3">
        <v>726</v>
      </c>
      <c r="S192" s="3" t="s">
        <v>3823</v>
      </c>
      <c r="T192" s="3">
        <v>66</v>
      </c>
      <c r="U192" s="3" t="s">
        <v>4357</v>
      </c>
      <c r="V192" s="3" t="s">
        <v>4358</v>
      </c>
      <c r="W192" s="3">
        <v>1475.838</v>
      </c>
      <c r="X192" s="3">
        <v>46258</v>
      </c>
      <c r="Y192" s="3">
        <v>46239</v>
      </c>
      <c r="AA192" t="s">
        <v>3826</v>
      </c>
      <c r="AB192" t="s">
        <v>3827</v>
      </c>
      <c r="AC192" s="3" t="s">
        <v>4353</v>
      </c>
      <c r="AD192" t="s">
        <v>4354</v>
      </c>
      <c r="AE192" t="s">
        <v>4050</v>
      </c>
      <c r="AF192" t="s">
        <v>3831</v>
      </c>
      <c r="AG192" t="s">
        <v>3832</v>
      </c>
      <c r="AH192" t="s">
        <v>3908</v>
      </c>
      <c r="AI192" t="s">
        <v>3834</v>
      </c>
      <c r="AJ192" t="s">
        <v>3835</v>
      </c>
      <c r="AK192" t="s">
        <v>3832</v>
      </c>
      <c r="AM192" s="3" t="s">
        <v>4355</v>
      </c>
      <c r="AN192" s="3"/>
      <c r="AO192" s="3">
        <v>46244</v>
      </c>
      <c r="AP192" s="3"/>
      <c r="AQ192" s="3" t="s">
        <v>3837</v>
      </c>
      <c r="AR192" s="3" t="s">
        <v>3814</v>
      </c>
      <c r="AS192" s="3"/>
      <c r="AT192" s="3">
        <v>46256</v>
      </c>
      <c r="AU192" s="3">
        <v>46289</v>
      </c>
      <c r="AV192" s="3"/>
      <c r="AW192" t="s">
        <v>3839</v>
      </c>
      <c r="BC192" t="s">
        <v>32</v>
      </c>
      <c r="BD192" t="s">
        <v>3814</v>
      </c>
      <c r="BE192" t="s">
        <v>4346</v>
      </c>
      <c r="BF192" t="s">
        <v>4347</v>
      </c>
      <c r="BG192" t="s">
        <v>3817</v>
      </c>
      <c r="CW192" s="6" t="str" cm="1">
        <f t="array" ref="CW192">IFERROR(_xlfn.IFS(H192=TIME(7,0,0),"GY",H192=TIME(7,30,0),"GY",H192=TIME(9,0,0),"GY",H192=TIME(15,0,0),"GY",H192=TIME(8,30,0),"GY",H192=TIME(5,30,0),"GY",H192=TIME(6,0,0),"GD",H192=TIME(6,30,0),"GD",H192=TIME(8,0,0),"GY",H192=TIME(6,15,0),"GD"),"")</f>
        <v>GY</v>
      </c>
      <c r="EE192"/>
    </row>
    <row r="193" spans="1:135" x14ac:dyDescent="0.45">
      <c r="A193" s="3" t="s">
        <v>32</v>
      </c>
      <c r="B193" s="3" t="s">
        <v>3814</v>
      </c>
      <c r="C193" s="3" t="s">
        <v>4346</v>
      </c>
      <c r="D193" s="3" t="s">
        <v>4347</v>
      </c>
      <c r="E193" s="100" t="s">
        <v>3817</v>
      </c>
      <c r="F193" s="3" t="s">
        <v>4359</v>
      </c>
      <c r="G193" s="4">
        <v>46252</v>
      </c>
      <c r="H193" s="5">
        <v>0.35416666666666674</v>
      </c>
      <c r="I193" s="91">
        <v>46244</v>
      </c>
      <c r="J193" s="91"/>
      <c r="K193" s="91">
        <v>46242</v>
      </c>
      <c r="L193" s="3" t="s">
        <v>4349</v>
      </c>
      <c r="M193" s="3" t="s">
        <v>3966</v>
      </c>
      <c r="N193" s="3" t="s">
        <v>4350</v>
      </c>
      <c r="O193" t="s">
        <v>3821</v>
      </c>
      <c r="P193" s="3" t="s">
        <v>4008</v>
      </c>
      <c r="Q193">
        <v>46220</v>
      </c>
      <c r="R193" s="3">
        <v>726</v>
      </c>
      <c r="S193" s="3" t="s">
        <v>3823</v>
      </c>
      <c r="T193" s="3">
        <v>40</v>
      </c>
      <c r="U193" s="3" t="s">
        <v>4360</v>
      </c>
      <c r="V193" s="3" t="s">
        <v>4361</v>
      </c>
      <c r="W193" s="3">
        <v>444.72</v>
      </c>
      <c r="X193" s="3">
        <v>46256</v>
      </c>
      <c r="Y193" s="3">
        <v>46239</v>
      </c>
      <c r="AA193" t="s">
        <v>3826</v>
      </c>
      <c r="AB193" t="s">
        <v>3827</v>
      </c>
      <c r="AC193" s="3" t="s">
        <v>4353</v>
      </c>
      <c r="AD193" t="s">
        <v>4354</v>
      </c>
      <c r="AE193" t="s">
        <v>4050</v>
      </c>
      <c r="AF193" t="s">
        <v>3831</v>
      </c>
      <c r="AG193" t="s">
        <v>3832</v>
      </c>
      <c r="AH193" t="s">
        <v>3908</v>
      </c>
      <c r="AI193" t="s">
        <v>3834</v>
      </c>
      <c r="AJ193" t="s">
        <v>3835</v>
      </c>
      <c r="AK193" t="s">
        <v>3832</v>
      </c>
      <c r="AM193" s="3" t="s">
        <v>4355</v>
      </c>
      <c r="AN193" s="3"/>
      <c r="AO193" s="3">
        <v>46244</v>
      </c>
      <c r="AP193" s="3"/>
      <c r="AQ193" s="3" t="s">
        <v>3837</v>
      </c>
      <c r="AR193" s="3" t="s">
        <v>3814</v>
      </c>
      <c r="AS193" s="3"/>
      <c r="AT193" s="3">
        <v>46256</v>
      </c>
      <c r="AU193" s="3">
        <v>46289</v>
      </c>
      <c r="AV193" s="3"/>
      <c r="AW193" t="s">
        <v>3839</v>
      </c>
      <c r="BC193" t="s">
        <v>32</v>
      </c>
      <c r="BD193" t="s">
        <v>3814</v>
      </c>
      <c r="BE193" t="s">
        <v>4346</v>
      </c>
      <c r="BF193" t="s">
        <v>4347</v>
      </c>
      <c r="BG193" t="s">
        <v>3817</v>
      </c>
      <c r="CW193" s="6" t="str" cm="1">
        <f t="array" ref="CW193">IFERROR(_xlfn.IFS(H193=TIME(7,0,0),"GY",H193=TIME(7,30,0),"GY",H193=TIME(9,0,0),"GY",H193=TIME(15,0,0),"GY",H193=TIME(8,30,0),"GY",H193=TIME(5,30,0),"GY",H193=TIME(6,0,0),"GD",H193=TIME(6,30,0),"GD",H193=TIME(8,0,0),"GY",H193=TIME(6,15,0),"GD"),"")</f>
        <v>GY</v>
      </c>
      <c r="EE193"/>
    </row>
    <row r="194" spans="1:135" x14ac:dyDescent="0.45">
      <c r="A194" s="3" t="s">
        <v>32</v>
      </c>
      <c r="B194" s="3" t="s">
        <v>3814</v>
      </c>
      <c r="C194" s="3" t="s">
        <v>4362</v>
      </c>
      <c r="D194" s="3" t="s">
        <v>4363</v>
      </c>
      <c r="E194" s="100" t="s">
        <v>3817</v>
      </c>
      <c r="F194" s="3" t="s">
        <v>4364</v>
      </c>
      <c r="G194" s="4">
        <v>46251</v>
      </c>
      <c r="H194" s="5">
        <v>0.35416666666666674</v>
      </c>
      <c r="I194" s="91">
        <v>46244</v>
      </c>
      <c r="J194" s="91"/>
      <c r="K194" s="91">
        <v>46242</v>
      </c>
      <c r="L194" s="3" t="s">
        <v>4365</v>
      </c>
      <c r="M194" s="3" t="s">
        <v>3966</v>
      </c>
      <c r="N194" s="3" t="s">
        <v>4366</v>
      </c>
      <c r="O194" t="s">
        <v>3821</v>
      </c>
      <c r="P194" s="3" t="s">
        <v>4008</v>
      </c>
      <c r="Q194">
        <v>46213</v>
      </c>
      <c r="R194" s="3">
        <v>726</v>
      </c>
      <c r="S194" s="3" t="s">
        <v>3823</v>
      </c>
      <c r="T194" s="3">
        <v>64</v>
      </c>
      <c r="U194" s="3" t="s">
        <v>4367</v>
      </c>
      <c r="V194" s="3" t="s">
        <v>4368</v>
      </c>
      <c r="W194" s="3">
        <v>366</v>
      </c>
      <c r="X194" s="3">
        <v>46241</v>
      </c>
      <c r="Y194" s="3">
        <v>46239</v>
      </c>
      <c r="AA194" t="s">
        <v>3826</v>
      </c>
      <c r="AB194" t="s">
        <v>3827</v>
      </c>
      <c r="AC194" s="3" t="s">
        <v>4369</v>
      </c>
      <c r="AD194" t="s">
        <v>4354</v>
      </c>
      <c r="AE194" t="s">
        <v>4050</v>
      </c>
      <c r="AF194" t="s">
        <v>3831</v>
      </c>
      <c r="AG194" t="s">
        <v>3832</v>
      </c>
      <c r="AH194" t="s">
        <v>3908</v>
      </c>
      <c r="AI194" t="s">
        <v>3834</v>
      </c>
      <c r="AJ194" t="s">
        <v>3835</v>
      </c>
      <c r="AK194" t="s">
        <v>3832</v>
      </c>
      <c r="AM194" s="3" t="s">
        <v>4370</v>
      </c>
      <c r="AN194" s="3"/>
      <c r="AO194" s="3">
        <v>46244</v>
      </c>
      <c r="AP194" s="3"/>
      <c r="AQ194" s="3" t="s">
        <v>3837</v>
      </c>
      <c r="AR194" s="3" t="s">
        <v>3814</v>
      </c>
      <c r="AS194" s="3"/>
      <c r="AT194" s="3">
        <v>46256</v>
      </c>
      <c r="AU194" s="3">
        <v>46289</v>
      </c>
      <c r="AV194" s="3"/>
      <c r="AW194" t="s">
        <v>3839</v>
      </c>
      <c r="BC194" t="s">
        <v>32</v>
      </c>
      <c r="BD194" t="s">
        <v>3814</v>
      </c>
      <c r="BE194" t="s">
        <v>4362</v>
      </c>
      <c r="BF194" t="s">
        <v>4363</v>
      </c>
      <c r="BG194" t="s">
        <v>3817</v>
      </c>
      <c r="CW194" s="6" t="str" cm="1">
        <f t="array" ref="CW194">IFERROR(_xlfn.IFS(H194=TIME(7,0,0),"GY",H194=TIME(7,30,0),"GY",H194=TIME(9,0,0),"GY",H194=TIME(15,0,0),"GY",H194=TIME(8,30,0),"GY",H194=TIME(5,30,0),"GY",H194=TIME(6,0,0),"GD",H194=TIME(6,30,0),"GD",H194=TIME(8,0,0),"GY",H194=TIME(6,15,0),"GD"),"")</f>
        <v>GY</v>
      </c>
      <c r="EE194"/>
    </row>
    <row r="195" spans="1:135" x14ac:dyDescent="0.45">
      <c r="A195" s="3" t="s">
        <v>32</v>
      </c>
      <c r="B195" s="3" t="s">
        <v>3814</v>
      </c>
      <c r="C195" s="3" t="s">
        <v>4362</v>
      </c>
      <c r="D195" s="3" t="s">
        <v>4363</v>
      </c>
      <c r="E195" s="100" t="s">
        <v>3817</v>
      </c>
      <c r="F195" s="3" t="s">
        <v>4371</v>
      </c>
      <c r="G195" s="4">
        <v>46251</v>
      </c>
      <c r="H195" s="5">
        <v>0.35416666666666674</v>
      </c>
      <c r="I195" s="91">
        <v>46244</v>
      </c>
      <c r="J195" s="91"/>
      <c r="K195" s="91">
        <v>46242</v>
      </c>
      <c r="L195" s="3" t="s">
        <v>4365</v>
      </c>
      <c r="M195" s="3" t="s">
        <v>3966</v>
      </c>
      <c r="N195" s="3" t="s">
        <v>4366</v>
      </c>
      <c r="O195" t="s">
        <v>3821</v>
      </c>
      <c r="P195" s="3" t="s">
        <v>4008</v>
      </c>
      <c r="Q195">
        <v>46213</v>
      </c>
      <c r="R195" s="3">
        <v>726</v>
      </c>
      <c r="S195" s="3" t="s">
        <v>3823</v>
      </c>
      <c r="T195" s="3">
        <v>50</v>
      </c>
      <c r="U195" s="3" t="s">
        <v>4372</v>
      </c>
      <c r="V195" s="3" t="s">
        <v>4373</v>
      </c>
      <c r="W195" s="3">
        <v>893.91399999999999</v>
      </c>
      <c r="X195" s="3">
        <v>46251</v>
      </c>
      <c r="Y195" s="3">
        <v>46239</v>
      </c>
      <c r="AA195" t="s">
        <v>3826</v>
      </c>
      <c r="AB195" t="s">
        <v>3827</v>
      </c>
      <c r="AC195" s="3" t="s">
        <v>4369</v>
      </c>
      <c r="AD195" t="s">
        <v>4354</v>
      </c>
      <c r="AE195" t="s">
        <v>4050</v>
      </c>
      <c r="AF195" t="s">
        <v>3831</v>
      </c>
      <c r="AG195" t="s">
        <v>3832</v>
      </c>
      <c r="AH195" t="s">
        <v>3908</v>
      </c>
      <c r="AI195" t="s">
        <v>3834</v>
      </c>
      <c r="AJ195" t="s">
        <v>3835</v>
      </c>
      <c r="AK195" t="s">
        <v>3832</v>
      </c>
      <c r="AM195" s="3" t="s">
        <v>4370</v>
      </c>
      <c r="AN195" s="3"/>
      <c r="AO195" s="3">
        <v>46244</v>
      </c>
      <c r="AP195" s="3"/>
      <c r="AQ195" s="3" t="s">
        <v>3837</v>
      </c>
      <c r="AR195" s="3" t="s">
        <v>3814</v>
      </c>
      <c r="AS195" s="3"/>
      <c r="AT195" s="3">
        <v>46256</v>
      </c>
      <c r="AU195" s="3">
        <v>46289</v>
      </c>
      <c r="AV195" s="3"/>
      <c r="AW195" t="s">
        <v>3839</v>
      </c>
      <c r="BC195" t="s">
        <v>32</v>
      </c>
      <c r="BD195" t="s">
        <v>3814</v>
      </c>
      <c r="BE195" t="s">
        <v>4362</v>
      </c>
      <c r="BF195" t="s">
        <v>4363</v>
      </c>
      <c r="BG195" t="s">
        <v>3817</v>
      </c>
      <c r="CW195" s="6" t="str" cm="1">
        <f t="array" ref="CW195">IFERROR(_xlfn.IFS(H195=TIME(7,0,0),"GY",H195=TIME(7,30,0),"GY",H195=TIME(9,0,0),"GY",H195=TIME(15,0,0),"GY",H195=TIME(8,30,0),"GY",H195=TIME(5,30,0),"GY",H195=TIME(6,0,0),"GD",H195=TIME(6,30,0),"GD",H195=TIME(8,0,0),"GY",H195=TIME(6,15,0),"GD"),"")</f>
        <v>GY</v>
      </c>
      <c r="EE195"/>
    </row>
    <row r="196" spans="1:135" x14ac:dyDescent="0.45">
      <c r="A196" s="3" t="s">
        <v>32</v>
      </c>
      <c r="B196" s="3" t="s">
        <v>3814</v>
      </c>
      <c r="C196" s="3" t="s">
        <v>4362</v>
      </c>
      <c r="D196" s="3" t="s">
        <v>4363</v>
      </c>
      <c r="E196" s="100" t="s">
        <v>3817</v>
      </c>
      <c r="F196" s="3" t="s">
        <v>4374</v>
      </c>
      <c r="G196" s="4">
        <v>46251</v>
      </c>
      <c r="H196" s="5">
        <v>0.35416666666666674</v>
      </c>
      <c r="I196" s="91">
        <v>46244</v>
      </c>
      <c r="J196" s="91"/>
      <c r="K196" s="91">
        <v>46242</v>
      </c>
      <c r="L196" s="3" t="s">
        <v>4365</v>
      </c>
      <c r="M196" s="3" t="s">
        <v>3966</v>
      </c>
      <c r="N196" s="3" t="s">
        <v>4366</v>
      </c>
      <c r="O196" t="s">
        <v>3821</v>
      </c>
      <c r="P196" s="3" t="s">
        <v>4008</v>
      </c>
      <c r="Q196">
        <v>46213</v>
      </c>
      <c r="R196" s="3">
        <v>726</v>
      </c>
      <c r="S196" s="3" t="s">
        <v>3823</v>
      </c>
      <c r="T196" s="3">
        <v>56</v>
      </c>
      <c r="U196" s="3" t="s">
        <v>4375</v>
      </c>
      <c r="V196" s="3" t="s">
        <v>4376</v>
      </c>
      <c r="W196" s="3">
        <v>662.08</v>
      </c>
      <c r="X196" s="3">
        <v>46249</v>
      </c>
      <c r="Y196" s="3">
        <v>46239</v>
      </c>
      <c r="AA196" t="s">
        <v>3826</v>
      </c>
      <c r="AB196" t="s">
        <v>3827</v>
      </c>
      <c r="AC196" s="3" t="s">
        <v>4369</v>
      </c>
      <c r="AD196" t="s">
        <v>4354</v>
      </c>
      <c r="AE196" t="s">
        <v>4050</v>
      </c>
      <c r="AF196" t="s">
        <v>3831</v>
      </c>
      <c r="AG196" t="s">
        <v>3832</v>
      </c>
      <c r="AH196" t="s">
        <v>3908</v>
      </c>
      <c r="AI196" t="s">
        <v>3834</v>
      </c>
      <c r="AJ196" t="s">
        <v>3835</v>
      </c>
      <c r="AK196" t="s">
        <v>3832</v>
      </c>
      <c r="AM196" s="3" t="s">
        <v>4370</v>
      </c>
      <c r="AN196" s="3"/>
      <c r="AO196" s="3">
        <v>46244</v>
      </c>
      <c r="AP196" s="3"/>
      <c r="AQ196" s="3" t="s">
        <v>3837</v>
      </c>
      <c r="AR196" s="3" t="s">
        <v>3814</v>
      </c>
      <c r="AS196" s="3"/>
      <c r="AT196" s="3">
        <v>46256</v>
      </c>
      <c r="AU196" s="3">
        <v>46289</v>
      </c>
      <c r="AV196" s="3"/>
      <c r="AW196" t="s">
        <v>3839</v>
      </c>
      <c r="BC196" t="s">
        <v>32</v>
      </c>
      <c r="BD196" t="s">
        <v>3814</v>
      </c>
      <c r="BE196" t="s">
        <v>4362</v>
      </c>
      <c r="BF196" t="s">
        <v>4363</v>
      </c>
      <c r="BG196" t="s">
        <v>3817</v>
      </c>
      <c r="CW196" s="6" t="str" cm="1">
        <f t="array" ref="CW196">IFERROR(_xlfn.IFS(H196=TIME(7,0,0),"GY",H196=TIME(7,30,0),"GY",H196=TIME(9,0,0),"GY",H196=TIME(15,0,0),"GY",H196=TIME(8,30,0),"GY",H196=TIME(5,30,0),"GY",H196=TIME(6,0,0),"GD",H196=TIME(6,30,0),"GD",H196=TIME(8,0,0),"GY",H196=TIME(6,15,0),"GD"),"")</f>
        <v>GY</v>
      </c>
      <c r="EE196"/>
    </row>
    <row r="197" spans="1:135" x14ac:dyDescent="0.45">
      <c r="A197" s="3" t="s">
        <v>63</v>
      </c>
      <c r="B197" s="3"/>
      <c r="C197" s="3" t="s">
        <v>4377</v>
      </c>
      <c r="D197" s="3" t="s">
        <v>4378</v>
      </c>
      <c r="E197" s="100" t="s">
        <v>3817</v>
      </c>
      <c r="F197" s="3" t="s">
        <v>4379</v>
      </c>
      <c r="G197" s="4">
        <v>46251</v>
      </c>
      <c r="H197" s="5">
        <v>0.26041666666666674</v>
      </c>
      <c r="I197" s="91">
        <v>46245</v>
      </c>
      <c r="J197" s="91"/>
      <c r="K197" s="91">
        <v>46243</v>
      </c>
      <c r="L197" s="3" t="s">
        <v>4380</v>
      </c>
      <c r="M197" s="3" t="s">
        <v>3819</v>
      </c>
      <c r="N197" s="3" t="s">
        <v>4381</v>
      </c>
      <c r="O197" t="s">
        <v>3867</v>
      </c>
      <c r="P197" s="3" t="s">
        <v>4030</v>
      </c>
      <c r="Q197">
        <v>46216</v>
      </c>
      <c r="R197" s="3">
        <v>726</v>
      </c>
      <c r="S197" s="3" t="s">
        <v>3823</v>
      </c>
      <c r="T197" s="3">
        <v>6398</v>
      </c>
      <c r="U197" s="3" t="s">
        <v>4382</v>
      </c>
      <c r="V197" s="3" t="s">
        <v>4383</v>
      </c>
      <c r="W197" s="3">
        <v>2055.0630000000001</v>
      </c>
      <c r="X197" s="3">
        <v>46229</v>
      </c>
      <c r="Y197" s="3">
        <v>46227</v>
      </c>
      <c r="AA197" t="s">
        <v>3826</v>
      </c>
      <c r="AB197" t="s">
        <v>3827</v>
      </c>
      <c r="AC197" s="3" t="s">
        <v>4384</v>
      </c>
      <c r="AD197" t="s">
        <v>4049</v>
      </c>
      <c r="AE197" t="s">
        <v>4050</v>
      </c>
      <c r="AF197" t="s">
        <v>3831</v>
      </c>
      <c r="AG197" t="s">
        <v>3832</v>
      </c>
      <c r="AH197" t="s">
        <v>3908</v>
      </c>
      <c r="AI197" t="s">
        <v>3834</v>
      </c>
      <c r="AJ197" t="s">
        <v>3956</v>
      </c>
      <c r="AK197" t="s">
        <v>3832</v>
      </c>
      <c r="AM197" s="3" t="s">
        <v>4385</v>
      </c>
      <c r="AN197" s="3"/>
      <c r="AO197" s="3">
        <v>46245</v>
      </c>
      <c r="AP197" s="3"/>
      <c r="AQ197" s="3" t="s">
        <v>4037</v>
      </c>
      <c r="AR197" s="3"/>
      <c r="AS197" s="3" t="s">
        <v>3961</v>
      </c>
      <c r="AT197" s="3">
        <v>46257</v>
      </c>
      <c r="AU197" s="3"/>
      <c r="AV197" s="3">
        <v>46260</v>
      </c>
      <c r="AW197" t="s">
        <v>3839</v>
      </c>
      <c r="BC197" t="s">
        <v>63</v>
      </c>
      <c r="BE197" t="s">
        <v>4377</v>
      </c>
      <c r="BF197" t="s">
        <v>4378</v>
      </c>
      <c r="BG197" t="s">
        <v>3817</v>
      </c>
      <c r="CW197" s="6" t="str" cm="1">
        <f t="array" ref="CW197">IFERROR(_xlfn.IFS(H197=TIME(7,0,0),"GY",H197=TIME(7,30,0),"GY",H197=TIME(9,0,0),"GY",H197=TIME(15,0,0),"GY",H197=TIME(8,30,0),"GY",H197=TIME(5,30,0),"GY",H197=TIME(6,0,0),"GD",H197=TIME(6,30,0),"GD",H197=TIME(8,0,0),"GY",H197=TIME(6,15,0),"GD"),"")</f>
        <v>GD</v>
      </c>
      <c r="EE197"/>
    </row>
    <row r="198" spans="1:135" x14ac:dyDescent="0.45">
      <c r="A198" s="3" t="s">
        <v>63</v>
      </c>
      <c r="B198" s="3"/>
      <c r="C198" s="3" t="s">
        <v>4377</v>
      </c>
      <c r="D198" s="3" t="s">
        <v>4378</v>
      </c>
      <c r="E198" s="100" t="s">
        <v>3817</v>
      </c>
      <c r="F198" s="3" t="s">
        <v>4386</v>
      </c>
      <c r="G198" s="4">
        <v>46251</v>
      </c>
      <c r="H198" s="5">
        <v>0.26041666666666674</v>
      </c>
      <c r="I198" s="91">
        <v>46245</v>
      </c>
      <c r="J198" s="91"/>
      <c r="K198" s="91">
        <v>46243</v>
      </c>
      <c r="L198" s="3" t="s">
        <v>4380</v>
      </c>
      <c r="M198" s="3" t="s">
        <v>3819</v>
      </c>
      <c r="N198" s="3" t="s">
        <v>4381</v>
      </c>
      <c r="O198" t="s">
        <v>3867</v>
      </c>
      <c r="P198" s="3" t="s">
        <v>4030</v>
      </c>
      <c r="Q198">
        <v>46216</v>
      </c>
      <c r="R198" s="3">
        <v>726</v>
      </c>
      <c r="S198" s="3" t="s">
        <v>3823</v>
      </c>
      <c r="T198" s="3">
        <v>11779</v>
      </c>
      <c r="U198" s="3" t="s">
        <v>4387</v>
      </c>
      <c r="V198" s="3" t="s">
        <v>4388</v>
      </c>
      <c r="W198" s="3">
        <v>6119.35</v>
      </c>
      <c r="X198" s="3">
        <v>46229</v>
      </c>
      <c r="Y198" s="3">
        <v>46227</v>
      </c>
      <c r="AA198" t="s">
        <v>3826</v>
      </c>
      <c r="AB198" t="s">
        <v>3827</v>
      </c>
      <c r="AC198" s="3" t="s">
        <v>4384</v>
      </c>
      <c r="AD198" t="s">
        <v>4049</v>
      </c>
      <c r="AE198" t="s">
        <v>4050</v>
      </c>
      <c r="AF198" t="s">
        <v>3831</v>
      </c>
      <c r="AG198" t="s">
        <v>3832</v>
      </c>
      <c r="AH198" t="s">
        <v>3908</v>
      </c>
      <c r="AI198" t="s">
        <v>3834</v>
      </c>
      <c r="AJ198" t="s">
        <v>3956</v>
      </c>
      <c r="AK198" t="s">
        <v>3832</v>
      </c>
      <c r="AM198" s="3" t="s">
        <v>4385</v>
      </c>
      <c r="AN198" s="3"/>
      <c r="AO198" s="3">
        <v>46245</v>
      </c>
      <c r="AP198" s="3"/>
      <c r="AQ198" s="3" t="s">
        <v>4037</v>
      </c>
      <c r="AR198" s="3"/>
      <c r="AS198" s="3" t="s">
        <v>3961</v>
      </c>
      <c r="AT198" s="3">
        <v>46257</v>
      </c>
      <c r="AU198" s="3"/>
      <c r="AV198" s="3">
        <v>46260</v>
      </c>
      <c r="AW198" t="s">
        <v>3839</v>
      </c>
      <c r="BC198" t="s">
        <v>63</v>
      </c>
      <c r="BE198" t="s">
        <v>4377</v>
      </c>
      <c r="BF198" t="s">
        <v>4378</v>
      </c>
      <c r="BG198" t="s">
        <v>3817</v>
      </c>
      <c r="CW198" s="6" t="str" cm="1">
        <f t="array" ref="CW198">IFERROR(_xlfn.IFS(H198=TIME(7,0,0),"GY",H198=TIME(7,30,0),"GY",H198=TIME(9,0,0),"GY",H198=TIME(15,0,0),"GY",H198=TIME(8,30,0),"GY",H198=TIME(5,30,0),"GY",H198=TIME(6,0,0),"GD",H198=TIME(6,30,0),"GD",H198=TIME(8,0,0),"GY",H198=TIME(6,15,0),"GD"),"")</f>
        <v>GD</v>
      </c>
      <c r="EE198"/>
    </row>
    <row r="199" spans="1:135" x14ac:dyDescent="0.45">
      <c r="A199" s="3" t="s">
        <v>18</v>
      </c>
      <c r="B199" s="3" t="s">
        <v>0</v>
      </c>
      <c r="C199" s="3" t="s">
        <v>4389</v>
      </c>
      <c r="D199" s="3" t="s">
        <v>4390</v>
      </c>
      <c r="E199" s="100" t="s">
        <v>3817</v>
      </c>
      <c r="F199" s="3" t="s">
        <v>4391</v>
      </c>
      <c r="G199" s="4">
        <v>46250</v>
      </c>
      <c r="H199" s="5">
        <v>0.26041666666666674</v>
      </c>
      <c r="I199" s="91">
        <v>46244</v>
      </c>
      <c r="J199" s="91"/>
      <c r="K199" s="91">
        <v>46242</v>
      </c>
      <c r="L199" s="3" t="s">
        <v>4392</v>
      </c>
      <c r="M199" s="3" t="s">
        <v>3819</v>
      </c>
      <c r="N199" s="3" t="s">
        <v>4393</v>
      </c>
      <c r="O199" t="s">
        <v>3819</v>
      </c>
      <c r="P199" s="3"/>
      <c r="Q199">
        <v>46223</v>
      </c>
      <c r="R199" s="3">
        <v>726</v>
      </c>
      <c r="S199" s="3" t="s">
        <v>3823</v>
      </c>
      <c r="T199" s="3">
        <v>6050</v>
      </c>
      <c r="U199" s="3" t="s">
        <v>4394</v>
      </c>
      <c r="V199" s="3" t="s">
        <v>4395</v>
      </c>
      <c r="W199" s="3">
        <v>9436.3819999999996</v>
      </c>
      <c r="X199" s="3">
        <v>46240</v>
      </c>
      <c r="Y199" s="3">
        <v>46238</v>
      </c>
      <c r="Z199">
        <v>46233</v>
      </c>
      <c r="AA199" t="s">
        <v>3926</v>
      </c>
      <c r="AB199" t="s">
        <v>3927</v>
      </c>
      <c r="AC199" s="3" t="s">
        <v>4396</v>
      </c>
      <c r="AD199" t="s">
        <v>4340</v>
      </c>
      <c r="AE199" t="s">
        <v>4341</v>
      </c>
      <c r="AF199" t="s">
        <v>3831</v>
      </c>
      <c r="AG199" t="s">
        <v>3832</v>
      </c>
      <c r="AH199" t="s">
        <v>3875</v>
      </c>
      <c r="AI199" t="s">
        <v>3834</v>
      </c>
      <c r="AJ199" t="s">
        <v>3835</v>
      </c>
      <c r="AK199" t="s">
        <v>3832</v>
      </c>
      <c r="AM199" s="3" t="s">
        <v>4397</v>
      </c>
      <c r="AN199" s="3"/>
      <c r="AO199" s="3">
        <v>46244</v>
      </c>
      <c r="AP199" s="3"/>
      <c r="AQ199" s="3" t="s">
        <v>3877</v>
      </c>
      <c r="AR199" s="3"/>
      <c r="AS199" s="3"/>
      <c r="AT199" s="3">
        <v>46256</v>
      </c>
      <c r="AU199" s="3">
        <v>46289</v>
      </c>
      <c r="AV199" s="3"/>
      <c r="AW199" t="s">
        <v>3839</v>
      </c>
      <c r="BC199" t="s">
        <v>18</v>
      </c>
      <c r="BD199" t="s">
        <v>0</v>
      </c>
      <c r="BE199" t="s">
        <v>4389</v>
      </c>
      <c r="BF199" t="s">
        <v>4390</v>
      </c>
      <c r="BG199" t="s">
        <v>3817</v>
      </c>
      <c r="CW199" s="6" t="str" cm="1">
        <f t="array" ref="CW199">IFERROR(_xlfn.IFS(H199=TIME(7,0,0),"GY",H199=TIME(7,30,0),"GY",H199=TIME(9,0,0),"GY",H199=TIME(15,0,0),"GY",H199=TIME(8,30,0),"GY",H199=TIME(5,30,0),"GY",H199=TIME(6,0,0),"GD",H199=TIME(6,30,0),"GD",H199=TIME(8,0,0),"GY",H199=TIME(6,15,0),"GD"),"")</f>
        <v>GD</v>
      </c>
      <c r="EE199"/>
    </row>
    <row r="200" spans="1:135" x14ac:dyDescent="0.45">
      <c r="A200" s="3" t="s">
        <v>18</v>
      </c>
      <c r="B200" s="3" t="s">
        <v>0</v>
      </c>
      <c r="C200" s="3" t="s">
        <v>4389</v>
      </c>
      <c r="D200" s="3" t="s">
        <v>4390</v>
      </c>
      <c r="E200" s="100" t="s">
        <v>3817</v>
      </c>
      <c r="F200" s="3" t="s">
        <v>4398</v>
      </c>
      <c r="G200" s="4">
        <v>46250</v>
      </c>
      <c r="H200" s="5">
        <v>0.26041666666666674</v>
      </c>
      <c r="I200" s="91">
        <v>46244</v>
      </c>
      <c r="J200" s="91"/>
      <c r="K200" s="91">
        <v>46242</v>
      </c>
      <c r="L200" s="3" t="s">
        <v>4392</v>
      </c>
      <c r="M200" s="3" t="s">
        <v>3819</v>
      </c>
      <c r="N200" s="3" t="s">
        <v>4393</v>
      </c>
      <c r="O200" t="s">
        <v>3819</v>
      </c>
      <c r="P200" s="3"/>
      <c r="Q200">
        <v>46223</v>
      </c>
      <c r="R200" s="3">
        <v>726</v>
      </c>
      <c r="S200" s="3" t="s">
        <v>3823</v>
      </c>
      <c r="T200" s="3">
        <v>6678</v>
      </c>
      <c r="U200" s="3" t="s">
        <v>4399</v>
      </c>
      <c r="V200" s="3" t="s">
        <v>4400</v>
      </c>
      <c r="W200" s="3">
        <v>1300.0139999999999</v>
      </c>
      <c r="X200" s="3">
        <v>46240</v>
      </c>
      <c r="Y200" s="3">
        <v>46238</v>
      </c>
      <c r="Z200">
        <v>46233</v>
      </c>
      <c r="AA200" t="s">
        <v>3926</v>
      </c>
      <c r="AB200" t="s">
        <v>3927</v>
      </c>
      <c r="AC200" s="3" t="s">
        <v>4396</v>
      </c>
      <c r="AD200" t="s">
        <v>4340</v>
      </c>
      <c r="AE200" t="s">
        <v>4341</v>
      </c>
      <c r="AF200" t="s">
        <v>3831</v>
      </c>
      <c r="AG200" t="s">
        <v>3832</v>
      </c>
      <c r="AH200" t="s">
        <v>3875</v>
      </c>
      <c r="AI200" t="s">
        <v>3834</v>
      </c>
      <c r="AJ200" t="s">
        <v>3835</v>
      </c>
      <c r="AK200" t="s">
        <v>3832</v>
      </c>
      <c r="AM200" s="3" t="s">
        <v>4397</v>
      </c>
      <c r="AN200" s="3"/>
      <c r="AO200" s="3">
        <v>46244</v>
      </c>
      <c r="AP200" s="3"/>
      <c r="AQ200" s="3" t="s">
        <v>3877</v>
      </c>
      <c r="AR200" s="3"/>
      <c r="AS200" s="3"/>
      <c r="AT200" s="3">
        <v>46256</v>
      </c>
      <c r="AU200" s="3">
        <v>46289</v>
      </c>
      <c r="AV200" s="3"/>
      <c r="AW200" t="s">
        <v>3839</v>
      </c>
      <c r="BC200" t="s">
        <v>18</v>
      </c>
      <c r="BD200" t="s">
        <v>0</v>
      </c>
      <c r="BE200" t="s">
        <v>4389</v>
      </c>
      <c r="BF200" t="s">
        <v>4390</v>
      </c>
      <c r="BG200" t="s">
        <v>3817</v>
      </c>
      <c r="CW200" s="6" t="str" cm="1">
        <f t="array" ref="CW200">IFERROR(_xlfn.IFS(H200=TIME(7,0,0),"GY",H200=TIME(7,30,0),"GY",H200=TIME(9,0,0),"GY",H200=TIME(15,0,0),"GY",H200=TIME(8,30,0),"GY",H200=TIME(5,30,0),"GY",H200=TIME(6,0,0),"GD",H200=TIME(6,30,0),"GD",H200=TIME(8,0,0),"GY",H200=TIME(6,15,0),"GD"),"")</f>
        <v>GD</v>
      </c>
      <c r="EE200"/>
    </row>
    <row r="201" spans="1:135" x14ac:dyDescent="0.45">
      <c r="A201" s="3" t="s">
        <v>18</v>
      </c>
      <c r="B201" s="3"/>
      <c r="C201" s="3" t="s">
        <v>4401</v>
      </c>
      <c r="D201" s="3" t="s">
        <v>4402</v>
      </c>
      <c r="E201" s="100" t="s">
        <v>3817</v>
      </c>
      <c r="F201" s="3" t="s">
        <v>4403</v>
      </c>
      <c r="G201" s="4">
        <v>46249</v>
      </c>
      <c r="H201" s="5">
        <v>0.26041666666666674</v>
      </c>
      <c r="I201" s="91">
        <v>46244</v>
      </c>
      <c r="J201" s="91"/>
      <c r="K201" s="91">
        <v>46243</v>
      </c>
      <c r="L201" s="3" t="s">
        <v>4404</v>
      </c>
      <c r="M201" s="3" t="s">
        <v>3819</v>
      </c>
      <c r="N201" s="3" t="s">
        <v>4405</v>
      </c>
      <c r="O201" t="s">
        <v>3821</v>
      </c>
      <c r="P201" s="3"/>
      <c r="Q201">
        <v>46217</v>
      </c>
      <c r="R201" s="3">
        <v>726</v>
      </c>
      <c r="S201" s="3" t="s">
        <v>3823</v>
      </c>
      <c r="T201" s="3">
        <v>11880</v>
      </c>
      <c r="U201" s="3" t="s">
        <v>4406</v>
      </c>
      <c r="V201" s="3" t="s">
        <v>4407</v>
      </c>
      <c r="W201" s="3">
        <v>9676.8709999999992</v>
      </c>
      <c r="X201" s="3">
        <v>46229</v>
      </c>
      <c r="Y201" s="3">
        <v>46227</v>
      </c>
      <c r="AA201" t="s">
        <v>3826</v>
      </c>
      <c r="AB201" t="s">
        <v>3827</v>
      </c>
      <c r="AC201" s="3" t="s">
        <v>4408</v>
      </c>
      <c r="AD201" t="s">
        <v>4049</v>
      </c>
      <c r="AE201" t="s">
        <v>4050</v>
      </c>
      <c r="AF201" t="s">
        <v>3831</v>
      </c>
      <c r="AG201" t="s">
        <v>3832</v>
      </c>
      <c r="AH201" t="s">
        <v>3908</v>
      </c>
      <c r="AI201" t="s">
        <v>3834</v>
      </c>
      <c r="AJ201" t="s">
        <v>3956</v>
      </c>
      <c r="AK201" t="s">
        <v>3832</v>
      </c>
      <c r="AM201" s="3" t="s">
        <v>4409</v>
      </c>
      <c r="AN201" s="3"/>
      <c r="AO201" s="3">
        <v>46244</v>
      </c>
      <c r="AP201" s="3"/>
      <c r="AQ201" s="3" t="s">
        <v>4037</v>
      </c>
      <c r="AR201" s="3"/>
      <c r="AS201" s="3" t="s">
        <v>3961</v>
      </c>
      <c r="AT201" s="3">
        <v>46257</v>
      </c>
      <c r="AU201" s="3"/>
      <c r="AV201" s="3">
        <v>46259</v>
      </c>
      <c r="AW201" t="s">
        <v>3839</v>
      </c>
      <c r="BC201" t="s">
        <v>18</v>
      </c>
      <c r="BE201" t="s">
        <v>4401</v>
      </c>
      <c r="BF201" t="s">
        <v>4402</v>
      </c>
      <c r="BG201" t="s">
        <v>3817</v>
      </c>
      <c r="CW201" s="6" t="str" cm="1">
        <f t="array" ref="CW201">IFERROR(_xlfn.IFS(H201=TIME(7,0,0),"GY",H201=TIME(7,30,0),"GY",H201=TIME(9,0,0),"GY",H201=TIME(15,0,0),"GY",H201=TIME(8,30,0),"GY",H201=TIME(5,30,0),"GY",H201=TIME(6,0,0),"GD",H201=TIME(6,30,0),"GD",H201=TIME(8,0,0),"GY",H201=TIME(6,15,0),"GD"),"")</f>
        <v>GD</v>
      </c>
      <c r="EE201"/>
    </row>
    <row r="202" spans="1:135" x14ac:dyDescent="0.45">
      <c r="A202" s="3" t="s">
        <v>18</v>
      </c>
      <c r="B202" s="3"/>
      <c r="C202" s="3" t="s">
        <v>4401</v>
      </c>
      <c r="D202" s="3" t="s">
        <v>4402</v>
      </c>
      <c r="E202" s="100" t="s">
        <v>3817</v>
      </c>
      <c r="F202" s="3" t="s">
        <v>4410</v>
      </c>
      <c r="G202" s="4">
        <v>46249</v>
      </c>
      <c r="H202" s="5">
        <v>0.26041666666666674</v>
      </c>
      <c r="I202" s="91">
        <v>46244</v>
      </c>
      <c r="J202" s="91"/>
      <c r="K202" s="91">
        <v>46243</v>
      </c>
      <c r="L202" s="3" t="s">
        <v>4404</v>
      </c>
      <c r="M202" s="3" t="s">
        <v>3819</v>
      </c>
      <c r="N202" s="3" t="s">
        <v>4405</v>
      </c>
      <c r="O202" t="s">
        <v>3821</v>
      </c>
      <c r="P202" s="3"/>
      <c r="Q202">
        <v>46217</v>
      </c>
      <c r="R202" s="3">
        <v>726</v>
      </c>
      <c r="S202" s="3" t="s">
        <v>3823</v>
      </c>
      <c r="T202" s="3">
        <v>2599</v>
      </c>
      <c r="U202" s="3" t="s">
        <v>4411</v>
      </c>
      <c r="V202" s="3" t="s">
        <v>4412</v>
      </c>
      <c r="W202" s="3">
        <v>1118.2260000000001</v>
      </c>
      <c r="X202" s="3">
        <v>46229</v>
      </c>
      <c r="Y202" s="3">
        <v>46227</v>
      </c>
      <c r="AA202" t="s">
        <v>3826</v>
      </c>
      <c r="AB202" t="s">
        <v>3827</v>
      </c>
      <c r="AC202" s="3" t="s">
        <v>4408</v>
      </c>
      <c r="AD202" t="s">
        <v>4049</v>
      </c>
      <c r="AE202" t="s">
        <v>4050</v>
      </c>
      <c r="AF202" t="s">
        <v>3831</v>
      </c>
      <c r="AG202" t="s">
        <v>3832</v>
      </c>
      <c r="AH202" t="s">
        <v>3908</v>
      </c>
      <c r="AI202" t="s">
        <v>3834</v>
      </c>
      <c r="AJ202" t="s">
        <v>3956</v>
      </c>
      <c r="AK202" t="s">
        <v>3832</v>
      </c>
      <c r="AM202" s="3" t="s">
        <v>4409</v>
      </c>
      <c r="AN202" s="3"/>
      <c r="AO202" s="3">
        <v>46244</v>
      </c>
      <c r="AP202" s="3"/>
      <c r="AQ202" s="3" t="s">
        <v>4037</v>
      </c>
      <c r="AR202" s="3"/>
      <c r="AS202" s="3" t="s">
        <v>3961</v>
      </c>
      <c r="AT202" s="3">
        <v>46257</v>
      </c>
      <c r="AU202" s="3"/>
      <c r="AV202" s="3">
        <v>46259</v>
      </c>
      <c r="AW202" t="s">
        <v>3839</v>
      </c>
      <c r="BC202" t="s">
        <v>18</v>
      </c>
      <c r="BE202" t="s">
        <v>4401</v>
      </c>
      <c r="BF202" t="s">
        <v>4402</v>
      </c>
      <c r="BG202" t="s">
        <v>3817</v>
      </c>
      <c r="CW202" s="6" t="str" cm="1">
        <f t="array" ref="CW202">IFERROR(_xlfn.IFS(H202=TIME(7,0,0),"GY",H202=TIME(7,30,0),"GY",H202=TIME(9,0,0),"GY",H202=TIME(15,0,0),"GY",H202=TIME(8,30,0),"GY",H202=TIME(5,30,0),"GY",H202=TIME(6,0,0),"GD",H202=TIME(6,30,0),"GD",H202=TIME(8,0,0),"GY",H202=TIME(6,15,0),"GD"),"")</f>
        <v>GD</v>
      </c>
      <c r="EE202"/>
    </row>
    <row r="203" spans="1:135" x14ac:dyDescent="0.45">
      <c r="A203" s="3" t="s">
        <v>32</v>
      </c>
      <c r="B203" s="3" t="s">
        <v>3814</v>
      </c>
      <c r="C203" s="3" t="s">
        <v>4425</v>
      </c>
      <c r="D203" s="3" t="s">
        <v>4426</v>
      </c>
      <c r="E203" s="100" t="s">
        <v>3817</v>
      </c>
      <c r="F203" s="3" t="s">
        <v>4427</v>
      </c>
      <c r="G203" s="4">
        <v>46248</v>
      </c>
      <c r="H203" s="5">
        <v>0.35416666666666674</v>
      </c>
      <c r="I203" s="91">
        <v>46240</v>
      </c>
      <c r="J203" s="91"/>
      <c r="K203" s="91">
        <v>46239</v>
      </c>
      <c r="L203" s="3" t="s">
        <v>4428</v>
      </c>
      <c r="M203" s="3" t="s">
        <v>3819</v>
      </c>
      <c r="N203" s="3" t="s">
        <v>4429</v>
      </c>
      <c r="O203" t="s">
        <v>3867</v>
      </c>
      <c r="P203" s="3" t="s">
        <v>4430</v>
      </c>
      <c r="Q203">
        <v>46213</v>
      </c>
      <c r="R203" s="3">
        <v>726</v>
      </c>
      <c r="S203" s="3" t="s">
        <v>3823</v>
      </c>
      <c r="T203" s="3">
        <v>4435</v>
      </c>
      <c r="U203" s="3" t="s">
        <v>4431</v>
      </c>
      <c r="V203" s="3" t="s">
        <v>4432</v>
      </c>
      <c r="W203" s="3">
        <v>1962.55</v>
      </c>
      <c r="X203" s="3">
        <v>46264</v>
      </c>
      <c r="Y203" s="3">
        <v>46239</v>
      </c>
      <c r="AA203" t="s">
        <v>3826</v>
      </c>
      <c r="AB203" t="s">
        <v>3827</v>
      </c>
      <c r="AC203" s="3" t="s">
        <v>4433</v>
      </c>
      <c r="AD203" t="s">
        <v>4434</v>
      </c>
      <c r="AE203" t="s">
        <v>3907</v>
      </c>
      <c r="AF203" t="s">
        <v>3831</v>
      </c>
      <c r="AG203" t="s">
        <v>3832</v>
      </c>
      <c r="AH203" t="s">
        <v>4132</v>
      </c>
      <c r="AI203" t="s">
        <v>3834</v>
      </c>
      <c r="AJ203" t="s">
        <v>3835</v>
      </c>
      <c r="AK203" t="s">
        <v>3832</v>
      </c>
      <c r="AM203" s="3" t="s">
        <v>4435</v>
      </c>
      <c r="AN203" s="3"/>
      <c r="AO203" s="3">
        <v>46239</v>
      </c>
      <c r="AP203" s="3"/>
      <c r="AQ203" s="3" t="s">
        <v>3837</v>
      </c>
      <c r="AR203" s="3" t="s">
        <v>3814</v>
      </c>
      <c r="AS203" s="3"/>
      <c r="AT203" s="3">
        <v>46253</v>
      </c>
      <c r="AU203" s="3">
        <v>46285</v>
      </c>
      <c r="AV203" s="3"/>
      <c r="AW203" t="s">
        <v>3839</v>
      </c>
      <c r="BC203" t="s">
        <v>32</v>
      </c>
      <c r="BD203" t="s">
        <v>3814</v>
      </c>
      <c r="BE203" t="s">
        <v>4425</v>
      </c>
      <c r="BF203" t="s">
        <v>4426</v>
      </c>
      <c r="BG203" t="s">
        <v>3817</v>
      </c>
      <c r="CW203" s="6" t="str" cm="1">
        <f t="array" ref="CW203">IFERROR(_xlfn.IFS(H203=TIME(7,0,0),"GY",H203=TIME(7,30,0),"GY",H203=TIME(9,0,0),"GY",H203=TIME(15,0,0),"GY",H203=TIME(8,30,0),"GY",H203=TIME(5,30,0),"GY",H203=TIME(6,0,0),"GD",H203=TIME(6,30,0),"GD",H203=TIME(8,0,0),"GY",H203=TIME(6,15,0),"GD"),"")</f>
        <v>GY</v>
      </c>
      <c r="EE203"/>
    </row>
    <row r="204" spans="1:135" x14ac:dyDescent="0.45">
      <c r="A204" s="14" t="s">
        <v>32</v>
      </c>
      <c r="B204" s="14" t="s">
        <v>3814</v>
      </c>
      <c r="C204" s="14" t="s">
        <v>4413</v>
      </c>
      <c r="D204" s="14" t="s">
        <v>4414</v>
      </c>
      <c r="E204" s="100" t="s">
        <v>3817</v>
      </c>
      <c r="F204" s="14" t="s">
        <v>4415</v>
      </c>
      <c r="G204" s="4">
        <v>46248</v>
      </c>
      <c r="H204" s="5">
        <v>0.35416666666666674</v>
      </c>
      <c r="I204" s="91">
        <v>46241</v>
      </c>
      <c r="J204" s="91"/>
      <c r="K204" s="91">
        <v>46239</v>
      </c>
      <c r="L204" s="14" t="s">
        <v>4416</v>
      </c>
      <c r="M204" s="14" t="s">
        <v>3819</v>
      </c>
      <c r="N204" s="14" t="s">
        <v>4417</v>
      </c>
      <c r="O204" s="29" t="s">
        <v>3821</v>
      </c>
      <c r="P204" s="14" t="s">
        <v>3822</v>
      </c>
      <c r="Q204" s="29">
        <v>46224</v>
      </c>
      <c r="R204" s="14">
        <v>726</v>
      </c>
      <c r="S204" s="14" t="s">
        <v>3823</v>
      </c>
      <c r="T204" s="14">
        <v>322</v>
      </c>
      <c r="U204" s="14" t="s">
        <v>4418</v>
      </c>
      <c r="V204" s="14" t="s">
        <v>4419</v>
      </c>
      <c r="W204" s="14">
        <v>6503.07</v>
      </c>
      <c r="X204" s="14">
        <v>46239</v>
      </c>
      <c r="Y204" s="14">
        <v>46237</v>
      </c>
      <c r="Z204" s="29"/>
      <c r="AA204" s="29" t="s">
        <v>3926</v>
      </c>
      <c r="AB204" s="29" t="s">
        <v>3927</v>
      </c>
      <c r="AC204" s="14" t="s">
        <v>4420</v>
      </c>
      <c r="AD204" s="29" t="s">
        <v>4421</v>
      </c>
      <c r="AE204" s="29" t="s">
        <v>4422</v>
      </c>
      <c r="AF204" s="29" t="s">
        <v>3831</v>
      </c>
      <c r="AG204" s="29" t="s">
        <v>3832</v>
      </c>
      <c r="AH204" s="29" t="s">
        <v>3833</v>
      </c>
      <c r="AI204" s="29" t="s">
        <v>3834</v>
      </c>
      <c r="AJ204" s="29" t="s">
        <v>3835</v>
      </c>
      <c r="AK204" s="29" t="s">
        <v>3832</v>
      </c>
      <c r="AL204" s="29"/>
      <c r="AM204" s="14" t="s">
        <v>4423</v>
      </c>
      <c r="AN204" s="14"/>
      <c r="AO204" s="14">
        <v>46241</v>
      </c>
      <c r="AP204" s="14"/>
      <c r="AQ204" s="14" t="s">
        <v>4424</v>
      </c>
      <c r="AR204" s="14" t="s">
        <v>3814</v>
      </c>
      <c r="AS204" s="14"/>
      <c r="AT204" s="14">
        <v>46252</v>
      </c>
      <c r="AU204" s="14">
        <v>46316</v>
      </c>
      <c r="AV204" s="14"/>
      <c r="AW204" s="29" t="s">
        <v>3839</v>
      </c>
      <c r="AX204" s="29"/>
      <c r="AY204" s="29"/>
      <c r="AZ204" s="29"/>
      <c r="BA204" s="29"/>
      <c r="BB204" s="29"/>
      <c r="BC204" s="29" t="s">
        <v>32</v>
      </c>
      <c r="BD204" s="29" t="s">
        <v>3814</v>
      </c>
      <c r="BE204" s="29" t="s">
        <v>4413</v>
      </c>
      <c r="BF204" s="29" t="s">
        <v>4414</v>
      </c>
      <c r="BG204" s="29" t="s">
        <v>3817</v>
      </c>
      <c r="BH204" s="29"/>
      <c r="BI204" s="29"/>
      <c r="BJ204" s="29"/>
      <c r="BK204" s="29"/>
      <c r="BL204" s="29"/>
      <c r="BM204" s="29"/>
      <c r="BN204" s="29"/>
      <c r="CW204" s="6" t="str" cm="1">
        <f t="array" ref="CW204">IFERROR(_xlfn.IFS(H204=TIME(7,0,0),"GY",H204=TIME(7,30,0),"GY",H204=TIME(9,0,0),"GY",H204=TIME(15,0,0),"GY",H204=TIME(8,30,0),"GY",H204=TIME(5,30,0),"GY",H204=TIME(6,0,0),"GD",H204=TIME(6,30,0),"GD",H204=TIME(8,0,0),"GY",H204=TIME(6,15,0),"GD"),"")</f>
        <v>GY</v>
      </c>
      <c r="EE204"/>
    </row>
    <row r="205" spans="1:135" x14ac:dyDescent="0.45">
      <c r="A205" s="3" t="s">
        <v>63</v>
      </c>
      <c r="B205" s="3"/>
      <c r="C205" s="3" t="s">
        <v>4436</v>
      </c>
      <c r="D205" s="3" t="s">
        <v>4437</v>
      </c>
      <c r="E205" s="100" t="s">
        <v>3817</v>
      </c>
      <c r="F205" s="3" t="s">
        <v>4438</v>
      </c>
      <c r="G205" s="4">
        <v>46248</v>
      </c>
      <c r="H205" s="5">
        <v>0.27083333333333326</v>
      </c>
      <c r="I205" s="91">
        <v>46244</v>
      </c>
      <c r="J205" s="91"/>
      <c r="K205" s="91">
        <v>46243</v>
      </c>
      <c r="L205" s="3" t="s">
        <v>4439</v>
      </c>
      <c r="M205" s="3" t="s">
        <v>3819</v>
      </c>
      <c r="N205" s="3" t="s">
        <v>4440</v>
      </c>
      <c r="O205" t="s">
        <v>3867</v>
      </c>
      <c r="P205" s="3" t="s">
        <v>4030</v>
      </c>
      <c r="Q205">
        <v>46209</v>
      </c>
      <c r="R205" s="3">
        <v>726</v>
      </c>
      <c r="S205" s="3" t="s">
        <v>3823</v>
      </c>
      <c r="T205" s="3">
        <v>2776</v>
      </c>
      <c r="U205" s="3" t="s">
        <v>4441</v>
      </c>
      <c r="V205" s="3" t="s">
        <v>4442</v>
      </c>
      <c r="W205" s="3">
        <v>2512.0540000000001</v>
      </c>
      <c r="X205" s="3">
        <v>46229</v>
      </c>
      <c r="Y205" s="3">
        <v>46227</v>
      </c>
      <c r="AA205" t="s">
        <v>3826</v>
      </c>
      <c r="AB205" t="s">
        <v>3827</v>
      </c>
      <c r="AC205" s="3" t="s">
        <v>4443</v>
      </c>
      <c r="AD205" t="s">
        <v>4049</v>
      </c>
      <c r="AE205" t="s">
        <v>4050</v>
      </c>
      <c r="AF205" t="s">
        <v>3831</v>
      </c>
      <c r="AG205" t="s">
        <v>3832</v>
      </c>
      <c r="AH205" t="s">
        <v>3908</v>
      </c>
      <c r="AI205" t="s">
        <v>3834</v>
      </c>
      <c r="AJ205" t="s">
        <v>3956</v>
      </c>
      <c r="AK205" t="s">
        <v>3832</v>
      </c>
      <c r="AM205" s="3" t="s">
        <v>4444</v>
      </c>
      <c r="AN205" s="3"/>
      <c r="AO205" s="3">
        <v>46244</v>
      </c>
      <c r="AP205" s="3"/>
      <c r="AQ205" s="3" t="s">
        <v>4037</v>
      </c>
      <c r="AR205" s="3"/>
      <c r="AS205" s="3" t="s">
        <v>3961</v>
      </c>
      <c r="AT205" s="3">
        <v>46257</v>
      </c>
      <c r="AU205" s="3"/>
      <c r="AV205" s="3">
        <v>46259</v>
      </c>
      <c r="AW205" t="s">
        <v>3839</v>
      </c>
      <c r="BC205" t="s">
        <v>63</v>
      </c>
      <c r="BE205" t="s">
        <v>4436</v>
      </c>
      <c r="BF205" t="s">
        <v>4437</v>
      </c>
      <c r="BG205" t="s">
        <v>3817</v>
      </c>
      <c r="CW205" s="6" t="str" cm="1">
        <f t="array" ref="CW205">IFERROR(_xlfn.IFS(H205=TIME(7,0,0),"GY",H205=TIME(7,30,0),"GY",H205=TIME(9,0,0),"GY",H205=TIME(15,0,0),"GY",H205=TIME(8,30,0),"GY",H205=TIME(5,30,0),"GY",H205=TIME(6,0,0),"GD",H205=TIME(6,30,0),"GD",H205=TIME(8,0,0),"GY",H205=TIME(6,15,0),"GD"),"")</f>
        <v>GD</v>
      </c>
      <c r="EE205"/>
    </row>
    <row r="206" spans="1:135" x14ac:dyDescent="0.45">
      <c r="A206" s="3" t="s">
        <v>63</v>
      </c>
      <c r="B206" s="3"/>
      <c r="C206" s="3" t="s">
        <v>4436</v>
      </c>
      <c r="D206" s="3" t="s">
        <v>4437</v>
      </c>
      <c r="E206" s="100" t="s">
        <v>3817</v>
      </c>
      <c r="F206" s="3" t="s">
        <v>4445</v>
      </c>
      <c r="G206" s="4">
        <v>46248</v>
      </c>
      <c r="H206" s="5">
        <v>0.27083333333333326</v>
      </c>
      <c r="I206" s="91">
        <v>46244</v>
      </c>
      <c r="J206" s="91"/>
      <c r="K206" s="91">
        <v>46243</v>
      </c>
      <c r="L206" s="3" t="s">
        <v>4439</v>
      </c>
      <c r="M206" s="3" t="s">
        <v>3819</v>
      </c>
      <c r="N206" s="3" t="s">
        <v>4440</v>
      </c>
      <c r="O206" t="s">
        <v>3867</v>
      </c>
      <c r="P206" s="3" t="s">
        <v>4030</v>
      </c>
      <c r="Q206">
        <v>46209</v>
      </c>
      <c r="R206" s="3">
        <v>726</v>
      </c>
      <c r="S206" s="3" t="s">
        <v>3823</v>
      </c>
      <c r="T206" s="3">
        <v>13149</v>
      </c>
      <c r="U206" s="3" t="s">
        <v>4446</v>
      </c>
      <c r="V206" s="3" t="s">
        <v>4447</v>
      </c>
      <c r="W206" s="3">
        <v>7585.933</v>
      </c>
      <c r="X206" s="3">
        <v>46229</v>
      </c>
      <c r="Y206" s="3">
        <v>46227</v>
      </c>
      <c r="AA206" t="s">
        <v>3826</v>
      </c>
      <c r="AB206" t="s">
        <v>3827</v>
      </c>
      <c r="AC206" s="3" t="s">
        <v>4443</v>
      </c>
      <c r="AD206" t="s">
        <v>4049</v>
      </c>
      <c r="AE206" t="s">
        <v>4050</v>
      </c>
      <c r="AF206" t="s">
        <v>3831</v>
      </c>
      <c r="AG206" t="s">
        <v>3832</v>
      </c>
      <c r="AH206" t="s">
        <v>3908</v>
      </c>
      <c r="AI206" t="s">
        <v>3834</v>
      </c>
      <c r="AJ206" t="s">
        <v>3956</v>
      </c>
      <c r="AK206" t="s">
        <v>3832</v>
      </c>
      <c r="AM206" s="3" t="s">
        <v>4444</v>
      </c>
      <c r="AN206" s="3"/>
      <c r="AO206" s="3">
        <v>46244</v>
      </c>
      <c r="AP206" s="3"/>
      <c r="AQ206" s="3" t="s">
        <v>4037</v>
      </c>
      <c r="AR206" s="3"/>
      <c r="AS206" s="3" t="s">
        <v>3961</v>
      </c>
      <c r="AT206" s="3">
        <v>46257</v>
      </c>
      <c r="AU206" s="3"/>
      <c r="AV206" s="3">
        <v>46259</v>
      </c>
      <c r="AW206" t="s">
        <v>3839</v>
      </c>
      <c r="BC206" t="s">
        <v>63</v>
      </c>
      <c r="BE206" t="s">
        <v>4436</v>
      </c>
      <c r="BF206" t="s">
        <v>4437</v>
      </c>
      <c r="BG206" t="s">
        <v>3817</v>
      </c>
      <c r="CW206" s="6" t="str" cm="1">
        <f t="array" ref="CW206">IFERROR(_xlfn.IFS(H206=TIME(7,0,0),"GY",H206=TIME(7,30,0),"GY",H206=TIME(9,0,0),"GY",H206=TIME(15,0,0),"GY",H206=TIME(8,30,0),"GY",H206=TIME(5,30,0),"GY",H206=TIME(6,0,0),"GD",H206=TIME(6,30,0),"GD",H206=TIME(8,0,0),"GY",H206=TIME(6,15,0),"GD"),"")</f>
        <v>GD</v>
      </c>
      <c r="EE206"/>
    </row>
    <row r="207" spans="1:135" x14ac:dyDescent="0.45">
      <c r="A207" s="3" t="s">
        <v>32</v>
      </c>
      <c r="B207" s="3" t="s">
        <v>3814</v>
      </c>
      <c r="C207" s="3" t="s">
        <v>4448</v>
      </c>
      <c r="D207" s="3" t="s">
        <v>4449</v>
      </c>
      <c r="E207" s="100" t="s">
        <v>3817</v>
      </c>
      <c r="F207" s="3" t="s">
        <v>4450</v>
      </c>
      <c r="G207" s="4">
        <v>46247</v>
      </c>
      <c r="H207" s="5">
        <v>0.35416666666666674</v>
      </c>
      <c r="I207" s="91">
        <v>46240</v>
      </c>
      <c r="J207" s="91"/>
      <c r="K207" s="91">
        <v>46239</v>
      </c>
      <c r="L207" s="3" t="s">
        <v>4451</v>
      </c>
      <c r="M207" s="3" t="s">
        <v>3819</v>
      </c>
      <c r="N207" s="3" t="s">
        <v>4452</v>
      </c>
      <c r="O207" t="s">
        <v>3867</v>
      </c>
      <c r="P207" s="3" t="s">
        <v>3822</v>
      </c>
      <c r="Q207">
        <v>46218</v>
      </c>
      <c r="R207" s="3">
        <v>726</v>
      </c>
      <c r="S207" s="3" t="s">
        <v>3823</v>
      </c>
      <c r="T207" s="3">
        <v>111</v>
      </c>
      <c r="U207" s="3" t="s">
        <v>4453</v>
      </c>
      <c r="V207" s="3" t="s">
        <v>4454</v>
      </c>
      <c r="W207" s="3">
        <v>1727.46</v>
      </c>
      <c r="X207" s="3">
        <v>46240</v>
      </c>
      <c r="Y207" s="3">
        <v>46238</v>
      </c>
      <c r="AA207" t="s">
        <v>3826</v>
      </c>
      <c r="AB207" t="s">
        <v>3827</v>
      </c>
      <c r="AC207" s="3" t="s">
        <v>4455</v>
      </c>
      <c r="AD207" t="s">
        <v>4456</v>
      </c>
      <c r="AE207" t="s">
        <v>4184</v>
      </c>
      <c r="AF207" t="s">
        <v>3831</v>
      </c>
      <c r="AG207" t="s">
        <v>3832</v>
      </c>
      <c r="AH207" t="s">
        <v>3833</v>
      </c>
      <c r="AI207" t="s">
        <v>3834</v>
      </c>
      <c r="AJ207" t="s">
        <v>3835</v>
      </c>
      <c r="AK207" t="s">
        <v>3832</v>
      </c>
      <c r="AM207" s="3" t="s">
        <v>4457</v>
      </c>
      <c r="AN207" s="3"/>
      <c r="AO207" s="3">
        <v>46239</v>
      </c>
      <c r="AP207" s="3"/>
      <c r="AQ207" s="3" t="s">
        <v>3837</v>
      </c>
      <c r="AR207" s="3" t="s">
        <v>3814</v>
      </c>
      <c r="AS207" s="3"/>
      <c r="AT207" s="3">
        <v>46253</v>
      </c>
      <c r="AU207" s="3">
        <v>46285</v>
      </c>
      <c r="AV207" s="3"/>
      <c r="AW207" t="s">
        <v>3839</v>
      </c>
      <c r="BC207" t="s">
        <v>32</v>
      </c>
      <c r="BD207" t="s">
        <v>3814</v>
      </c>
      <c r="BE207" t="s">
        <v>4448</v>
      </c>
      <c r="BF207" t="s">
        <v>4449</v>
      </c>
      <c r="BG207" t="s">
        <v>3817</v>
      </c>
      <c r="CW207" s="6" t="str" cm="1">
        <f t="array" ref="CW207">IFERROR(_xlfn.IFS(H207=TIME(7,0,0),"GY",H207=TIME(7,30,0),"GY",H207=TIME(9,0,0),"GY",H207=TIME(15,0,0),"GY",H207=TIME(8,30,0),"GY",H207=TIME(5,30,0),"GY",H207=TIME(6,0,0),"GD",H207=TIME(6,30,0),"GD",H207=TIME(8,0,0),"GY",H207=TIME(6,15,0),"GD"),"")</f>
        <v>GY</v>
      </c>
      <c r="EE207"/>
    </row>
    <row r="208" spans="1:135" x14ac:dyDescent="0.45">
      <c r="A208" s="3" t="s">
        <v>32</v>
      </c>
      <c r="B208" s="3" t="s">
        <v>3814</v>
      </c>
      <c r="C208" s="3" t="s">
        <v>4458</v>
      </c>
      <c r="D208" s="3" t="s">
        <v>4459</v>
      </c>
      <c r="E208" s="100" t="s">
        <v>3817</v>
      </c>
      <c r="F208" s="3" t="s">
        <v>4460</v>
      </c>
      <c r="G208" s="4">
        <v>46247</v>
      </c>
      <c r="H208" s="5">
        <v>0.35416666666666674</v>
      </c>
      <c r="I208" s="91">
        <v>46239</v>
      </c>
      <c r="J208" s="91"/>
      <c r="K208" s="91">
        <v>46239</v>
      </c>
      <c r="L208" s="3" t="s">
        <v>4461</v>
      </c>
      <c r="M208" s="3" t="s">
        <v>3819</v>
      </c>
      <c r="N208" s="3" t="s">
        <v>4462</v>
      </c>
      <c r="O208" t="s">
        <v>3867</v>
      </c>
      <c r="P208" s="3" t="s">
        <v>4251</v>
      </c>
      <c r="Q208">
        <v>46205</v>
      </c>
      <c r="R208" s="3">
        <v>726</v>
      </c>
      <c r="S208" s="3" t="s">
        <v>3823</v>
      </c>
      <c r="T208" s="3">
        <v>324</v>
      </c>
      <c r="U208" s="3" t="s">
        <v>4463</v>
      </c>
      <c r="V208" s="3" t="s">
        <v>4464</v>
      </c>
      <c r="W208" s="3">
        <v>6078.5</v>
      </c>
      <c r="X208" s="3">
        <v>46237</v>
      </c>
      <c r="Y208" s="3">
        <v>46235</v>
      </c>
      <c r="AA208" t="s">
        <v>3926</v>
      </c>
      <c r="AB208" t="s">
        <v>3927</v>
      </c>
      <c r="AC208" s="3" t="s">
        <v>4465</v>
      </c>
      <c r="AD208" t="s">
        <v>4466</v>
      </c>
      <c r="AE208" t="s">
        <v>4467</v>
      </c>
      <c r="AF208" t="s">
        <v>3831</v>
      </c>
      <c r="AG208" t="s">
        <v>3832</v>
      </c>
      <c r="AH208" t="s">
        <v>3875</v>
      </c>
      <c r="AI208" t="s">
        <v>3834</v>
      </c>
      <c r="AJ208" t="s">
        <v>3835</v>
      </c>
      <c r="AK208" t="s">
        <v>3832</v>
      </c>
      <c r="AM208" s="3" t="s">
        <v>4468</v>
      </c>
      <c r="AN208" s="3"/>
      <c r="AO208" s="3">
        <v>46239</v>
      </c>
      <c r="AP208" s="3"/>
      <c r="AQ208" s="3" t="s">
        <v>3877</v>
      </c>
      <c r="AR208" s="3" t="s">
        <v>3814</v>
      </c>
      <c r="AS208" s="3"/>
      <c r="AT208" s="3">
        <v>46253</v>
      </c>
      <c r="AU208" s="3">
        <v>46284</v>
      </c>
      <c r="AV208" s="3"/>
      <c r="AW208" t="s">
        <v>3839</v>
      </c>
      <c r="BC208" t="s">
        <v>32</v>
      </c>
      <c r="BD208" t="s">
        <v>3814</v>
      </c>
      <c r="BE208" t="s">
        <v>4458</v>
      </c>
      <c r="BF208" t="s">
        <v>4459</v>
      </c>
      <c r="BG208" t="s">
        <v>3817</v>
      </c>
      <c r="CW208" s="6" t="str" cm="1">
        <f t="array" ref="CW208">IFERROR(_xlfn.IFS(H208=TIME(7,0,0),"GY",H208=TIME(7,30,0),"GY",H208=TIME(9,0,0),"GY",H208=TIME(15,0,0),"GY",H208=TIME(8,30,0),"GY",H208=TIME(5,30,0),"GY",H208=TIME(6,0,0),"GD",H208=TIME(6,30,0),"GD",H208=TIME(8,0,0),"GY",H208=TIME(6,15,0),"GD"),"")</f>
        <v>GY</v>
      </c>
      <c r="EE208"/>
    </row>
    <row r="209" spans="1:135" x14ac:dyDescent="0.45">
      <c r="A209" s="3" t="s">
        <v>18</v>
      </c>
      <c r="B209" s="3"/>
      <c r="C209" s="3" t="s">
        <v>4469</v>
      </c>
      <c r="D209" s="3" t="s">
        <v>4470</v>
      </c>
      <c r="E209" s="100" t="s">
        <v>3817</v>
      </c>
      <c r="F209" s="3" t="s">
        <v>4471</v>
      </c>
      <c r="G209" s="4">
        <v>46247</v>
      </c>
      <c r="H209" s="5">
        <v>0.27083333333333326</v>
      </c>
      <c r="I209" s="91">
        <v>46244</v>
      </c>
      <c r="J209" s="91"/>
      <c r="K209" s="91">
        <v>46243</v>
      </c>
      <c r="L209" s="3" t="s">
        <v>4472</v>
      </c>
      <c r="M209" s="3" t="s">
        <v>3819</v>
      </c>
      <c r="N209" s="3" t="s">
        <v>4473</v>
      </c>
      <c r="O209" t="s">
        <v>3821</v>
      </c>
      <c r="P209" s="3"/>
      <c r="Q209">
        <v>46218</v>
      </c>
      <c r="R209" s="3">
        <v>726</v>
      </c>
      <c r="S209" s="3" t="s">
        <v>3823</v>
      </c>
      <c r="T209" s="3">
        <v>6457</v>
      </c>
      <c r="U209" s="3" t="s">
        <v>4474</v>
      </c>
      <c r="V209" s="3" t="s">
        <v>4475</v>
      </c>
      <c r="W209" s="3">
        <v>10814.171</v>
      </c>
      <c r="X209" s="3">
        <v>46229</v>
      </c>
      <c r="Y209" s="3">
        <v>46227</v>
      </c>
      <c r="AA209" t="s">
        <v>3826</v>
      </c>
      <c r="AB209" t="s">
        <v>3827</v>
      </c>
      <c r="AC209" s="3" t="s">
        <v>4476</v>
      </c>
      <c r="AD209" t="s">
        <v>4049</v>
      </c>
      <c r="AE209" t="s">
        <v>4050</v>
      </c>
      <c r="AF209" t="s">
        <v>3831</v>
      </c>
      <c r="AG209" t="s">
        <v>3832</v>
      </c>
      <c r="AH209" t="s">
        <v>3908</v>
      </c>
      <c r="AI209" t="s">
        <v>3834</v>
      </c>
      <c r="AJ209" t="s">
        <v>3956</v>
      </c>
      <c r="AK209" t="s">
        <v>3832</v>
      </c>
      <c r="AM209" s="3" t="s">
        <v>4477</v>
      </c>
      <c r="AN209" s="3"/>
      <c r="AO209" s="3">
        <v>46244</v>
      </c>
      <c r="AP209" s="3"/>
      <c r="AQ209" s="3" t="s">
        <v>4037</v>
      </c>
      <c r="AR209" s="3"/>
      <c r="AS209" s="3" t="s">
        <v>3961</v>
      </c>
      <c r="AT209" s="3">
        <v>46257</v>
      </c>
      <c r="AU209" s="3"/>
      <c r="AV209" s="3">
        <v>46259</v>
      </c>
      <c r="AW209" t="s">
        <v>3839</v>
      </c>
      <c r="BC209" t="s">
        <v>18</v>
      </c>
      <c r="BE209" t="s">
        <v>4469</v>
      </c>
      <c r="BF209" t="s">
        <v>4470</v>
      </c>
      <c r="BG209" t="s">
        <v>3817</v>
      </c>
      <c r="CW209" s="6" t="str" cm="1">
        <f t="array" ref="CW209">IFERROR(_xlfn.IFS(H209=TIME(7,0,0),"GY",H209=TIME(7,30,0),"GY",H209=TIME(9,0,0),"GY",H209=TIME(15,0,0),"GY",H209=TIME(8,30,0),"GY",H209=TIME(5,30,0),"GY",H209=TIME(6,0,0),"GD",H209=TIME(6,30,0),"GD",H209=TIME(8,0,0),"GY",H209=TIME(6,15,0),"GD"),"")</f>
        <v>GD</v>
      </c>
      <c r="EE209"/>
    </row>
    <row r="210" spans="1:135" x14ac:dyDescent="0.45">
      <c r="A210" s="14" t="s">
        <v>18</v>
      </c>
      <c r="B210" s="14"/>
      <c r="C210" s="14" t="s">
        <v>4469</v>
      </c>
      <c r="D210" s="14" t="s">
        <v>4470</v>
      </c>
      <c r="E210" s="100" t="s">
        <v>3817</v>
      </c>
      <c r="F210" s="14" t="s">
        <v>4478</v>
      </c>
      <c r="G210" s="4">
        <v>46247</v>
      </c>
      <c r="H210" s="5">
        <v>0.27083333333333326</v>
      </c>
      <c r="I210" s="91">
        <v>46244</v>
      </c>
      <c r="J210" s="91"/>
      <c r="K210" s="91">
        <v>46243</v>
      </c>
      <c r="L210" s="14" t="s">
        <v>4472</v>
      </c>
      <c r="M210" s="14" t="s">
        <v>3819</v>
      </c>
      <c r="N210" s="14" t="s">
        <v>4473</v>
      </c>
      <c r="O210" s="29" t="s">
        <v>3821</v>
      </c>
      <c r="P210" s="14"/>
      <c r="Q210" s="29">
        <v>46218</v>
      </c>
      <c r="R210" s="14">
        <v>726</v>
      </c>
      <c r="S210" s="14" t="s">
        <v>3823</v>
      </c>
      <c r="T210" s="14">
        <v>4999</v>
      </c>
      <c r="U210" s="14" t="s">
        <v>4479</v>
      </c>
      <c r="V210" s="14" t="s">
        <v>4480</v>
      </c>
      <c r="W210" s="14">
        <v>1137.79</v>
      </c>
      <c r="X210" s="14">
        <v>46229</v>
      </c>
      <c r="Y210" s="14">
        <v>46227</v>
      </c>
      <c r="Z210" s="29"/>
      <c r="AA210" s="29" t="s">
        <v>3826</v>
      </c>
      <c r="AB210" s="29" t="s">
        <v>3827</v>
      </c>
      <c r="AC210" s="14" t="s">
        <v>4476</v>
      </c>
      <c r="AD210" s="29" t="s">
        <v>4049</v>
      </c>
      <c r="AE210" s="29" t="s">
        <v>4050</v>
      </c>
      <c r="AF210" s="29" t="s">
        <v>3831</v>
      </c>
      <c r="AG210" s="29" t="s">
        <v>3832</v>
      </c>
      <c r="AH210" s="29" t="s">
        <v>3908</v>
      </c>
      <c r="AI210" s="29" t="s">
        <v>3834</v>
      </c>
      <c r="AJ210" s="29" t="s">
        <v>3956</v>
      </c>
      <c r="AK210" s="29" t="s">
        <v>3832</v>
      </c>
      <c r="AL210" s="29"/>
      <c r="AM210" s="14" t="s">
        <v>4477</v>
      </c>
      <c r="AN210" s="14"/>
      <c r="AO210" s="14">
        <v>46244</v>
      </c>
      <c r="AP210" s="14"/>
      <c r="AQ210" s="14" t="s">
        <v>4037</v>
      </c>
      <c r="AR210" s="14"/>
      <c r="AS210" s="14" t="s">
        <v>3961</v>
      </c>
      <c r="AT210" s="14">
        <v>46257</v>
      </c>
      <c r="AU210" s="14"/>
      <c r="AV210" s="14">
        <v>46259</v>
      </c>
      <c r="AW210" s="29" t="s">
        <v>3839</v>
      </c>
      <c r="AX210" s="29"/>
      <c r="AY210" s="29"/>
      <c r="AZ210" s="29"/>
      <c r="BA210" s="29"/>
      <c r="BB210" s="29"/>
      <c r="BC210" s="29" t="s">
        <v>18</v>
      </c>
      <c r="BD210" s="29"/>
      <c r="BE210" s="29" t="s">
        <v>4469</v>
      </c>
      <c r="BF210" s="29" t="s">
        <v>4470</v>
      </c>
      <c r="BG210" s="29" t="s">
        <v>3817</v>
      </c>
      <c r="BH210" s="29"/>
      <c r="BI210" s="29"/>
      <c r="BJ210" s="29"/>
      <c r="BK210" s="29"/>
      <c r="BL210" s="29"/>
      <c r="BM210" s="29"/>
      <c r="BN210" s="29"/>
      <c r="CW210" s="6" t="str" cm="1">
        <f t="array" ref="CW210">IFERROR(_xlfn.IFS(H210=TIME(7,0,0),"GY",H210=TIME(7,30,0),"GY",H210=TIME(9,0,0),"GY",H210=TIME(15,0,0),"GY",H210=TIME(8,30,0),"GY",H210=TIME(5,30,0),"GY",H210=TIME(6,0,0),"GD",H210=TIME(6,30,0),"GD",H210=TIME(8,0,0),"GY",H210=TIME(6,15,0),"GD"),"")</f>
        <v>GD</v>
      </c>
      <c r="EE210"/>
    </row>
    <row r="211" spans="1:135" x14ac:dyDescent="0.45">
      <c r="A211" s="3" t="s">
        <v>32</v>
      </c>
      <c r="B211" s="3" t="s">
        <v>3814</v>
      </c>
      <c r="C211" s="3" t="s">
        <v>4481</v>
      </c>
      <c r="D211" s="3" t="s">
        <v>4482</v>
      </c>
      <c r="E211" s="100" t="s">
        <v>3817</v>
      </c>
      <c r="F211" s="3" t="s">
        <v>4483</v>
      </c>
      <c r="G211" s="4">
        <v>46246</v>
      </c>
      <c r="H211" s="5">
        <v>0.35416666666666674</v>
      </c>
      <c r="I211" s="91">
        <v>46240</v>
      </c>
      <c r="J211" s="91"/>
      <c r="K211" s="91">
        <v>46239</v>
      </c>
      <c r="L211" s="3" t="s">
        <v>4484</v>
      </c>
      <c r="M211" s="3" t="s">
        <v>3819</v>
      </c>
      <c r="N211" s="3" t="s">
        <v>4485</v>
      </c>
      <c r="O211" t="s">
        <v>3867</v>
      </c>
      <c r="P211" s="3" t="s">
        <v>3822</v>
      </c>
      <c r="Q211">
        <v>46215</v>
      </c>
      <c r="R211" s="3">
        <v>726</v>
      </c>
      <c r="S211" s="3" t="s">
        <v>3823</v>
      </c>
      <c r="T211" s="3">
        <v>71</v>
      </c>
      <c r="U211" s="3" t="s">
        <v>4486</v>
      </c>
      <c r="V211" s="3" t="s">
        <v>4487</v>
      </c>
      <c r="W211" s="3">
        <v>1931.47</v>
      </c>
      <c r="X211" s="3">
        <v>46240</v>
      </c>
      <c r="Y211" s="3">
        <v>46238</v>
      </c>
      <c r="AA211" t="s">
        <v>3826</v>
      </c>
      <c r="AB211" t="s">
        <v>3827</v>
      </c>
      <c r="AC211" s="3" t="s">
        <v>4488</v>
      </c>
      <c r="AD211" t="s">
        <v>4456</v>
      </c>
      <c r="AE211" t="s">
        <v>4184</v>
      </c>
      <c r="AF211" t="s">
        <v>3831</v>
      </c>
      <c r="AG211" t="s">
        <v>3832</v>
      </c>
      <c r="AH211" t="s">
        <v>3833</v>
      </c>
      <c r="AI211" t="s">
        <v>3834</v>
      </c>
      <c r="AJ211" t="s">
        <v>3835</v>
      </c>
      <c r="AK211" t="s">
        <v>3832</v>
      </c>
      <c r="AM211" s="3" t="s">
        <v>4489</v>
      </c>
      <c r="AN211" s="3"/>
      <c r="AO211" s="3">
        <v>46239</v>
      </c>
      <c r="AP211" s="3"/>
      <c r="AQ211" s="3" t="s">
        <v>3837</v>
      </c>
      <c r="AR211" s="3" t="s">
        <v>3814</v>
      </c>
      <c r="AS211" s="3"/>
      <c r="AT211" s="3">
        <v>46253</v>
      </c>
      <c r="AU211" s="3">
        <v>46285</v>
      </c>
      <c r="AV211" s="3"/>
      <c r="AW211" t="s">
        <v>3839</v>
      </c>
      <c r="BC211" t="s">
        <v>32</v>
      </c>
      <c r="BD211" t="s">
        <v>3814</v>
      </c>
      <c r="BE211" t="s">
        <v>4481</v>
      </c>
      <c r="BF211" t="s">
        <v>4482</v>
      </c>
      <c r="BG211" t="s">
        <v>3817</v>
      </c>
      <c r="CW211" s="6" t="str" cm="1">
        <f t="array" ref="CW211">IFERROR(_xlfn.IFS(H211=TIME(7,0,0),"GY",H211=TIME(7,30,0),"GY",H211=TIME(9,0,0),"GY",H211=TIME(15,0,0),"GY",H211=TIME(8,30,0),"GY",H211=TIME(5,30,0),"GY",H211=TIME(6,0,0),"GD",H211=TIME(6,30,0),"GD",H211=TIME(8,0,0),"GY",H211=TIME(6,15,0),"GD"),"")</f>
        <v>GY</v>
      </c>
      <c r="EE211"/>
    </row>
    <row r="212" spans="1:135" x14ac:dyDescent="0.45">
      <c r="A212" s="14" t="s">
        <v>18</v>
      </c>
      <c r="B212" s="14"/>
      <c r="C212" s="14" t="s">
        <v>4504</v>
      </c>
      <c r="D212" s="14" t="s">
        <v>4505</v>
      </c>
      <c r="E212" s="100" t="s">
        <v>3817</v>
      </c>
      <c r="F212" s="14" t="s">
        <v>4506</v>
      </c>
      <c r="G212" s="4">
        <v>46246</v>
      </c>
      <c r="H212" s="5">
        <v>0.27083333333333326</v>
      </c>
      <c r="I212" s="91">
        <v>46244</v>
      </c>
      <c r="J212" s="91"/>
      <c r="K212" s="91">
        <v>46243</v>
      </c>
      <c r="L212" s="14" t="s">
        <v>4507</v>
      </c>
      <c r="M212" s="14" t="s">
        <v>3819</v>
      </c>
      <c r="N212" s="14" t="s">
        <v>4508</v>
      </c>
      <c r="O212" s="29" t="s">
        <v>3821</v>
      </c>
      <c r="P212" s="14"/>
      <c r="Q212" s="29">
        <v>46216</v>
      </c>
      <c r="R212" s="14">
        <v>726</v>
      </c>
      <c r="S212" s="14" t="s">
        <v>3823</v>
      </c>
      <c r="T212" s="14">
        <v>7934</v>
      </c>
      <c r="U212" s="14" t="s">
        <v>4509</v>
      </c>
      <c r="V212" s="14" t="s">
        <v>4510</v>
      </c>
      <c r="W212" s="14">
        <v>10362.721</v>
      </c>
      <c r="X212" s="14">
        <v>46229</v>
      </c>
      <c r="Y212" s="14">
        <v>46227</v>
      </c>
      <c r="Z212" s="29"/>
      <c r="AA212" s="29" t="s">
        <v>3826</v>
      </c>
      <c r="AB212" s="29" t="s">
        <v>3827</v>
      </c>
      <c r="AC212" s="14" t="s">
        <v>4511</v>
      </c>
      <c r="AD212" s="29" t="s">
        <v>4049</v>
      </c>
      <c r="AE212" s="29" t="s">
        <v>4050</v>
      </c>
      <c r="AF212" s="29" t="s">
        <v>3831</v>
      </c>
      <c r="AG212" s="29" t="s">
        <v>3832</v>
      </c>
      <c r="AH212" s="29" t="s">
        <v>3908</v>
      </c>
      <c r="AI212" s="29" t="s">
        <v>3834</v>
      </c>
      <c r="AJ212" s="29" t="s">
        <v>3956</v>
      </c>
      <c r="AK212" s="29" t="s">
        <v>3832</v>
      </c>
      <c r="AL212" s="29"/>
      <c r="AM212" s="14" t="s">
        <v>4512</v>
      </c>
      <c r="AN212" s="14"/>
      <c r="AO212" s="14">
        <v>46244</v>
      </c>
      <c r="AP212" s="14"/>
      <c r="AQ212" s="14" t="s">
        <v>4037</v>
      </c>
      <c r="AR212" s="14"/>
      <c r="AS212" s="14" t="s">
        <v>3961</v>
      </c>
      <c r="AT212" s="14">
        <v>46257</v>
      </c>
      <c r="AU212" s="14"/>
      <c r="AV212" s="14">
        <v>46259</v>
      </c>
      <c r="AW212" s="29" t="s">
        <v>3839</v>
      </c>
      <c r="AX212" s="29"/>
      <c r="AY212" s="29"/>
      <c r="AZ212" s="29"/>
      <c r="BA212" s="29"/>
      <c r="BB212" s="29"/>
      <c r="BC212" s="29" t="s">
        <v>18</v>
      </c>
      <c r="BD212" s="29"/>
      <c r="BE212" s="29" t="s">
        <v>4504</v>
      </c>
      <c r="BF212" s="29" t="s">
        <v>4505</v>
      </c>
      <c r="BG212" s="29" t="s">
        <v>3817</v>
      </c>
      <c r="BH212" s="29"/>
      <c r="BI212" s="29"/>
      <c r="BJ212" s="29"/>
      <c r="BK212" s="29"/>
      <c r="BL212" s="29"/>
      <c r="BM212" s="29"/>
      <c r="BN212" s="29"/>
      <c r="CW212" s="6" t="str" cm="1">
        <f t="array" ref="CW212">IFERROR(_xlfn.IFS(H212=TIME(7,0,0),"GY",H212=TIME(7,30,0),"GY",H212=TIME(9,0,0),"GY",H212=TIME(15,0,0),"GY",H212=TIME(8,30,0),"GY",H212=TIME(5,30,0),"GY",H212=TIME(6,0,0),"GD",H212=TIME(6,30,0),"GD",H212=TIME(8,0,0),"GY",H212=TIME(6,15,0),"GD"),"")</f>
        <v>GD</v>
      </c>
      <c r="EE212"/>
    </row>
    <row r="213" spans="1:135" x14ac:dyDescent="0.45">
      <c r="A213" s="3" t="s">
        <v>32</v>
      </c>
      <c r="B213" s="3" t="s">
        <v>3814</v>
      </c>
      <c r="C213" s="3" t="s">
        <v>4490</v>
      </c>
      <c r="D213" s="3" t="s">
        <v>4491</v>
      </c>
      <c r="E213" s="100" t="s">
        <v>3947</v>
      </c>
      <c r="F213" s="3" t="s">
        <v>4492</v>
      </c>
      <c r="G213" s="4">
        <v>46246</v>
      </c>
      <c r="H213" s="5">
        <v>0.35416666666666674</v>
      </c>
      <c r="I213" s="91">
        <v>46234</v>
      </c>
      <c r="J213" s="91"/>
      <c r="K213" s="91">
        <v>46233</v>
      </c>
      <c r="L213" s="3" t="s">
        <v>4493</v>
      </c>
      <c r="M213" s="3" t="s">
        <v>3966</v>
      </c>
      <c r="N213" s="3" t="s">
        <v>4494</v>
      </c>
      <c r="O213" t="s">
        <v>3821</v>
      </c>
      <c r="P213" s="3" t="s">
        <v>3968</v>
      </c>
      <c r="Q213">
        <v>46191</v>
      </c>
      <c r="R213" s="3">
        <v>726</v>
      </c>
      <c r="S213" s="3" t="s">
        <v>3823</v>
      </c>
      <c r="T213" s="3">
        <v>68</v>
      </c>
      <c r="U213" s="3" t="s">
        <v>4495</v>
      </c>
      <c r="V213" s="3" t="s">
        <v>4496</v>
      </c>
      <c r="W213" s="3">
        <v>162.94</v>
      </c>
      <c r="X213" s="3">
        <v>46229</v>
      </c>
      <c r="Y213" s="3">
        <v>46231</v>
      </c>
      <c r="AA213" t="s">
        <v>3971</v>
      </c>
      <c r="AB213" t="s">
        <v>3972</v>
      </c>
      <c r="AC213" s="3" t="s">
        <v>4497</v>
      </c>
      <c r="AD213" t="s">
        <v>4498</v>
      </c>
      <c r="AE213" t="s">
        <v>4499</v>
      </c>
      <c r="AF213" t="s">
        <v>3976</v>
      </c>
      <c r="AG213" t="s">
        <v>3832</v>
      </c>
      <c r="AH213" t="s">
        <v>3977</v>
      </c>
      <c r="AI213" t="s">
        <v>3834</v>
      </c>
      <c r="AJ213" t="s">
        <v>3956</v>
      </c>
      <c r="AK213" t="s">
        <v>3832</v>
      </c>
      <c r="AL213" t="s">
        <v>4245</v>
      </c>
      <c r="AM213" s="3" t="s">
        <v>4500</v>
      </c>
      <c r="AN213" s="3">
        <v>46231</v>
      </c>
      <c r="AO213" s="3">
        <v>46234</v>
      </c>
      <c r="AP213" s="3"/>
      <c r="AQ213" s="3" t="s">
        <v>3979</v>
      </c>
      <c r="AR213" s="3"/>
      <c r="AS213" s="3" t="s">
        <v>3961</v>
      </c>
      <c r="AT213" s="3">
        <v>46247</v>
      </c>
      <c r="AU213" s="3"/>
      <c r="AV213" s="3"/>
      <c r="AW213" t="s">
        <v>3839</v>
      </c>
      <c r="BC213" t="s">
        <v>32</v>
      </c>
      <c r="BD213" t="s">
        <v>3814</v>
      </c>
      <c r="BE213" t="s">
        <v>4490</v>
      </c>
      <c r="BF213" t="s">
        <v>4491</v>
      </c>
      <c r="BG213" t="s">
        <v>3947</v>
      </c>
      <c r="CW213" s="6" t="str" cm="1">
        <f t="array" ref="CW213">IFERROR(_xlfn.IFS(H213=TIME(7,0,0),"GY",H213=TIME(7,30,0),"GY",H213=TIME(9,0,0),"GY",H213=TIME(15,0,0),"GY",H213=TIME(8,30,0),"GY",H213=TIME(5,30,0),"GY",H213=TIME(6,0,0),"GD",H213=TIME(6,30,0),"GD",H213=TIME(8,0,0),"GY",H213=TIME(6,15,0),"GD"),"")</f>
        <v>GY</v>
      </c>
      <c r="EE213"/>
    </row>
    <row r="214" spans="1:135" x14ac:dyDescent="0.45">
      <c r="A214" s="3" t="s">
        <v>32</v>
      </c>
      <c r="B214" s="3" t="s">
        <v>3814</v>
      </c>
      <c r="C214" s="3" t="s">
        <v>4490</v>
      </c>
      <c r="D214" s="3" t="s">
        <v>4491</v>
      </c>
      <c r="E214" s="100" t="s">
        <v>3947</v>
      </c>
      <c r="F214" s="3" t="s">
        <v>4501</v>
      </c>
      <c r="G214" s="4">
        <v>46246</v>
      </c>
      <c r="H214" s="5">
        <v>0.35416666666666674</v>
      </c>
      <c r="I214" s="91">
        <v>46234</v>
      </c>
      <c r="J214" s="91"/>
      <c r="K214" s="91">
        <v>46233</v>
      </c>
      <c r="L214" s="3" t="s">
        <v>4493</v>
      </c>
      <c r="M214" s="3" t="s">
        <v>3966</v>
      </c>
      <c r="N214" s="3" t="s">
        <v>4494</v>
      </c>
      <c r="O214" t="s">
        <v>3821</v>
      </c>
      <c r="P214" s="3" t="s">
        <v>3968</v>
      </c>
      <c r="Q214">
        <v>46191</v>
      </c>
      <c r="R214" s="3">
        <v>726</v>
      </c>
      <c r="S214" s="3" t="s">
        <v>3823</v>
      </c>
      <c r="T214" s="3">
        <v>264</v>
      </c>
      <c r="U214" s="3" t="s">
        <v>4502</v>
      </c>
      <c r="V214" s="3" t="s">
        <v>4503</v>
      </c>
      <c r="W214" s="3">
        <v>452.43</v>
      </c>
      <c r="X214" s="3">
        <v>46229</v>
      </c>
      <c r="Y214" s="3">
        <v>46231</v>
      </c>
      <c r="AA214" t="s">
        <v>3971</v>
      </c>
      <c r="AB214" t="s">
        <v>3972</v>
      </c>
      <c r="AC214" s="3" t="s">
        <v>4497</v>
      </c>
      <c r="AD214" t="s">
        <v>4498</v>
      </c>
      <c r="AE214" t="s">
        <v>4499</v>
      </c>
      <c r="AF214" t="s">
        <v>3976</v>
      </c>
      <c r="AG214" t="s">
        <v>3832</v>
      </c>
      <c r="AH214" t="s">
        <v>3977</v>
      </c>
      <c r="AI214" t="s">
        <v>3834</v>
      </c>
      <c r="AJ214" t="s">
        <v>3956</v>
      </c>
      <c r="AK214" t="s">
        <v>3832</v>
      </c>
      <c r="AL214" t="s">
        <v>4245</v>
      </c>
      <c r="AM214" s="3" t="s">
        <v>4500</v>
      </c>
      <c r="AN214" s="3">
        <v>46231</v>
      </c>
      <c r="AO214" s="3">
        <v>46234</v>
      </c>
      <c r="AP214" s="3"/>
      <c r="AQ214" s="3" t="s">
        <v>3979</v>
      </c>
      <c r="AR214" s="3"/>
      <c r="AS214" s="3" t="s">
        <v>3961</v>
      </c>
      <c r="AT214" s="3">
        <v>46247</v>
      </c>
      <c r="AU214" s="3"/>
      <c r="AV214" s="3"/>
      <c r="AW214" t="s">
        <v>3839</v>
      </c>
      <c r="BC214" t="s">
        <v>32</v>
      </c>
      <c r="BD214" t="s">
        <v>3814</v>
      </c>
      <c r="BE214" t="s">
        <v>4490</v>
      </c>
      <c r="BF214" t="s">
        <v>4491</v>
      </c>
      <c r="BG214" t="s">
        <v>3947</v>
      </c>
      <c r="CW214" s="6" t="str" cm="1">
        <f t="array" ref="CW214">IFERROR(_xlfn.IFS(H214=TIME(7,0,0),"GY",H214=TIME(7,30,0),"GY",H214=TIME(9,0,0),"GY",H214=TIME(15,0,0),"GY",H214=TIME(8,30,0),"GY",H214=TIME(5,30,0),"GY",H214=TIME(6,0,0),"GD",H214=TIME(6,30,0),"GD",H214=TIME(8,0,0),"GY",H214=TIME(6,15,0),"GD"),"")</f>
        <v>GY</v>
      </c>
      <c r="EE214"/>
    </row>
    <row r="215" spans="1:135" x14ac:dyDescent="0.45">
      <c r="A215" s="3" t="s">
        <v>32</v>
      </c>
      <c r="B215" s="3" t="s">
        <v>3814</v>
      </c>
      <c r="C215" s="3" t="s">
        <v>4524</v>
      </c>
      <c r="D215" s="3" t="s">
        <v>4525</v>
      </c>
      <c r="E215" s="100" t="s">
        <v>3817</v>
      </c>
      <c r="F215" s="3" t="s">
        <v>4526</v>
      </c>
      <c r="G215" s="4">
        <v>46245</v>
      </c>
      <c r="H215" s="5">
        <v>0.35416666666666674</v>
      </c>
      <c r="I215" s="91">
        <v>46240</v>
      </c>
      <c r="J215" s="91"/>
      <c r="K215" s="91">
        <v>46239</v>
      </c>
      <c r="L215" s="3" t="s">
        <v>4516</v>
      </c>
      <c r="M215" s="3" t="s">
        <v>3819</v>
      </c>
      <c r="N215" s="3" t="s">
        <v>4527</v>
      </c>
      <c r="O215" t="s">
        <v>3867</v>
      </c>
      <c r="P215" s="3" t="s">
        <v>3822</v>
      </c>
      <c r="Q215">
        <v>46211</v>
      </c>
      <c r="R215" s="3">
        <v>726</v>
      </c>
      <c r="S215" s="3" t="s">
        <v>3823</v>
      </c>
      <c r="T215" s="3">
        <v>102</v>
      </c>
      <c r="U215" s="3" t="s">
        <v>4528</v>
      </c>
      <c r="V215" s="3" t="s">
        <v>4529</v>
      </c>
      <c r="W215" s="3">
        <v>2033.25</v>
      </c>
      <c r="X215" s="3">
        <v>46240</v>
      </c>
      <c r="Y215" s="3">
        <v>46238</v>
      </c>
      <c r="AA215" t="s">
        <v>3826</v>
      </c>
      <c r="AB215" t="s">
        <v>3827</v>
      </c>
      <c r="AC215" s="3" t="s">
        <v>4530</v>
      </c>
      <c r="AD215" t="s">
        <v>4456</v>
      </c>
      <c r="AE215" t="s">
        <v>4184</v>
      </c>
      <c r="AF215" t="s">
        <v>3831</v>
      </c>
      <c r="AG215" t="s">
        <v>3832</v>
      </c>
      <c r="AH215" t="s">
        <v>3833</v>
      </c>
      <c r="AI215" t="s">
        <v>3834</v>
      </c>
      <c r="AJ215" t="s">
        <v>3835</v>
      </c>
      <c r="AK215" t="s">
        <v>3832</v>
      </c>
      <c r="AM215" s="3" t="s">
        <v>4531</v>
      </c>
      <c r="AN215" s="3"/>
      <c r="AO215" s="3">
        <v>46239</v>
      </c>
      <c r="AP215" s="3"/>
      <c r="AQ215" s="3" t="s">
        <v>3837</v>
      </c>
      <c r="AR215" s="3" t="s">
        <v>3814</v>
      </c>
      <c r="AS215" s="3"/>
      <c r="AT215" s="3">
        <v>46253</v>
      </c>
      <c r="AU215" s="3">
        <v>46285</v>
      </c>
      <c r="AV215" s="3"/>
      <c r="AW215" t="s">
        <v>3839</v>
      </c>
      <c r="BC215" t="s">
        <v>32</v>
      </c>
      <c r="BD215" t="s">
        <v>3814</v>
      </c>
      <c r="BE215" t="s">
        <v>4524</v>
      </c>
      <c r="BF215" t="s">
        <v>4525</v>
      </c>
      <c r="BG215" t="s">
        <v>3817</v>
      </c>
      <c r="CW215" s="6" t="str" cm="1">
        <f t="array" ref="CW215">IFERROR(_xlfn.IFS(H215=TIME(7,0,0),"GY",H215=TIME(7,30,0),"GY",H215=TIME(9,0,0),"GY",H215=TIME(15,0,0),"GY",H215=TIME(8,30,0),"GY",H215=TIME(5,30,0),"GY",H215=TIME(6,0,0),"GD",H215=TIME(6,30,0),"GD",H215=TIME(8,0,0),"GY",H215=TIME(6,15,0),"GD"),"")</f>
        <v>GY</v>
      </c>
      <c r="EE215"/>
    </row>
    <row r="216" spans="1:135" x14ac:dyDescent="0.45">
      <c r="A216" s="3" t="s">
        <v>32</v>
      </c>
      <c r="B216" s="3" t="s">
        <v>3814</v>
      </c>
      <c r="C216" s="3" t="s">
        <v>4513</v>
      </c>
      <c r="D216" s="3" t="s">
        <v>4514</v>
      </c>
      <c r="E216" s="100" t="s">
        <v>3817</v>
      </c>
      <c r="F216" s="3" t="s">
        <v>4515</v>
      </c>
      <c r="G216" s="4">
        <v>46245</v>
      </c>
      <c r="H216" s="5">
        <v>0.35416666666666674</v>
      </c>
      <c r="I216" s="91">
        <v>46233</v>
      </c>
      <c r="J216" s="91"/>
      <c r="K216" s="91">
        <v>46232</v>
      </c>
      <c r="L216" s="3" t="s">
        <v>4516</v>
      </c>
      <c r="M216" s="3" t="s">
        <v>3819</v>
      </c>
      <c r="N216" s="3" t="s">
        <v>4517</v>
      </c>
      <c r="O216" t="s">
        <v>3867</v>
      </c>
      <c r="P216" s="3" t="s">
        <v>3822</v>
      </c>
      <c r="Q216">
        <v>46211</v>
      </c>
      <c r="R216" s="3">
        <v>726</v>
      </c>
      <c r="S216" s="3" t="s">
        <v>3823</v>
      </c>
      <c r="T216" s="3">
        <v>262</v>
      </c>
      <c r="U216" s="3" t="s">
        <v>4518</v>
      </c>
      <c r="V216" s="3" t="s">
        <v>4519</v>
      </c>
      <c r="W216" s="3">
        <v>4297.29</v>
      </c>
      <c r="X216" s="3">
        <v>46230</v>
      </c>
      <c r="Y216" s="3">
        <v>46228</v>
      </c>
      <c r="AA216" t="s">
        <v>3826</v>
      </c>
      <c r="AB216" t="s">
        <v>3827</v>
      </c>
      <c r="AC216" s="3" t="s">
        <v>4520</v>
      </c>
      <c r="AD216" t="s">
        <v>4521</v>
      </c>
      <c r="AE216" t="s">
        <v>4522</v>
      </c>
      <c r="AF216" t="s">
        <v>3831</v>
      </c>
      <c r="AG216" t="s">
        <v>3832</v>
      </c>
      <c r="AH216" t="s">
        <v>3833</v>
      </c>
      <c r="AI216" t="s">
        <v>3834</v>
      </c>
      <c r="AJ216" t="s">
        <v>3835</v>
      </c>
      <c r="AK216" t="s">
        <v>3832</v>
      </c>
      <c r="AM216" s="3" t="s">
        <v>4523</v>
      </c>
      <c r="AN216" s="3"/>
      <c r="AO216" s="3">
        <v>46233</v>
      </c>
      <c r="AP216" s="3"/>
      <c r="AQ216" s="3" t="s">
        <v>3837</v>
      </c>
      <c r="AR216" s="3" t="s">
        <v>3814</v>
      </c>
      <c r="AS216" s="3"/>
      <c r="AT216" s="3">
        <v>46246</v>
      </c>
      <c r="AU216" s="3">
        <v>46278</v>
      </c>
      <c r="AV216" s="3"/>
      <c r="AW216" t="s">
        <v>3839</v>
      </c>
      <c r="BC216" t="s">
        <v>32</v>
      </c>
      <c r="BD216" t="s">
        <v>3814</v>
      </c>
      <c r="BE216" t="s">
        <v>4513</v>
      </c>
      <c r="BF216" t="s">
        <v>4514</v>
      </c>
      <c r="BG216" t="s">
        <v>3817</v>
      </c>
      <c r="CW216" s="6" t="str" cm="1">
        <f t="array" ref="CW216">IFERROR(_xlfn.IFS(H216=TIME(7,0,0),"GY",H216=TIME(7,30,0),"GY",H216=TIME(9,0,0),"GY",H216=TIME(15,0,0),"GY",H216=TIME(8,30,0),"GY",H216=TIME(5,30,0),"GY",H216=TIME(6,0,0),"GD",H216=TIME(6,30,0),"GD",H216=TIME(8,0,0),"GY",H216=TIME(6,15,0),"GD"),"")</f>
        <v>GY</v>
      </c>
      <c r="EE216"/>
    </row>
    <row r="217" spans="1:135" x14ac:dyDescent="0.45">
      <c r="A217" s="14" t="s">
        <v>63</v>
      </c>
      <c r="B217" s="14" t="s">
        <v>3944</v>
      </c>
      <c r="C217" s="14" t="s">
        <v>4532</v>
      </c>
      <c r="D217" s="14" t="s">
        <v>4533</v>
      </c>
      <c r="E217" s="100" t="s">
        <v>3947</v>
      </c>
      <c r="F217" s="14" t="s">
        <v>4534</v>
      </c>
      <c r="G217" s="4">
        <v>46245</v>
      </c>
      <c r="H217" s="5">
        <v>0.27083333333333326</v>
      </c>
      <c r="I217" s="91">
        <v>46238</v>
      </c>
      <c r="J217" s="91">
        <v>46237</v>
      </c>
      <c r="K217" s="91">
        <v>46222</v>
      </c>
      <c r="L217" s="14" t="s">
        <v>4535</v>
      </c>
      <c r="M217" s="14" t="s">
        <v>3819</v>
      </c>
      <c r="N217" s="14" t="s">
        <v>4536</v>
      </c>
      <c r="O217" s="29" t="s">
        <v>3821</v>
      </c>
      <c r="P217" s="14" t="s">
        <v>3951</v>
      </c>
      <c r="Q217" s="29">
        <v>46203</v>
      </c>
      <c r="R217" s="14">
        <v>726</v>
      </c>
      <c r="S217" s="14" t="s">
        <v>3823</v>
      </c>
      <c r="T217" s="14">
        <v>12672</v>
      </c>
      <c r="U217" s="14" t="s">
        <v>4537</v>
      </c>
      <c r="V217" s="14" t="s">
        <v>4538</v>
      </c>
      <c r="W217" s="14">
        <v>2936.6990000000001</v>
      </c>
      <c r="X217" s="14">
        <v>46222</v>
      </c>
      <c r="Y217" s="14">
        <v>46220</v>
      </c>
      <c r="Z217" s="29"/>
      <c r="AA217" s="29" t="s">
        <v>3826</v>
      </c>
      <c r="AB217" s="29" t="s">
        <v>3827</v>
      </c>
      <c r="AC217" s="14" t="s">
        <v>4539</v>
      </c>
      <c r="AD217" s="29" t="s">
        <v>4034</v>
      </c>
      <c r="AE217" s="29" t="s">
        <v>4540</v>
      </c>
      <c r="AF217" s="29" t="s">
        <v>3831</v>
      </c>
      <c r="AG217" s="29" t="s">
        <v>3832</v>
      </c>
      <c r="AH217" s="29" t="s">
        <v>3908</v>
      </c>
      <c r="AI217" s="29" t="s">
        <v>3834</v>
      </c>
      <c r="AJ217" s="29" t="s">
        <v>3956</v>
      </c>
      <c r="AK217" s="29" t="s">
        <v>3832</v>
      </c>
      <c r="AL217" s="29"/>
      <c r="AM217" s="14" t="s">
        <v>4541</v>
      </c>
      <c r="AN217" s="14"/>
      <c r="AO217" s="14">
        <v>46237</v>
      </c>
      <c r="AP217" s="14" t="s">
        <v>3958</v>
      </c>
      <c r="AQ217" s="14" t="s">
        <v>3959</v>
      </c>
      <c r="AR217" s="14" t="s">
        <v>4542</v>
      </c>
      <c r="AS217" s="14" t="s">
        <v>3961</v>
      </c>
      <c r="AT217" s="14"/>
      <c r="AU217" s="14"/>
      <c r="AV217" s="14"/>
      <c r="AW217" s="29" t="s">
        <v>3839</v>
      </c>
      <c r="AX217" s="29"/>
      <c r="AY217" s="29"/>
      <c r="AZ217" s="29"/>
      <c r="BA217" s="29"/>
      <c r="BB217" s="29"/>
      <c r="BC217" s="29" t="s">
        <v>63</v>
      </c>
      <c r="BD217" s="29" t="s">
        <v>3944</v>
      </c>
      <c r="BE217" s="29" t="s">
        <v>4532</v>
      </c>
      <c r="BF217" s="29" t="s">
        <v>4533</v>
      </c>
      <c r="BG217" s="29" t="s">
        <v>3947</v>
      </c>
      <c r="BH217" s="29"/>
      <c r="BI217" s="29"/>
      <c r="BJ217" s="29"/>
      <c r="BK217" s="29"/>
      <c r="BL217" s="29"/>
      <c r="BM217" s="29"/>
      <c r="BN217" s="29"/>
      <c r="CW217" s="6" t="str" cm="1">
        <f t="array" ref="CW217">IFERROR(_xlfn.IFS(H217=TIME(7,0,0),"GY",H217=TIME(7,30,0),"GY",H217=TIME(9,0,0),"GY",H217=TIME(15,0,0),"GY",H217=TIME(8,30,0),"GY",H217=TIME(5,30,0),"GY",H217=TIME(6,0,0),"GD",H217=TIME(6,30,0),"GD",H217=TIME(8,0,0),"GY",H217=TIME(6,15,0),"GD"),"")</f>
        <v>GD</v>
      </c>
      <c r="EE217"/>
    </row>
    <row r="218" spans="1:135" x14ac:dyDescent="0.45">
      <c r="A218" s="3" t="s">
        <v>63</v>
      </c>
      <c r="B218" s="3" t="s">
        <v>3944</v>
      </c>
      <c r="C218" s="3" t="s">
        <v>4532</v>
      </c>
      <c r="D218" s="3" t="s">
        <v>4533</v>
      </c>
      <c r="E218" s="100" t="s">
        <v>3947</v>
      </c>
      <c r="F218" s="3" t="s">
        <v>4543</v>
      </c>
      <c r="G218" s="4">
        <v>46245</v>
      </c>
      <c r="H218" s="5">
        <v>0.27083333333333326</v>
      </c>
      <c r="I218" s="91">
        <v>46238</v>
      </c>
      <c r="J218" s="91">
        <v>46237</v>
      </c>
      <c r="K218" s="91">
        <v>46222</v>
      </c>
      <c r="L218" s="3" t="s">
        <v>4535</v>
      </c>
      <c r="M218" s="3" t="s">
        <v>3819</v>
      </c>
      <c r="N218" s="3" t="s">
        <v>4536</v>
      </c>
      <c r="O218" t="s">
        <v>3821</v>
      </c>
      <c r="P218" s="3" t="s">
        <v>3951</v>
      </c>
      <c r="Q218">
        <v>46203</v>
      </c>
      <c r="R218" s="3">
        <v>726</v>
      </c>
      <c r="S218" s="3" t="s">
        <v>3823</v>
      </c>
      <c r="T218" s="3">
        <v>11272</v>
      </c>
      <c r="U218" s="3" t="s">
        <v>4544</v>
      </c>
      <c r="V218" s="3" t="s">
        <v>4545</v>
      </c>
      <c r="W218" s="3">
        <v>2704.098</v>
      </c>
      <c r="X218" s="3">
        <v>46222</v>
      </c>
      <c r="Y218" s="3">
        <v>46220</v>
      </c>
      <c r="AA218" t="s">
        <v>3826</v>
      </c>
      <c r="AB218" t="s">
        <v>3827</v>
      </c>
      <c r="AC218" s="3" t="s">
        <v>4539</v>
      </c>
      <c r="AD218" t="s">
        <v>4034</v>
      </c>
      <c r="AE218" t="s">
        <v>4540</v>
      </c>
      <c r="AF218" t="s">
        <v>3831</v>
      </c>
      <c r="AG218" t="s">
        <v>3832</v>
      </c>
      <c r="AH218" t="s">
        <v>3908</v>
      </c>
      <c r="AI218" t="s">
        <v>3834</v>
      </c>
      <c r="AJ218" t="s">
        <v>3956</v>
      </c>
      <c r="AK218" t="s">
        <v>3832</v>
      </c>
      <c r="AM218" s="3" t="s">
        <v>4541</v>
      </c>
      <c r="AN218" s="3"/>
      <c r="AO218" s="3">
        <v>46237</v>
      </c>
      <c r="AP218" s="3" t="s">
        <v>3958</v>
      </c>
      <c r="AQ218" s="3" t="s">
        <v>3959</v>
      </c>
      <c r="AR218" s="3" t="s">
        <v>4542</v>
      </c>
      <c r="AS218" s="3" t="s">
        <v>3961</v>
      </c>
      <c r="AT218" s="3"/>
      <c r="AU218" s="3"/>
      <c r="AV218" s="3"/>
      <c r="AW218" t="s">
        <v>3839</v>
      </c>
      <c r="BC218" t="s">
        <v>63</v>
      </c>
      <c r="BD218" t="s">
        <v>3944</v>
      </c>
      <c r="BE218" t="s">
        <v>4532</v>
      </c>
      <c r="BF218" t="s">
        <v>4533</v>
      </c>
      <c r="BG218" t="s">
        <v>3947</v>
      </c>
      <c r="CW218" s="6" t="str" cm="1">
        <f t="array" ref="CW218">IFERROR(_xlfn.IFS(H218=TIME(7,0,0),"GY",H218=TIME(7,30,0),"GY",H218=TIME(9,0,0),"GY",H218=TIME(15,0,0),"GY",H218=TIME(8,30,0),"GY",H218=TIME(5,30,0),"GY",H218=TIME(6,0,0),"GD",H218=TIME(6,30,0),"GD",H218=TIME(8,0,0),"GY",H218=TIME(6,15,0),"GD"),"")</f>
        <v>GD</v>
      </c>
      <c r="EE218"/>
    </row>
    <row r="219" spans="1:135" x14ac:dyDescent="0.45">
      <c r="A219" s="3" t="s">
        <v>32</v>
      </c>
      <c r="B219" s="3" t="s">
        <v>3814</v>
      </c>
      <c r="C219" s="3" t="s">
        <v>4546</v>
      </c>
      <c r="D219" s="3" t="s">
        <v>4547</v>
      </c>
      <c r="E219" s="100" t="s">
        <v>3817</v>
      </c>
      <c r="F219" s="3" t="s">
        <v>4548</v>
      </c>
      <c r="G219" s="4">
        <v>46244</v>
      </c>
      <c r="H219" s="5">
        <v>0.35416666666666674</v>
      </c>
      <c r="I219" s="91">
        <v>46232</v>
      </c>
      <c r="J219" s="91"/>
      <c r="K219" s="91">
        <v>46232</v>
      </c>
      <c r="L219" s="3" t="s">
        <v>4549</v>
      </c>
      <c r="M219" s="3" t="s">
        <v>3819</v>
      </c>
      <c r="N219" s="3" t="s">
        <v>4550</v>
      </c>
      <c r="O219" t="s">
        <v>3867</v>
      </c>
      <c r="P219" s="3" t="s">
        <v>3822</v>
      </c>
      <c r="Q219">
        <v>46208</v>
      </c>
      <c r="R219" s="3">
        <v>726</v>
      </c>
      <c r="S219" s="3" t="s">
        <v>3823</v>
      </c>
      <c r="T219" s="3">
        <v>113</v>
      </c>
      <c r="U219" s="3" t="s">
        <v>4551</v>
      </c>
      <c r="V219" s="3" t="s">
        <v>4552</v>
      </c>
      <c r="W219" s="3">
        <v>2231.4</v>
      </c>
      <c r="X219" s="3">
        <v>46230</v>
      </c>
      <c r="Y219" s="3">
        <v>46228</v>
      </c>
      <c r="AA219" t="s">
        <v>3826</v>
      </c>
      <c r="AB219" t="s">
        <v>3827</v>
      </c>
      <c r="AC219" s="3" t="s">
        <v>4553</v>
      </c>
      <c r="AD219" t="s">
        <v>4521</v>
      </c>
      <c r="AE219" t="s">
        <v>4522</v>
      </c>
      <c r="AF219" t="s">
        <v>3831</v>
      </c>
      <c r="AG219" t="s">
        <v>3832</v>
      </c>
      <c r="AH219" t="s">
        <v>3833</v>
      </c>
      <c r="AI219" t="s">
        <v>3834</v>
      </c>
      <c r="AJ219" t="s">
        <v>3835</v>
      </c>
      <c r="AK219" t="s">
        <v>3832</v>
      </c>
      <c r="AM219" s="3" t="s">
        <v>4554</v>
      </c>
      <c r="AN219" s="3"/>
      <c r="AO219" s="3">
        <v>46232</v>
      </c>
      <c r="AP219" s="3"/>
      <c r="AQ219" s="3" t="s">
        <v>3837</v>
      </c>
      <c r="AR219" s="3" t="s">
        <v>3814</v>
      </c>
      <c r="AS219" s="3"/>
      <c r="AT219" s="3">
        <v>46246</v>
      </c>
      <c r="AU219" s="3">
        <v>46307</v>
      </c>
      <c r="AV219" s="3"/>
      <c r="AW219" t="s">
        <v>3839</v>
      </c>
      <c r="BC219" t="s">
        <v>32</v>
      </c>
      <c r="BD219" t="s">
        <v>3814</v>
      </c>
      <c r="BE219" t="s">
        <v>4546</v>
      </c>
      <c r="BF219" t="s">
        <v>4547</v>
      </c>
      <c r="BG219" t="s">
        <v>3817</v>
      </c>
      <c r="CW219" s="6" t="str" cm="1">
        <f t="array" ref="CW219">IFERROR(_xlfn.IFS(H219=TIME(7,0,0),"GY",H219=TIME(7,30,0),"GY",H219=TIME(9,0,0),"GY",H219=TIME(15,0,0),"GY",H219=TIME(8,30,0),"GY",H219=TIME(5,30,0),"GY",H219=TIME(6,0,0),"GD",H219=TIME(6,30,0),"GD",H219=TIME(8,0,0),"GY",H219=TIME(6,15,0),"GD"),"")</f>
        <v>GY</v>
      </c>
      <c r="EE219"/>
    </row>
    <row r="220" spans="1:135" x14ac:dyDescent="0.45">
      <c r="A220" s="3" t="s">
        <v>32</v>
      </c>
      <c r="B220" s="3" t="s">
        <v>3814</v>
      </c>
      <c r="C220" s="3" t="s">
        <v>4555</v>
      </c>
      <c r="D220" s="3" t="s">
        <v>4556</v>
      </c>
      <c r="E220" s="100" t="s">
        <v>3817</v>
      </c>
      <c r="F220" s="3" t="s">
        <v>4557</v>
      </c>
      <c r="G220" s="4">
        <v>46241</v>
      </c>
      <c r="H220" s="5">
        <v>0.35416666666666674</v>
      </c>
      <c r="I220" s="91">
        <v>46232</v>
      </c>
      <c r="J220" s="91"/>
      <c r="K220" s="91">
        <v>46231</v>
      </c>
      <c r="L220" s="3" t="s">
        <v>4558</v>
      </c>
      <c r="M220" s="3" t="s">
        <v>3819</v>
      </c>
      <c r="N220" s="3" t="s">
        <v>4559</v>
      </c>
      <c r="O220" t="s">
        <v>3821</v>
      </c>
      <c r="P220" s="3" t="s">
        <v>4251</v>
      </c>
      <c r="Q220">
        <v>46212</v>
      </c>
      <c r="R220" s="3">
        <v>726</v>
      </c>
      <c r="S220" s="3" t="s">
        <v>3823</v>
      </c>
      <c r="T220" s="3">
        <v>166</v>
      </c>
      <c r="U220" s="3" t="s">
        <v>4560</v>
      </c>
      <c r="V220" s="3" t="s">
        <v>4561</v>
      </c>
      <c r="W220" s="3">
        <v>3820.62</v>
      </c>
      <c r="X220" s="3">
        <v>46231</v>
      </c>
      <c r="Y220" s="3">
        <v>46229</v>
      </c>
      <c r="AA220" t="s">
        <v>3826</v>
      </c>
      <c r="AB220" t="s">
        <v>3827</v>
      </c>
      <c r="AC220" s="3" t="s">
        <v>4562</v>
      </c>
      <c r="AD220" t="s">
        <v>4563</v>
      </c>
      <c r="AE220" t="s">
        <v>4564</v>
      </c>
      <c r="AF220" t="s">
        <v>3831</v>
      </c>
      <c r="AG220" t="s">
        <v>3832</v>
      </c>
      <c r="AH220" t="s">
        <v>3908</v>
      </c>
      <c r="AI220" t="s">
        <v>3834</v>
      </c>
      <c r="AJ220" t="s">
        <v>3835</v>
      </c>
      <c r="AK220" t="s">
        <v>3832</v>
      </c>
      <c r="AM220" s="3" t="s">
        <v>4565</v>
      </c>
      <c r="AN220" s="3"/>
      <c r="AO220" s="3">
        <v>46231</v>
      </c>
      <c r="AP220" s="3"/>
      <c r="AQ220" s="3" t="s">
        <v>3837</v>
      </c>
      <c r="AR220" s="3" t="s">
        <v>3814</v>
      </c>
      <c r="AS220" s="3"/>
      <c r="AT220" s="3">
        <v>46245</v>
      </c>
      <c r="AU220" s="3">
        <v>46277</v>
      </c>
      <c r="AV220" s="3"/>
      <c r="AW220" t="s">
        <v>3839</v>
      </c>
      <c r="BC220" t="s">
        <v>32</v>
      </c>
      <c r="BD220" t="s">
        <v>3814</v>
      </c>
      <c r="BE220" t="s">
        <v>4555</v>
      </c>
      <c r="BF220" t="s">
        <v>4556</v>
      </c>
      <c r="BG220" t="s">
        <v>3817</v>
      </c>
      <c r="CW220" s="6" t="str" cm="1">
        <f t="array" ref="CW220">IFERROR(_xlfn.IFS(H220=TIME(7,0,0),"GY",H220=TIME(7,30,0),"GY",H220=TIME(9,0,0),"GY",H220=TIME(15,0,0),"GY",H220=TIME(8,30,0),"GY",H220=TIME(5,30,0),"GY",H220=TIME(6,0,0),"GD",H220=TIME(6,30,0),"GD",H220=TIME(8,0,0),"GY",H220=TIME(6,15,0),"GD"),"")</f>
        <v>GY</v>
      </c>
      <c r="EE220"/>
    </row>
    <row r="221" spans="1:135" x14ac:dyDescent="0.45">
      <c r="A221" s="3" t="s">
        <v>18</v>
      </c>
      <c r="B221" s="3" t="s">
        <v>0</v>
      </c>
      <c r="C221" s="3" t="s">
        <v>4575</v>
      </c>
      <c r="D221" s="3" t="s">
        <v>4576</v>
      </c>
      <c r="E221" s="100" t="s">
        <v>3817</v>
      </c>
      <c r="F221" s="3" t="s">
        <v>4577</v>
      </c>
      <c r="G221" s="4">
        <v>46240</v>
      </c>
      <c r="H221" s="5">
        <v>0.27083333333333326</v>
      </c>
      <c r="I221" s="91">
        <v>46234</v>
      </c>
      <c r="J221" s="91"/>
      <c r="K221" s="91">
        <v>46233</v>
      </c>
      <c r="L221" s="3" t="s">
        <v>4578</v>
      </c>
      <c r="M221" s="3" t="s">
        <v>3819</v>
      </c>
      <c r="N221" s="3" t="s">
        <v>4579</v>
      </c>
      <c r="O221" t="s">
        <v>3867</v>
      </c>
      <c r="P221" s="3"/>
      <c r="Q221">
        <v>46206</v>
      </c>
      <c r="R221" s="3">
        <v>726</v>
      </c>
      <c r="S221" s="3" t="s">
        <v>3823</v>
      </c>
      <c r="T221" s="3">
        <v>8117</v>
      </c>
      <c r="U221" s="3" t="s">
        <v>4580</v>
      </c>
      <c r="V221" s="3" t="s">
        <v>4581</v>
      </c>
      <c r="W221" s="3">
        <v>11171.324000000001</v>
      </c>
      <c r="X221" s="3">
        <v>46227</v>
      </c>
      <c r="Y221" s="3">
        <v>46225</v>
      </c>
      <c r="AA221" t="s">
        <v>3870</v>
      </c>
      <c r="AB221" t="s">
        <v>3871</v>
      </c>
      <c r="AC221" s="3" t="s">
        <v>4582</v>
      </c>
      <c r="AD221" t="s">
        <v>4583</v>
      </c>
      <c r="AE221" t="s">
        <v>4170</v>
      </c>
      <c r="AF221" t="s">
        <v>3831</v>
      </c>
      <c r="AG221" t="s">
        <v>3832</v>
      </c>
      <c r="AH221" t="s">
        <v>3875</v>
      </c>
      <c r="AI221" t="s">
        <v>3834</v>
      </c>
      <c r="AJ221" t="s">
        <v>3835</v>
      </c>
      <c r="AK221" t="s">
        <v>3832</v>
      </c>
      <c r="AM221" s="3" t="s">
        <v>4584</v>
      </c>
      <c r="AN221" s="3"/>
      <c r="AO221" s="3">
        <v>46234</v>
      </c>
      <c r="AP221" s="3"/>
      <c r="AQ221" s="3" t="s">
        <v>3877</v>
      </c>
      <c r="AR221" s="3"/>
      <c r="AS221" s="3"/>
      <c r="AT221" s="3">
        <v>46247</v>
      </c>
      <c r="AU221" s="3">
        <v>46279</v>
      </c>
      <c r="AV221" s="3"/>
      <c r="AW221" t="s">
        <v>3839</v>
      </c>
      <c r="BC221" t="s">
        <v>18</v>
      </c>
      <c r="BD221" t="s">
        <v>0</v>
      </c>
      <c r="BE221" t="s">
        <v>4575</v>
      </c>
      <c r="BF221" t="s">
        <v>4576</v>
      </c>
      <c r="BG221" t="s">
        <v>3817</v>
      </c>
      <c r="CW221" s="6" t="str" cm="1">
        <f t="array" ref="CW221">IFERROR(_xlfn.IFS(H221=TIME(7,0,0),"GY",H221=TIME(7,30,0),"GY",H221=TIME(9,0,0),"GY",H221=TIME(15,0,0),"GY",H221=TIME(8,30,0),"GY",H221=TIME(5,30,0),"GY",H221=TIME(6,0,0),"GD",H221=TIME(6,30,0),"GD",H221=TIME(8,0,0),"GY",H221=TIME(6,15,0),"GD"),"")</f>
        <v>GD</v>
      </c>
      <c r="EE221"/>
    </row>
    <row r="222" spans="1:135" x14ac:dyDescent="0.45">
      <c r="A222" s="3" t="s">
        <v>18</v>
      </c>
      <c r="B222" s="3" t="s">
        <v>0</v>
      </c>
      <c r="C222" s="3" t="s">
        <v>4575</v>
      </c>
      <c r="D222" s="3" t="s">
        <v>4576</v>
      </c>
      <c r="E222" s="100" t="s">
        <v>3817</v>
      </c>
      <c r="F222" s="3" t="s">
        <v>4585</v>
      </c>
      <c r="G222" s="4">
        <v>46240</v>
      </c>
      <c r="H222" s="5">
        <v>0.27083333333333326</v>
      </c>
      <c r="I222" s="91">
        <v>46234</v>
      </c>
      <c r="J222" s="91"/>
      <c r="K222" s="91">
        <v>46233</v>
      </c>
      <c r="L222" s="3" t="s">
        <v>4578</v>
      </c>
      <c r="M222" s="3" t="s">
        <v>3819</v>
      </c>
      <c r="N222" s="3" t="s">
        <v>4579</v>
      </c>
      <c r="O222" t="s">
        <v>3867</v>
      </c>
      <c r="P222" s="3"/>
      <c r="Q222">
        <v>46206</v>
      </c>
      <c r="R222" s="3">
        <v>726</v>
      </c>
      <c r="S222" s="3" t="s">
        <v>3823</v>
      </c>
      <c r="T222" s="3">
        <v>104</v>
      </c>
      <c r="U222" s="3" t="s">
        <v>4586</v>
      </c>
      <c r="V222" s="3" t="s">
        <v>4587</v>
      </c>
      <c r="W222" s="3">
        <v>351.10399999999998</v>
      </c>
      <c r="X222" s="3">
        <v>46227</v>
      </c>
      <c r="Y222" s="3">
        <v>46225</v>
      </c>
      <c r="AA222" t="s">
        <v>3870</v>
      </c>
      <c r="AB222" t="s">
        <v>3871</v>
      </c>
      <c r="AC222" s="3" t="s">
        <v>4582</v>
      </c>
      <c r="AD222" t="s">
        <v>4583</v>
      </c>
      <c r="AE222" t="s">
        <v>4170</v>
      </c>
      <c r="AF222" t="s">
        <v>3831</v>
      </c>
      <c r="AG222" t="s">
        <v>3832</v>
      </c>
      <c r="AH222" t="s">
        <v>3875</v>
      </c>
      <c r="AI222" t="s">
        <v>3834</v>
      </c>
      <c r="AJ222" t="s">
        <v>3835</v>
      </c>
      <c r="AK222" t="s">
        <v>3832</v>
      </c>
      <c r="AM222" s="3" t="s">
        <v>4584</v>
      </c>
      <c r="AN222" s="3"/>
      <c r="AO222" s="3">
        <v>46234</v>
      </c>
      <c r="AP222" s="3"/>
      <c r="AQ222" s="3" t="s">
        <v>3877</v>
      </c>
      <c r="AR222" s="3"/>
      <c r="AS222" s="3"/>
      <c r="AT222" s="3">
        <v>46247</v>
      </c>
      <c r="AU222" s="3">
        <v>46279</v>
      </c>
      <c r="AV222" s="3"/>
      <c r="AW222" t="s">
        <v>3839</v>
      </c>
      <c r="BC222" t="s">
        <v>18</v>
      </c>
      <c r="BD222" t="s">
        <v>0</v>
      </c>
      <c r="BE222" t="s">
        <v>4575</v>
      </c>
      <c r="BF222" t="s">
        <v>4576</v>
      </c>
      <c r="BG222" t="s">
        <v>3817</v>
      </c>
      <c r="CW222" s="6" t="str" cm="1">
        <f t="array" ref="CW222">IFERROR(_xlfn.IFS(H222=TIME(7,0,0),"GY",H222=TIME(7,30,0),"GY",H222=TIME(9,0,0),"GY",H222=TIME(15,0,0),"GY",H222=TIME(8,30,0),"GY",H222=TIME(5,30,0),"GY",H222=TIME(6,0,0),"GD",H222=TIME(6,30,0),"GD",H222=TIME(8,0,0),"GY",H222=TIME(6,15,0),"GD"),"")</f>
        <v>GD</v>
      </c>
      <c r="EE222"/>
    </row>
    <row r="223" spans="1:135" x14ac:dyDescent="0.45">
      <c r="A223" s="3" t="s">
        <v>18</v>
      </c>
      <c r="B223" s="3" t="s">
        <v>0</v>
      </c>
      <c r="C223" s="3" t="s">
        <v>4575</v>
      </c>
      <c r="D223" s="3" t="s">
        <v>4576</v>
      </c>
      <c r="E223" s="100" t="s">
        <v>3817</v>
      </c>
      <c r="F223" s="3" t="s">
        <v>4588</v>
      </c>
      <c r="G223" s="4">
        <v>46240</v>
      </c>
      <c r="H223" s="5">
        <v>0.27083333333333326</v>
      </c>
      <c r="I223" s="91">
        <v>46234</v>
      </c>
      <c r="J223" s="91"/>
      <c r="K223" s="91">
        <v>46233</v>
      </c>
      <c r="L223" s="3" t="s">
        <v>4578</v>
      </c>
      <c r="M223" s="3" t="s">
        <v>3819</v>
      </c>
      <c r="N223" s="3" t="s">
        <v>4579</v>
      </c>
      <c r="O223" t="s">
        <v>3867</v>
      </c>
      <c r="P223" s="3"/>
      <c r="Q223">
        <v>46206</v>
      </c>
      <c r="R223" s="3">
        <v>726</v>
      </c>
      <c r="S223" s="3" t="s">
        <v>3823</v>
      </c>
      <c r="T223" s="3">
        <v>158</v>
      </c>
      <c r="U223" s="3" t="s">
        <v>4589</v>
      </c>
      <c r="V223" s="3" t="s">
        <v>4590</v>
      </c>
      <c r="W223" s="3">
        <v>108.56</v>
      </c>
      <c r="X223" s="3">
        <v>46227</v>
      </c>
      <c r="Y223" s="3">
        <v>46225</v>
      </c>
      <c r="AA223" t="s">
        <v>3870</v>
      </c>
      <c r="AB223" t="s">
        <v>3871</v>
      </c>
      <c r="AC223" s="3" t="s">
        <v>4582</v>
      </c>
      <c r="AD223" t="s">
        <v>4583</v>
      </c>
      <c r="AE223" t="s">
        <v>4170</v>
      </c>
      <c r="AF223" t="s">
        <v>3831</v>
      </c>
      <c r="AG223" t="s">
        <v>3832</v>
      </c>
      <c r="AH223" t="s">
        <v>3875</v>
      </c>
      <c r="AI223" t="s">
        <v>3834</v>
      </c>
      <c r="AJ223" t="s">
        <v>3835</v>
      </c>
      <c r="AK223" t="s">
        <v>3832</v>
      </c>
      <c r="AM223" s="3" t="s">
        <v>4584</v>
      </c>
      <c r="AN223" s="3"/>
      <c r="AO223" s="3">
        <v>46234</v>
      </c>
      <c r="AP223" s="3"/>
      <c r="AQ223" s="3" t="s">
        <v>3877</v>
      </c>
      <c r="AR223" s="3"/>
      <c r="AS223" s="3"/>
      <c r="AT223" s="3">
        <v>46247</v>
      </c>
      <c r="AU223" s="3">
        <v>46279</v>
      </c>
      <c r="AV223" s="3"/>
      <c r="AW223" t="s">
        <v>3839</v>
      </c>
      <c r="BC223" t="s">
        <v>18</v>
      </c>
      <c r="BD223" t="s">
        <v>0</v>
      </c>
      <c r="BE223" t="s">
        <v>4575</v>
      </c>
      <c r="BF223" t="s">
        <v>4576</v>
      </c>
      <c r="BG223" t="s">
        <v>3817</v>
      </c>
      <c r="CW223" s="6" t="str" cm="1">
        <f t="array" ref="CW223">IFERROR(_xlfn.IFS(H223=TIME(7,0,0),"GY",H223=TIME(7,30,0),"GY",H223=TIME(9,0,0),"GY",H223=TIME(15,0,0),"GY",H223=TIME(8,30,0),"GY",H223=TIME(5,30,0),"GY",H223=TIME(6,0,0),"GD",H223=TIME(6,30,0),"GD",H223=TIME(8,0,0),"GY",H223=TIME(6,15,0),"GD"),"")</f>
        <v>GD</v>
      </c>
      <c r="EE223"/>
    </row>
    <row r="224" spans="1:135" x14ac:dyDescent="0.45">
      <c r="A224" s="14" t="s">
        <v>32</v>
      </c>
      <c r="B224" s="14" t="s">
        <v>3814</v>
      </c>
      <c r="C224" s="14" t="s">
        <v>4566</v>
      </c>
      <c r="D224" s="14" t="s">
        <v>4567</v>
      </c>
      <c r="E224" s="100" t="s">
        <v>3817</v>
      </c>
      <c r="F224" s="14" t="s">
        <v>4568</v>
      </c>
      <c r="G224" s="4">
        <v>46240</v>
      </c>
      <c r="H224" s="5">
        <v>0.35416666666666674</v>
      </c>
      <c r="I224" s="91">
        <v>46232</v>
      </c>
      <c r="J224" s="91"/>
      <c r="K224" s="91">
        <v>46231</v>
      </c>
      <c r="L224" s="14" t="s">
        <v>4569</v>
      </c>
      <c r="M224" s="14" t="s">
        <v>4006</v>
      </c>
      <c r="N224" s="14" t="s">
        <v>4570</v>
      </c>
      <c r="O224" s="29" t="s">
        <v>3867</v>
      </c>
      <c r="P224" s="14" t="s">
        <v>4008</v>
      </c>
      <c r="Q224" s="29">
        <v>46211</v>
      </c>
      <c r="R224" s="14">
        <v>726</v>
      </c>
      <c r="S224" s="14" t="s">
        <v>3823</v>
      </c>
      <c r="T224" s="14">
        <v>90</v>
      </c>
      <c r="U224" s="14" t="s">
        <v>4571</v>
      </c>
      <c r="V224" s="14" t="s">
        <v>4572</v>
      </c>
      <c r="W224" s="14">
        <v>2014.82</v>
      </c>
      <c r="X224" s="14">
        <v>46227</v>
      </c>
      <c r="Y224" s="14">
        <v>46229</v>
      </c>
      <c r="Z224" s="29"/>
      <c r="AA224" s="29" t="s">
        <v>3826</v>
      </c>
      <c r="AB224" s="29" t="s">
        <v>3827</v>
      </c>
      <c r="AC224" s="14" t="s">
        <v>4573</v>
      </c>
      <c r="AD224" s="29" t="s">
        <v>4563</v>
      </c>
      <c r="AE224" s="29" t="s">
        <v>4564</v>
      </c>
      <c r="AF224" s="29" t="s">
        <v>3831</v>
      </c>
      <c r="AG224" s="29" t="s">
        <v>3832</v>
      </c>
      <c r="AH224" s="29" t="s">
        <v>3908</v>
      </c>
      <c r="AI224" s="29" t="s">
        <v>3834</v>
      </c>
      <c r="AJ224" s="29" t="s">
        <v>3835</v>
      </c>
      <c r="AK224" s="29" t="s">
        <v>3832</v>
      </c>
      <c r="AL224" s="29"/>
      <c r="AM224" s="14" t="s">
        <v>4574</v>
      </c>
      <c r="AN224" s="14"/>
      <c r="AO224" s="14">
        <v>46231</v>
      </c>
      <c r="AP224" s="14"/>
      <c r="AQ224" s="14" t="s">
        <v>3837</v>
      </c>
      <c r="AR224" s="14" t="s">
        <v>3814</v>
      </c>
      <c r="AS224" s="14"/>
      <c r="AT224" s="14">
        <v>46245</v>
      </c>
      <c r="AU224" s="14">
        <v>46277</v>
      </c>
      <c r="AV224" s="14"/>
      <c r="AW224" s="29" t="s">
        <v>3839</v>
      </c>
      <c r="AX224" s="29"/>
      <c r="AY224" s="29"/>
      <c r="AZ224" s="29"/>
      <c r="BA224" s="29"/>
      <c r="BB224" s="29"/>
      <c r="BC224" s="29" t="s">
        <v>32</v>
      </c>
      <c r="BD224" s="29" t="s">
        <v>3814</v>
      </c>
      <c r="BE224" s="29" t="s">
        <v>4566</v>
      </c>
      <c r="BF224" s="29" t="s">
        <v>4567</v>
      </c>
      <c r="BG224" s="29" t="s">
        <v>3817</v>
      </c>
      <c r="BH224" s="29"/>
      <c r="BI224" s="29"/>
      <c r="BJ224" s="29"/>
      <c r="BK224" s="29"/>
      <c r="BL224" s="29"/>
      <c r="BM224" s="29"/>
      <c r="BN224" s="29"/>
      <c r="CW224" s="6" t="str" cm="1">
        <f t="array" ref="CW224">IFERROR(_xlfn.IFS(H224=TIME(7,0,0),"GY",H224=TIME(7,30,0),"GY",H224=TIME(9,0,0),"GY",H224=TIME(15,0,0),"GY",H224=TIME(8,30,0),"GY",H224=TIME(5,30,0),"GY",H224=TIME(6,0,0),"GD",H224=TIME(6,30,0),"GD",H224=TIME(8,0,0),"GY",H224=TIME(6,15,0),"GD"),"")</f>
        <v>GY</v>
      </c>
      <c r="EE224"/>
    </row>
    <row r="225" spans="1:135" x14ac:dyDescent="0.45">
      <c r="A225" s="3" t="s">
        <v>32</v>
      </c>
      <c r="B225" s="3" t="s">
        <v>3814</v>
      </c>
      <c r="C225" s="3" t="s">
        <v>4591</v>
      </c>
      <c r="D225" s="3" t="s">
        <v>4592</v>
      </c>
      <c r="E225" s="100" t="s">
        <v>3817</v>
      </c>
      <c r="F225" s="3" t="s">
        <v>4593</v>
      </c>
      <c r="G225" s="4">
        <v>46239</v>
      </c>
      <c r="H225" s="5">
        <v>0.35416666666666674</v>
      </c>
      <c r="I225" s="91">
        <v>46231</v>
      </c>
      <c r="J225" s="91"/>
      <c r="K225" s="91">
        <v>46231</v>
      </c>
      <c r="L225" s="3" t="s">
        <v>4594</v>
      </c>
      <c r="M225" s="3" t="s">
        <v>3966</v>
      </c>
      <c r="N225" s="3" t="s">
        <v>4595</v>
      </c>
      <c r="O225" t="s">
        <v>3821</v>
      </c>
      <c r="P225" s="3" t="s">
        <v>4008</v>
      </c>
      <c r="Q225">
        <v>46204</v>
      </c>
      <c r="R225" s="3">
        <v>726</v>
      </c>
      <c r="S225" s="3" t="s">
        <v>3823</v>
      </c>
      <c r="T225" s="3">
        <v>116</v>
      </c>
      <c r="U225" s="3" t="s">
        <v>4596</v>
      </c>
      <c r="V225" s="3" t="s">
        <v>4597</v>
      </c>
      <c r="W225" s="3">
        <v>1567.34</v>
      </c>
      <c r="X225" s="3">
        <v>46235</v>
      </c>
      <c r="Y225" s="3">
        <v>46220</v>
      </c>
      <c r="AA225" t="s">
        <v>3826</v>
      </c>
      <c r="AB225" t="s">
        <v>3827</v>
      </c>
      <c r="AC225" s="3" t="s">
        <v>4598</v>
      </c>
      <c r="AD225" t="s">
        <v>4599</v>
      </c>
      <c r="AE225" t="s">
        <v>4600</v>
      </c>
      <c r="AF225" t="s">
        <v>3831</v>
      </c>
      <c r="AG225" t="s">
        <v>3832</v>
      </c>
      <c r="AH225" t="s">
        <v>3908</v>
      </c>
      <c r="AI225" t="s">
        <v>3834</v>
      </c>
      <c r="AJ225" t="s">
        <v>3835</v>
      </c>
      <c r="AK225" t="s">
        <v>3832</v>
      </c>
      <c r="AM225" s="3" t="s">
        <v>4601</v>
      </c>
      <c r="AN225" s="3"/>
      <c r="AO225" s="3">
        <v>46231</v>
      </c>
      <c r="AP225" s="3"/>
      <c r="AQ225" s="3" t="s">
        <v>3837</v>
      </c>
      <c r="AR225" s="3" t="s">
        <v>3814</v>
      </c>
      <c r="AS225" s="3"/>
      <c r="AT225" s="3">
        <v>46245</v>
      </c>
      <c r="AU225" s="3">
        <v>46276</v>
      </c>
      <c r="AV225" s="3"/>
      <c r="AW225" t="s">
        <v>3839</v>
      </c>
      <c r="BC225" t="s">
        <v>32</v>
      </c>
      <c r="BD225" t="s">
        <v>3814</v>
      </c>
      <c r="BE225" t="s">
        <v>4591</v>
      </c>
      <c r="BF225" t="s">
        <v>4592</v>
      </c>
      <c r="BG225" t="s">
        <v>3817</v>
      </c>
      <c r="CW225" s="6" t="str" cm="1">
        <f t="array" ref="CW225">IFERROR(_xlfn.IFS(H225=TIME(7,0,0),"GY",H225=TIME(7,30,0),"GY",H225=TIME(9,0,0),"GY",H225=TIME(15,0,0),"GY",H225=TIME(8,30,0),"GY",H225=TIME(5,30,0),"GY",H225=TIME(6,0,0),"GD",H225=TIME(6,30,0),"GD",H225=TIME(8,0,0),"GY",H225=TIME(6,15,0),"GD"),"")</f>
        <v>GY</v>
      </c>
      <c r="EE225"/>
    </row>
    <row r="226" spans="1:135" x14ac:dyDescent="0.45">
      <c r="A226" s="3" t="s">
        <v>18</v>
      </c>
      <c r="B226" s="3" t="s">
        <v>3944</v>
      </c>
      <c r="C226" s="3" t="s">
        <v>4602</v>
      </c>
      <c r="D226" s="3" t="s">
        <v>4603</v>
      </c>
      <c r="E226" s="100" t="s">
        <v>3817</v>
      </c>
      <c r="F226" s="3" t="s">
        <v>4604</v>
      </c>
      <c r="G226" s="4">
        <v>46239</v>
      </c>
      <c r="H226" s="5">
        <v>0.27083333333333326</v>
      </c>
      <c r="I226" s="91">
        <v>46231</v>
      </c>
      <c r="J226" s="91"/>
      <c r="K226" s="91">
        <v>46215</v>
      </c>
      <c r="L226" s="3" t="s">
        <v>4605</v>
      </c>
      <c r="M226" s="3" t="s">
        <v>3819</v>
      </c>
      <c r="N226" s="3" t="s">
        <v>4606</v>
      </c>
      <c r="O226" t="s">
        <v>3867</v>
      </c>
      <c r="P226" s="3"/>
      <c r="Q226">
        <v>46203</v>
      </c>
      <c r="R226" s="3">
        <v>726</v>
      </c>
      <c r="S226" s="3" t="s">
        <v>3823</v>
      </c>
      <c r="T226" s="3">
        <v>12407</v>
      </c>
      <c r="U226" s="3" t="s">
        <v>4607</v>
      </c>
      <c r="V226" s="3" t="s">
        <v>4608</v>
      </c>
      <c r="W226" s="3">
        <v>5671.6080000000002</v>
      </c>
      <c r="X226" s="3">
        <v>46215</v>
      </c>
      <c r="Y226" s="3">
        <v>46213</v>
      </c>
      <c r="AA226" t="s">
        <v>3826</v>
      </c>
      <c r="AB226" t="s">
        <v>3827</v>
      </c>
      <c r="AC226" s="3" t="s">
        <v>4609</v>
      </c>
      <c r="AD226" t="s">
        <v>4610</v>
      </c>
      <c r="AE226" t="s">
        <v>4564</v>
      </c>
      <c r="AF226" t="s">
        <v>3831</v>
      </c>
      <c r="AG226" t="s">
        <v>3832</v>
      </c>
      <c r="AH226" t="s">
        <v>3908</v>
      </c>
      <c r="AI226" t="s">
        <v>3834</v>
      </c>
      <c r="AJ226" t="s">
        <v>3956</v>
      </c>
      <c r="AK226" t="s">
        <v>3832</v>
      </c>
      <c r="AM226" s="3" t="s">
        <v>4611</v>
      </c>
      <c r="AN226" s="3">
        <v>46212</v>
      </c>
      <c r="AO226" s="3">
        <v>46231</v>
      </c>
      <c r="AP226" s="3" t="s">
        <v>3958</v>
      </c>
      <c r="AQ226" s="3" t="s">
        <v>3959</v>
      </c>
      <c r="AR226" s="3" t="s">
        <v>4612</v>
      </c>
      <c r="AS226" s="3" t="s">
        <v>3961</v>
      </c>
      <c r="AT226" s="3"/>
      <c r="AU226" s="3"/>
      <c r="AV226" s="3"/>
      <c r="AW226" t="s">
        <v>3839</v>
      </c>
      <c r="BC226" t="s">
        <v>18</v>
      </c>
      <c r="BD226" t="s">
        <v>3944</v>
      </c>
      <c r="BE226" t="s">
        <v>4602</v>
      </c>
      <c r="BF226" t="s">
        <v>4603</v>
      </c>
      <c r="BG226" t="s">
        <v>3817</v>
      </c>
      <c r="CW226" s="6" t="str" cm="1">
        <f t="array" ref="CW226">IFERROR(_xlfn.IFS(H226=TIME(7,0,0),"GY",H226=TIME(7,30,0),"GY",H226=TIME(9,0,0),"GY",H226=TIME(15,0,0),"GY",H226=TIME(8,30,0),"GY",H226=TIME(5,30,0),"GY",H226=TIME(6,0,0),"GD",H226=TIME(6,30,0),"GD",H226=TIME(8,0,0),"GY",H226=TIME(6,15,0),"GD"),"")</f>
        <v>GD</v>
      </c>
      <c r="EE226"/>
    </row>
    <row r="227" spans="1:135" x14ac:dyDescent="0.45">
      <c r="A227" s="3" t="s">
        <v>18</v>
      </c>
      <c r="B227" s="3" t="s">
        <v>3944</v>
      </c>
      <c r="C227" s="3" t="s">
        <v>4602</v>
      </c>
      <c r="D227" s="3" t="s">
        <v>4603</v>
      </c>
      <c r="E227" s="100" t="s">
        <v>3817</v>
      </c>
      <c r="F227" s="3" t="s">
        <v>4613</v>
      </c>
      <c r="G227" s="4">
        <v>46239</v>
      </c>
      <c r="H227" s="5">
        <v>0.27083333333333326</v>
      </c>
      <c r="I227" s="91">
        <v>46231</v>
      </c>
      <c r="J227" s="91"/>
      <c r="K227" s="91">
        <v>46215</v>
      </c>
      <c r="L227" s="3" t="s">
        <v>4605</v>
      </c>
      <c r="M227" s="3" t="s">
        <v>3819</v>
      </c>
      <c r="N227" s="3" t="s">
        <v>4606</v>
      </c>
      <c r="O227" t="s">
        <v>3867</v>
      </c>
      <c r="P227" s="3"/>
      <c r="Q227">
        <v>46203</v>
      </c>
      <c r="R227" s="3">
        <v>726</v>
      </c>
      <c r="S227" s="3" t="s">
        <v>3823</v>
      </c>
      <c r="T227" s="3">
        <v>15656</v>
      </c>
      <c r="U227" s="3" t="s">
        <v>4614</v>
      </c>
      <c r="V227" s="3" t="s">
        <v>4615</v>
      </c>
      <c r="W227" s="3">
        <v>4905.7939999999999</v>
      </c>
      <c r="X227" s="3">
        <v>46215</v>
      </c>
      <c r="Y227" s="3">
        <v>46213</v>
      </c>
      <c r="AA227" t="s">
        <v>3826</v>
      </c>
      <c r="AB227" t="s">
        <v>3827</v>
      </c>
      <c r="AC227" s="3" t="s">
        <v>4609</v>
      </c>
      <c r="AD227" t="s">
        <v>4610</v>
      </c>
      <c r="AE227" t="s">
        <v>4564</v>
      </c>
      <c r="AF227" t="s">
        <v>3831</v>
      </c>
      <c r="AG227" t="s">
        <v>3832</v>
      </c>
      <c r="AH227" t="s">
        <v>3908</v>
      </c>
      <c r="AI227" t="s">
        <v>3834</v>
      </c>
      <c r="AJ227" t="s">
        <v>3956</v>
      </c>
      <c r="AK227" t="s">
        <v>3832</v>
      </c>
      <c r="AM227" s="3" t="s">
        <v>4611</v>
      </c>
      <c r="AN227" s="3">
        <v>46212</v>
      </c>
      <c r="AO227" s="3">
        <v>46231</v>
      </c>
      <c r="AP227" s="3" t="s">
        <v>3958</v>
      </c>
      <c r="AQ227" s="3" t="s">
        <v>3959</v>
      </c>
      <c r="AR227" s="3" t="s">
        <v>4612</v>
      </c>
      <c r="AS227" s="3" t="s">
        <v>3961</v>
      </c>
      <c r="AT227" s="3"/>
      <c r="AU227" s="3"/>
      <c r="AV227" s="3"/>
      <c r="AW227" t="s">
        <v>3839</v>
      </c>
      <c r="BC227" t="s">
        <v>18</v>
      </c>
      <c r="BD227" t="s">
        <v>3944</v>
      </c>
      <c r="BE227" t="s">
        <v>4602</v>
      </c>
      <c r="BF227" t="s">
        <v>4603</v>
      </c>
      <c r="BG227" t="s">
        <v>3817</v>
      </c>
      <c r="CW227" s="6" t="str" cm="1">
        <f t="array" ref="CW227">IFERROR(_xlfn.IFS(H227=TIME(7,0,0),"GY",H227=TIME(7,30,0),"GY",H227=TIME(9,0,0),"GY",H227=TIME(15,0,0),"GY",H227=TIME(8,30,0),"GY",H227=TIME(5,30,0),"GY",H227=TIME(6,0,0),"GD",H227=TIME(6,30,0),"GD",H227=TIME(8,0,0),"GY",H227=TIME(6,15,0),"GD"),"")</f>
        <v>GD</v>
      </c>
      <c r="EE227"/>
    </row>
    <row r="228" spans="1:135" x14ac:dyDescent="0.45">
      <c r="A228" s="3" t="s">
        <v>32</v>
      </c>
      <c r="B228" s="3" t="s">
        <v>3814</v>
      </c>
      <c r="C228" s="3" t="s">
        <v>4616</v>
      </c>
      <c r="D228" s="3" t="s">
        <v>4617</v>
      </c>
      <c r="E228" s="100" t="s">
        <v>3817</v>
      </c>
      <c r="F228" s="3" t="s">
        <v>4618</v>
      </c>
      <c r="G228" s="4">
        <v>46238</v>
      </c>
      <c r="H228" s="5">
        <v>0.35416666666666674</v>
      </c>
      <c r="I228" s="91">
        <v>46230</v>
      </c>
      <c r="J228" s="91"/>
      <c r="K228" s="91">
        <v>46230</v>
      </c>
      <c r="L228" s="3" t="s">
        <v>4619</v>
      </c>
      <c r="M228" s="3" t="s">
        <v>3819</v>
      </c>
      <c r="N228" s="3" t="s">
        <v>4620</v>
      </c>
      <c r="O228" t="s">
        <v>3821</v>
      </c>
      <c r="P228" s="3" t="s">
        <v>3822</v>
      </c>
      <c r="Q228">
        <v>46217</v>
      </c>
      <c r="R228" s="3">
        <v>726</v>
      </c>
      <c r="S228" s="3" t="s">
        <v>3823</v>
      </c>
      <c r="T228" s="3">
        <v>138</v>
      </c>
      <c r="U228" s="3" t="s">
        <v>4621</v>
      </c>
      <c r="V228" s="3" t="s">
        <v>4622</v>
      </c>
      <c r="W228" s="3">
        <v>2608.79</v>
      </c>
      <c r="X228" s="3">
        <v>46231</v>
      </c>
      <c r="Y228" s="3">
        <v>46229</v>
      </c>
      <c r="AA228" t="s">
        <v>3926</v>
      </c>
      <c r="AB228" t="s">
        <v>3927</v>
      </c>
      <c r="AC228" s="3" t="s">
        <v>4623</v>
      </c>
      <c r="AD228" t="s">
        <v>4421</v>
      </c>
      <c r="AE228" t="s">
        <v>4624</v>
      </c>
      <c r="AF228" t="s">
        <v>3831</v>
      </c>
      <c r="AG228" t="s">
        <v>3832</v>
      </c>
      <c r="AH228" t="s">
        <v>3833</v>
      </c>
      <c r="AI228" t="s">
        <v>3834</v>
      </c>
      <c r="AJ228" t="s">
        <v>3835</v>
      </c>
      <c r="AK228" t="s">
        <v>3832</v>
      </c>
      <c r="AM228" s="3" t="s">
        <v>4625</v>
      </c>
      <c r="AN228" s="3"/>
      <c r="AO228" s="3">
        <v>46230</v>
      </c>
      <c r="AP228" s="3"/>
      <c r="AQ228" s="3" t="s">
        <v>4424</v>
      </c>
      <c r="AR228" s="3" t="s">
        <v>3814</v>
      </c>
      <c r="AS228" s="3"/>
      <c r="AT228" s="3">
        <v>46244</v>
      </c>
      <c r="AU228" s="3">
        <v>46305</v>
      </c>
      <c r="AV228" s="3"/>
      <c r="AW228" t="s">
        <v>3839</v>
      </c>
      <c r="BC228" t="s">
        <v>32</v>
      </c>
      <c r="BD228" t="s">
        <v>3814</v>
      </c>
      <c r="BE228" t="s">
        <v>4616</v>
      </c>
      <c r="BF228" t="s">
        <v>4617</v>
      </c>
      <c r="BG228" t="s">
        <v>3817</v>
      </c>
      <c r="CW228" s="6" t="str" cm="1">
        <f t="array" ref="CW228">IFERROR(_xlfn.IFS(H228=TIME(7,0,0),"GY",H228=TIME(7,30,0),"GY",H228=TIME(9,0,0),"GY",H228=TIME(15,0,0),"GY",H228=TIME(8,30,0),"GY",H228=TIME(5,30,0),"GY",H228=TIME(6,0,0),"GD",H228=TIME(6,30,0),"GD",H228=TIME(8,0,0),"GY",H228=TIME(6,15,0),"GD"),"")</f>
        <v>GY</v>
      </c>
      <c r="EE228"/>
    </row>
    <row r="229" spans="1:135" x14ac:dyDescent="0.45">
      <c r="A229" s="3" t="s">
        <v>63</v>
      </c>
      <c r="B229" s="3" t="s">
        <v>3944</v>
      </c>
      <c r="C229" s="3" t="s">
        <v>4626</v>
      </c>
      <c r="D229" s="3" t="s">
        <v>4627</v>
      </c>
      <c r="E229" s="100" t="s">
        <v>3947</v>
      </c>
      <c r="F229" s="3" t="s">
        <v>4628</v>
      </c>
      <c r="G229" s="4">
        <v>46238</v>
      </c>
      <c r="H229" s="5">
        <v>0.27083333333333326</v>
      </c>
      <c r="I229" s="91">
        <v>46231</v>
      </c>
      <c r="J229" s="91"/>
      <c r="K229" s="91">
        <v>46214</v>
      </c>
      <c r="L229" s="3" t="s">
        <v>4629</v>
      </c>
      <c r="M229" s="3" t="s">
        <v>3819</v>
      </c>
      <c r="N229" s="3" t="s">
        <v>4630</v>
      </c>
      <c r="O229" t="s">
        <v>3867</v>
      </c>
      <c r="P229" s="3" t="s">
        <v>3951</v>
      </c>
      <c r="Q229">
        <v>46188</v>
      </c>
      <c r="R229" s="3">
        <v>726</v>
      </c>
      <c r="S229" s="3" t="s">
        <v>3823</v>
      </c>
      <c r="T229" s="3">
        <v>13659</v>
      </c>
      <c r="U229" s="3" t="s">
        <v>4631</v>
      </c>
      <c r="V229" s="3" t="s">
        <v>4632</v>
      </c>
      <c r="W229" s="3">
        <v>2929.3989999999999</v>
      </c>
      <c r="X229" s="3">
        <v>46209</v>
      </c>
      <c r="Y229" s="3">
        <v>46206</v>
      </c>
      <c r="AA229" t="s">
        <v>3826</v>
      </c>
      <c r="AB229" t="s">
        <v>3827</v>
      </c>
      <c r="AC229" s="3" t="s">
        <v>4633</v>
      </c>
      <c r="AD229" t="s">
        <v>4634</v>
      </c>
      <c r="AE229" t="s">
        <v>4600</v>
      </c>
      <c r="AF229" t="s">
        <v>3831</v>
      </c>
      <c r="AG229" t="s">
        <v>3832</v>
      </c>
      <c r="AH229" t="s">
        <v>3908</v>
      </c>
      <c r="AI229" t="s">
        <v>3834</v>
      </c>
      <c r="AJ229" t="s">
        <v>3956</v>
      </c>
      <c r="AK229" t="s">
        <v>3832</v>
      </c>
      <c r="AM229" s="3" t="s">
        <v>4635</v>
      </c>
      <c r="AN229" s="3">
        <v>46212</v>
      </c>
      <c r="AO229" s="3">
        <v>46231</v>
      </c>
      <c r="AP229" s="3" t="s">
        <v>3958</v>
      </c>
      <c r="AQ229" s="3" t="s">
        <v>3959</v>
      </c>
      <c r="AR229" s="3" t="s">
        <v>4636</v>
      </c>
      <c r="AS229" s="3" t="s">
        <v>3961</v>
      </c>
      <c r="AT229" s="3"/>
      <c r="AU229" s="3"/>
      <c r="AV229" s="3"/>
      <c r="AW229" t="s">
        <v>3839</v>
      </c>
      <c r="BC229" t="s">
        <v>63</v>
      </c>
      <c r="BD229" t="s">
        <v>3944</v>
      </c>
      <c r="BE229" t="s">
        <v>4626</v>
      </c>
      <c r="BF229" t="s">
        <v>4627</v>
      </c>
      <c r="BG229" t="s">
        <v>3947</v>
      </c>
      <c r="CW229" s="6" t="str" cm="1">
        <f t="array" ref="CW229">IFERROR(_xlfn.IFS(H229=TIME(7,0,0),"GY",H229=TIME(7,30,0),"GY",H229=TIME(9,0,0),"GY",H229=TIME(15,0,0),"GY",H229=TIME(8,30,0),"GY",H229=TIME(5,30,0),"GY",H229=TIME(6,0,0),"GD",H229=TIME(6,30,0),"GD",H229=TIME(8,0,0),"GY",H229=TIME(6,15,0),"GD"),"")</f>
        <v>GD</v>
      </c>
      <c r="EE229"/>
    </row>
    <row r="230" spans="1:135" x14ac:dyDescent="0.45">
      <c r="A230" s="3" t="s">
        <v>63</v>
      </c>
      <c r="B230" s="3" t="s">
        <v>3944</v>
      </c>
      <c r="C230" s="3" t="s">
        <v>4626</v>
      </c>
      <c r="D230" s="3" t="s">
        <v>4627</v>
      </c>
      <c r="E230" s="100" t="s">
        <v>3947</v>
      </c>
      <c r="F230" s="3" t="s">
        <v>4637</v>
      </c>
      <c r="G230" s="4">
        <v>46238</v>
      </c>
      <c r="H230" s="5">
        <v>0.27083333333333326</v>
      </c>
      <c r="I230" s="91">
        <v>46231</v>
      </c>
      <c r="J230" s="91"/>
      <c r="K230" s="91">
        <v>46214</v>
      </c>
      <c r="L230" s="3" t="s">
        <v>4629</v>
      </c>
      <c r="M230" s="3" t="s">
        <v>3819</v>
      </c>
      <c r="N230" s="3" t="s">
        <v>4630</v>
      </c>
      <c r="O230" t="s">
        <v>3867</v>
      </c>
      <c r="P230" s="3" t="s">
        <v>3951</v>
      </c>
      <c r="Q230">
        <v>46188</v>
      </c>
      <c r="R230" s="3">
        <v>726</v>
      </c>
      <c r="S230" s="3" t="s">
        <v>3823</v>
      </c>
      <c r="T230" s="3">
        <v>8900</v>
      </c>
      <c r="U230" s="3" t="s">
        <v>4638</v>
      </c>
      <c r="V230" s="3" t="s">
        <v>4639</v>
      </c>
      <c r="W230" s="3">
        <v>2333.9540000000002</v>
      </c>
      <c r="X230" s="3">
        <v>46209</v>
      </c>
      <c r="Y230" s="3">
        <v>46206</v>
      </c>
      <c r="AA230" t="s">
        <v>3826</v>
      </c>
      <c r="AB230" t="s">
        <v>3827</v>
      </c>
      <c r="AC230" s="3" t="s">
        <v>4633</v>
      </c>
      <c r="AD230" t="s">
        <v>4634</v>
      </c>
      <c r="AE230" t="s">
        <v>4600</v>
      </c>
      <c r="AF230" t="s">
        <v>3831</v>
      </c>
      <c r="AG230" t="s">
        <v>3832</v>
      </c>
      <c r="AH230" t="s">
        <v>3908</v>
      </c>
      <c r="AI230" t="s">
        <v>3834</v>
      </c>
      <c r="AJ230" t="s">
        <v>3956</v>
      </c>
      <c r="AK230" t="s">
        <v>3832</v>
      </c>
      <c r="AM230" s="3" t="s">
        <v>4635</v>
      </c>
      <c r="AN230" s="3">
        <v>46212</v>
      </c>
      <c r="AO230" s="3">
        <v>46231</v>
      </c>
      <c r="AP230" s="3" t="s">
        <v>3958</v>
      </c>
      <c r="AQ230" s="3" t="s">
        <v>3959</v>
      </c>
      <c r="AR230" s="3" t="s">
        <v>4636</v>
      </c>
      <c r="AS230" s="3" t="s">
        <v>3961</v>
      </c>
      <c r="AT230" s="3"/>
      <c r="AU230" s="3"/>
      <c r="AV230" s="3"/>
      <c r="AW230" t="s">
        <v>3839</v>
      </c>
      <c r="BC230" t="s">
        <v>63</v>
      </c>
      <c r="BD230" t="s">
        <v>3944</v>
      </c>
      <c r="BE230" t="s">
        <v>4626</v>
      </c>
      <c r="BF230" t="s">
        <v>4627</v>
      </c>
      <c r="BG230" t="s">
        <v>3947</v>
      </c>
      <c r="CW230" s="6" t="str" cm="1">
        <f t="array" ref="CW230">IFERROR(_xlfn.IFS(H230=TIME(7,0,0),"GY",H230=TIME(7,30,0),"GY",H230=TIME(9,0,0),"GY",H230=TIME(15,0,0),"GY",H230=TIME(8,30,0),"GY",H230=TIME(5,30,0),"GY",H230=TIME(6,0,0),"GD",H230=TIME(6,30,0),"GD",H230=TIME(8,0,0),"GY",H230=TIME(6,15,0),"GD"),"")</f>
        <v>GD</v>
      </c>
      <c r="EE230"/>
    </row>
    <row r="231" spans="1:135" x14ac:dyDescent="0.45">
      <c r="A231" s="3" t="s">
        <v>18</v>
      </c>
      <c r="B231" s="3" t="s">
        <v>0</v>
      </c>
      <c r="C231" s="3" t="s">
        <v>4651</v>
      </c>
      <c r="D231" s="3" t="s">
        <v>4652</v>
      </c>
      <c r="E231" s="100" t="s">
        <v>3817</v>
      </c>
      <c r="F231" s="3" t="s">
        <v>4653</v>
      </c>
      <c r="G231" s="4">
        <v>46237</v>
      </c>
      <c r="H231" s="5">
        <v>0.27083333333333326</v>
      </c>
      <c r="I231" s="91">
        <v>46232</v>
      </c>
      <c r="J231" s="91"/>
      <c r="K231" s="91">
        <v>46231</v>
      </c>
      <c r="L231" s="3" t="s">
        <v>4654</v>
      </c>
      <c r="M231" s="3" t="s">
        <v>3819</v>
      </c>
      <c r="N231" s="3" t="s">
        <v>4655</v>
      </c>
      <c r="O231" t="s">
        <v>3821</v>
      </c>
      <c r="P231" s="3"/>
      <c r="Q231">
        <v>46209</v>
      </c>
      <c r="R231" s="3">
        <v>726</v>
      </c>
      <c r="S231" s="3" t="s">
        <v>3823</v>
      </c>
      <c r="T231" s="3">
        <v>4424</v>
      </c>
      <c r="U231" s="3" t="s">
        <v>4656</v>
      </c>
      <c r="V231" s="3" t="s">
        <v>4657</v>
      </c>
      <c r="W231" s="3">
        <v>8068.4530000000004</v>
      </c>
      <c r="X231" s="3">
        <v>46222</v>
      </c>
      <c r="Y231" s="3">
        <v>46220</v>
      </c>
      <c r="AA231" t="s">
        <v>3826</v>
      </c>
      <c r="AB231" t="s">
        <v>3827</v>
      </c>
      <c r="AC231" s="3" t="s">
        <v>4658</v>
      </c>
      <c r="AD231" t="s">
        <v>4599</v>
      </c>
      <c r="AE231" t="s">
        <v>4600</v>
      </c>
      <c r="AF231" t="s">
        <v>3831</v>
      </c>
      <c r="AG231" t="s">
        <v>3832</v>
      </c>
      <c r="AH231" t="s">
        <v>3908</v>
      </c>
      <c r="AI231" t="s">
        <v>3834</v>
      </c>
      <c r="AJ231" t="s">
        <v>3835</v>
      </c>
      <c r="AK231" t="s">
        <v>3832</v>
      </c>
      <c r="AM231" s="3" t="s">
        <v>4659</v>
      </c>
      <c r="AN231" s="3"/>
      <c r="AO231" s="3">
        <v>46232</v>
      </c>
      <c r="AP231" s="3"/>
      <c r="AQ231" s="3" t="s">
        <v>3837</v>
      </c>
      <c r="AR231" s="3"/>
      <c r="AS231" s="3"/>
      <c r="AT231" s="3">
        <v>46245</v>
      </c>
      <c r="AU231" s="3">
        <v>46307</v>
      </c>
      <c r="AV231" s="3"/>
      <c r="AW231" t="s">
        <v>3839</v>
      </c>
      <c r="BC231" t="s">
        <v>18</v>
      </c>
      <c r="BD231" t="s">
        <v>0</v>
      </c>
      <c r="BE231" t="s">
        <v>4651</v>
      </c>
      <c r="BF231" t="s">
        <v>4652</v>
      </c>
      <c r="BG231" t="s">
        <v>3817</v>
      </c>
      <c r="CW231" s="6" t="str" cm="1">
        <f t="array" ref="CW231">IFERROR(_xlfn.IFS(H231=TIME(7,0,0),"GY",H231=TIME(7,30,0),"GY",H231=TIME(9,0,0),"GY",H231=TIME(15,0,0),"GY",H231=TIME(8,30,0),"GY",H231=TIME(5,30,0),"GY",H231=TIME(6,0,0),"GD",H231=TIME(6,30,0),"GD",H231=TIME(8,0,0),"GY",H231=TIME(6,15,0),"GD"),"")</f>
        <v>GD</v>
      </c>
      <c r="EE231"/>
    </row>
    <row r="232" spans="1:135" x14ac:dyDescent="0.45">
      <c r="A232" s="3" t="s">
        <v>18</v>
      </c>
      <c r="B232" s="3" t="s">
        <v>0</v>
      </c>
      <c r="C232" s="3" t="s">
        <v>4651</v>
      </c>
      <c r="D232" s="3" t="s">
        <v>4652</v>
      </c>
      <c r="E232" s="100" t="s">
        <v>3817</v>
      </c>
      <c r="F232" s="3" t="s">
        <v>4660</v>
      </c>
      <c r="G232" s="4">
        <v>46237</v>
      </c>
      <c r="H232" s="5">
        <v>0.27083333333333326</v>
      </c>
      <c r="I232" s="91">
        <v>46232</v>
      </c>
      <c r="J232" s="91"/>
      <c r="K232" s="91">
        <v>46231</v>
      </c>
      <c r="L232" s="3" t="s">
        <v>4654</v>
      </c>
      <c r="M232" s="3" t="s">
        <v>3819</v>
      </c>
      <c r="N232" s="3" t="s">
        <v>4655</v>
      </c>
      <c r="O232" t="s">
        <v>3821</v>
      </c>
      <c r="P232" s="3"/>
      <c r="Q232">
        <v>46209</v>
      </c>
      <c r="R232" s="3">
        <v>726</v>
      </c>
      <c r="S232" s="3" t="s">
        <v>3823</v>
      </c>
      <c r="T232" s="3">
        <v>3028</v>
      </c>
      <c r="U232" s="3" t="s">
        <v>4661</v>
      </c>
      <c r="V232" s="3" t="s">
        <v>4662</v>
      </c>
      <c r="W232" s="3">
        <v>1632.4760000000001</v>
      </c>
      <c r="X232" s="3">
        <v>46222</v>
      </c>
      <c r="Y232" s="3">
        <v>46220</v>
      </c>
      <c r="AA232" t="s">
        <v>3826</v>
      </c>
      <c r="AB232" t="s">
        <v>3827</v>
      </c>
      <c r="AC232" s="3" t="s">
        <v>4658</v>
      </c>
      <c r="AD232" t="s">
        <v>4599</v>
      </c>
      <c r="AE232" t="s">
        <v>4600</v>
      </c>
      <c r="AF232" t="s">
        <v>3831</v>
      </c>
      <c r="AG232" t="s">
        <v>3832</v>
      </c>
      <c r="AH232" t="s">
        <v>3908</v>
      </c>
      <c r="AI232" t="s">
        <v>3834</v>
      </c>
      <c r="AJ232" t="s">
        <v>3835</v>
      </c>
      <c r="AK232" t="s">
        <v>3832</v>
      </c>
      <c r="AM232" s="3" t="s">
        <v>4659</v>
      </c>
      <c r="AN232" s="3"/>
      <c r="AO232" s="3">
        <v>46232</v>
      </c>
      <c r="AP232" s="3"/>
      <c r="AQ232" s="3" t="s">
        <v>3837</v>
      </c>
      <c r="AR232" s="3"/>
      <c r="AS232" s="3"/>
      <c r="AT232" s="3">
        <v>46245</v>
      </c>
      <c r="AU232" s="3">
        <v>46307</v>
      </c>
      <c r="AV232" s="3"/>
      <c r="AW232" t="s">
        <v>3839</v>
      </c>
      <c r="BC232" t="s">
        <v>18</v>
      </c>
      <c r="BD232" t="s">
        <v>0</v>
      </c>
      <c r="BE232" t="s">
        <v>4651</v>
      </c>
      <c r="BF232" t="s">
        <v>4652</v>
      </c>
      <c r="BG232" t="s">
        <v>3817</v>
      </c>
      <c r="CW232" s="6" t="str" cm="1">
        <f t="array" ref="CW232">IFERROR(_xlfn.IFS(H232=TIME(7,0,0),"GY",H232=TIME(7,30,0),"GY",H232=TIME(9,0,0),"GY",H232=TIME(15,0,0),"GY",H232=TIME(8,30,0),"GY",H232=TIME(5,30,0),"GY",H232=TIME(6,0,0),"GD",H232=TIME(6,30,0),"GD",H232=TIME(8,0,0),"GY",H232=TIME(6,15,0),"GD"),"")</f>
        <v>GD</v>
      </c>
      <c r="EE232"/>
    </row>
    <row r="233" spans="1:135" x14ac:dyDescent="0.45">
      <c r="A233" s="3" t="s">
        <v>32</v>
      </c>
      <c r="B233" s="3" t="s">
        <v>3814</v>
      </c>
      <c r="C233" s="3" t="s">
        <v>4640</v>
      </c>
      <c r="D233" s="3" t="s">
        <v>4641</v>
      </c>
      <c r="E233" s="100" t="s">
        <v>3817</v>
      </c>
      <c r="F233" s="3" t="s">
        <v>4642</v>
      </c>
      <c r="G233" s="4">
        <v>46237</v>
      </c>
      <c r="H233" s="5">
        <v>0.25</v>
      </c>
      <c r="I233" s="91">
        <v>46230</v>
      </c>
      <c r="J233" s="91"/>
      <c r="K233" s="91">
        <v>46228</v>
      </c>
      <c r="L233" s="3" t="s">
        <v>4643</v>
      </c>
      <c r="M233" s="3" t="s">
        <v>3819</v>
      </c>
      <c r="N233" s="3" t="s">
        <v>4644</v>
      </c>
      <c r="O233" t="s">
        <v>3867</v>
      </c>
      <c r="P233" s="3" t="s">
        <v>4645</v>
      </c>
      <c r="Q233">
        <v>46211</v>
      </c>
      <c r="R233" s="3">
        <v>726</v>
      </c>
      <c r="S233" s="3" t="s">
        <v>3823</v>
      </c>
      <c r="T233" s="3">
        <v>8430</v>
      </c>
      <c r="U233" s="3" t="s">
        <v>4646</v>
      </c>
      <c r="V233" s="3" t="s">
        <v>4647</v>
      </c>
      <c r="W233" s="3">
        <v>3218.44</v>
      </c>
      <c r="X233" s="3">
        <v>46224</v>
      </c>
      <c r="Y233" s="3">
        <v>46225</v>
      </c>
      <c r="AA233" t="s">
        <v>3826</v>
      </c>
      <c r="AB233" t="s">
        <v>3827</v>
      </c>
      <c r="AC233" s="3" t="s">
        <v>4648</v>
      </c>
      <c r="AD233" t="s">
        <v>4649</v>
      </c>
      <c r="AE233" t="s">
        <v>4540</v>
      </c>
      <c r="AF233" t="s">
        <v>3831</v>
      </c>
      <c r="AG233" t="s">
        <v>3832</v>
      </c>
      <c r="AH233" t="s">
        <v>4132</v>
      </c>
      <c r="AI233" t="s">
        <v>3834</v>
      </c>
      <c r="AJ233" t="s">
        <v>3835</v>
      </c>
      <c r="AK233" t="s">
        <v>3832</v>
      </c>
      <c r="AM233" s="3" t="s">
        <v>4650</v>
      </c>
      <c r="AN233" s="3"/>
      <c r="AO233" s="3">
        <v>46230</v>
      </c>
      <c r="AP233" s="3"/>
      <c r="AQ233" s="3" t="s">
        <v>3837</v>
      </c>
      <c r="AR233" s="3"/>
      <c r="AS233" s="3"/>
      <c r="AT233" s="3">
        <v>46242</v>
      </c>
      <c r="AU233" s="3">
        <v>46275</v>
      </c>
      <c r="AV233" s="3"/>
      <c r="AW233" t="s">
        <v>3839</v>
      </c>
      <c r="BC233" t="s">
        <v>32</v>
      </c>
      <c r="BD233" t="s">
        <v>3814</v>
      </c>
      <c r="BE233" t="s">
        <v>4640</v>
      </c>
      <c r="BF233" t="s">
        <v>4641</v>
      </c>
      <c r="BG233" t="s">
        <v>3817</v>
      </c>
      <c r="CW233" s="6" t="str" cm="1">
        <f t="array" ref="CW233">IFERROR(_xlfn.IFS(H233=TIME(7,0,0),"GY",H233=TIME(7,30,0),"GY",H233=TIME(9,0,0),"GY",H233=TIME(15,0,0),"GY",H233=TIME(8,30,0),"GY",H233=TIME(5,30,0),"GY",H233=TIME(6,0,0),"GD",H233=TIME(6,30,0),"GD",H233=TIME(8,0,0),"GY",H233=TIME(6,15,0),"GD"),"")</f>
        <v>GD</v>
      </c>
      <c r="EE233"/>
    </row>
    <row r="234" spans="1:135" x14ac:dyDescent="0.45">
      <c r="A234" s="3" t="s">
        <v>32</v>
      </c>
      <c r="B234" s="3" t="s">
        <v>3814</v>
      </c>
      <c r="C234" s="3" t="s">
        <v>4663</v>
      </c>
      <c r="D234" s="3" t="s">
        <v>4664</v>
      </c>
      <c r="E234" s="100" t="s">
        <v>3817</v>
      </c>
      <c r="F234" s="3" t="s">
        <v>4665</v>
      </c>
      <c r="G234" s="4">
        <v>46236</v>
      </c>
      <c r="H234" s="5">
        <v>0.35416666666666674</v>
      </c>
      <c r="I234" s="91">
        <v>46224</v>
      </c>
      <c r="J234" s="91"/>
      <c r="K234" s="91">
        <v>46224</v>
      </c>
      <c r="L234" s="3" t="s">
        <v>4666</v>
      </c>
      <c r="M234" s="3" t="s">
        <v>3819</v>
      </c>
      <c r="N234" s="3" t="s">
        <v>4667</v>
      </c>
      <c r="O234" t="s">
        <v>3867</v>
      </c>
      <c r="P234" s="3" t="s">
        <v>4030</v>
      </c>
      <c r="Q234">
        <v>46196</v>
      </c>
      <c r="R234" s="3">
        <v>726</v>
      </c>
      <c r="S234" s="3" t="s">
        <v>3823</v>
      </c>
      <c r="T234" s="3">
        <v>282</v>
      </c>
      <c r="U234" s="3" t="s">
        <v>4668</v>
      </c>
      <c r="V234" s="3" t="s">
        <v>4669</v>
      </c>
      <c r="W234" s="3">
        <v>4431.1000000000004</v>
      </c>
      <c r="X234" s="3">
        <v>46232</v>
      </c>
      <c r="Y234" s="3">
        <v>46216</v>
      </c>
      <c r="AA234" t="s">
        <v>3870</v>
      </c>
      <c r="AB234" t="s">
        <v>3871</v>
      </c>
      <c r="AC234" s="3" t="s">
        <v>4670</v>
      </c>
      <c r="AD234" t="s">
        <v>4671</v>
      </c>
      <c r="AE234" t="s">
        <v>4672</v>
      </c>
      <c r="AF234" t="s">
        <v>3831</v>
      </c>
      <c r="AG234" t="s">
        <v>3832</v>
      </c>
      <c r="AH234" t="s">
        <v>3875</v>
      </c>
      <c r="AI234" t="s">
        <v>3834</v>
      </c>
      <c r="AJ234" t="s">
        <v>3835</v>
      </c>
      <c r="AK234" t="s">
        <v>3832</v>
      </c>
      <c r="AL234" t="s">
        <v>4066</v>
      </c>
      <c r="AM234" s="3" t="s">
        <v>4673</v>
      </c>
      <c r="AN234" s="3"/>
      <c r="AO234" s="3">
        <v>46223</v>
      </c>
      <c r="AP234" s="3"/>
      <c r="AQ234" s="3" t="s">
        <v>3877</v>
      </c>
      <c r="AR234" s="3" t="s">
        <v>3814</v>
      </c>
      <c r="AS234" s="3"/>
      <c r="AT234" s="3">
        <v>46238</v>
      </c>
      <c r="AU234" s="3"/>
      <c r="AV234" s="3"/>
      <c r="AW234" t="s">
        <v>3839</v>
      </c>
      <c r="BC234" t="s">
        <v>32</v>
      </c>
      <c r="BD234" t="s">
        <v>3814</v>
      </c>
      <c r="BE234" t="s">
        <v>4663</v>
      </c>
      <c r="BF234" t="s">
        <v>4664</v>
      </c>
      <c r="BG234" t="s">
        <v>3817</v>
      </c>
      <c r="CW234" s="6" t="str" cm="1">
        <f t="array" ref="CW234">IFERROR(_xlfn.IFS(H234=TIME(7,0,0),"GY",H234=TIME(7,30,0),"GY",H234=TIME(9,0,0),"GY",H234=TIME(15,0,0),"GY",H234=TIME(8,30,0),"GY",H234=TIME(5,30,0),"GY",H234=TIME(6,0,0),"GD",H234=TIME(6,30,0),"GD",H234=TIME(8,0,0),"GY",H234=TIME(6,15,0),"GD"),"")</f>
        <v>GY</v>
      </c>
      <c r="EE234"/>
    </row>
    <row r="235" spans="1:135" x14ac:dyDescent="0.45">
      <c r="A235" s="3" t="s">
        <v>18</v>
      </c>
      <c r="B235" s="3"/>
      <c r="C235" s="3" t="s">
        <v>4674</v>
      </c>
      <c r="D235" s="3" t="s">
        <v>4675</v>
      </c>
      <c r="E235" s="100" t="s">
        <v>3817</v>
      </c>
      <c r="F235" s="3" t="s">
        <v>4676</v>
      </c>
      <c r="G235" s="4">
        <v>46236</v>
      </c>
      <c r="H235" s="5">
        <v>0.26041666666666674</v>
      </c>
      <c r="I235" s="91">
        <v>46225</v>
      </c>
      <c r="J235" s="91"/>
      <c r="K235" s="91">
        <v>46222</v>
      </c>
      <c r="L235" s="3" t="s">
        <v>4677</v>
      </c>
      <c r="M235" s="3" t="s">
        <v>3819</v>
      </c>
      <c r="N235" s="3" t="s">
        <v>4678</v>
      </c>
      <c r="O235" t="s">
        <v>3821</v>
      </c>
      <c r="P235" s="3"/>
      <c r="Q235">
        <v>46211</v>
      </c>
      <c r="R235" s="3">
        <v>726</v>
      </c>
      <c r="S235" s="3" t="s">
        <v>3823</v>
      </c>
      <c r="T235" s="3">
        <v>7284</v>
      </c>
      <c r="U235" s="3" t="s">
        <v>4679</v>
      </c>
      <c r="V235" s="3" t="s">
        <v>4680</v>
      </c>
      <c r="W235" s="3">
        <v>10456.752</v>
      </c>
      <c r="X235" s="3">
        <v>46223</v>
      </c>
      <c r="Y235" s="3">
        <v>46221</v>
      </c>
      <c r="AA235" t="s">
        <v>3826</v>
      </c>
      <c r="AB235" t="s">
        <v>3827</v>
      </c>
      <c r="AC235" s="3" t="s">
        <v>4681</v>
      </c>
      <c r="AD235" t="s">
        <v>4034</v>
      </c>
      <c r="AE235" t="s">
        <v>4540</v>
      </c>
      <c r="AF235" t="s">
        <v>3831</v>
      </c>
      <c r="AG235" t="s">
        <v>3832</v>
      </c>
      <c r="AH235" t="s">
        <v>3908</v>
      </c>
      <c r="AI235" t="s">
        <v>3834</v>
      </c>
      <c r="AJ235" t="s">
        <v>3956</v>
      </c>
      <c r="AK235" t="s">
        <v>3832</v>
      </c>
      <c r="AL235" t="s">
        <v>4245</v>
      </c>
      <c r="AM235" s="3" t="s">
        <v>4682</v>
      </c>
      <c r="AN235" s="3"/>
      <c r="AO235" s="3">
        <v>46225</v>
      </c>
      <c r="AP235" s="3"/>
      <c r="AQ235" s="3" t="s">
        <v>4037</v>
      </c>
      <c r="AR235" s="3"/>
      <c r="AS235" s="3" t="s">
        <v>3961</v>
      </c>
      <c r="AT235" s="3">
        <v>46236</v>
      </c>
      <c r="AU235" s="3"/>
      <c r="AV235" s="3"/>
      <c r="AW235" t="s">
        <v>3839</v>
      </c>
      <c r="BC235" t="s">
        <v>18</v>
      </c>
      <c r="BE235" t="s">
        <v>4674</v>
      </c>
      <c r="BF235" t="s">
        <v>4675</v>
      </c>
      <c r="BG235" t="s">
        <v>3817</v>
      </c>
      <c r="CW235" s="6" t="str" cm="1">
        <f t="array" ref="CW235">IFERROR(_xlfn.IFS(H235=TIME(7,0,0),"GY",H235=TIME(7,30,0),"GY",H235=TIME(9,0,0),"GY",H235=TIME(15,0,0),"GY",H235=TIME(8,30,0),"GY",H235=TIME(5,30,0),"GY",H235=TIME(6,0,0),"GD",H235=TIME(6,30,0),"GD",H235=TIME(8,0,0),"GY",H235=TIME(6,15,0),"GD"),"")</f>
        <v>GD</v>
      </c>
      <c r="EE235"/>
    </row>
    <row r="236" spans="1:135" x14ac:dyDescent="0.45">
      <c r="A236" s="3" t="s">
        <v>18</v>
      </c>
      <c r="B236" s="3"/>
      <c r="C236" s="3" t="s">
        <v>4683</v>
      </c>
      <c r="D236" s="3" t="s">
        <v>4684</v>
      </c>
      <c r="E236" s="100" t="s">
        <v>3817</v>
      </c>
      <c r="F236" s="3" t="s">
        <v>4685</v>
      </c>
      <c r="G236" s="4">
        <v>46235</v>
      </c>
      <c r="H236" s="5">
        <v>0.26041666666666674</v>
      </c>
      <c r="I236" s="91">
        <v>46225</v>
      </c>
      <c r="J236" s="91"/>
      <c r="K236" s="91">
        <v>46222</v>
      </c>
      <c r="L236" s="3" t="s">
        <v>4686</v>
      </c>
      <c r="M236" s="3" t="s">
        <v>3819</v>
      </c>
      <c r="N236" s="3" t="s">
        <v>4687</v>
      </c>
      <c r="O236" t="s">
        <v>3821</v>
      </c>
      <c r="P236" s="3"/>
      <c r="Q236">
        <v>46211</v>
      </c>
      <c r="R236" s="3">
        <v>726</v>
      </c>
      <c r="S236" s="3" t="s">
        <v>3823</v>
      </c>
      <c r="T236" s="3">
        <v>7720</v>
      </c>
      <c r="U236" s="3" t="s">
        <v>4688</v>
      </c>
      <c r="V236" s="3" t="s">
        <v>4689</v>
      </c>
      <c r="W236" s="3">
        <v>7900.7089999999998</v>
      </c>
      <c r="X236" s="3">
        <v>46223</v>
      </c>
      <c r="Y236" s="3">
        <v>46221</v>
      </c>
      <c r="AA236" t="s">
        <v>3826</v>
      </c>
      <c r="AB236" t="s">
        <v>3827</v>
      </c>
      <c r="AC236" s="3" t="s">
        <v>4690</v>
      </c>
      <c r="AD236" t="s">
        <v>4034</v>
      </c>
      <c r="AE236" t="s">
        <v>4540</v>
      </c>
      <c r="AF236" t="s">
        <v>3831</v>
      </c>
      <c r="AG236" t="s">
        <v>3832</v>
      </c>
      <c r="AH236" t="s">
        <v>3908</v>
      </c>
      <c r="AI236" t="s">
        <v>3834</v>
      </c>
      <c r="AJ236" t="s">
        <v>3956</v>
      </c>
      <c r="AK236" t="s">
        <v>3832</v>
      </c>
      <c r="AL236" t="s">
        <v>4245</v>
      </c>
      <c r="AM236" s="3" t="s">
        <v>4691</v>
      </c>
      <c r="AN236" s="3"/>
      <c r="AO236" s="3">
        <v>46225</v>
      </c>
      <c r="AP236" s="3"/>
      <c r="AQ236" s="3" t="s">
        <v>4037</v>
      </c>
      <c r="AR236" s="3"/>
      <c r="AS236" s="3" t="s">
        <v>3961</v>
      </c>
      <c r="AT236" s="3">
        <v>46236</v>
      </c>
      <c r="AU236" s="3"/>
      <c r="AV236" s="3"/>
      <c r="AW236" t="s">
        <v>3839</v>
      </c>
      <c r="BC236" t="s">
        <v>18</v>
      </c>
      <c r="BE236" t="s">
        <v>4683</v>
      </c>
      <c r="BF236" t="s">
        <v>4684</v>
      </c>
      <c r="BG236" t="s">
        <v>3817</v>
      </c>
      <c r="CW236" s="6" t="str" cm="1">
        <f t="array" ref="CW236">IFERROR(_xlfn.IFS(H236=TIME(7,0,0),"GY",H236=TIME(7,30,0),"GY",H236=TIME(9,0,0),"GY",H236=TIME(15,0,0),"GY",H236=TIME(8,30,0),"GY",H236=TIME(5,30,0),"GY",H236=TIME(6,0,0),"GD",H236=TIME(6,30,0),"GD",H236=TIME(8,0,0),"GY",H236=TIME(6,15,0),"GD"),"")</f>
        <v>GD</v>
      </c>
      <c r="EE236"/>
    </row>
    <row r="237" spans="1:135" x14ac:dyDescent="0.45">
      <c r="A237" s="3" t="s">
        <v>18</v>
      </c>
      <c r="B237" s="3"/>
      <c r="C237" s="3" t="s">
        <v>4683</v>
      </c>
      <c r="D237" s="3" t="s">
        <v>4684</v>
      </c>
      <c r="E237" s="100" t="s">
        <v>3817</v>
      </c>
      <c r="F237" s="3" t="s">
        <v>4692</v>
      </c>
      <c r="G237" s="4">
        <v>46235</v>
      </c>
      <c r="H237" s="5">
        <v>0.26041666666666674</v>
      </c>
      <c r="I237" s="91">
        <v>46225</v>
      </c>
      <c r="J237" s="91"/>
      <c r="K237" s="91">
        <v>46222</v>
      </c>
      <c r="L237" s="3" t="s">
        <v>4686</v>
      </c>
      <c r="M237" s="3" t="s">
        <v>3819</v>
      </c>
      <c r="N237" s="3" t="s">
        <v>4687</v>
      </c>
      <c r="O237" t="s">
        <v>3821</v>
      </c>
      <c r="P237" s="3"/>
      <c r="Q237">
        <v>46211</v>
      </c>
      <c r="R237" s="3">
        <v>726</v>
      </c>
      <c r="S237" s="3" t="s">
        <v>3823</v>
      </c>
      <c r="T237" s="3">
        <v>2828</v>
      </c>
      <c r="U237" s="3" t="s">
        <v>4693</v>
      </c>
      <c r="V237" s="3" t="s">
        <v>4694</v>
      </c>
      <c r="W237" s="3">
        <v>782.40200000000004</v>
      </c>
      <c r="X237" s="3">
        <v>46223</v>
      </c>
      <c r="Y237" s="3">
        <v>46221</v>
      </c>
      <c r="AA237" t="s">
        <v>3826</v>
      </c>
      <c r="AB237" t="s">
        <v>3827</v>
      </c>
      <c r="AC237" s="3" t="s">
        <v>4690</v>
      </c>
      <c r="AD237" t="s">
        <v>4034</v>
      </c>
      <c r="AE237" t="s">
        <v>4540</v>
      </c>
      <c r="AF237" t="s">
        <v>3831</v>
      </c>
      <c r="AG237" t="s">
        <v>3832</v>
      </c>
      <c r="AH237" t="s">
        <v>3908</v>
      </c>
      <c r="AI237" t="s">
        <v>3834</v>
      </c>
      <c r="AJ237" t="s">
        <v>3956</v>
      </c>
      <c r="AK237" t="s">
        <v>3832</v>
      </c>
      <c r="AL237" t="s">
        <v>4245</v>
      </c>
      <c r="AM237" s="3" t="s">
        <v>4691</v>
      </c>
      <c r="AN237" s="3"/>
      <c r="AO237" s="3">
        <v>46225</v>
      </c>
      <c r="AP237" s="3"/>
      <c r="AQ237" s="3" t="s">
        <v>4037</v>
      </c>
      <c r="AR237" s="3"/>
      <c r="AS237" s="3" t="s">
        <v>3961</v>
      </c>
      <c r="AT237" s="3">
        <v>46236</v>
      </c>
      <c r="AU237" s="3"/>
      <c r="AV237" s="3"/>
      <c r="AW237" t="s">
        <v>3839</v>
      </c>
      <c r="BC237" t="s">
        <v>18</v>
      </c>
      <c r="BE237" t="s">
        <v>4683</v>
      </c>
      <c r="BF237" t="s">
        <v>4684</v>
      </c>
      <c r="BG237" t="s">
        <v>3817</v>
      </c>
      <c r="CW237" s="6" t="str" cm="1">
        <f t="array" ref="CW237">IFERROR(_xlfn.IFS(H237=TIME(7,0,0),"GY",H237=TIME(7,30,0),"GY",H237=TIME(9,0,0),"GY",H237=TIME(15,0,0),"GY",H237=TIME(8,30,0),"GY",H237=TIME(5,30,0),"GY",H237=TIME(6,0,0),"GD",H237=TIME(6,30,0),"GD",H237=TIME(8,0,0),"GY",H237=TIME(6,15,0),"GD"),"")</f>
        <v>GD</v>
      </c>
      <c r="EE237"/>
    </row>
    <row r="238" spans="1:135" x14ac:dyDescent="0.45">
      <c r="A238" s="3" t="s">
        <v>32</v>
      </c>
      <c r="B238" s="3" t="s">
        <v>3814</v>
      </c>
      <c r="C238" s="3" t="s">
        <v>7914</v>
      </c>
      <c r="D238" s="3" t="s">
        <v>7915</v>
      </c>
      <c r="E238" s="100" t="s">
        <v>3817</v>
      </c>
      <c r="F238" s="3" t="s">
        <v>6903</v>
      </c>
      <c r="G238" s="4"/>
      <c r="H238" s="5"/>
      <c r="I238" s="91"/>
      <c r="J238" s="91"/>
      <c r="K238" s="91"/>
      <c r="L238" s="3"/>
      <c r="M238" s="3" t="s">
        <v>3819</v>
      </c>
      <c r="N238" s="3" t="s">
        <v>7916</v>
      </c>
      <c r="O238" t="s">
        <v>3821</v>
      </c>
      <c r="P238" s="3" t="s">
        <v>3822</v>
      </c>
      <c r="Q238">
        <v>46300</v>
      </c>
      <c r="R238" s="3">
        <v>726</v>
      </c>
      <c r="S238" s="3" t="s">
        <v>3823</v>
      </c>
      <c r="T238" s="3">
        <v>117</v>
      </c>
      <c r="U238" s="3" t="s">
        <v>7917</v>
      </c>
      <c r="V238" s="3" t="s">
        <v>7918</v>
      </c>
      <c r="W238" s="3">
        <v>729.98</v>
      </c>
      <c r="X238" s="3">
        <v>46317</v>
      </c>
      <c r="Y238" s="3">
        <v>46315</v>
      </c>
      <c r="AA238" t="s">
        <v>3926</v>
      </c>
      <c r="AB238" t="s">
        <v>3927</v>
      </c>
      <c r="AC238" s="3"/>
      <c r="AD238" t="s">
        <v>7919</v>
      </c>
      <c r="AE238" t="s">
        <v>7920</v>
      </c>
      <c r="AF238" t="s">
        <v>3831</v>
      </c>
      <c r="AG238" t="s">
        <v>3832</v>
      </c>
      <c r="AH238" t="s">
        <v>3833</v>
      </c>
      <c r="AI238" t="s">
        <v>3834</v>
      </c>
      <c r="AJ238" t="s">
        <v>3835</v>
      </c>
      <c r="AK238" t="s">
        <v>3832</v>
      </c>
      <c r="AM238" s="3"/>
      <c r="AN238" s="3"/>
      <c r="AO238" s="3"/>
      <c r="AP238" s="3"/>
      <c r="AQ238" s="3"/>
      <c r="AR238" s="3" t="s">
        <v>3814</v>
      </c>
      <c r="AS238" s="3"/>
      <c r="AT238" s="3"/>
      <c r="AU238" s="3"/>
      <c r="AV238" s="3"/>
      <c r="BC238" t="s">
        <v>32</v>
      </c>
      <c r="BD238" t="s">
        <v>3814</v>
      </c>
      <c r="BE238" t="s">
        <v>7914</v>
      </c>
      <c r="BF238" t="s">
        <v>7915</v>
      </c>
      <c r="CW238" s="6" t="str" cm="1">
        <f t="array" ref="CW238">IFERROR(_xlfn.IFS(H238=TIME(7,0,0),"GY",H238=TIME(7,30,0),"GY",H238=TIME(9,0,0),"GY",H238=TIME(15,0,0),"GY",H238=TIME(8,30,0),"GY",H238=TIME(5,30,0),"GY",H238=TIME(6,0,0),"GD",H238=TIME(6,30,0),"GD",H238=TIME(8,0,0),"GY",H238=TIME(6,15,0),"GD"),"")</f>
        <v/>
      </c>
      <c r="EE238"/>
    </row>
    <row r="239" spans="1:135" x14ac:dyDescent="0.45">
      <c r="A239" s="3" t="s">
        <v>32</v>
      </c>
      <c r="B239" s="3" t="s">
        <v>3814</v>
      </c>
      <c r="C239" s="3" t="s">
        <v>7921</v>
      </c>
      <c r="D239" s="3" t="s">
        <v>7922</v>
      </c>
      <c r="E239" s="100" t="s">
        <v>3817</v>
      </c>
      <c r="F239" s="3" t="s">
        <v>7507</v>
      </c>
      <c r="G239" s="4"/>
      <c r="H239" s="5"/>
      <c r="I239" s="91"/>
      <c r="J239" s="91"/>
      <c r="K239" s="91"/>
      <c r="L239" s="3"/>
      <c r="M239" s="3" t="s">
        <v>3819</v>
      </c>
      <c r="N239" s="3" t="s">
        <v>7923</v>
      </c>
      <c r="O239" t="s">
        <v>3821</v>
      </c>
      <c r="P239" s="3" t="s">
        <v>7924</v>
      </c>
      <c r="Q239">
        <v>46304</v>
      </c>
      <c r="R239" s="3">
        <v>726</v>
      </c>
      <c r="S239" s="3" t="s">
        <v>3823</v>
      </c>
      <c r="T239" s="3">
        <v>12</v>
      </c>
      <c r="U239" s="3" t="s">
        <v>7925</v>
      </c>
      <c r="V239" s="3" t="s">
        <v>7926</v>
      </c>
      <c r="W239" s="3">
        <v>333.30599999999998</v>
      </c>
      <c r="X239" s="3">
        <v>46321</v>
      </c>
      <c r="Y239" s="3">
        <v>46319</v>
      </c>
      <c r="AA239" t="s">
        <v>3855</v>
      </c>
      <c r="AB239" t="s">
        <v>3856</v>
      </c>
      <c r="AC239" s="3" t="s">
        <v>7927</v>
      </c>
      <c r="AD239" t="s">
        <v>3887</v>
      </c>
      <c r="AE239" t="s">
        <v>7389</v>
      </c>
      <c r="AF239" t="s">
        <v>3831</v>
      </c>
      <c r="AG239" t="s">
        <v>3832</v>
      </c>
      <c r="AH239" t="s">
        <v>3860</v>
      </c>
      <c r="AI239" t="s">
        <v>3834</v>
      </c>
      <c r="AJ239" t="s">
        <v>3835</v>
      </c>
      <c r="AK239" t="s">
        <v>3832</v>
      </c>
      <c r="AM239" s="3"/>
      <c r="AN239" s="3"/>
      <c r="AO239" s="3"/>
      <c r="AP239" s="3"/>
      <c r="AQ239" s="3"/>
      <c r="AR239" s="3" t="s">
        <v>3814</v>
      </c>
      <c r="AS239" s="3"/>
      <c r="AT239" s="3"/>
      <c r="AU239" s="3"/>
      <c r="AV239" s="3"/>
      <c r="BC239" t="s">
        <v>32</v>
      </c>
      <c r="BD239" t="s">
        <v>3814</v>
      </c>
      <c r="BE239" t="s">
        <v>7921</v>
      </c>
      <c r="BF239" t="s">
        <v>7922</v>
      </c>
      <c r="CW239" s="6" t="str" cm="1">
        <f t="array" ref="CW239">IFERROR(_xlfn.IFS(H239=TIME(7,0,0),"GY",H239=TIME(7,30,0),"GY",H239=TIME(9,0,0),"GY",H239=TIME(15,0,0),"GY",H239=TIME(8,30,0),"GY",H239=TIME(5,30,0),"GY",H239=TIME(6,0,0),"GD",H239=TIME(6,30,0),"GD",H239=TIME(8,0,0),"GY",H239=TIME(6,15,0),"GD"),"")</f>
        <v/>
      </c>
      <c r="EE239"/>
    </row>
    <row r="240" spans="1:135" x14ac:dyDescent="0.45">
      <c r="A240" s="3" t="s">
        <v>32</v>
      </c>
      <c r="B240" s="3" t="s">
        <v>3814</v>
      </c>
      <c r="C240" s="3" t="s">
        <v>7721</v>
      </c>
      <c r="D240" s="3" t="s">
        <v>7722</v>
      </c>
      <c r="E240" s="100" t="s">
        <v>3817</v>
      </c>
      <c r="F240" s="3" t="s">
        <v>6815</v>
      </c>
      <c r="G240" s="4"/>
      <c r="H240" s="5"/>
      <c r="I240" s="91"/>
      <c r="J240" s="91"/>
      <c r="K240" s="91"/>
      <c r="L240" s="3"/>
      <c r="M240" s="3" t="s">
        <v>3819</v>
      </c>
      <c r="N240" s="3" t="s">
        <v>7723</v>
      </c>
      <c r="O240" t="s">
        <v>3867</v>
      </c>
      <c r="P240" s="3" t="s">
        <v>4127</v>
      </c>
      <c r="Q240">
        <v>46300</v>
      </c>
      <c r="R240" s="3">
        <v>726</v>
      </c>
      <c r="S240" s="3" t="s">
        <v>3823</v>
      </c>
      <c r="T240" s="3">
        <v>5302</v>
      </c>
      <c r="U240" s="3" t="s">
        <v>7724</v>
      </c>
      <c r="V240" s="3" t="s">
        <v>7725</v>
      </c>
      <c r="W240" s="3">
        <v>2701.57</v>
      </c>
      <c r="X240" s="3">
        <v>46339</v>
      </c>
      <c r="Y240" s="3">
        <v>46316</v>
      </c>
      <c r="AA240" t="s">
        <v>3826</v>
      </c>
      <c r="AB240" t="s">
        <v>3827</v>
      </c>
      <c r="AC240" s="3" t="s">
        <v>7726</v>
      </c>
      <c r="AD240" t="s">
        <v>7727</v>
      </c>
      <c r="AE240" t="s">
        <v>7728</v>
      </c>
      <c r="AF240" t="s">
        <v>3831</v>
      </c>
      <c r="AG240" t="s">
        <v>3832</v>
      </c>
      <c r="AH240" t="s">
        <v>4132</v>
      </c>
      <c r="AI240" t="s">
        <v>3834</v>
      </c>
      <c r="AJ240" t="s">
        <v>3835</v>
      </c>
      <c r="AK240" t="s">
        <v>3832</v>
      </c>
      <c r="AM240" s="3" t="s">
        <v>7801</v>
      </c>
      <c r="AN240" s="3"/>
      <c r="AO240" s="3"/>
      <c r="AP240" s="3"/>
      <c r="AQ240" s="3"/>
      <c r="AR240" s="3" t="s">
        <v>3814</v>
      </c>
      <c r="AS240" s="3"/>
      <c r="AT240" s="3"/>
      <c r="AU240" s="3"/>
      <c r="AV240" s="3"/>
      <c r="BC240" t="s">
        <v>32</v>
      </c>
      <c r="BD240" t="s">
        <v>3814</v>
      </c>
      <c r="BE240" t="s">
        <v>7721</v>
      </c>
      <c r="BF240" t="s">
        <v>7722</v>
      </c>
      <c r="BG240" t="s">
        <v>3817</v>
      </c>
      <c r="CW240" s="6" t="str" cm="1">
        <f t="array" ref="CW240">IFERROR(_xlfn.IFS(H240=TIME(7,0,0),"GY",H240=TIME(7,30,0),"GY",H240=TIME(9,0,0),"GY",H240=TIME(15,0,0),"GY",H240=TIME(8,30,0),"GY",H240=TIME(5,30,0),"GY",H240=TIME(6,0,0),"GD",H240=TIME(6,30,0),"GD",H240=TIME(8,0,0),"GY",H240=TIME(6,15,0),"GD"),"")</f>
        <v/>
      </c>
      <c r="EE240"/>
    </row>
    <row r="241" spans="1:135" x14ac:dyDescent="0.45">
      <c r="A241" s="3" t="s">
        <v>32</v>
      </c>
      <c r="B241" s="3" t="s">
        <v>3814</v>
      </c>
      <c r="C241" s="3" t="s">
        <v>7376</v>
      </c>
      <c r="D241" s="3" t="s">
        <v>7377</v>
      </c>
      <c r="E241" s="100" t="s">
        <v>3817</v>
      </c>
      <c r="F241" s="3" t="s">
        <v>6755</v>
      </c>
      <c r="G241" s="4"/>
      <c r="H241" s="5"/>
      <c r="I241" s="91"/>
      <c r="J241" s="91"/>
      <c r="K241" s="91"/>
      <c r="L241" s="3"/>
      <c r="M241" s="3" t="s">
        <v>3819</v>
      </c>
      <c r="N241" s="3" t="s">
        <v>7378</v>
      </c>
      <c r="O241" t="s">
        <v>3867</v>
      </c>
      <c r="P241" s="3" t="s">
        <v>3822</v>
      </c>
      <c r="Q241">
        <v>46295</v>
      </c>
      <c r="R241" s="3">
        <v>726</v>
      </c>
      <c r="S241" s="3" t="s">
        <v>3823</v>
      </c>
      <c r="T241" s="3">
        <v>98</v>
      </c>
      <c r="U241" s="3" t="s">
        <v>7379</v>
      </c>
      <c r="V241" s="3" t="s">
        <v>7380</v>
      </c>
      <c r="W241" s="3">
        <v>2243.08</v>
      </c>
      <c r="X241" s="3">
        <v>46321</v>
      </c>
      <c r="Y241" s="3">
        <v>46319</v>
      </c>
      <c r="AA241" t="s">
        <v>3826</v>
      </c>
      <c r="AB241" t="s">
        <v>3827</v>
      </c>
      <c r="AC241" s="3" t="s">
        <v>7381</v>
      </c>
      <c r="AD241" t="s">
        <v>4521</v>
      </c>
      <c r="AE241" t="s">
        <v>7382</v>
      </c>
      <c r="AF241" t="s">
        <v>3831</v>
      </c>
      <c r="AG241" t="s">
        <v>3832</v>
      </c>
      <c r="AH241" t="s">
        <v>3833</v>
      </c>
      <c r="AI241" t="s">
        <v>3834</v>
      </c>
      <c r="AJ241" t="s">
        <v>3835</v>
      </c>
      <c r="AK241" t="s">
        <v>3832</v>
      </c>
      <c r="AM241" s="3" t="s">
        <v>7729</v>
      </c>
      <c r="AN241" s="3"/>
      <c r="AO241" s="3"/>
      <c r="AP241" s="3"/>
      <c r="AQ241" s="3"/>
      <c r="AR241" s="3" t="s">
        <v>3814</v>
      </c>
      <c r="AS241" s="3"/>
      <c r="AT241" s="3"/>
      <c r="AU241" s="3"/>
      <c r="AV241" s="3"/>
      <c r="BC241" t="s">
        <v>32</v>
      </c>
      <c r="BD241" t="s">
        <v>3814</v>
      </c>
      <c r="BE241" t="s">
        <v>7376</v>
      </c>
      <c r="BF241" t="s">
        <v>7377</v>
      </c>
      <c r="BG241" t="s">
        <v>3817</v>
      </c>
      <c r="CW241" s="6" t="str" cm="1">
        <f t="array" ref="CW241">IFERROR(_xlfn.IFS(H241=TIME(7,0,0),"GY",H241=TIME(7,30,0),"GY",H241=TIME(9,0,0),"GY",H241=TIME(15,0,0),"GY",H241=TIME(8,30,0),"GY",H241=TIME(5,30,0),"GY",H241=TIME(6,0,0),"GD",H241=TIME(6,30,0),"GD",H241=TIME(8,0,0),"GY",H241=TIME(6,15,0),"GD"),"")</f>
        <v/>
      </c>
      <c r="EE241"/>
    </row>
    <row r="242" spans="1:135" x14ac:dyDescent="0.45">
      <c r="A242" s="3" t="s">
        <v>32</v>
      </c>
      <c r="B242" s="3" t="s">
        <v>3814</v>
      </c>
      <c r="C242" s="3" t="s">
        <v>7383</v>
      </c>
      <c r="D242" s="3" t="s">
        <v>7384</v>
      </c>
      <c r="E242" s="100" t="s">
        <v>3817</v>
      </c>
      <c r="F242" s="3" t="s">
        <v>6559</v>
      </c>
      <c r="G242" s="4"/>
      <c r="H242" s="5"/>
      <c r="I242" s="91"/>
      <c r="J242" s="91"/>
      <c r="K242" s="91"/>
      <c r="L242" s="3"/>
      <c r="M242" s="3" t="s">
        <v>3819</v>
      </c>
      <c r="N242" s="3" t="s">
        <v>7385</v>
      </c>
      <c r="O242" t="s">
        <v>3867</v>
      </c>
      <c r="P242" s="3" t="s">
        <v>3852</v>
      </c>
      <c r="Q242">
        <v>46293</v>
      </c>
      <c r="R242" s="3">
        <v>726</v>
      </c>
      <c r="S242" s="3" t="s">
        <v>3823</v>
      </c>
      <c r="T242" s="3">
        <v>33</v>
      </c>
      <c r="U242" s="3" t="s">
        <v>7386</v>
      </c>
      <c r="V242" s="3" t="s">
        <v>7387</v>
      </c>
      <c r="W242" s="3">
        <v>478.46100000000001</v>
      </c>
      <c r="X242" s="3">
        <v>46320</v>
      </c>
      <c r="Y242" s="3">
        <v>46319</v>
      </c>
      <c r="AA242" t="s">
        <v>3855</v>
      </c>
      <c r="AB242" t="s">
        <v>3856</v>
      </c>
      <c r="AC242" s="3" t="s">
        <v>7388</v>
      </c>
      <c r="AD242" t="s">
        <v>3887</v>
      </c>
      <c r="AE242" t="s">
        <v>7389</v>
      </c>
      <c r="AF242" t="s">
        <v>3831</v>
      </c>
      <c r="AG242" t="s">
        <v>3832</v>
      </c>
      <c r="AH242" t="s">
        <v>3860</v>
      </c>
      <c r="AI242" t="s">
        <v>3834</v>
      </c>
      <c r="AJ242" t="s">
        <v>3835</v>
      </c>
      <c r="AK242" t="s">
        <v>3832</v>
      </c>
      <c r="AM242" s="3" t="s">
        <v>7730</v>
      </c>
      <c r="AN242" s="3"/>
      <c r="AO242" s="3"/>
      <c r="AP242" s="3"/>
      <c r="AQ242" s="3"/>
      <c r="AR242" s="3" t="s">
        <v>3814</v>
      </c>
      <c r="AS242" s="3"/>
      <c r="AT242" s="3"/>
      <c r="AU242" s="3"/>
      <c r="AV242" s="3"/>
      <c r="BC242" t="s">
        <v>32</v>
      </c>
      <c r="BD242" t="s">
        <v>3814</v>
      </c>
      <c r="BE242" t="s">
        <v>7383</v>
      </c>
      <c r="BF242" t="s">
        <v>7384</v>
      </c>
      <c r="BG242" t="s">
        <v>3817</v>
      </c>
      <c r="CW242" s="6" t="str" cm="1">
        <f t="array" ref="CW242">IFERROR(_xlfn.IFS(H242=TIME(7,0,0),"GY",H242=TIME(7,30,0),"GY",H242=TIME(9,0,0),"GY",H242=TIME(15,0,0),"GY",H242=TIME(8,30,0),"GY",H242=TIME(5,30,0),"GY",H242=TIME(6,0,0),"GD",H242=TIME(6,30,0),"GD",H242=TIME(8,0,0),"GY",H242=TIME(6,15,0),"GD"),"")</f>
        <v/>
      </c>
      <c r="EE242"/>
    </row>
    <row r="243" spans="1:135" x14ac:dyDescent="0.45">
      <c r="A243" s="3" t="s">
        <v>18</v>
      </c>
      <c r="B243" s="3" t="s">
        <v>0</v>
      </c>
      <c r="C243" s="3" t="s">
        <v>7244</v>
      </c>
      <c r="D243" s="3" t="s">
        <v>7245</v>
      </c>
      <c r="E243" s="100" t="s">
        <v>3817</v>
      </c>
      <c r="F243" s="3" t="s">
        <v>6952</v>
      </c>
      <c r="G243" s="4"/>
      <c r="H243" s="5"/>
      <c r="I243" s="91"/>
      <c r="J243" s="91"/>
      <c r="K243" s="91"/>
      <c r="L243" s="3"/>
      <c r="M243" s="3" t="s">
        <v>3819</v>
      </c>
      <c r="N243" s="3" t="s">
        <v>7246</v>
      </c>
      <c r="O243" t="s">
        <v>3867</v>
      </c>
      <c r="P243" s="3"/>
      <c r="Q243">
        <v>46286</v>
      </c>
      <c r="R243" s="3">
        <v>726</v>
      </c>
      <c r="S243" s="3" t="s">
        <v>3823</v>
      </c>
      <c r="T243" s="3">
        <v>8180</v>
      </c>
      <c r="U243" s="3" t="s">
        <v>7247</v>
      </c>
      <c r="V243" s="3" t="s">
        <v>7248</v>
      </c>
      <c r="W243" s="3">
        <v>7830.134</v>
      </c>
      <c r="X243" s="3">
        <v>46322</v>
      </c>
      <c r="Y243" s="3">
        <v>46316</v>
      </c>
      <c r="AA243" t="s">
        <v>3870</v>
      </c>
      <c r="AB243" t="s">
        <v>3871</v>
      </c>
      <c r="AC243" s="3" t="s">
        <v>7249</v>
      </c>
      <c r="AD243" t="s">
        <v>4169</v>
      </c>
      <c r="AE243" t="s">
        <v>5854</v>
      </c>
      <c r="AF243" t="s">
        <v>3831</v>
      </c>
      <c r="AG243" t="s">
        <v>3832</v>
      </c>
      <c r="AH243" t="s">
        <v>3875</v>
      </c>
      <c r="AI243" t="s">
        <v>3834</v>
      </c>
      <c r="AJ243" t="s">
        <v>3835</v>
      </c>
      <c r="AK243" t="s">
        <v>3832</v>
      </c>
      <c r="AM243" s="3" t="s">
        <v>7272</v>
      </c>
      <c r="AN243" s="3"/>
      <c r="AO243" s="3"/>
      <c r="AP243" s="3"/>
      <c r="AQ243" s="3"/>
      <c r="AR243" s="3"/>
      <c r="AS243" s="3"/>
      <c r="AT243" s="3"/>
      <c r="AU243" s="3"/>
      <c r="AV243" s="3"/>
      <c r="BC243" t="s">
        <v>18</v>
      </c>
      <c r="BD243" t="s">
        <v>0</v>
      </c>
      <c r="BE243" t="s">
        <v>7244</v>
      </c>
      <c r="BF243" t="s">
        <v>7245</v>
      </c>
      <c r="BG243" t="s">
        <v>3817</v>
      </c>
      <c r="CW243" s="6" t="str" cm="1">
        <f t="array" ref="CW243">IFERROR(_xlfn.IFS(H243=TIME(7,0,0),"GY",H243=TIME(7,30,0),"GY",H243=TIME(9,0,0),"GY",H243=TIME(15,0,0),"GY",H243=TIME(8,30,0),"GY",H243=TIME(5,30,0),"GY",H243=TIME(6,0,0),"GD",H243=TIME(6,30,0),"GD",H243=TIME(8,0,0),"GY",H243=TIME(6,15,0),"GD"),"")</f>
        <v/>
      </c>
      <c r="EE243"/>
    </row>
    <row r="244" spans="1:135" x14ac:dyDescent="0.45">
      <c r="A244" s="3" t="s">
        <v>18</v>
      </c>
      <c r="B244" s="3" t="s">
        <v>0</v>
      </c>
      <c r="C244" s="3" t="s">
        <v>7250</v>
      </c>
      <c r="D244" s="3" t="s">
        <v>7251</v>
      </c>
      <c r="E244" s="100" t="s">
        <v>3817</v>
      </c>
      <c r="F244" s="3" t="s">
        <v>6949</v>
      </c>
      <c r="G244" s="4"/>
      <c r="H244" s="5"/>
      <c r="I244" s="91"/>
      <c r="J244" s="91"/>
      <c r="K244" s="91"/>
      <c r="L244" s="3"/>
      <c r="M244" s="3" t="s">
        <v>3819</v>
      </c>
      <c r="N244" s="3" t="s">
        <v>7252</v>
      </c>
      <c r="O244" t="s">
        <v>3867</v>
      </c>
      <c r="P244" s="3"/>
      <c r="Q244">
        <v>46295</v>
      </c>
      <c r="R244" s="3">
        <v>726</v>
      </c>
      <c r="S244" s="3" t="s">
        <v>3823</v>
      </c>
      <c r="T244" s="3">
        <v>14038</v>
      </c>
      <c r="U244" s="3" t="s">
        <v>7253</v>
      </c>
      <c r="V244" s="3" t="s">
        <v>7254</v>
      </c>
      <c r="W244" s="3">
        <v>10975.815000000001</v>
      </c>
      <c r="X244" s="3">
        <v>46311</v>
      </c>
      <c r="Y244" s="3">
        <v>46315</v>
      </c>
      <c r="AA244" t="s">
        <v>3826</v>
      </c>
      <c r="AB244" t="s">
        <v>3827</v>
      </c>
      <c r="AC244" s="3" t="s">
        <v>7255</v>
      </c>
      <c r="AD244" t="s">
        <v>7256</v>
      </c>
      <c r="AE244" t="s">
        <v>7257</v>
      </c>
      <c r="AF244" t="s">
        <v>3831</v>
      </c>
      <c r="AG244" t="s">
        <v>3832</v>
      </c>
      <c r="AH244" t="s">
        <v>3908</v>
      </c>
      <c r="AI244" t="s">
        <v>3834</v>
      </c>
      <c r="AJ244" t="s">
        <v>3835</v>
      </c>
      <c r="AK244" t="s">
        <v>3832</v>
      </c>
      <c r="AM244" s="3" t="s">
        <v>7273</v>
      </c>
      <c r="AN244" s="3"/>
      <c r="AO244" s="3"/>
      <c r="AP244" s="3"/>
      <c r="AQ244" s="3"/>
      <c r="AR244" s="3"/>
      <c r="AS244" s="3"/>
      <c r="AT244" s="3"/>
      <c r="AU244" s="3"/>
      <c r="AV244" s="3"/>
      <c r="BC244" t="s">
        <v>18</v>
      </c>
      <c r="BD244" t="s">
        <v>0</v>
      </c>
      <c r="BE244" t="s">
        <v>7250</v>
      </c>
      <c r="BF244" t="s">
        <v>7251</v>
      </c>
      <c r="BG244" t="s">
        <v>3817</v>
      </c>
      <c r="CW244" s="6" t="str" cm="1">
        <f t="array" ref="CW244">IFERROR(_xlfn.IFS(H244=TIME(7,0,0),"GY",H244=TIME(7,30,0),"GY",H244=TIME(9,0,0),"GY",H244=TIME(15,0,0),"GY",H244=TIME(8,30,0),"GY",H244=TIME(5,30,0),"GY",H244=TIME(6,0,0),"GD",H244=TIME(6,30,0),"GD",H244=TIME(8,0,0),"GY",H244=TIME(6,15,0),"GD"),"")</f>
        <v/>
      </c>
      <c r="EE244"/>
    </row>
    <row r="245" spans="1:135" x14ac:dyDescent="0.45">
      <c r="A245" s="3" t="s">
        <v>32</v>
      </c>
      <c r="B245" s="3" t="s">
        <v>3814</v>
      </c>
      <c r="C245" s="3" t="s">
        <v>6916</v>
      </c>
      <c r="D245" s="3" t="s">
        <v>6917</v>
      </c>
      <c r="E245" s="100" t="s">
        <v>3817</v>
      </c>
      <c r="F245" s="3" t="s">
        <v>5780</v>
      </c>
      <c r="G245" s="4"/>
      <c r="H245" s="5"/>
      <c r="I245" s="91"/>
      <c r="J245" s="91"/>
      <c r="K245" s="91"/>
      <c r="L245" s="3"/>
      <c r="M245" s="3" t="s">
        <v>3966</v>
      </c>
      <c r="N245" s="3" t="s">
        <v>6918</v>
      </c>
      <c r="O245" t="s">
        <v>3821</v>
      </c>
      <c r="P245" s="3" t="s">
        <v>4008</v>
      </c>
      <c r="Q245">
        <v>46268</v>
      </c>
      <c r="R245" s="3">
        <v>726</v>
      </c>
      <c r="S245" s="3" t="s">
        <v>3823</v>
      </c>
      <c r="T245" s="3">
        <v>90</v>
      </c>
      <c r="U245" s="3" t="s">
        <v>6919</v>
      </c>
      <c r="V245" s="3" t="s">
        <v>6920</v>
      </c>
      <c r="W245" s="3">
        <v>402.6</v>
      </c>
      <c r="X245" s="3">
        <v>46327</v>
      </c>
      <c r="Y245" s="3">
        <v>46312</v>
      </c>
      <c r="AA245" t="s">
        <v>3826</v>
      </c>
      <c r="AB245" t="s">
        <v>3827</v>
      </c>
      <c r="AC245" s="3" t="s">
        <v>7258</v>
      </c>
      <c r="AD245" t="s">
        <v>4701</v>
      </c>
      <c r="AE245" t="s">
        <v>6921</v>
      </c>
      <c r="AF245" t="s">
        <v>3831</v>
      </c>
      <c r="AG245" t="s">
        <v>3832</v>
      </c>
      <c r="AH245" t="s">
        <v>3908</v>
      </c>
      <c r="AI245" t="s">
        <v>3834</v>
      </c>
      <c r="AJ245" t="s">
        <v>3835</v>
      </c>
      <c r="AK245" t="s">
        <v>3832</v>
      </c>
      <c r="AM245" s="3" t="s">
        <v>7274</v>
      </c>
      <c r="AN245" s="3"/>
      <c r="AO245" s="3"/>
      <c r="AP245" s="3"/>
      <c r="AQ245" s="3"/>
      <c r="AR245" s="3" t="s">
        <v>3814</v>
      </c>
      <c r="AS245" s="3"/>
      <c r="AT245" s="3"/>
      <c r="AU245" s="3"/>
      <c r="AV245" s="3"/>
      <c r="BC245" t="s">
        <v>32</v>
      </c>
      <c r="BD245" t="s">
        <v>3814</v>
      </c>
      <c r="BE245" t="s">
        <v>6916</v>
      </c>
      <c r="BF245" t="s">
        <v>6917</v>
      </c>
      <c r="BG245" t="s">
        <v>3817</v>
      </c>
      <c r="CW245" s="6" t="str" cm="1">
        <f t="array" ref="CW245">IFERROR(_xlfn.IFS(H245=TIME(7,0,0),"GY",H245=TIME(7,30,0),"GY",H245=TIME(9,0,0),"GY",H245=TIME(15,0,0),"GY",H245=TIME(8,30,0),"GY",H245=TIME(5,30,0),"GY",H245=TIME(6,0,0),"GD",H245=TIME(6,30,0),"GD",H245=TIME(8,0,0),"GY",H245=TIME(6,15,0),"GD"),"")</f>
        <v/>
      </c>
      <c r="EE245"/>
    </row>
    <row r="246" spans="1:135" x14ac:dyDescent="0.45">
      <c r="A246" s="3" t="s">
        <v>32</v>
      </c>
      <c r="B246" s="3" t="s">
        <v>3814</v>
      </c>
      <c r="C246" s="3" t="s">
        <v>6916</v>
      </c>
      <c r="D246" s="3" t="s">
        <v>6917</v>
      </c>
      <c r="E246" s="100" t="s">
        <v>3817</v>
      </c>
      <c r="F246" s="3" t="s">
        <v>5388</v>
      </c>
      <c r="G246" s="4"/>
      <c r="H246" s="5"/>
      <c r="I246" s="91"/>
      <c r="J246" s="91"/>
      <c r="K246" s="91"/>
      <c r="L246" s="3"/>
      <c r="M246" s="3" t="s">
        <v>3966</v>
      </c>
      <c r="N246" s="3" t="s">
        <v>6918</v>
      </c>
      <c r="O246" t="s">
        <v>3821</v>
      </c>
      <c r="P246" s="3" t="s">
        <v>4008</v>
      </c>
      <c r="Q246">
        <v>46268</v>
      </c>
      <c r="R246" s="3">
        <v>726</v>
      </c>
      <c r="S246" s="3" t="s">
        <v>3823</v>
      </c>
      <c r="T246" s="3">
        <v>54</v>
      </c>
      <c r="U246" s="3" t="s">
        <v>5808</v>
      </c>
      <c r="V246" s="3" t="s">
        <v>5809</v>
      </c>
      <c r="W246" s="3">
        <v>1280.0640000000001</v>
      </c>
      <c r="X246" s="3">
        <v>46319</v>
      </c>
      <c r="Y246" s="3">
        <v>46312</v>
      </c>
      <c r="AA246" t="s">
        <v>3826</v>
      </c>
      <c r="AB246" t="s">
        <v>3827</v>
      </c>
      <c r="AC246" s="3" t="s">
        <v>7258</v>
      </c>
      <c r="AD246" t="s">
        <v>4701</v>
      </c>
      <c r="AE246" t="s">
        <v>6921</v>
      </c>
      <c r="AF246" t="s">
        <v>3831</v>
      </c>
      <c r="AG246" t="s">
        <v>3832</v>
      </c>
      <c r="AH246" t="s">
        <v>3908</v>
      </c>
      <c r="AI246" t="s">
        <v>3834</v>
      </c>
      <c r="AJ246" t="s">
        <v>3835</v>
      </c>
      <c r="AK246" t="s">
        <v>3832</v>
      </c>
      <c r="AM246" s="3" t="s">
        <v>7274</v>
      </c>
      <c r="AN246" s="3"/>
      <c r="AO246" s="3"/>
      <c r="AP246" s="3"/>
      <c r="AQ246" s="3"/>
      <c r="AR246" s="3" t="s">
        <v>3814</v>
      </c>
      <c r="AS246" s="3"/>
      <c r="AT246" s="3"/>
      <c r="AU246" s="3"/>
      <c r="AV246" s="3"/>
      <c r="BC246" t="s">
        <v>32</v>
      </c>
      <c r="BD246" t="s">
        <v>3814</v>
      </c>
      <c r="BE246" t="s">
        <v>6916</v>
      </c>
      <c r="BF246" t="s">
        <v>6917</v>
      </c>
      <c r="BG246" t="s">
        <v>3817</v>
      </c>
      <c r="CW246" s="6" t="str" cm="1">
        <f t="array" ref="CW246">IFERROR(_xlfn.IFS(H246=TIME(7,0,0),"GY",H246=TIME(7,30,0),"GY",H246=TIME(9,0,0),"GY",H246=TIME(15,0,0),"GY",H246=TIME(8,30,0),"GY",H246=TIME(5,30,0),"GY",H246=TIME(6,0,0),"GD",H246=TIME(6,30,0),"GD",H246=TIME(8,0,0),"GY",H246=TIME(6,15,0),"GD"),"")</f>
        <v/>
      </c>
      <c r="EE246"/>
    </row>
    <row r="247" spans="1:135" x14ac:dyDescent="0.45">
      <c r="A247" s="3" t="s">
        <v>32</v>
      </c>
      <c r="B247" s="3" t="s">
        <v>3814</v>
      </c>
      <c r="C247" s="3" t="s">
        <v>6916</v>
      </c>
      <c r="D247" s="3" t="s">
        <v>6917</v>
      </c>
      <c r="E247" s="100" t="s">
        <v>3817</v>
      </c>
      <c r="F247" s="3" t="s">
        <v>5778</v>
      </c>
      <c r="G247" s="4"/>
      <c r="H247" s="5"/>
      <c r="I247" s="91"/>
      <c r="J247" s="91"/>
      <c r="K247" s="91"/>
      <c r="L247" s="3"/>
      <c r="M247" s="3" t="s">
        <v>3966</v>
      </c>
      <c r="N247" s="3" t="s">
        <v>6918</v>
      </c>
      <c r="O247" t="s">
        <v>3821</v>
      </c>
      <c r="P247" s="3" t="s">
        <v>4008</v>
      </c>
      <c r="Q247">
        <v>46268</v>
      </c>
      <c r="R247" s="3">
        <v>726</v>
      </c>
      <c r="S247" s="3" t="s">
        <v>3823</v>
      </c>
      <c r="T247" s="3">
        <v>92</v>
      </c>
      <c r="U247" s="3" t="s">
        <v>6922</v>
      </c>
      <c r="V247" s="3" t="s">
        <v>6923</v>
      </c>
      <c r="W247" s="3">
        <v>1474.3920000000001</v>
      </c>
      <c r="X247" s="3">
        <v>46319</v>
      </c>
      <c r="Y247" s="3">
        <v>46312</v>
      </c>
      <c r="AA247" t="s">
        <v>3826</v>
      </c>
      <c r="AB247" t="s">
        <v>3827</v>
      </c>
      <c r="AC247" s="3" t="s">
        <v>7258</v>
      </c>
      <c r="AD247" t="s">
        <v>4701</v>
      </c>
      <c r="AE247" t="s">
        <v>6921</v>
      </c>
      <c r="AF247" t="s">
        <v>3831</v>
      </c>
      <c r="AG247" t="s">
        <v>3832</v>
      </c>
      <c r="AH247" t="s">
        <v>3908</v>
      </c>
      <c r="AI247" t="s">
        <v>3834</v>
      </c>
      <c r="AJ247" t="s">
        <v>3835</v>
      </c>
      <c r="AK247" t="s">
        <v>3832</v>
      </c>
      <c r="AM247" s="3" t="s">
        <v>7274</v>
      </c>
      <c r="AN247" s="3"/>
      <c r="AO247" s="3"/>
      <c r="AP247" s="3"/>
      <c r="AQ247" s="3"/>
      <c r="AR247" s="3" t="s">
        <v>3814</v>
      </c>
      <c r="AS247" s="3"/>
      <c r="AT247" s="3"/>
      <c r="AU247" s="3"/>
      <c r="AV247" s="3"/>
      <c r="BC247" t="s">
        <v>32</v>
      </c>
      <c r="BD247" t="s">
        <v>3814</v>
      </c>
      <c r="BE247" t="s">
        <v>6916</v>
      </c>
      <c r="BF247" t="s">
        <v>6917</v>
      </c>
      <c r="BG247" t="s">
        <v>3817</v>
      </c>
      <c r="CW247" s="6" t="str" cm="1">
        <f t="array" ref="CW247">IFERROR(_xlfn.IFS(H247=TIME(7,0,0),"GY",H247=TIME(7,30,0),"GY",H247=TIME(9,0,0),"GY",H247=TIME(15,0,0),"GY",H247=TIME(8,30,0),"GY",H247=TIME(5,30,0),"GY",H247=TIME(6,0,0),"GD",H247=TIME(6,30,0),"GD",H247=TIME(8,0,0),"GY",H247=TIME(6,15,0),"GD"),"")</f>
        <v/>
      </c>
      <c r="EE247"/>
    </row>
    <row r="248" spans="1:135" x14ac:dyDescent="0.45">
      <c r="A248" s="3" t="s">
        <v>32</v>
      </c>
      <c r="B248" s="3" t="s">
        <v>3814</v>
      </c>
      <c r="C248" s="3" t="s">
        <v>6916</v>
      </c>
      <c r="D248" s="3" t="s">
        <v>6917</v>
      </c>
      <c r="E248" s="100" t="s">
        <v>3817</v>
      </c>
      <c r="F248" s="3" t="s">
        <v>5650</v>
      </c>
      <c r="G248" s="4"/>
      <c r="H248" s="5"/>
      <c r="I248" s="91"/>
      <c r="J248" s="91"/>
      <c r="K248" s="91"/>
      <c r="L248" s="3"/>
      <c r="M248" s="3" t="s">
        <v>3966</v>
      </c>
      <c r="N248" s="3" t="s">
        <v>6918</v>
      </c>
      <c r="O248" t="s">
        <v>3821</v>
      </c>
      <c r="P248" s="3" t="s">
        <v>4008</v>
      </c>
      <c r="Q248">
        <v>46268</v>
      </c>
      <c r="R248" s="3">
        <v>726</v>
      </c>
      <c r="S248" s="3" t="s">
        <v>3823</v>
      </c>
      <c r="T248" s="3">
        <v>40</v>
      </c>
      <c r="U248" s="3" t="s">
        <v>6924</v>
      </c>
      <c r="V248" s="3" t="s">
        <v>6925</v>
      </c>
      <c r="W248" s="3">
        <v>667.51</v>
      </c>
      <c r="X248" s="3">
        <v>46319</v>
      </c>
      <c r="Y248" s="3">
        <v>46312</v>
      </c>
      <c r="AA248" t="s">
        <v>3826</v>
      </c>
      <c r="AB248" t="s">
        <v>3827</v>
      </c>
      <c r="AC248" s="3" t="s">
        <v>7258</v>
      </c>
      <c r="AD248" t="s">
        <v>4701</v>
      </c>
      <c r="AE248" t="s">
        <v>6921</v>
      </c>
      <c r="AF248" t="s">
        <v>3831</v>
      </c>
      <c r="AG248" t="s">
        <v>3832</v>
      </c>
      <c r="AH248" t="s">
        <v>3908</v>
      </c>
      <c r="AI248" t="s">
        <v>3834</v>
      </c>
      <c r="AJ248" t="s">
        <v>3835</v>
      </c>
      <c r="AK248" t="s">
        <v>3832</v>
      </c>
      <c r="AM248" s="3" t="s">
        <v>7274</v>
      </c>
      <c r="AN248" s="3"/>
      <c r="AO248" s="3"/>
      <c r="AP248" s="3"/>
      <c r="AQ248" s="3"/>
      <c r="AR248" s="3" t="s">
        <v>3814</v>
      </c>
      <c r="AS248" s="3"/>
      <c r="AT248" s="3"/>
      <c r="AU248" s="3"/>
      <c r="AV248" s="3"/>
      <c r="BC248" t="s">
        <v>32</v>
      </c>
      <c r="BD248" t="s">
        <v>3814</v>
      </c>
      <c r="BE248" t="s">
        <v>6916</v>
      </c>
      <c r="BF248" t="s">
        <v>6917</v>
      </c>
      <c r="BG248" t="s">
        <v>3817</v>
      </c>
      <c r="CW248" s="6" t="str" cm="1">
        <f t="array" ref="CW248">IFERROR(_xlfn.IFS(H248=TIME(7,0,0),"GY",H248=TIME(7,30,0),"GY",H248=TIME(9,0,0),"GY",H248=TIME(15,0,0),"GY",H248=TIME(8,30,0),"GY",H248=TIME(5,30,0),"GY",H248=TIME(6,0,0),"GD",H248=TIME(6,30,0),"GD",H248=TIME(8,0,0),"GY",H248=TIME(6,15,0),"GD"),"")</f>
        <v/>
      </c>
      <c r="EE248"/>
    </row>
    <row r="249" spans="1:135" x14ac:dyDescent="0.45">
      <c r="A249" s="3" t="s">
        <v>32</v>
      </c>
      <c r="B249" s="3" t="s">
        <v>3814</v>
      </c>
      <c r="C249" s="3" t="s">
        <v>6916</v>
      </c>
      <c r="D249" s="3" t="s">
        <v>6917</v>
      </c>
      <c r="E249" s="100" t="s">
        <v>3817</v>
      </c>
      <c r="F249" s="3" t="s">
        <v>6061</v>
      </c>
      <c r="G249" s="4"/>
      <c r="H249" s="5"/>
      <c r="I249" s="91"/>
      <c r="J249" s="91"/>
      <c r="K249" s="91"/>
      <c r="L249" s="3"/>
      <c r="M249" s="3" t="s">
        <v>3966</v>
      </c>
      <c r="N249" s="3" t="s">
        <v>6918</v>
      </c>
      <c r="O249" t="s">
        <v>3821</v>
      </c>
      <c r="P249" s="3" t="s">
        <v>4008</v>
      </c>
      <c r="Q249">
        <v>46268</v>
      </c>
      <c r="R249" s="3">
        <v>726</v>
      </c>
      <c r="S249" s="3" t="s">
        <v>3823</v>
      </c>
      <c r="T249" s="3">
        <v>52</v>
      </c>
      <c r="U249" s="3" t="s">
        <v>6926</v>
      </c>
      <c r="V249" s="3" t="s">
        <v>6927</v>
      </c>
      <c r="W249" s="3">
        <v>890.8</v>
      </c>
      <c r="X249" s="3">
        <v>46319</v>
      </c>
      <c r="Y249" s="3">
        <v>46312</v>
      </c>
      <c r="AA249" t="s">
        <v>3826</v>
      </c>
      <c r="AB249" t="s">
        <v>3827</v>
      </c>
      <c r="AC249" s="3" t="s">
        <v>7258</v>
      </c>
      <c r="AD249" t="s">
        <v>4701</v>
      </c>
      <c r="AE249" t="s">
        <v>6921</v>
      </c>
      <c r="AF249" t="s">
        <v>3831</v>
      </c>
      <c r="AG249" t="s">
        <v>3832</v>
      </c>
      <c r="AH249" t="s">
        <v>3908</v>
      </c>
      <c r="AI249" t="s">
        <v>3834</v>
      </c>
      <c r="AJ249" t="s">
        <v>3835</v>
      </c>
      <c r="AK249" t="s">
        <v>3832</v>
      </c>
      <c r="AM249" s="3" t="s">
        <v>7274</v>
      </c>
      <c r="AN249" s="3"/>
      <c r="AO249" s="3"/>
      <c r="AP249" s="3"/>
      <c r="AQ249" s="3"/>
      <c r="AR249" s="3" t="s">
        <v>3814</v>
      </c>
      <c r="AS249" s="3"/>
      <c r="AT249" s="3"/>
      <c r="AU249" s="3"/>
      <c r="AV249" s="3"/>
      <c r="BC249" t="s">
        <v>32</v>
      </c>
      <c r="BD249" t="s">
        <v>3814</v>
      </c>
      <c r="BE249" t="s">
        <v>6916</v>
      </c>
      <c r="BF249" t="s">
        <v>6917</v>
      </c>
      <c r="BG249" t="s">
        <v>3817</v>
      </c>
      <c r="CW249" s="6" t="str" cm="1">
        <f t="array" ref="CW249">IFERROR(_xlfn.IFS(H249=TIME(7,0,0),"GY",H249=TIME(7,30,0),"GY",H249=TIME(9,0,0),"GY",H249=TIME(15,0,0),"GY",H249=TIME(8,30,0),"GY",H249=TIME(5,30,0),"GY",H249=TIME(6,0,0),"GD",H249=TIME(6,30,0),"GD",H249=TIME(8,0,0),"GY",H249=TIME(6,15,0),"GD"),"")</f>
        <v/>
      </c>
      <c r="EE249"/>
    </row>
    <row r="250" spans="1:135" x14ac:dyDescent="0.45">
      <c r="A250" s="3" t="s">
        <v>18</v>
      </c>
      <c r="B250" s="3" t="s">
        <v>0</v>
      </c>
      <c r="C250" s="3" t="s">
        <v>6758</v>
      </c>
      <c r="D250" s="3" t="s">
        <v>6759</v>
      </c>
      <c r="E250" s="100" t="s">
        <v>3817</v>
      </c>
      <c r="F250" s="3" t="s">
        <v>6760</v>
      </c>
      <c r="G250" s="4"/>
      <c r="H250" s="5"/>
      <c r="I250" s="91"/>
      <c r="J250" s="91"/>
      <c r="K250" s="91"/>
      <c r="L250" s="3"/>
      <c r="M250" s="3" t="s">
        <v>3819</v>
      </c>
      <c r="N250" s="3" t="s">
        <v>6761</v>
      </c>
      <c r="O250" t="s">
        <v>3867</v>
      </c>
      <c r="P250" s="3"/>
      <c r="Q250">
        <v>46275</v>
      </c>
      <c r="R250" s="3">
        <v>726</v>
      </c>
      <c r="S250" s="3" t="s">
        <v>3823</v>
      </c>
      <c r="T250" s="3">
        <v>6516</v>
      </c>
      <c r="U250" s="3" t="s">
        <v>6762</v>
      </c>
      <c r="V250" s="3" t="s">
        <v>6763</v>
      </c>
      <c r="W250" s="3">
        <v>7068.5020000000004</v>
      </c>
      <c r="X250" s="3">
        <v>46310</v>
      </c>
      <c r="Y250" s="3">
        <v>46312</v>
      </c>
      <c r="AA250" t="s">
        <v>3870</v>
      </c>
      <c r="AB250" t="s">
        <v>3871</v>
      </c>
      <c r="AC250" s="3" t="s">
        <v>6764</v>
      </c>
      <c r="AD250" t="s">
        <v>6765</v>
      </c>
      <c r="AE250" t="s">
        <v>6766</v>
      </c>
      <c r="AF250" t="s">
        <v>3831</v>
      </c>
      <c r="AG250" t="s">
        <v>3832</v>
      </c>
      <c r="AH250" t="s">
        <v>3875</v>
      </c>
      <c r="AI250" t="s">
        <v>3834</v>
      </c>
      <c r="AJ250" t="s">
        <v>3835</v>
      </c>
      <c r="AK250" t="s">
        <v>3832</v>
      </c>
      <c r="AM250" s="3" t="s">
        <v>6822</v>
      </c>
      <c r="AN250" s="3"/>
      <c r="AO250" s="3"/>
      <c r="AP250" s="3"/>
      <c r="AQ250" s="3"/>
      <c r="AR250" s="3"/>
      <c r="AS250" s="3"/>
      <c r="AT250" s="3"/>
      <c r="AU250" s="3"/>
      <c r="AV250" s="3"/>
      <c r="BC250" t="s">
        <v>18</v>
      </c>
      <c r="BD250" t="s">
        <v>0</v>
      </c>
      <c r="BE250" t="s">
        <v>6758</v>
      </c>
      <c r="BF250" t="s">
        <v>6759</v>
      </c>
      <c r="BG250" t="s">
        <v>3817</v>
      </c>
      <c r="CW250" s="6" t="str" cm="1">
        <f t="array" ref="CW250">IFERROR(_xlfn.IFS(H250=TIME(7,0,0),"GY",H250=TIME(7,30,0),"GY",H250=TIME(9,0,0),"GY",H250=TIME(15,0,0),"GY",H250=TIME(8,30,0),"GY",H250=TIME(5,30,0),"GY",H250=TIME(6,0,0),"GD",H250=TIME(6,30,0),"GD",H250=TIME(8,0,0),"GY",H250=TIME(6,15,0),"GD"),"")</f>
        <v/>
      </c>
      <c r="EE250"/>
    </row>
    <row r="251" spans="1:135" x14ac:dyDescent="0.45">
      <c r="A251" s="3" t="s">
        <v>18</v>
      </c>
      <c r="B251" s="3" t="s">
        <v>0</v>
      </c>
      <c r="C251" s="3" t="s">
        <v>6758</v>
      </c>
      <c r="D251" s="3" t="s">
        <v>6759</v>
      </c>
      <c r="E251" s="100" t="s">
        <v>3817</v>
      </c>
      <c r="F251" s="3" t="s">
        <v>6767</v>
      </c>
      <c r="G251" s="4"/>
      <c r="H251" s="5"/>
      <c r="I251" s="91"/>
      <c r="J251" s="91"/>
      <c r="K251" s="91"/>
      <c r="L251" s="3"/>
      <c r="M251" s="3" t="s">
        <v>3819</v>
      </c>
      <c r="N251" s="3" t="s">
        <v>6761</v>
      </c>
      <c r="O251" t="s">
        <v>3867</v>
      </c>
      <c r="P251" s="3"/>
      <c r="Q251">
        <v>46275</v>
      </c>
      <c r="R251" s="3">
        <v>726</v>
      </c>
      <c r="S251" s="3" t="s">
        <v>3823</v>
      </c>
      <c r="T251" s="3">
        <v>2693</v>
      </c>
      <c r="U251" s="3" t="s">
        <v>6768</v>
      </c>
      <c r="V251" s="3" t="s">
        <v>6769</v>
      </c>
      <c r="W251" s="3">
        <v>522.81899999999996</v>
      </c>
      <c r="X251" s="3">
        <v>46310</v>
      </c>
      <c r="Y251" s="3">
        <v>46312</v>
      </c>
      <c r="AA251" t="s">
        <v>3870</v>
      </c>
      <c r="AB251" t="s">
        <v>3871</v>
      </c>
      <c r="AC251" s="3" t="s">
        <v>6764</v>
      </c>
      <c r="AD251" t="s">
        <v>6765</v>
      </c>
      <c r="AE251" t="s">
        <v>6766</v>
      </c>
      <c r="AF251" t="s">
        <v>3831</v>
      </c>
      <c r="AG251" t="s">
        <v>3832</v>
      </c>
      <c r="AH251" t="s">
        <v>3875</v>
      </c>
      <c r="AI251" t="s">
        <v>3834</v>
      </c>
      <c r="AJ251" t="s">
        <v>3835</v>
      </c>
      <c r="AK251" t="s">
        <v>3832</v>
      </c>
      <c r="AM251" s="3" t="s">
        <v>6822</v>
      </c>
      <c r="AN251" s="3"/>
      <c r="AO251" s="3"/>
      <c r="AP251" s="3"/>
      <c r="AQ251" s="3"/>
      <c r="AR251" s="3"/>
      <c r="AS251" s="3"/>
      <c r="AT251" s="3"/>
      <c r="AU251" s="3"/>
      <c r="AV251" s="3"/>
      <c r="BC251" t="s">
        <v>18</v>
      </c>
      <c r="BD251" t="s">
        <v>0</v>
      </c>
      <c r="BE251" t="s">
        <v>6758</v>
      </c>
      <c r="BF251" t="s">
        <v>6759</v>
      </c>
      <c r="BG251" t="s">
        <v>3817</v>
      </c>
      <c r="CW251" s="6" t="str" cm="1">
        <f t="array" ref="CW251">IFERROR(_xlfn.IFS(H251=TIME(7,0,0),"GY",H251=TIME(7,30,0),"GY",H251=TIME(9,0,0),"GY",H251=TIME(15,0,0),"GY",H251=TIME(8,30,0),"GY",H251=TIME(5,30,0),"GY",H251=TIME(6,0,0),"GD",H251=TIME(6,30,0),"GD",H251=TIME(8,0,0),"GY",H251=TIME(6,15,0),"GD"),"")</f>
        <v/>
      </c>
      <c r="EE251"/>
    </row>
    <row r="252" spans="1:135" x14ac:dyDescent="0.45">
      <c r="A252" s="3" t="s">
        <v>32</v>
      </c>
      <c r="B252" s="3" t="s">
        <v>3814</v>
      </c>
      <c r="C252" s="3" t="s">
        <v>6611</v>
      </c>
      <c r="D252" s="3" t="s">
        <v>6612</v>
      </c>
      <c r="E252" s="100" t="s">
        <v>3817</v>
      </c>
      <c r="F252" s="3" t="s">
        <v>102</v>
      </c>
      <c r="G252" s="4"/>
      <c r="H252" s="5"/>
      <c r="I252" s="91"/>
      <c r="J252" s="91"/>
      <c r="K252" s="91"/>
      <c r="L252" s="3"/>
      <c r="M252" s="3" t="s">
        <v>3819</v>
      </c>
      <c r="N252" s="3" t="s">
        <v>6613</v>
      </c>
      <c r="O252" t="s">
        <v>3819</v>
      </c>
      <c r="P252" s="3" t="s">
        <v>4697</v>
      </c>
      <c r="Q252">
        <v>46269</v>
      </c>
      <c r="R252" s="3">
        <v>726</v>
      </c>
      <c r="S252" s="3" t="s">
        <v>3823</v>
      </c>
      <c r="T252" s="3">
        <v>42</v>
      </c>
      <c r="U252" s="3" t="s">
        <v>6614</v>
      </c>
      <c r="V252" s="3" t="s">
        <v>6615</v>
      </c>
      <c r="W252" s="3">
        <v>318.32</v>
      </c>
      <c r="X252" s="3">
        <v>46317</v>
      </c>
      <c r="Y252" s="3">
        <v>46317</v>
      </c>
      <c r="Z252">
        <v>46292</v>
      </c>
      <c r="AA252" t="s">
        <v>3826</v>
      </c>
      <c r="AB252" t="s">
        <v>3827</v>
      </c>
      <c r="AC252" s="3" t="s">
        <v>6616</v>
      </c>
      <c r="AD252" t="s">
        <v>4695</v>
      </c>
      <c r="AE252" t="s">
        <v>6617</v>
      </c>
      <c r="AF252" t="s">
        <v>3831</v>
      </c>
      <c r="AG252" t="s">
        <v>3832</v>
      </c>
      <c r="AH252" t="s">
        <v>4700</v>
      </c>
      <c r="AI252" t="s">
        <v>3834</v>
      </c>
      <c r="AJ252" t="s">
        <v>3835</v>
      </c>
      <c r="AK252" t="s">
        <v>3832</v>
      </c>
      <c r="AM252" s="3" t="s">
        <v>6771</v>
      </c>
      <c r="AN252" s="3"/>
      <c r="AO252" s="3"/>
      <c r="AP252" s="3"/>
      <c r="AQ252" s="3"/>
      <c r="AR252" s="3" t="s">
        <v>3814</v>
      </c>
      <c r="AS252" s="3"/>
      <c r="AT252" s="3"/>
      <c r="AU252" s="3"/>
      <c r="AV252" s="3"/>
      <c r="BC252" t="s">
        <v>32</v>
      </c>
      <c r="BD252" t="s">
        <v>3814</v>
      </c>
      <c r="BE252" t="s">
        <v>6611</v>
      </c>
      <c r="BF252" t="s">
        <v>6612</v>
      </c>
      <c r="BG252" t="s">
        <v>3817</v>
      </c>
      <c r="CW252" s="6" t="str" cm="1">
        <f t="array" ref="CW252">IFERROR(_xlfn.IFS(H252=TIME(7,0,0),"GY",H252=TIME(7,30,0),"GY",H252=TIME(9,0,0),"GY",H252=TIME(15,0,0),"GY",H252=TIME(8,30,0),"GY",H252=TIME(5,30,0),"GY",H252=TIME(6,0,0),"GD",H252=TIME(6,30,0),"GD",H252=TIME(8,0,0),"GY",H252=TIME(6,15,0),"GD"),"")</f>
        <v/>
      </c>
      <c r="EE252"/>
    </row>
    <row r="253" spans="1:135" x14ac:dyDescent="0.45">
      <c r="A253" s="14" t="s">
        <v>32</v>
      </c>
      <c r="B253" s="14" t="s">
        <v>3814</v>
      </c>
      <c r="C253" s="14" t="s">
        <v>6618</v>
      </c>
      <c r="D253" s="14" t="s">
        <v>6619</v>
      </c>
      <c r="E253" s="100" t="s">
        <v>3817</v>
      </c>
      <c r="F253" s="14" t="s">
        <v>5447</v>
      </c>
      <c r="G253" s="4"/>
      <c r="H253" s="5"/>
      <c r="I253" s="91"/>
      <c r="J253" s="91"/>
      <c r="K253" s="91"/>
      <c r="L253" s="14"/>
      <c r="M253" s="14" t="s">
        <v>3819</v>
      </c>
      <c r="N253" s="14" t="s">
        <v>6620</v>
      </c>
      <c r="O253" s="29" t="s">
        <v>3821</v>
      </c>
      <c r="P253" s="14" t="s">
        <v>3822</v>
      </c>
      <c r="Q253" s="29">
        <v>46275</v>
      </c>
      <c r="R253" s="14">
        <v>726</v>
      </c>
      <c r="S253" s="14" t="s">
        <v>3823</v>
      </c>
      <c r="T253" s="14">
        <v>65</v>
      </c>
      <c r="U253" s="14" t="s">
        <v>6621</v>
      </c>
      <c r="V253" s="14" t="s">
        <v>6622</v>
      </c>
      <c r="W253" s="14">
        <v>1106.6199999999999</v>
      </c>
      <c r="X253" s="14">
        <v>46312</v>
      </c>
      <c r="Y253" s="14">
        <v>46317</v>
      </c>
      <c r="Z253" s="29"/>
      <c r="AA253" s="29" t="s">
        <v>3826</v>
      </c>
      <c r="AB253" s="29" t="s">
        <v>3827</v>
      </c>
      <c r="AC253" s="14" t="s">
        <v>6623</v>
      </c>
      <c r="AD253" s="29" t="s">
        <v>4695</v>
      </c>
      <c r="AE253" s="29" t="s">
        <v>6617</v>
      </c>
      <c r="AF253" s="29" t="s">
        <v>3831</v>
      </c>
      <c r="AG253" s="29" t="s">
        <v>3832</v>
      </c>
      <c r="AH253" s="29" t="s">
        <v>3833</v>
      </c>
      <c r="AI253" s="29" t="s">
        <v>3834</v>
      </c>
      <c r="AJ253" s="29" t="s">
        <v>3835</v>
      </c>
      <c r="AK253" s="29" t="s">
        <v>3832</v>
      </c>
      <c r="AL253" s="29"/>
      <c r="AM253" s="14" t="s">
        <v>6772</v>
      </c>
      <c r="AN253" s="14"/>
      <c r="AO253" s="14"/>
      <c r="AP253" s="14"/>
      <c r="AQ253" s="14"/>
      <c r="AR253" s="14" t="s">
        <v>3814</v>
      </c>
      <c r="AS253" s="14"/>
      <c r="AT253" s="14"/>
      <c r="AU253" s="14"/>
      <c r="AV253" s="14"/>
      <c r="AW253" s="29"/>
      <c r="AX253" s="29"/>
      <c r="AY253" s="29"/>
      <c r="AZ253" s="29"/>
      <c r="BA253" s="29"/>
      <c r="BB253" s="29"/>
      <c r="BC253" s="29" t="s">
        <v>32</v>
      </c>
      <c r="BD253" s="29" t="s">
        <v>3814</v>
      </c>
      <c r="BE253" s="29" t="s">
        <v>6618</v>
      </c>
      <c r="BF253" s="29" t="s">
        <v>6619</v>
      </c>
      <c r="BG253" s="29" t="s">
        <v>3817</v>
      </c>
      <c r="BH253" s="29"/>
      <c r="BI253" s="29"/>
      <c r="BJ253" s="29"/>
      <c r="BK253" s="29"/>
      <c r="BL253" s="29"/>
      <c r="BM253" s="29"/>
      <c r="BN253" s="29"/>
      <c r="CW253" s="6" t="str" cm="1">
        <f t="array" ref="CW253">IFERROR(_xlfn.IFS(H253=TIME(7,0,0),"GY",H253=TIME(7,30,0),"GY",H253=TIME(9,0,0),"GY",H253=TIME(15,0,0),"GY",H253=TIME(8,30,0),"GY",H253=TIME(5,30,0),"GY",H253=TIME(6,0,0),"GD",H253=TIME(6,30,0),"GD",H253=TIME(8,0,0),"GY",H253=TIME(6,15,0),"GD"),"")</f>
        <v/>
      </c>
      <c r="EE253"/>
    </row>
    <row r="254" spans="1:135" x14ac:dyDescent="0.45">
      <c r="A254" s="3" t="s">
        <v>32</v>
      </c>
      <c r="B254" s="3" t="s">
        <v>3814</v>
      </c>
      <c r="C254" s="3" t="s">
        <v>6640</v>
      </c>
      <c r="D254" s="3" t="s">
        <v>6641</v>
      </c>
      <c r="E254" s="100" t="s">
        <v>3817</v>
      </c>
      <c r="F254" s="3" t="s">
        <v>5779</v>
      </c>
      <c r="G254" s="4"/>
      <c r="H254" s="5"/>
      <c r="I254" s="91"/>
      <c r="J254" s="91"/>
      <c r="K254" s="91"/>
      <c r="L254" s="3"/>
      <c r="M254" s="3" t="s">
        <v>3819</v>
      </c>
      <c r="N254" s="3" t="s">
        <v>6642</v>
      </c>
      <c r="O254" t="s">
        <v>3821</v>
      </c>
      <c r="P254" s="3" t="s">
        <v>6635</v>
      </c>
      <c r="Q254">
        <v>46281</v>
      </c>
      <c r="R254" s="3">
        <v>726</v>
      </c>
      <c r="S254" s="3" t="s">
        <v>3823</v>
      </c>
      <c r="T254" s="3">
        <v>70</v>
      </c>
      <c r="U254" s="3" t="s">
        <v>6643</v>
      </c>
      <c r="V254" s="3" t="s">
        <v>6644</v>
      </c>
      <c r="W254" s="3">
        <v>1566.02</v>
      </c>
      <c r="X254" s="3">
        <v>46312</v>
      </c>
      <c r="Y254" s="3">
        <v>46317</v>
      </c>
      <c r="AA254" t="s">
        <v>3826</v>
      </c>
      <c r="AB254" t="s">
        <v>3827</v>
      </c>
      <c r="AC254" s="3" t="s">
        <v>6645</v>
      </c>
      <c r="AD254" t="s">
        <v>4695</v>
      </c>
      <c r="AE254" t="s">
        <v>6617</v>
      </c>
      <c r="AF254" t="s">
        <v>3831</v>
      </c>
      <c r="AG254" t="s">
        <v>3832</v>
      </c>
      <c r="AH254" t="s">
        <v>3833</v>
      </c>
      <c r="AI254" t="s">
        <v>3834</v>
      </c>
      <c r="AJ254" t="s">
        <v>3835</v>
      </c>
      <c r="AK254" t="s">
        <v>3832</v>
      </c>
      <c r="AM254" s="3" t="s">
        <v>6775</v>
      </c>
      <c r="AN254" s="3"/>
      <c r="AO254" s="3"/>
      <c r="AP254" s="3"/>
      <c r="AQ254" s="3"/>
      <c r="AR254" s="3" t="s">
        <v>3814</v>
      </c>
      <c r="AS254" s="3"/>
      <c r="AT254" s="3"/>
      <c r="AU254" s="3"/>
      <c r="AV254" s="3"/>
      <c r="BC254" t="s">
        <v>32</v>
      </c>
      <c r="BD254" t="s">
        <v>3814</v>
      </c>
      <c r="BE254" t="s">
        <v>6640</v>
      </c>
      <c r="BF254" t="s">
        <v>6641</v>
      </c>
      <c r="BG254" t="s">
        <v>3817</v>
      </c>
      <c r="CW254" s="6" t="str" cm="1">
        <f t="array" ref="CW254">IFERROR(_xlfn.IFS(H254=TIME(7,0,0),"GY",H254=TIME(7,30,0),"GY",H254=TIME(9,0,0),"GY",H254=TIME(15,0,0),"GY",H254=TIME(8,30,0),"GY",H254=TIME(5,30,0),"GY",H254=TIME(6,0,0),"GD",H254=TIME(6,30,0),"GD",H254=TIME(8,0,0),"GY",H254=TIME(6,15,0),"GD"),"")</f>
        <v/>
      </c>
      <c r="EE254"/>
    </row>
    <row r="255" spans="1:135" x14ac:dyDescent="0.45">
      <c r="A255" s="3" t="s">
        <v>32</v>
      </c>
      <c r="B255" s="3" t="s">
        <v>0</v>
      </c>
      <c r="C255" s="3" t="s">
        <v>5864</v>
      </c>
      <c r="D255" s="3" t="s">
        <v>5865</v>
      </c>
      <c r="E255" s="100" t="s">
        <v>3947</v>
      </c>
      <c r="F255" s="3" t="s">
        <v>5322</v>
      </c>
      <c r="G255" s="4"/>
      <c r="H255" s="5"/>
      <c r="I255" s="91"/>
      <c r="J255" s="91"/>
      <c r="K255" s="91"/>
      <c r="L255" s="3"/>
      <c r="M255" s="3" t="s">
        <v>3819</v>
      </c>
      <c r="N255" s="3" t="s">
        <v>5866</v>
      </c>
      <c r="O255" t="s">
        <v>3867</v>
      </c>
      <c r="P255" s="3" t="s">
        <v>4703</v>
      </c>
      <c r="Q255">
        <v>46272</v>
      </c>
      <c r="R255" s="3">
        <v>726</v>
      </c>
      <c r="S255" s="3" t="s">
        <v>3823</v>
      </c>
      <c r="T255" s="3">
        <v>3068</v>
      </c>
      <c r="U255" s="3" t="s">
        <v>5867</v>
      </c>
      <c r="V255" s="3" t="s">
        <v>5868</v>
      </c>
      <c r="W255" s="3">
        <v>1420.86</v>
      </c>
      <c r="X255" s="3">
        <v>46311</v>
      </c>
      <c r="Y255" s="3">
        <v>46309</v>
      </c>
      <c r="AA255" t="s">
        <v>3826</v>
      </c>
      <c r="AB255" t="s">
        <v>3827</v>
      </c>
      <c r="AC255" s="3" t="s">
        <v>6208</v>
      </c>
      <c r="AD255" t="s">
        <v>4847</v>
      </c>
      <c r="AE255" t="s">
        <v>5104</v>
      </c>
      <c r="AF255" t="s">
        <v>4705</v>
      </c>
      <c r="AG255" t="s">
        <v>3832</v>
      </c>
      <c r="AH255" t="s">
        <v>4706</v>
      </c>
      <c r="AI255" t="s">
        <v>3834</v>
      </c>
      <c r="AJ255" t="s">
        <v>3835</v>
      </c>
      <c r="AK255" t="s">
        <v>3832</v>
      </c>
      <c r="AM255" s="3" t="s">
        <v>6092</v>
      </c>
      <c r="AN255" s="3"/>
      <c r="AO255" s="3"/>
      <c r="AP255" s="3"/>
      <c r="AQ255" s="3"/>
      <c r="AR255" s="3"/>
      <c r="AS255" s="3"/>
      <c r="AT255" s="3"/>
      <c r="AU255" s="3"/>
      <c r="AV255" s="3"/>
      <c r="BC255" t="s">
        <v>32</v>
      </c>
      <c r="BD255" t="s">
        <v>0</v>
      </c>
      <c r="BE255" t="s">
        <v>5864</v>
      </c>
      <c r="BF255" t="s">
        <v>5865</v>
      </c>
      <c r="BG255" t="s">
        <v>3947</v>
      </c>
      <c r="CW255" s="6" t="str" cm="1">
        <f t="array" ref="CW255">IFERROR(_xlfn.IFS(H255=TIME(7,0,0),"GY",H255=TIME(7,30,0),"GY",H255=TIME(9,0,0),"GY",H255=TIME(15,0,0),"GY",H255=TIME(8,30,0),"GY",H255=TIME(5,30,0),"GY",H255=TIME(6,0,0),"GD",H255=TIME(6,30,0),"GD",H255=TIME(8,0,0),"GY",H255=TIME(6,15,0),"GD"),"")</f>
        <v/>
      </c>
      <c r="EE255"/>
    </row>
    <row r="256" spans="1:135" x14ac:dyDescent="0.45">
      <c r="A256" s="3" t="s">
        <v>18</v>
      </c>
      <c r="B256" s="3"/>
      <c r="C256" s="3" t="s">
        <v>7804</v>
      </c>
      <c r="D256" s="3" t="s">
        <v>7805</v>
      </c>
      <c r="E256" s="100" t="s">
        <v>3817</v>
      </c>
      <c r="F256" s="3" t="s">
        <v>7806</v>
      </c>
      <c r="G256" s="4"/>
      <c r="H256" s="5"/>
      <c r="I256" s="91"/>
      <c r="J256" s="91"/>
      <c r="K256" s="91"/>
      <c r="L256" s="3"/>
      <c r="M256" s="3" t="s">
        <v>3819</v>
      </c>
      <c r="N256" s="3" t="s">
        <v>7807</v>
      </c>
      <c r="O256" t="s">
        <v>3867</v>
      </c>
      <c r="P256" s="3" t="s">
        <v>3852</v>
      </c>
      <c r="Q256">
        <v>46304</v>
      </c>
      <c r="R256" s="3">
        <v>726</v>
      </c>
      <c r="S256" s="3" t="s">
        <v>3823</v>
      </c>
      <c r="T256" s="3">
        <v>11292</v>
      </c>
      <c r="U256" s="3" t="s">
        <v>7808</v>
      </c>
      <c r="V256" s="3" t="s">
        <v>7809</v>
      </c>
      <c r="W256" s="3">
        <v>11076.9</v>
      </c>
      <c r="X256" s="3">
        <v>46322</v>
      </c>
      <c r="Y256" s="3">
        <v>46322</v>
      </c>
      <c r="AA256" t="s">
        <v>3826</v>
      </c>
      <c r="AB256" t="s">
        <v>3827</v>
      </c>
      <c r="AC256" s="3" t="s">
        <v>7810</v>
      </c>
      <c r="AD256" t="s">
        <v>7811</v>
      </c>
      <c r="AE256" t="s">
        <v>7812</v>
      </c>
      <c r="AF256" t="s">
        <v>3831</v>
      </c>
      <c r="AG256" t="s">
        <v>3832</v>
      </c>
      <c r="AH256" t="s">
        <v>3908</v>
      </c>
      <c r="AI256" t="s">
        <v>3834</v>
      </c>
      <c r="AJ256" t="s">
        <v>3956</v>
      </c>
      <c r="AK256" t="s">
        <v>3832</v>
      </c>
      <c r="AM256" s="3" t="s">
        <v>7930</v>
      </c>
      <c r="AN256" s="3"/>
      <c r="AO256" s="3"/>
      <c r="AP256" s="3"/>
      <c r="AQ256" s="3"/>
      <c r="AR256" s="3"/>
      <c r="AS256" s="3"/>
      <c r="AT256" s="3"/>
      <c r="AU256" s="3"/>
      <c r="AV256" s="3"/>
      <c r="BC256" t="s">
        <v>18</v>
      </c>
      <c r="BE256" t="s">
        <v>7804</v>
      </c>
      <c r="BF256" t="s">
        <v>7805</v>
      </c>
      <c r="BG256" t="s">
        <v>3817</v>
      </c>
      <c r="CW256" s="6" t="str" cm="1">
        <f t="array" ref="CW256">IFERROR(_xlfn.IFS(H256=TIME(7,0,0),"GY",H256=TIME(7,30,0),"GY",H256=TIME(9,0,0),"GY",H256=TIME(15,0,0),"GY",H256=TIME(8,30,0),"GY",H256=TIME(5,30,0),"GY",H256=TIME(6,0,0),"GD",H256=TIME(6,30,0),"GD",H256=TIME(8,0,0),"GY",H256=TIME(6,15,0),"GD"),"")</f>
        <v/>
      </c>
      <c r="EE256"/>
    </row>
    <row r="257" spans="1:135" x14ac:dyDescent="0.45">
      <c r="A257" s="3" t="s">
        <v>18</v>
      </c>
      <c r="B257" s="3"/>
      <c r="C257" s="3" t="s">
        <v>7804</v>
      </c>
      <c r="D257" s="3" t="s">
        <v>7805</v>
      </c>
      <c r="E257" s="100" t="s">
        <v>3817</v>
      </c>
      <c r="F257" s="3" t="s">
        <v>7813</v>
      </c>
      <c r="G257" s="4"/>
      <c r="H257" s="5"/>
      <c r="I257" s="91"/>
      <c r="J257" s="91"/>
      <c r="K257" s="91"/>
      <c r="L257" s="3"/>
      <c r="M257" s="3" t="s">
        <v>3819</v>
      </c>
      <c r="N257" s="3" t="s">
        <v>7807</v>
      </c>
      <c r="O257" t="s">
        <v>3867</v>
      </c>
      <c r="P257" s="3" t="s">
        <v>3852</v>
      </c>
      <c r="Q257">
        <v>46304</v>
      </c>
      <c r="R257" s="3">
        <v>726</v>
      </c>
      <c r="S257" s="3" t="s">
        <v>3823</v>
      </c>
      <c r="T257" s="3">
        <v>52</v>
      </c>
      <c r="U257" s="3" t="s">
        <v>7814</v>
      </c>
      <c r="V257" s="3" t="s">
        <v>7815</v>
      </c>
      <c r="W257" s="3">
        <v>179.76400000000001</v>
      </c>
      <c r="X257" s="3">
        <v>46322</v>
      </c>
      <c r="Y257" s="3">
        <v>46322</v>
      </c>
      <c r="AA257" t="s">
        <v>3826</v>
      </c>
      <c r="AB257" t="s">
        <v>3827</v>
      </c>
      <c r="AC257" s="3" t="s">
        <v>7810</v>
      </c>
      <c r="AD257" t="s">
        <v>7811</v>
      </c>
      <c r="AE257" t="s">
        <v>7812</v>
      </c>
      <c r="AF257" t="s">
        <v>3831</v>
      </c>
      <c r="AG257" t="s">
        <v>3832</v>
      </c>
      <c r="AH257" t="s">
        <v>3908</v>
      </c>
      <c r="AI257" t="s">
        <v>3834</v>
      </c>
      <c r="AJ257" t="s">
        <v>3956</v>
      </c>
      <c r="AK257" t="s">
        <v>3832</v>
      </c>
      <c r="AM257" s="3" t="s">
        <v>7930</v>
      </c>
      <c r="AN257" s="3"/>
      <c r="AO257" s="3"/>
      <c r="AP257" s="3"/>
      <c r="AQ257" s="3"/>
      <c r="AR257" s="3"/>
      <c r="AS257" s="3"/>
      <c r="AT257" s="3"/>
      <c r="AU257" s="3"/>
      <c r="AV257" s="3"/>
      <c r="BC257" t="s">
        <v>18</v>
      </c>
      <c r="BE257" t="s">
        <v>7804</v>
      </c>
      <c r="BF257" t="s">
        <v>7805</v>
      </c>
      <c r="BG257" t="s">
        <v>3817</v>
      </c>
      <c r="CW257" s="6" t="str" cm="1">
        <f t="array" ref="CW257">IFERROR(_xlfn.IFS(H257=TIME(7,0,0),"GY",H257=TIME(7,30,0),"GY",H257=TIME(9,0,0),"GY",H257=TIME(15,0,0),"GY",H257=TIME(8,30,0),"GY",H257=TIME(5,30,0),"GY",H257=TIME(6,0,0),"GD",H257=TIME(6,30,0),"GD",H257=TIME(8,0,0),"GY",H257=TIME(6,15,0),"GD"),"")</f>
        <v/>
      </c>
      <c r="EE257"/>
    </row>
    <row r="258" spans="1:135" x14ac:dyDescent="0.45">
      <c r="A258" s="3" t="s">
        <v>18</v>
      </c>
      <c r="B258" s="3"/>
      <c r="C258" s="3" t="s">
        <v>6779</v>
      </c>
      <c r="D258" s="3" t="s">
        <v>6780</v>
      </c>
      <c r="E258" s="100" t="s">
        <v>3817</v>
      </c>
      <c r="F258" s="3" t="s">
        <v>6730</v>
      </c>
      <c r="G258" s="4"/>
      <c r="H258" s="5"/>
      <c r="I258" s="91">
        <v>46308</v>
      </c>
      <c r="J258" s="91"/>
      <c r="K258" s="91">
        <v>46305</v>
      </c>
      <c r="L258" s="3"/>
      <c r="M258" s="3" t="s">
        <v>3819</v>
      </c>
      <c r="N258" s="3" t="s">
        <v>6781</v>
      </c>
      <c r="O258" t="s">
        <v>3867</v>
      </c>
      <c r="P258" s="3"/>
      <c r="Q258">
        <v>46279</v>
      </c>
      <c r="R258" s="3">
        <v>726</v>
      </c>
      <c r="S258" s="3" t="s">
        <v>3823</v>
      </c>
      <c r="T258" s="3">
        <v>6167</v>
      </c>
      <c r="U258" s="3" t="s">
        <v>6782</v>
      </c>
      <c r="V258" s="3" t="s">
        <v>6783</v>
      </c>
      <c r="W258" s="3">
        <v>7481.8419999999996</v>
      </c>
      <c r="X258" s="3">
        <v>46301</v>
      </c>
      <c r="Y258" s="3">
        <v>46305</v>
      </c>
      <c r="AA258" t="s">
        <v>3826</v>
      </c>
      <c r="AB258" t="s">
        <v>3827</v>
      </c>
      <c r="AC258" s="3" t="s">
        <v>6784</v>
      </c>
      <c r="AD258" t="s">
        <v>3955</v>
      </c>
      <c r="AE258" t="s">
        <v>6631</v>
      </c>
      <c r="AF258" t="s">
        <v>3831</v>
      </c>
      <c r="AG258" t="s">
        <v>3832</v>
      </c>
      <c r="AH258" t="s">
        <v>3908</v>
      </c>
      <c r="AI258" t="s">
        <v>3834</v>
      </c>
      <c r="AJ258" t="s">
        <v>3956</v>
      </c>
      <c r="AK258" t="s">
        <v>3832</v>
      </c>
      <c r="AL258" t="s">
        <v>4245</v>
      </c>
      <c r="AM258" s="3" t="s">
        <v>6785</v>
      </c>
      <c r="AN258" s="3"/>
      <c r="AO258" s="3">
        <v>46308</v>
      </c>
      <c r="AP258" s="3"/>
      <c r="AQ258" s="3" t="s">
        <v>4037</v>
      </c>
      <c r="AR258" s="3"/>
      <c r="AS258" s="3" t="s">
        <v>3961</v>
      </c>
      <c r="AT258" s="3">
        <v>46319</v>
      </c>
      <c r="AU258" s="3"/>
      <c r="AV258" s="3"/>
      <c r="BC258" t="s">
        <v>18</v>
      </c>
      <c r="BE258" t="s">
        <v>6779</v>
      </c>
      <c r="BF258" t="s">
        <v>6780</v>
      </c>
      <c r="BG258" t="s">
        <v>3817</v>
      </c>
      <c r="CW258" s="6" t="str" cm="1">
        <f t="array" ref="CW258">IFERROR(_xlfn.IFS(H258=TIME(7,0,0),"GY",H258=TIME(7,30,0),"GY",H258=TIME(9,0,0),"GY",H258=TIME(15,0,0),"GY",H258=TIME(8,30,0),"GY",H258=TIME(5,30,0),"GY",H258=TIME(6,0,0),"GD",H258=TIME(6,30,0),"GD",H258=TIME(8,0,0),"GY",H258=TIME(6,15,0),"GD"),"")</f>
        <v/>
      </c>
      <c r="EE258"/>
    </row>
    <row r="259" spans="1:135" x14ac:dyDescent="0.45">
      <c r="A259" s="3" t="s">
        <v>18</v>
      </c>
      <c r="B259" s="3"/>
      <c r="C259" s="3" t="s">
        <v>6779</v>
      </c>
      <c r="D259" s="3" t="s">
        <v>6780</v>
      </c>
      <c r="E259" s="100" t="s">
        <v>3817</v>
      </c>
      <c r="F259" s="3" t="s">
        <v>6731</v>
      </c>
      <c r="G259" s="4"/>
      <c r="H259" s="5"/>
      <c r="I259" s="91">
        <v>46308</v>
      </c>
      <c r="J259" s="91"/>
      <c r="K259" s="91">
        <v>46305</v>
      </c>
      <c r="L259" s="3"/>
      <c r="M259" s="3" t="s">
        <v>3819</v>
      </c>
      <c r="N259" s="3" t="s">
        <v>6781</v>
      </c>
      <c r="O259" t="s">
        <v>3867</v>
      </c>
      <c r="P259" s="3"/>
      <c r="Q259">
        <v>46279</v>
      </c>
      <c r="R259" s="3">
        <v>726</v>
      </c>
      <c r="S259" s="3" t="s">
        <v>3823</v>
      </c>
      <c r="T259" s="3">
        <v>383</v>
      </c>
      <c r="U259" s="3" t="s">
        <v>6786</v>
      </c>
      <c r="V259" s="3" t="s">
        <v>6787</v>
      </c>
      <c r="W259" s="3">
        <v>1035.904</v>
      </c>
      <c r="X259" s="3">
        <v>46301</v>
      </c>
      <c r="Y259" s="3">
        <v>46305</v>
      </c>
      <c r="AA259" t="s">
        <v>3826</v>
      </c>
      <c r="AB259" t="s">
        <v>3827</v>
      </c>
      <c r="AC259" s="3" t="s">
        <v>6784</v>
      </c>
      <c r="AD259" t="s">
        <v>3955</v>
      </c>
      <c r="AE259" t="s">
        <v>6631</v>
      </c>
      <c r="AF259" t="s">
        <v>3831</v>
      </c>
      <c r="AG259" t="s">
        <v>3832</v>
      </c>
      <c r="AH259" t="s">
        <v>3908</v>
      </c>
      <c r="AI259" t="s">
        <v>3834</v>
      </c>
      <c r="AJ259" t="s">
        <v>3956</v>
      </c>
      <c r="AK259" t="s">
        <v>3832</v>
      </c>
      <c r="AL259" t="s">
        <v>4245</v>
      </c>
      <c r="AM259" s="3" t="s">
        <v>6785</v>
      </c>
      <c r="AN259" s="3"/>
      <c r="AO259" s="3">
        <v>46308</v>
      </c>
      <c r="AP259" s="3"/>
      <c r="AQ259" s="3" t="s">
        <v>4037</v>
      </c>
      <c r="AR259" s="3"/>
      <c r="AS259" s="3" t="s">
        <v>3961</v>
      </c>
      <c r="AT259" s="3">
        <v>46319</v>
      </c>
      <c r="AU259" s="3"/>
      <c r="AV259" s="3"/>
      <c r="BC259" t="s">
        <v>18</v>
      </c>
      <c r="BE259" t="s">
        <v>6779</v>
      </c>
      <c r="BF259" t="s">
        <v>6780</v>
      </c>
      <c r="BG259" t="s">
        <v>3817</v>
      </c>
      <c r="CW259" s="6" t="str" cm="1">
        <f t="array" ref="CW259">IFERROR(_xlfn.IFS(H259=TIME(7,0,0),"GY",H259=TIME(7,30,0),"GY",H259=TIME(9,0,0),"GY",H259=TIME(15,0,0),"GY",H259=TIME(8,30,0),"GY",H259=TIME(5,30,0),"GY",H259=TIME(6,0,0),"GD",H259=TIME(6,30,0),"GD",H259=TIME(8,0,0),"GY",H259=TIME(6,15,0),"GD"),"")</f>
        <v/>
      </c>
      <c r="EE259"/>
    </row>
    <row r="260" spans="1:135" x14ac:dyDescent="0.45">
      <c r="A260" s="3" t="s">
        <v>63</v>
      </c>
      <c r="B260" s="3"/>
      <c r="C260" s="3" t="s">
        <v>7393</v>
      </c>
      <c r="D260" s="3" t="s">
        <v>7394</v>
      </c>
      <c r="E260" s="100" t="s">
        <v>3817</v>
      </c>
      <c r="F260" s="3" t="s">
        <v>7395</v>
      </c>
      <c r="G260" s="4"/>
      <c r="H260" s="5"/>
      <c r="I260" s="91"/>
      <c r="J260" s="91"/>
      <c r="K260" s="91"/>
      <c r="L260" s="3"/>
      <c r="M260" s="3" t="s">
        <v>3819</v>
      </c>
      <c r="N260" s="3" t="s">
        <v>7396</v>
      </c>
      <c r="O260" t="s">
        <v>3867</v>
      </c>
      <c r="P260" s="3" t="s">
        <v>4030</v>
      </c>
      <c r="Q260">
        <v>46274</v>
      </c>
      <c r="R260" s="3">
        <v>726</v>
      </c>
      <c r="S260" s="3" t="s">
        <v>3823</v>
      </c>
      <c r="T260" s="3">
        <v>5015</v>
      </c>
      <c r="U260" s="3" t="s">
        <v>7397</v>
      </c>
      <c r="V260" s="3" t="s">
        <v>7398</v>
      </c>
      <c r="W260" s="3">
        <v>1930.45</v>
      </c>
      <c r="X260" s="3">
        <v>46313</v>
      </c>
      <c r="Y260" s="3">
        <v>46311</v>
      </c>
      <c r="AA260" t="s">
        <v>3826</v>
      </c>
      <c r="AB260" t="s">
        <v>3827</v>
      </c>
      <c r="AC260" s="3" t="s">
        <v>7399</v>
      </c>
      <c r="AD260" t="s">
        <v>4034</v>
      </c>
      <c r="AE260" t="s">
        <v>6945</v>
      </c>
      <c r="AF260" t="s">
        <v>3831</v>
      </c>
      <c r="AG260" t="s">
        <v>3832</v>
      </c>
      <c r="AH260" t="s">
        <v>3908</v>
      </c>
      <c r="AI260" t="s">
        <v>3834</v>
      </c>
      <c r="AJ260" t="s">
        <v>3956</v>
      </c>
      <c r="AK260" t="s">
        <v>3832</v>
      </c>
      <c r="AM260" s="3" t="s">
        <v>7732</v>
      </c>
      <c r="AN260" s="3"/>
      <c r="AO260" s="3"/>
      <c r="AP260" s="3"/>
      <c r="AQ260" s="3"/>
      <c r="AR260" s="3"/>
      <c r="AS260" s="3"/>
      <c r="AT260" s="3"/>
      <c r="AU260" s="3"/>
      <c r="AV260" s="3"/>
      <c r="BC260" t="s">
        <v>63</v>
      </c>
      <c r="BE260" t="s">
        <v>7393</v>
      </c>
      <c r="BF260" t="s">
        <v>7394</v>
      </c>
      <c r="BG260" t="s">
        <v>3817</v>
      </c>
      <c r="CW260" s="6" t="str" cm="1">
        <f t="array" ref="CW260">IFERROR(_xlfn.IFS(H260=TIME(7,0,0),"GY",H260=TIME(7,30,0),"GY",H260=TIME(9,0,0),"GY",H260=TIME(15,0,0),"GY",H260=TIME(8,30,0),"GY",H260=TIME(5,30,0),"GY",H260=TIME(6,0,0),"GD",H260=TIME(6,30,0),"GD",H260=TIME(8,0,0),"GY",H260=TIME(6,15,0),"GD"),"")</f>
        <v/>
      </c>
      <c r="EE260"/>
    </row>
    <row r="261" spans="1:135" x14ac:dyDescent="0.45">
      <c r="A261" s="3" t="s">
        <v>63</v>
      </c>
      <c r="B261" s="3"/>
      <c r="C261" s="3" t="s">
        <v>7393</v>
      </c>
      <c r="D261" s="3" t="s">
        <v>7394</v>
      </c>
      <c r="E261" s="100" t="s">
        <v>3817</v>
      </c>
      <c r="F261" s="3" t="s">
        <v>7400</v>
      </c>
      <c r="G261" s="4"/>
      <c r="H261" s="5"/>
      <c r="I261" s="91"/>
      <c r="J261" s="91"/>
      <c r="K261" s="91"/>
      <c r="L261" s="3"/>
      <c r="M261" s="3" t="s">
        <v>3819</v>
      </c>
      <c r="N261" s="3" t="s">
        <v>7396</v>
      </c>
      <c r="O261" t="s">
        <v>3867</v>
      </c>
      <c r="P261" s="3" t="s">
        <v>4030</v>
      </c>
      <c r="Q261">
        <v>46274</v>
      </c>
      <c r="R261" s="3">
        <v>726</v>
      </c>
      <c r="S261" s="3" t="s">
        <v>3823</v>
      </c>
      <c r="T261" s="3">
        <v>8722</v>
      </c>
      <c r="U261" s="3" t="s">
        <v>7401</v>
      </c>
      <c r="V261" s="3" t="s">
        <v>7402</v>
      </c>
      <c r="W261" s="3">
        <v>7791.5860000000002</v>
      </c>
      <c r="X261" s="3">
        <v>46313</v>
      </c>
      <c r="Y261" s="3">
        <v>46311</v>
      </c>
      <c r="AA261" t="s">
        <v>3826</v>
      </c>
      <c r="AB261" t="s">
        <v>3827</v>
      </c>
      <c r="AC261" s="3" t="s">
        <v>7399</v>
      </c>
      <c r="AD261" t="s">
        <v>4034</v>
      </c>
      <c r="AE261" t="s">
        <v>6945</v>
      </c>
      <c r="AF261" t="s">
        <v>3831</v>
      </c>
      <c r="AG261" t="s">
        <v>3832</v>
      </c>
      <c r="AH261" t="s">
        <v>3908</v>
      </c>
      <c r="AI261" t="s">
        <v>3834</v>
      </c>
      <c r="AJ261" t="s">
        <v>3956</v>
      </c>
      <c r="AK261" t="s">
        <v>3832</v>
      </c>
      <c r="AM261" s="3" t="s">
        <v>7732</v>
      </c>
      <c r="AN261" s="3"/>
      <c r="AO261" s="3"/>
      <c r="AP261" s="3"/>
      <c r="AQ261" s="3"/>
      <c r="AR261" s="3"/>
      <c r="AS261" s="3"/>
      <c r="AT261" s="3"/>
      <c r="AU261" s="3"/>
      <c r="AV261" s="3"/>
      <c r="BC261" t="s">
        <v>63</v>
      </c>
      <c r="BE261" t="s">
        <v>7393</v>
      </c>
      <c r="BF261" t="s">
        <v>7394</v>
      </c>
      <c r="BG261" t="s">
        <v>3817</v>
      </c>
      <c r="CW261" s="6" t="str" cm="1">
        <f t="array" ref="CW261">IFERROR(_xlfn.IFS(H261=TIME(7,0,0),"GY",H261=TIME(7,30,0),"GY",H261=TIME(9,0,0),"GY",H261=TIME(15,0,0),"GY",H261=TIME(8,30,0),"GY",H261=TIME(5,30,0),"GY",H261=TIME(6,0,0),"GD",H261=TIME(6,30,0),"GD",H261=TIME(8,0,0),"GY",H261=TIME(6,15,0),"GD"),"")</f>
        <v/>
      </c>
      <c r="EE261"/>
    </row>
    <row r="262" spans="1:135" x14ac:dyDescent="0.45">
      <c r="A262" s="3" t="s">
        <v>63</v>
      </c>
      <c r="B262" s="3"/>
      <c r="C262" s="3" t="s">
        <v>7403</v>
      </c>
      <c r="D262" s="3" t="s">
        <v>7404</v>
      </c>
      <c r="E262" s="100" t="s">
        <v>3817</v>
      </c>
      <c r="F262" s="3" t="s">
        <v>7405</v>
      </c>
      <c r="G262" s="4"/>
      <c r="H262" s="5"/>
      <c r="I262" s="91"/>
      <c r="J262" s="91"/>
      <c r="K262" s="91"/>
      <c r="L262" s="3"/>
      <c r="M262" s="3" t="s">
        <v>3819</v>
      </c>
      <c r="N262" s="3" t="s">
        <v>7406</v>
      </c>
      <c r="O262" t="s">
        <v>3867</v>
      </c>
      <c r="P262" s="3" t="s">
        <v>4030</v>
      </c>
      <c r="Q262">
        <v>46274</v>
      </c>
      <c r="R262" s="3">
        <v>726</v>
      </c>
      <c r="S262" s="3" t="s">
        <v>3823</v>
      </c>
      <c r="T262" s="3">
        <v>1374</v>
      </c>
      <c r="U262" s="3" t="s">
        <v>7407</v>
      </c>
      <c r="V262" s="3" t="s">
        <v>7408</v>
      </c>
      <c r="W262" s="3">
        <v>517.81399999999996</v>
      </c>
      <c r="X262" s="3">
        <v>46313</v>
      </c>
      <c r="Y262" s="3">
        <v>46311</v>
      </c>
      <c r="AA262" t="s">
        <v>3826</v>
      </c>
      <c r="AB262" t="s">
        <v>3827</v>
      </c>
      <c r="AC262" s="3" t="s">
        <v>7409</v>
      </c>
      <c r="AD262" t="s">
        <v>4034</v>
      </c>
      <c r="AE262" t="s">
        <v>6945</v>
      </c>
      <c r="AF262" t="s">
        <v>3831</v>
      </c>
      <c r="AG262" t="s">
        <v>3832</v>
      </c>
      <c r="AH262" t="s">
        <v>3908</v>
      </c>
      <c r="AI262" t="s">
        <v>3834</v>
      </c>
      <c r="AJ262" t="s">
        <v>3956</v>
      </c>
      <c r="AK262" t="s">
        <v>3832</v>
      </c>
      <c r="AM262" s="3" t="s">
        <v>7733</v>
      </c>
      <c r="AN262" s="3"/>
      <c r="AO262" s="3"/>
      <c r="AP262" s="3"/>
      <c r="AQ262" s="3"/>
      <c r="AR262" s="3"/>
      <c r="AS262" s="3"/>
      <c r="AT262" s="3"/>
      <c r="AU262" s="3"/>
      <c r="AV262" s="3"/>
      <c r="BC262" t="s">
        <v>63</v>
      </c>
      <c r="BE262" t="s">
        <v>7403</v>
      </c>
      <c r="BF262" t="s">
        <v>7404</v>
      </c>
      <c r="BG262" t="s">
        <v>3817</v>
      </c>
      <c r="CW262" s="6" t="str" cm="1">
        <f t="array" ref="CW262">IFERROR(_xlfn.IFS(H262=TIME(7,0,0),"GY",H262=TIME(7,30,0),"GY",H262=TIME(9,0,0),"GY",H262=TIME(15,0,0),"GY",H262=TIME(8,30,0),"GY",H262=TIME(5,30,0),"GY",H262=TIME(6,0,0),"GD",H262=TIME(6,30,0),"GD",H262=TIME(8,0,0),"GY",H262=TIME(6,15,0),"GD"),"")</f>
        <v/>
      </c>
      <c r="EE262"/>
    </row>
    <row r="263" spans="1:135" x14ac:dyDescent="0.45">
      <c r="A263" s="3" t="s">
        <v>63</v>
      </c>
      <c r="B263" s="3"/>
      <c r="C263" s="3" t="s">
        <v>7403</v>
      </c>
      <c r="D263" s="3" t="s">
        <v>7404</v>
      </c>
      <c r="E263" s="100" t="s">
        <v>3817</v>
      </c>
      <c r="F263" s="3" t="s">
        <v>7410</v>
      </c>
      <c r="G263" s="4"/>
      <c r="H263" s="5"/>
      <c r="I263" s="91"/>
      <c r="J263" s="91"/>
      <c r="K263" s="91"/>
      <c r="L263" s="3"/>
      <c r="M263" s="3" t="s">
        <v>3819</v>
      </c>
      <c r="N263" s="3" t="s">
        <v>7406</v>
      </c>
      <c r="O263" t="s">
        <v>3867</v>
      </c>
      <c r="P263" s="3" t="s">
        <v>4030</v>
      </c>
      <c r="Q263">
        <v>46274</v>
      </c>
      <c r="R263" s="3">
        <v>726</v>
      </c>
      <c r="S263" s="3" t="s">
        <v>3823</v>
      </c>
      <c r="T263" s="3">
        <v>14306</v>
      </c>
      <c r="U263" s="3" t="s">
        <v>7411</v>
      </c>
      <c r="V263" s="3" t="s">
        <v>7412</v>
      </c>
      <c r="W263" s="3">
        <v>9193.2890000000007</v>
      </c>
      <c r="X263" s="3">
        <v>46313</v>
      </c>
      <c r="Y263" s="3">
        <v>46311</v>
      </c>
      <c r="AA263" t="s">
        <v>3826</v>
      </c>
      <c r="AB263" t="s">
        <v>3827</v>
      </c>
      <c r="AC263" s="3" t="s">
        <v>7409</v>
      </c>
      <c r="AD263" t="s">
        <v>4034</v>
      </c>
      <c r="AE263" t="s">
        <v>6945</v>
      </c>
      <c r="AF263" t="s">
        <v>3831</v>
      </c>
      <c r="AG263" t="s">
        <v>3832</v>
      </c>
      <c r="AH263" t="s">
        <v>3908</v>
      </c>
      <c r="AI263" t="s">
        <v>3834</v>
      </c>
      <c r="AJ263" t="s">
        <v>3956</v>
      </c>
      <c r="AK263" t="s">
        <v>3832</v>
      </c>
      <c r="AM263" s="3" t="s">
        <v>7733</v>
      </c>
      <c r="AN263" s="3"/>
      <c r="AO263" s="3"/>
      <c r="AP263" s="3"/>
      <c r="AQ263" s="3"/>
      <c r="AR263" s="3"/>
      <c r="AS263" s="3"/>
      <c r="AT263" s="3"/>
      <c r="AU263" s="3"/>
      <c r="AV263" s="3"/>
      <c r="BC263" t="s">
        <v>63</v>
      </c>
      <c r="BE263" t="s">
        <v>7403</v>
      </c>
      <c r="BF263" t="s">
        <v>7404</v>
      </c>
      <c r="BG263" t="s">
        <v>3817</v>
      </c>
      <c r="CW263" s="6" t="str" cm="1">
        <f t="array" ref="CW263">IFERROR(_xlfn.IFS(H263=TIME(7,0,0),"GY",H263=TIME(7,30,0),"GY",H263=TIME(9,0,0),"GY",H263=TIME(15,0,0),"GY",H263=TIME(8,30,0),"GY",H263=TIME(5,30,0),"GY",H263=TIME(6,0,0),"GD",H263=TIME(6,30,0),"GD",H263=TIME(8,0,0),"GY",H263=TIME(6,15,0),"GD"),"")</f>
        <v/>
      </c>
      <c r="EE263"/>
    </row>
    <row r="264" spans="1:135" x14ac:dyDescent="0.45">
      <c r="A264" s="3" t="s">
        <v>63</v>
      </c>
      <c r="B264" s="3"/>
      <c r="C264" s="3" t="s">
        <v>7413</v>
      </c>
      <c r="D264" s="3" t="s">
        <v>7414</v>
      </c>
      <c r="E264" s="100" t="s">
        <v>3817</v>
      </c>
      <c r="F264" s="3" t="s">
        <v>7415</v>
      </c>
      <c r="G264" s="4"/>
      <c r="H264" s="5"/>
      <c r="I264" s="91"/>
      <c r="J264" s="91"/>
      <c r="K264" s="91"/>
      <c r="L264" s="3"/>
      <c r="M264" s="3" t="s">
        <v>3819</v>
      </c>
      <c r="N264" s="3" t="s">
        <v>7416</v>
      </c>
      <c r="O264" t="s">
        <v>3867</v>
      </c>
      <c r="P264" s="3" t="s">
        <v>4030</v>
      </c>
      <c r="Q264">
        <v>46275</v>
      </c>
      <c r="R264" s="3">
        <v>726</v>
      </c>
      <c r="S264" s="3" t="s">
        <v>3823</v>
      </c>
      <c r="T264" s="3">
        <v>2896</v>
      </c>
      <c r="U264" s="3" t="s">
        <v>7417</v>
      </c>
      <c r="V264" s="3" t="s">
        <v>7418</v>
      </c>
      <c r="W264" s="3">
        <v>1804.634</v>
      </c>
      <c r="X264" s="3">
        <v>46313</v>
      </c>
      <c r="Y264" s="3">
        <v>46311</v>
      </c>
      <c r="AA264" t="s">
        <v>3826</v>
      </c>
      <c r="AB264" t="s">
        <v>3827</v>
      </c>
      <c r="AC264" s="3" t="s">
        <v>7419</v>
      </c>
      <c r="AD264" t="s">
        <v>4034</v>
      </c>
      <c r="AE264" t="s">
        <v>6945</v>
      </c>
      <c r="AF264" t="s">
        <v>3831</v>
      </c>
      <c r="AG264" t="s">
        <v>3832</v>
      </c>
      <c r="AH264" t="s">
        <v>3908</v>
      </c>
      <c r="AI264" t="s">
        <v>3834</v>
      </c>
      <c r="AJ264" t="s">
        <v>3956</v>
      </c>
      <c r="AK264" t="s">
        <v>3832</v>
      </c>
      <c r="AM264" s="3" t="s">
        <v>7734</v>
      </c>
      <c r="AN264" s="3"/>
      <c r="AO264" s="3"/>
      <c r="AP264" s="3"/>
      <c r="AQ264" s="3"/>
      <c r="AR264" s="3"/>
      <c r="AS264" s="3"/>
      <c r="AT264" s="3"/>
      <c r="AU264" s="3"/>
      <c r="AV264" s="3"/>
      <c r="BC264" t="s">
        <v>63</v>
      </c>
      <c r="BE264" t="s">
        <v>7413</v>
      </c>
      <c r="BF264" t="s">
        <v>7414</v>
      </c>
      <c r="BG264" t="s">
        <v>3817</v>
      </c>
      <c r="CW264" s="6" t="str" cm="1">
        <f t="array" ref="CW264">IFERROR(_xlfn.IFS(H264=TIME(7,0,0),"GY",H264=TIME(7,30,0),"GY",H264=TIME(9,0,0),"GY",H264=TIME(15,0,0),"GY",H264=TIME(8,30,0),"GY",H264=TIME(5,30,0),"GY",H264=TIME(6,0,0),"GD",H264=TIME(6,30,0),"GD",H264=TIME(8,0,0),"GY",H264=TIME(6,15,0),"GD"),"")</f>
        <v/>
      </c>
      <c r="EE264"/>
    </row>
    <row r="265" spans="1:135" x14ac:dyDescent="0.45">
      <c r="A265" s="3" t="s">
        <v>63</v>
      </c>
      <c r="B265" s="3"/>
      <c r="C265" s="3" t="s">
        <v>7413</v>
      </c>
      <c r="D265" s="3" t="s">
        <v>7414</v>
      </c>
      <c r="E265" s="100" t="s">
        <v>3817</v>
      </c>
      <c r="F265" s="3" t="s">
        <v>7420</v>
      </c>
      <c r="G265" s="4"/>
      <c r="H265" s="5"/>
      <c r="I265" s="91"/>
      <c r="J265" s="91"/>
      <c r="K265" s="91"/>
      <c r="L265" s="3"/>
      <c r="M265" s="3" t="s">
        <v>3819</v>
      </c>
      <c r="N265" s="3" t="s">
        <v>7416</v>
      </c>
      <c r="O265" t="s">
        <v>3867</v>
      </c>
      <c r="P265" s="3" t="s">
        <v>4030</v>
      </c>
      <c r="Q265">
        <v>46275</v>
      </c>
      <c r="R265" s="3">
        <v>726</v>
      </c>
      <c r="S265" s="3" t="s">
        <v>3823</v>
      </c>
      <c r="T265" s="3">
        <v>11160</v>
      </c>
      <c r="U265" s="3" t="s">
        <v>7421</v>
      </c>
      <c r="V265" s="3" t="s">
        <v>7422</v>
      </c>
      <c r="W265" s="3">
        <v>6763.01</v>
      </c>
      <c r="X265" s="3">
        <v>46313</v>
      </c>
      <c r="Y265" s="3">
        <v>46311</v>
      </c>
      <c r="AA265" t="s">
        <v>3826</v>
      </c>
      <c r="AB265" t="s">
        <v>3827</v>
      </c>
      <c r="AC265" s="3" t="s">
        <v>7419</v>
      </c>
      <c r="AD265" t="s">
        <v>4034</v>
      </c>
      <c r="AE265" t="s">
        <v>6945</v>
      </c>
      <c r="AF265" t="s">
        <v>3831</v>
      </c>
      <c r="AG265" t="s">
        <v>3832</v>
      </c>
      <c r="AH265" t="s">
        <v>3908</v>
      </c>
      <c r="AI265" t="s">
        <v>3834</v>
      </c>
      <c r="AJ265" t="s">
        <v>3956</v>
      </c>
      <c r="AK265" t="s">
        <v>3832</v>
      </c>
      <c r="AM265" s="3" t="s">
        <v>7734</v>
      </c>
      <c r="AN265" s="3"/>
      <c r="AO265" s="3"/>
      <c r="AP265" s="3"/>
      <c r="AQ265" s="3"/>
      <c r="AR265" s="3"/>
      <c r="AS265" s="3"/>
      <c r="AT265" s="3"/>
      <c r="AU265" s="3"/>
      <c r="AV265" s="3"/>
      <c r="BC265" t="s">
        <v>63</v>
      </c>
      <c r="BE265" t="s">
        <v>7413</v>
      </c>
      <c r="BF265" t="s">
        <v>7414</v>
      </c>
      <c r="BG265" t="s">
        <v>3817</v>
      </c>
      <c r="CW265" s="6" t="str" cm="1">
        <f t="array" ref="CW265">IFERROR(_xlfn.IFS(H265=TIME(7,0,0),"GY",H265=TIME(7,30,0),"GY",H265=TIME(9,0,0),"GY",H265=TIME(15,0,0),"GY",H265=TIME(8,30,0),"GY",H265=TIME(5,30,0),"GY",H265=TIME(6,0,0),"GD",H265=TIME(6,30,0),"GD",H265=TIME(8,0,0),"GY",H265=TIME(6,15,0),"GD"),"")</f>
        <v/>
      </c>
      <c r="EE265"/>
    </row>
    <row r="266" spans="1:135" x14ac:dyDescent="0.45">
      <c r="A266" s="3" t="s">
        <v>63</v>
      </c>
      <c r="B266" s="3"/>
      <c r="C266" s="3" t="s">
        <v>7423</v>
      </c>
      <c r="D266" s="3" t="s">
        <v>7424</v>
      </c>
      <c r="E266" s="100" t="s">
        <v>3817</v>
      </c>
      <c r="F266" s="3" t="s">
        <v>7425</v>
      </c>
      <c r="G266" s="4"/>
      <c r="H266" s="5"/>
      <c r="I266" s="91"/>
      <c r="J266" s="91"/>
      <c r="K266" s="91"/>
      <c r="L266" s="3"/>
      <c r="M266" s="3" t="s">
        <v>3819</v>
      </c>
      <c r="N266" s="3" t="s">
        <v>7426</v>
      </c>
      <c r="O266" t="s">
        <v>3867</v>
      </c>
      <c r="P266" s="3" t="s">
        <v>4030</v>
      </c>
      <c r="Q266">
        <v>46275</v>
      </c>
      <c r="R266" s="3">
        <v>726</v>
      </c>
      <c r="S266" s="3" t="s">
        <v>3823</v>
      </c>
      <c r="T266" s="3">
        <v>6796</v>
      </c>
      <c r="U266" s="3" t="s">
        <v>7427</v>
      </c>
      <c r="V266" s="3" t="s">
        <v>7428</v>
      </c>
      <c r="W266" s="3">
        <v>2540.962</v>
      </c>
      <c r="X266" s="3">
        <v>46313</v>
      </c>
      <c r="Y266" s="3">
        <v>46311</v>
      </c>
      <c r="AA266" t="s">
        <v>3826</v>
      </c>
      <c r="AB266" t="s">
        <v>3827</v>
      </c>
      <c r="AC266" s="3" t="s">
        <v>7429</v>
      </c>
      <c r="AD266" t="s">
        <v>4034</v>
      </c>
      <c r="AE266" t="s">
        <v>6945</v>
      </c>
      <c r="AF266" t="s">
        <v>3831</v>
      </c>
      <c r="AG266" t="s">
        <v>3832</v>
      </c>
      <c r="AH266" t="s">
        <v>3908</v>
      </c>
      <c r="AI266" t="s">
        <v>3834</v>
      </c>
      <c r="AJ266" t="s">
        <v>3956</v>
      </c>
      <c r="AK266" t="s">
        <v>3832</v>
      </c>
      <c r="AM266" s="3" t="s">
        <v>7735</v>
      </c>
      <c r="AN266" s="3"/>
      <c r="AO266" s="3"/>
      <c r="AP266" s="3"/>
      <c r="AQ266" s="3"/>
      <c r="AR266" s="3"/>
      <c r="AS266" s="3"/>
      <c r="AT266" s="3"/>
      <c r="AU266" s="3"/>
      <c r="AV266" s="3"/>
      <c r="BC266" t="s">
        <v>63</v>
      </c>
      <c r="BE266" t="s">
        <v>7423</v>
      </c>
      <c r="BF266" t="s">
        <v>7424</v>
      </c>
      <c r="BG266" t="s">
        <v>3817</v>
      </c>
      <c r="CW266" s="6" t="str" cm="1">
        <f t="array" ref="CW266">IFERROR(_xlfn.IFS(H266=TIME(7,0,0),"GY",H266=TIME(7,30,0),"GY",H266=TIME(9,0,0),"GY",H266=TIME(15,0,0),"GY",H266=TIME(8,30,0),"GY",H266=TIME(5,30,0),"GY",H266=TIME(6,0,0),"GD",H266=TIME(6,30,0),"GD",H266=TIME(8,0,0),"GY",H266=TIME(6,15,0),"GD"),"")</f>
        <v/>
      </c>
      <c r="EE266"/>
    </row>
    <row r="267" spans="1:135" x14ac:dyDescent="0.45">
      <c r="A267" s="3" t="s">
        <v>63</v>
      </c>
      <c r="B267" s="3"/>
      <c r="C267" s="3" t="s">
        <v>7423</v>
      </c>
      <c r="D267" s="3" t="s">
        <v>7424</v>
      </c>
      <c r="E267" s="100" t="s">
        <v>3817</v>
      </c>
      <c r="F267" s="3" t="s">
        <v>7430</v>
      </c>
      <c r="G267" s="4"/>
      <c r="H267" s="5"/>
      <c r="I267" s="91"/>
      <c r="J267" s="91"/>
      <c r="K267" s="91"/>
      <c r="L267" s="3"/>
      <c r="M267" s="3" t="s">
        <v>3819</v>
      </c>
      <c r="N267" s="3" t="s">
        <v>7426</v>
      </c>
      <c r="O267" t="s">
        <v>3867</v>
      </c>
      <c r="P267" s="3" t="s">
        <v>4030</v>
      </c>
      <c r="Q267">
        <v>46275</v>
      </c>
      <c r="R267" s="3">
        <v>726</v>
      </c>
      <c r="S267" s="3" t="s">
        <v>3823</v>
      </c>
      <c r="T267" s="3">
        <v>12990</v>
      </c>
      <c r="U267" s="3" t="s">
        <v>7431</v>
      </c>
      <c r="V267" s="3" t="s">
        <v>7432</v>
      </c>
      <c r="W267" s="3">
        <v>6407.5219999999999</v>
      </c>
      <c r="X267" s="3">
        <v>46313</v>
      </c>
      <c r="Y267" s="3">
        <v>46311</v>
      </c>
      <c r="AA267" t="s">
        <v>3826</v>
      </c>
      <c r="AB267" t="s">
        <v>3827</v>
      </c>
      <c r="AC267" s="3" t="s">
        <v>7429</v>
      </c>
      <c r="AD267" t="s">
        <v>4034</v>
      </c>
      <c r="AE267" t="s">
        <v>6945</v>
      </c>
      <c r="AF267" t="s">
        <v>3831</v>
      </c>
      <c r="AG267" t="s">
        <v>3832</v>
      </c>
      <c r="AH267" t="s">
        <v>3908</v>
      </c>
      <c r="AI267" t="s">
        <v>3834</v>
      </c>
      <c r="AJ267" t="s">
        <v>3956</v>
      </c>
      <c r="AK267" t="s">
        <v>3832</v>
      </c>
      <c r="AM267" s="3" t="s">
        <v>7735</v>
      </c>
      <c r="AN267" s="3"/>
      <c r="AO267" s="3"/>
      <c r="AP267" s="3"/>
      <c r="AQ267" s="3"/>
      <c r="AR267" s="3"/>
      <c r="AS267" s="3"/>
      <c r="AT267" s="3"/>
      <c r="AU267" s="3"/>
      <c r="AV267" s="3"/>
      <c r="BC267" t="s">
        <v>63</v>
      </c>
      <c r="BE267" t="s">
        <v>7423</v>
      </c>
      <c r="BF267" t="s">
        <v>7424</v>
      </c>
      <c r="BG267" t="s">
        <v>3817</v>
      </c>
      <c r="CW267" s="6" t="str" cm="1">
        <f t="array" ref="CW267">IFERROR(_xlfn.IFS(H267=TIME(7,0,0),"GY",H267=TIME(7,30,0),"GY",H267=TIME(9,0,0),"GY",H267=TIME(15,0,0),"GY",H267=TIME(8,30,0),"GY",H267=TIME(5,30,0),"GY",H267=TIME(6,0,0),"GD",H267=TIME(6,30,0),"GD",H267=TIME(8,0,0),"GY",H267=TIME(6,15,0),"GD"),"")</f>
        <v/>
      </c>
      <c r="EE267"/>
    </row>
    <row r="268" spans="1:135" x14ac:dyDescent="0.45">
      <c r="A268" s="3" t="s">
        <v>63</v>
      </c>
      <c r="B268" s="3"/>
      <c r="C268" s="3" t="s">
        <v>7433</v>
      </c>
      <c r="D268" s="3" t="s">
        <v>7434</v>
      </c>
      <c r="E268" s="100" t="s">
        <v>3817</v>
      </c>
      <c r="F268" s="3" t="s">
        <v>7435</v>
      </c>
      <c r="G268" s="4"/>
      <c r="H268" s="5"/>
      <c r="I268" s="91"/>
      <c r="J268" s="91"/>
      <c r="K268" s="91"/>
      <c r="L268" s="3"/>
      <c r="M268" s="3" t="s">
        <v>3819</v>
      </c>
      <c r="N268" s="3" t="s">
        <v>7436</v>
      </c>
      <c r="O268" t="s">
        <v>3867</v>
      </c>
      <c r="P268" s="3" t="s">
        <v>4030</v>
      </c>
      <c r="Q268">
        <v>46281</v>
      </c>
      <c r="R268" s="3">
        <v>726</v>
      </c>
      <c r="S268" s="3" t="s">
        <v>3823</v>
      </c>
      <c r="T268" s="3">
        <v>4310</v>
      </c>
      <c r="U268" s="3" t="s">
        <v>7437</v>
      </c>
      <c r="V268" s="3" t="s">
        <v>7438</v>
      </c>
      <c r="W268" s="3">
        <v>1481.64</v>
      </c>
      <c r="X268" s="3">
        <v>46313</v>
      </c>
      <c r="Y268" s="3">
        <v>46311</v>
      </c>
      <c r="AA268" t="s">
        <v>3826</v>
      </c>
      <c r="AB268" t="s">
        <v>3827</v>
      </c>
      <c r="AC268" s="3" t="s">
        <v>7439</v>
      </c>
      <c r="AD268" t="s">
        <v>4034</v>
      </c>
      <c r="AE268" t="s">
        <v>6945</v>
      </c>
      <c r="AF268" t="s">
        <v>3831</v>
      </c>
      <c r="AG268" t="s">
        <v>3832</v>
      </c>
      <c r="AH268" t="s">
        <v>3908</v>
      </c>
      <c r="AI268" t="s">
        <v>3834</v>
      </c>
      <c r="AJ268" t="s">
        <v>3956</v>
      </c>
      <c r="AK268" t="s">
        <v>3832</v>
      </c>
      <c r="AM268" s="3" t="s">
        <v>7736</v>
      </c>
      <c r="AN268" s="3"/>
      <c r="AO268" s="3"/>
      <c r="AP268" s="3"/>
      <c r="AQ268" s="3"/>
      <c r="AR268" s="3"/>
      <c r="AS268" s="3"/>
      <c r="AT268" s="3"/>
      <c r="AU268" s="3"/>
      <c r="AV268" s="3"/>
      <c r="BC268" t="s">
        <v>63</v>
      </c>
      <c r="BE268" t="s">
        <v>7433</v>
      </c>
      <c r="BF268" t="s">
        <v>7434</v>
      </c>
      <c r="BG268" t="s">
        <v>3817</v>
      </c>
      <c r="CW268" s="6" t="str" cm="1">
        <f t="array" ref="CW268">IFERROR(_xlfn.IFS(H268=TIME(7,0,0),"GY",H268=TIME(7,30,0),"GY",H268=TIME(9,0,0),"GY",H268=TIME(15,0,0),"GY",H268=TIME(8,30,0),"GY",H268=TIME(5,30,0),"GY",H268=TIME(6,0,0),"GD",H268=TIME(6,30,0),"GD",H268=TIME(8,0,0),"GY",H268=TIME(6,15,0),"GD"),"")</f>
        <v/>
      </c>
      <c r="EE268"/>
    </row>
    <row r="269" spans="1:135" x14ac:dyDescent="0.45">
      <c r="A269" s="3" t="s">
        <v>63</v>
      </c>
      <c r="B269" s="3"/>
      <c r="C269" s="3" t="s">
        <v>7433</v>
      </c>
      <c r="D269" s="3" t="s">
        <v>7434</v>
      </c>
      <c r="E269" s="100" t="s">
        <v>3817</v>
      </c>
      <c r="F269" s="3" t="s">
        <v>7440</v>
      </c>
      <c r="G269" s="4"/>
      <c r="H269" s="5"/>
      <c r="I269" s="91"/>
      <c r="J269" s="91"/>
      <c r="K269" s="91"/>
      <c r="L269" s="3"/>
      <c r="M269" s="3" t="s">
        <v>3819</v>
      </c>
      <c r="N269" s="3" t="s">
        <v>7436</v>
      </c>
      <c r="O269" t="s">
        <v>3867</v>
      </c>
      <c r="P269" s="3" t="s">
        <v>4030</v>
      </c>
      <c r="Q269">
        <v>46281</v>
      </c>
      <c r="R269" s="3">
        <v>726</v>
      </c>
      <c r="S269" s="3" t="s">
        <v>3823</v>
      </c>
      <c r="T269" s="3">
        <v>10794</v>
      </c>
      <c r="U269" s="3" t="s">
        <v>7441</v>
      </c>
      <c r="V269" s="3" t="s">
        <v>7442</v>
      </c>
      <c r="W269" s="3">
        <v>7376.8119999999999</v>
      </c>
      <c r="X269" s="3">
        <v>46313</v>
      </c>
      <c r="Y269" s="3">
        <v>46311</v>
      </c>
      <c r="AA269" t="s">
        <v>3826</v>
      </c>
      <c r="AB269" t="s">
        <v>3827</v>
      </c>
      <c r="AC269" s="3" t="s">
        <v>7439</v>
      </c>
      <c r="AD269" t="s">
        <v>4034</v>
      </c>
      <c r="AE269" t="s">
        <v>6945</v>
      </c>
      <c r="AF269" t="s">
        <v>3831</v>
      </c>
      <c r="AG269" t="s">
        <v>3832</v>
      </c>
      <c r="AH269" t="s">
        <v>3908</v>
      </c>
      <c r="AI269" t="s">
        <v>3834</v>
      </c>
      <c r="AJ269" t="s">
        <v>3956</v>
      </c>
      <c r="AK269" t="s">
        <v>3832</v>
      </c>
      <c r="AM269" s="3" t="s">
        <v>7736</v>
      </c>
      <c r="AN269" s="3"/>
      <c r="AO269" s="3"/>
      <c r="AP269" s="3"/>
      <c r="AQ269" s="3"/>
      <c r="AR269" s="3"/>
      <c r="AS269" s="3"/>
      <c r="AT269" s="3"/>
      <c r="AU269" s="3"/>
      <c r="AV269" s="3"/>
      <c r="BC269" t="s">
        <v>63</v>
      </c>
      <c r="BE269" t="s">
        <v>7433</v>
      </c>
      <c r="BF269" t="s">
        <v>7434</v>
      </c>
      <c r="BG269" t="s">
        <v>3817</v>
      </c>
      <c r="CW269" s="6" t="str" cm="1">
        <f t="array" ref="CW269">IFERROR(_xlfn.IFS(H269=TIME(7,0,0),"GY",H269=TIME(7,30,0),"GY",H269=TIME(9,0,0),"GY",H269=TIME(15,0,0),"GY",H269=TIME(8,30,0),"GY",H269=TIME(5,30,0),"GY",H269=TIME(6,0,0),"GD",H269=TIME(6,30,0),"GD",H269=TIME(8,0,0),"GY",H269=TIME(6,15,0),"GD"),"")</f>
        <v/>
      </c>
      <c r="EE269"/>
    </row>
    <row r="270" spans="1:135" x14ac:dyDescent="0.45">
      <c r="A270" s="3" t="s">
        <v>63</v>
      </c>
      <c r="B270" s="3"/>
      <c r="C270" s="3" t="s">
        <v>7433</v>
      </c>
      <c r="D270" s="3" t="s">
        <v>7434</v>
      </c>
      <c r="E270" s="100" t="s">
        <v>3817</v>
      </c>
      <c r="F270" s="3" t="s">
        <v>7443</v>
      </c>
      <c r="G270" s="4"/>
      <c r="H270" s="5"/>
      <c r="I270" s="91"/>
      <c r="J270" s="91"/>
      <c r="K270" s="91"/>
      <c r="L270" s="3"/>
      <c r="M270" s="3" t="s">
        <v>3819</v>
      </c>
      <c r="N270" s="3" t="s">
        <v>7436</v>
      </c>
      <c r="O270" t="s">
        <v>3867</v>
      </c>
      <c r="P270" s="3" t="s">
        <v>4030</v>
      </c>
      <c r="Q270">
        <v>46281</v>
      </c>
      <c r="R270" s="3">
        <v>726</v>
      </c>
      <c r="S270" s="3" t="s">
        <v>3823</v>
      </c>
      <c r="T270" s="3">
        <v>56</v>
      </c>
      <c r="U270" s="3" t="s">
        <v>7444</v>
      </c>
      <c r="V270" s="3" t="s">
        <v>7445</v>
      </c>
      <c r="W270" s="3">
        <v>53.591999999999999</v>
      </c>
      <c r="X270" s="3">
        <v>46313</v>
      </c>
      <c r="Y270" s="3">
        <v>46311</v>
      </c>
      <c r="AA270" t="s">
        <v>3826</v>
      </c>
      <c r="AB270" t="s">
        <v>3827</v>
      </c>
      <c r="AC270" s="3" t="s">
        <v>7439</v>
      </c>
      <c r="AD270" t="s">
        <v>4034</v>
      </c>
      <c r="AE270" t="s">
        <v>6945</v>
      </c>
      <c r="AF270" t="s">
        <v>3831</v>
      </c>
      <c r="AG270" t="s">
        <v>3832</v>
      </c>
      <c r="AH270" t="s">
        <v>3908</v>
      </c>
      <c r="AI270" t="s">
        <v>3834</v>
      </c>
      <c r="AJ270" t="s">
        <v>3956</v>
      </c>
      <c r="AK270" t="s">
        <v>3832</v>
      </c>
      <c r="AM270" s="3" t="s">
        <v>7736</v>
      </c>
      <c r="AN270" s="3"/>
      <c r="AO270" s="3"/>
      <c r="AP270" s="3"/>
      <c r="AQ270" s="3"/>
      <c r="AR270" s="3"/>
      <c r="AS270" s="3"/>
      <c r="AT270" s="3"/>
      <c r="AU270" s="3"/>
      <c r="AV270" s="3"/>
      <c r="BC270" t="s">
        <v>63</v>
      </c>
      <c r="BE270" t="s">
        <v>7433</v>
      </c>
      <c r="BF270" t="s">
        <v>7434</v>
      </c>
      <c r="BG270" t="s">
        <v>3817</v>
      </c>
      <c r="CW270" s="6" t="str" cm="1">
        <f t="array" ref="CW270">IFERROR(_xlfn.IFS(H270=TIME(7,0,0),"GY",H270=TIME(7,30,0),"GY",H270=TIME(9,0,0),"GY",H270=TIME(15,0,0),"GY",H270=TIME(8,30,0),"GY",H270=TIME(5,30,0),"GY",H270=TIME(6,0,0),"GD",H270=TIME(6,30,0),"GD",H270=TIME(8,0,0),"GY",H270=TIME(6,15,0),"GD"),"")</f>
        <v/>
      </c>
      <c r="EE270"/>
    </row>
    <row r="271" spans="1:135" x14ac:dyDescent="0.45">
      <c r="A271" s="3" t="s">
        <v>63</v>
      </c>
      <c r="B271" s="3"/>
      <c r="C271" s="3" t="s">
        <v>7446</v>
      </c>
      <c r="D271" s="3" t="s">
        <v>7447</v>
      </c>
      <c r="E271" s="100" t="s">
        <v>3817</v>
      </c>
      <c r="F271" s="3" t="s">
        <v>7448</v>
      </c>
      <c r="G271" s="4"/>
      <c r="H271" s="5"/>
      <c r="I271" s="91"/>
      <c r="J271" s="91"/>
      <c r="K271" s="91"/>
      <c r="L271" s="3"/>
      <c r="M271" s="3" t="s">
        <v>3819</v>
      </c>
      <c r="N271" s="3" t="s">
        <v>7449</v>
      </c>
      <c r="O271" t="s">
        <v>3867</v>
      </c>
      <c r="P271" s="3" t="s">
        <v>4030</v>
      </c>
      <c r="Q271">
        <v>46281</v>
      </c>
      <c r="R271" s="3">
        <v>726</v>
      </c>
      <c r="S271" s="3" t="s">
        <v>3823</v>
      </c>
      <c r="T271" s="3">
        <v>3836</v>
      </c>
      <c r="U271" s="3" t="s">
        <v>7450</v>
      </c>
      <c r="V271" s="3" t="s">
        <v>7451</v>
      </c>
      <c r="W271" s="3">
        <v>1642.037</v>
      </c>
      <c r="X271" s="3">
        <v>46313</v>
      </c>
      <c r="Y271" s="3">
        <v>46311</v>
      </c>
      <c r="AA271" t="s">
        <v>3826</v>
      </c>
      <c r="AB271" t="s">
        <v>3827</v>
      </c>
      <c r="AC271" s="3" t="s">
        <v>7452</v>
      </c>
      <c r="AD271" t="s">
        <v>4034</v>
      </c>
      <c r="AE271" t="s">
        <v>6945</v>
      </c>
      <c r="AF271" t="s">
        <v>3831</v>
      </c>
      <c r="AG271" t="s">
        <v>3832</v>
      </c>
      <c r="AH271" t="s">
        <v>3908</v>
      </c>
      <c r="AI271" t="s">
        <v>3834</v>
      </c>
      <c r="AJ271" t="s">
        <v>3956</v>
      </c>
      <c r="AK271" t="s">
        <v>3832</v>
      </c>
      <c r="AM271" s="3" t="s">
        <v>7737</v>
      </c>
      <c r="AN271" s="3"/>
      <c r="AO271" s="3"/>
      <c r="AP271" s="3"/>
      <c r="AQ271" s="3"/>
      <c r="AR271" s="3"/>
      <c r="AS271" s="3"/>
      <c r="AT271" s="3"/>
      <c r="AU271" s="3"/>
      <c r="AV271" s="3"/>
      <c r="BC271" t="s">
        <v>63</v>
      </c>
      <c r="BE271" t="s">
        <v>7446</v>
      </c>
      <c r="BF271" t="s">
        <v>7447</v>
      </c>
      <c r="BG271" t="s">
        <v>3817</v>
      </c>
      <c r="CW271" s="6" t="str" cm="1">
        <f t="array" ref="CW271">IFERROR(_xlfn.IFS(H271=TIME(7,0,0),"GY",H271=TIME(7,30,0),"GY",H271=TIME(9,0,0),"GY",H271=TIME(15,0,0),"GY",H271=TIME(8,30,0),"GY",H271=TIME(5,30,0),"GY",H271=TIME(6,0,0),"GD",H271=TIME(6,30,0),"GD",H271=TIME(8,0,0),"GY",H271=TIME(6,15,0),"GD"),"")</f>
        <v/>
      </c>
      <c r="EE271"/>
    </row>
    <row r="272" spans="1:135" x14ac:dyDescent="0.45">
      <c r="A272" s="3" t="s">
        <v>63</v>
      </c>
      <c r="B272" s="3"/>
      <c r="C272" s="3" t="s">
        <v>7446</v>
      </c>
      <c r="D272" s="3" t="s">
        <v>7447</v>
      </c>
      <c r="E272" s="100" t="s">
        <v>3817</v>
      </c>
      <c r="F272" s="3" t="s">
        <v>7453</v>
      </c>
      <c r="G272" s="4"/>
      <c r="H272" s="5"/>
      <c r="I272" s="91"/>
      <c r="J272" s="91"/>
      <c r="K272" s="91"/>
      <c r="L272" s="3"/>
      <c r="M272" s="3" t="s">
        <v>3819</v>
      </c>
      <c r="N272" s="3" t="s">
        <v>7449</v>
      </c>
      <c r="O272" t="s">
        <v>3867</v>
      </c>
      <c r="P272" s="3" t="s">
        <v>4030</v>
      </c>
      <c r="Q272">
        <v>46281</v>
      </c>
      <c r="R272" s="3">
        <v>726</v>
      </c>
      <c r="S272" s="3" t="s">
        <v>3823</v>
      </c>
      <c r="T272" s="3">
        <v>9941</v>
      </c>
      <c r="U272" s="3" t="s">
        <v>7454</v>
      </c>
      <c r="V272" s="3" t="s">
        <v>7455</v>
      </c>
      <c r="W272" s="3">
        <v>7705.2950000000001</v>
      </c>
      <c r="X272" s="3">
        <v>46313</v>
      </c>
      <c r="Y272" s="3">
        <v>46311</v>
      </c>
      <c r="AA272" t="s">
        <v>3826</v>
      </c>
      <c r="AB272" t="s">
        <v>3827</v>
      </c>
      <c r="AC272" s="3" t="s">
        <v>7452</v>
      </c>
      <c r="AD272" t="s">
        <v>4034</v>
      </c>
      <c r="AE272" t="s">
        <v>6945</v>
      </c>
      <c r="AF272" t="s">
        <v>3831</v>
      </c>
      <c r="AG272" t="s">
        <v>3832</v>
      </c>
      <c r="AH272" t="s">
        <v>3908</v>
      </c>
      <c r="AI272" t="s">
        <v>3834</v>
      </c>
      <c r="AJ272" t="s">
        <v>3956</v>
      </c>
      <c r="AK272" t="s">
        <v>3832</v>
      </c>
      <c r="AM272" s="3" t="s">
        <v>7737</v>
      </c>
      <c r="AN272" s="3"/>
      <c r="AO272" s="3"/>
      <c r="AP272" s="3"/>
      <c r="AQ272" s="3"/>
      <c r="AR272" s="3"/>
      <c r="AS272" s="3"/>
      <c r="AT272" s="3"/>
      <c r="AU272" s="3"/>
      <c r="AV272" s="3"/>
      <c r="BC272" t="s">
        <v>63</v>
      </c>
      <c r="BE272" t="s">
        <v>7446</v>
      </c>
      <c r="BF272" t="s">
        <v>7447</v>
      </c>
      <c r="BG272" t="s">
        <v>3817</v>
      </c>
      <c r="CW272" s="6" t="str" cm="1">
        <f t="array" ref="CW272">IFERROR(_xlfn.IFS(H272=TIME(7,0,0),"GY",H272=TIME(7,30,0),"GY",H272=TIME(9,0,0),"GY",H272=TIME(15,0,0),"GY",H272=TIME(8,30,0),"GY",H272=TIME(5,30,0),"GY",H272=TIME(6,0,0),"GD",H272=TIME(6,30,0),"GD",H272=TIME(8,0,0),"GY",H272=TIME(6,15,0),"GD"),"")</f>
        <v/>
      </c>
      <c r="EE272"/>
    </row>
    <row r="273" spans="1:135" x14ac:dyDescent="0.45">
      <c r="A273" s="3" t="s">
        <v>63</v>
      </c>
      <c r="B273" s="3"/>
      <c r="C273" s="3" t="s">
        <v>7456</v>
      </c>
      <c r="D273" s="3" t="s">
        <v>7457</v>
      </c>
      <c r="E273" s="100" t="s">
        <v>3817</v>
      </c>
      <c r="F273" s="3" t="s">
        <v>7458</v>
      </c>
      <c r="G273" s="4"/>
      <c r="H273" s="5"/>
      <c r="I273" s="91"/>
      <c r="J273" s="91"/>
      <c r="K273" s="91"/>
      <c r="L273" s="3"/>
      <c r="M273" s="3" t="s">
        <v>3819</v>
      </c>
      <c r="N273" s="3" t="s">
        <v>7459</v>
      </c>
      <c r="O273" t="s">
        <v>3867</v>
      </c>
      <c r="P273" s="3" t="s">
        <v>4030</v>
      </c>
      <c r="Q273">
        <v>46283</v>
      </c>
      <c r="R273" s="3">
        <v>726</v>
      </c>
      <c r="S273" s="3" t="s">
        <v>3823</v>
      </c>
      <c r="T273" s="3">
        <v>5367</v>
      </c>
      <c r="U273" s="3" t="s">
        <v>7460</v>
      </c>
      <c r="V273" s="3" t="s">
        <v>7461</v>
      </c>
      <c r="W273" s="3">
        <v>2624.663</v>
      </c>
      <c r="X273" s="3">
        <v>46313</v>
      </c>
      <c r="Y273" s="3">
        <v>46311</v>
      </c>
      <c r="AA273" t="s">
        <v>3826</v>
      </c>
      <c r="AB273" t="s">
        <v>3827</v>
      </c>
      <c r="AC273" s="3" t="s">
        <v>7462</v>
      </c>
      <c r="AD273" t="s">
        <v>4034</v>
      </c>
      <c r="AE273" t="s">
        <v>6945</v>
      </c>
      <c r="AF273" t="s">
        <v>3831</v>
      </c>
      <c r="AG273" t="s">
        <v>3832</v>
      </c>
      <c r="AH273" t="s">
        <v>3908</v>
      </c>
      <c r="AI273" t="s">
        <v>3834</v>
      </c>
      <c r="AJ273" t="s">
        <v>3956</v>
      </c>
      <c r="AK273" t="s">
        <v>3832</v>
      </c>
      <c r="AM273" s="3" t="s">
        <v>7738</v>
      </c>
      <c r="AN273" s="3"/>
      <c r="AO273" s="3"/>
      <c r="AP273" s="3"/>
      <c r="AQ273" s="3"/>
      <c r="AR273" s="3"/>
      <c r="AS273" s="3"/>
      <c r="AT273" s="3"/>
      <c r="AU273" s="3"/>
      <c r="AV273" s="3"/>
      <c r="BC273" t="s">
        <v>63</v>
      </c>
      <c r="BE273" t="s">
        <v>7456</v>
      </c>
      <c r="BF273" t="s">
        <v>7457</v>
      </c>
      <c r="BG273" t="s">
        <v>3817</v>
      </c>
      <c r="CW273" s="6" t="str" cm="1">
        <f t="array" ref="CW273">IFERROR(_xlfn.IFS(H273=TIME(7,0,0),"GY",H273=TIME(7,30,0),"GY",H273=TIME(9,0,0),"GY",H273=TIME(15,0,0),"GY",H273=TIME(8,30,0),"GY",H273=TIME(5,30,0),"GY",H273=TIME(6,0,0),"GD",H273=TIME(6,30,0),"GD",H273=TIME(8,0,0),"GY",H273=TIME(6,15,0),"GD"),"")</f>
        <v/>
      </c>
      <c r="EE273"/>
    </row>
    <row r="274" spans="1:135" x14ac:dyDescent="0.45">
      <c r="A274" s="3" t="s">
        <v>63</v>
      </c>
      <c r="B274" s="3"/>
      <c r="C274" s="3" t="s">
        <v>7456</v>
      </c>
      <c r="D274" s="3" t="s">
        <v>7457</v>
      </c>
      <c r="E274" s="100" t="s">
        <v>3817</v>
      </c>
      <c r="F274" s="3" t="s">
        <v>7463</v>
      </c>
      <c r="G274" s="4"/>
      <c r="H274" s="5"/>
      <c r="I274" s="91"/>
      <c r="J274" s="91"/>
      <c r="K274" s="91"/>
      <c r="L274" s="3"/>
      <c r="M274" s="3" t="s">
        <v>3819</v>
      </c>
      <c r="N274" s="3" t="s">
        <v>7459</v>
      </c>
      <c r="O274" t="s">
        <v>3867</v>
      </c>
      <c r="P274" s="3" t="s">
        <v>4030</v>
      </c>
      <c r="Q274">
        <v>46283</v>
      </c>
      <c r="R274" s="3">
        <v>726</v>
      </c>
      <c r="S274" s="3" t="s">
        <v>3823</v>
      </c>
      <c r="T274" s="3">
        <v>11394</v>
      </c>
      <c r="U274" s="3" t="s">
        <v>7464</v>
      </c>
      <c r="V274" s="3" t="s">
        <v>7465</v>
      </c>
      <c r="W274" s="3">
        <v>5480.0259999999998</v>
      </c>
      <c r="X274" s="3">
        <v>46313</v>
      </c>
      <c r="Y274" s="3">
        <v>46311</v>
      </c>
      <c r="AA274" t="s">
        <v>3826</v>
      </c>
      <c r="AB274" t="s">
        <v>3827</v>
      </c>
      <c r="AC274" s="3" t="s">
        <v>7462</v>
      </c>
      <c r="AD274" t="s">
        <v>4034</v>
      </c>
      <c r="AE274" t="s">
        <v>6945</v>
      </c>
      <c r="AF274" t="s">
        <v>3831</v>
      </c>
      <c r="AG274" t="s">
        <v>3832</v>
      </c>
      <c r="AH274" t="s">
        <v>3908</v>
      </c>
      <c r="AI274" t="s">
        <v>3834</v>
      </c>
      <c r="AJ274" t="s">
        <v>3956</v>
      </c>
      <c r="AK274" t="s">
        <v>3832</v>
      </c>
      <c r="AM274" s="3" t="s">
        <v>7738</v>
      </c>
      <c r="AN274" s="3"/>
      <c r="AO274" s="3"/>
      <c r="AP274" s="3"/>
      <c r="AQ274" s="3"/>
      <c r="AR274" s="3"/>
      <c r="AS274" s="3"/>
      <c r="AT274" s="3"/>
      <c r="AU274" s="3"/>
      <c r="AV274" s="3"/>
      <c r="BC274" t="s">
        <v>63</v>
      </c>
      <c r="BE274" t="s">
        <v>7456</v>
      </c>
      <c r="BF274" t="s">
        <v>7457</v>
      </c>
      <c r="BG274" t="s">
        <v>3817</v>
      </c>
      <c r="CW274" s="6" t="str" cm="1">
        <f t="array" ref="CW274">IFERROR(_xlfn.IFS(H274=TIME(7,0,0),"GY",H274=TIME(7,30,0),"GY",H274=TIME(9,0,0),"GY",H274=TIME(15,0,0),"GY",H274=TIME(8,30,0),"GY",H274=TIME(5,30,0),"GY",H274=TIME(6,0,0),"GD",H274=TIME(6,30,0),"GD",H274=TIME(8,0,0),"GY",H274=TIME(6,15,0),"GD"),"")</f>
        <v/>
      </c>
      <c r="EE274"/>
    </row>
    <row r="275" spans="1:135" x14ac:dyDescent="0.45">
      <c r="A275" s="3" t="s">
        <v>18</v>
      </c>
      <c r="B275" s="3"/>
      <c r="C275" s="3" t="s">
        <v>7466</v>
      </c>
      <c r="D275" s="3" t="s">
        <v>7467</v>
      </c>
      <c r="E275" s="100" t="s">
        <v>3817</v>
      </c>
      <c r="F275" s="3" t="s">
        <v>7468</v>
      </c>
      <c r="G275" s="4"/>
      <c r="H275" s="5"/>
      <c r="I275" s="91"/>
      <c r="J275" s="91"/>
      <c r="K275" s="91"/>
      <c r="L275" s="3"/>
      <c r="M275" s="3" t="s">
        <v>3819</v>
      </c>
      <c r="N275" s="3" t="s">
        <v>7469</v>
      </c>
      <c r="O275" t="s">
        <v>3867</v>
      </c>
      <c r="P275" s="3"/>
      <c r="Q275">
        <v>46283</v>
      </c>
      <c r="R275" s="3">
        <v>726</v>
      </c>
      <c r="S275" s="3" t="s">
        <v>3823</v>
      </c>
      <c r="T275" s="3">
        <v>6429</v>
      </c>
      <c r="U275" s="3" t="s">
        <v>7470</v>
      </c>
      <c r="V275" s="3" t="s">
        <v>7471</v>
      </c>
      <c r="W275" s="3">
        <v>10170.107</v>
      </c>
      <c r="X275" s="3">
        <v>46313</v>
      </c>
      <c r="Y275" s="3">
        <v>46311</v>
      </c>
      <c r="AA275" t="s">
        <v>3826</v>
      </c>
      <c r="AB275" t="s">
        <v>3827</v>
      </c>
      <c r="AC275" s="3" t="s">
        <v>7472</v>
      </c>
      <c r="AD275" t="s">
        <v>4034</v>
      </c>
      <c r="AE275" t="s">
        <v>6945</v>
      </c>
      <c r="AF275" t="s">
        <v>3831</v>
      </c>
      <c r="AG275" t="s">
        <v>3832</v>
      </c>
      <c r="AH275" t="s">
        <v>3908</v>
      </c>
      <c r="AI275" t="s">
        <v>3834</v>
      </c>
      <c r="AJ275" t="s">
        <v>3956</v>
      </c>
      <c r="AK275" t="s">
        <v>3832</v>
      </c>
      <c r="AM275" s="3" t="s">
        <v>7739</v>
      </c>
      <c r="AN275" s="3"/>
      <c r="AO275" s="3"/>
      <c r="AP275" s="3"/>
      <c r="AQ275" s="3"/>
      <c r="AR275" s="3"/>
      <c r="AS275" s="3"/>
      <c r="AT275" s="3"/>
      <c r="AU275" s="3"/>
      <c r="AV275" s="3"/>
      <c r="BC275" t="s">
        <v>18</v>
      </c>
      <c r="BE275" t="s">
        <v>7466</v>
      </c>
      <c r="BF275" t="s">
        <v>7467</v>
      </c>
      <c r="BG275" t="s">
        <v>3817</v>
      </c>
      <c r="CW275" s="6" t="str" cm="1">
        <f t="array" ref="CW275">IFERROR(_xlfn.IFS(H275=TIME(7,0,0),"GY",H275=TIME(7,30,0),"GY",H275=TIME(9,0,0),"GY",H275=TIME(15,0,0),"GY",H275=TIME(8,30,0),"GY",H275=TIME(5,30,0),"GY",H275=TIME(6,0,0),"GD",H275=TIME(6,30,0),"GD",H275=TIME(8,0,0),"GY",H275=TIME(6,15,0),"GD"),"")</f>
        <v/>
      </c>
      <c r="EE275"/>
    </row>
    <row r="276" spans="1:135" x14ac:dyDescent="0.45">
      <c r="A276" s="3" t="s">
        <v>63</v>
      </c>
      <c r="B276" s="3"/>
      <c r="C276" s="3" t="s">
        <v>7473</v>
      </c>
      <c r="D276" s="3" t="s">
        <v>7474</v>
      </c>
      <c r="E276" s="100" t="s">
        <v>3817</v>
      </c>
      <c r="F276" s="3" t="s">
        <v>7475</v>
      </c>
      <c r="G276" s="4"/>
      <c r="H276" s="5"/>
      <c r="I276" s="91"/>
      <c r="J276" s="91"/>
      <c r="K276" s="91"/>
      <c r="L276" s="3"/>
      <c r="M276" s="3" t="s">
        <v>3819</v>
      </c>
      <c r="N276" s="3" t="s">
        <v>7476</v>
      </c>
      <c r="O276" t="s">
        <v>3867</v>
      </c>
      <c r="P276" s="3" t="s">
        <v>4030</v>
      </c>
      <c r="Q276">
        <v>46283</v>
      </c>
      <c r="R276" s="3">
        <v>726</v>
      </c>
      <c r="S276" s="3" t="s">
        <v>3823</v>
      </c>
      <c r="T276" s="3">
        <v>5527</v>
      </c>
      <c r="U276" s="3" t="s">
        <v>7477</v>
      </c>
      <c r="V276" s="3" t="s">
        <v>7478</v>
      </c>
      <c r="W276" s="3">
        <v>3684.873</v>
      </c>
      <c r="X276" s="3">
        <v>46313</v>
      </c>
      <c r="Y276" s="3">
        <v>46311</v>
      </c>
      <c r="AA276" t="s">
        <v>3826</v>
      </c>
      <c r="AB276" t="s">
        <v>3827</v>
      </c>
      <c r="AC276" s="3" t="s">
        <v>7479</v>
      </c>
      <c r="AD276" t="s">
        <v>4034</v>
      </c>
      <c r="AE276" t="s">
        <v>6945</v>
      </c>
      <c r="AF276" t="s">
        <v>3831</v>
      </c>
      <c r="AG276" t="s">
        <v>3832</v>
      </c>
      <c r="AH276" t="s">
        <v>3908</v>
      </c>
      <c r="AI276" t="s">
        <v>3834</v>
      </c>
      <c r="AJ276" t="s">
        <v>3956</v>
      </c>
      <c r="AK276" t="s">
        <v>3832</v>
      </c>
      <c r="AM276" s="3" t="s">
        <v>7740</v>
      </c>
      <c r="AN276" s="3"/>
      <c r="AO276" s="3"/>
      <c r="AP276" s="3"/>
      <c r="AQ276" s="3"/>
      <c r="AR276" s="3"/>
      <c r="AS276" s="3"/>
      <c r="AT276" s="3"/>
      <c r="AU276" s="3"/>
      <c r="AV276" s="3"/>
      <c r="BC276" t="s">
        <v>63</v>
      </c>
      <c r="BE276" t="s">
        <v>7473</v>
      </c>
      <c r="BF276" t="s">
        <v>7474</v>
      </c>
      <c r="BG276" t="s">
        <v>3817</v>
      </c>
      <c r="CW276" s="6" t="str" cm="1">
        <f t="array" ref="CW276">IFERROR(_xlfn.IFS(H276=TIME(7,0,0),"GY",H276=TIME(7,30,0),"GY",H276=TIME(9,0,0),"GY",H276=TIME(15,0,0),"GY",H276=TIME(8,30,0),"GY",H276=TIME(5,30,0),"GY",H276=TIME(6,0,0),"GD",H276=TIME(6,30,0),"GD",H276=TIME(8,0,0),"GY",H276=TIME(6,15,0),"GD"),"")</f>
        <v/>
      </c>
      <c r="EE276"/>
    </row>
    <row r="277" spans="1:135" x14ac:dyDescent="0.45">
      <c r="A277" s="3" t="s">
        <v>63</v>
      </c>
      <c r="B277" s="3"/>
      <c r="C277" s="3" t="s">
        <v>7473</v>
      </c>
      <c r="D277" s="3" t="s">
        <v>7474</v>
      </c>
      <c r="E277" s="100" t="s">
        <v>3817</v>
      </c>
      <c r="F277" s="3" t="s">
        <v>7480</v>
      </c>
      <c r="G277" s="4"/>
      <c r="H277" s="5"/>
      <c r="I277" s="91"/>
      <c r="J277" s="91"/>
      <c r="K277" s="91"/>
      <c r="L277" s="3"/>
      <c r="M277" s="3" t="s">
        <v>3819</v>
      </c>
      <c r="N277" s="3" t="s">
        <v>7476</v>
      </c>
      <c r="O277" t="s">
        <v>3867</v>
      </c>
      <c r="P277" s="3" t="s">
        <v>4030</v>
      </c>
      <c r="Q277">
        <v>46283</v>
      </c>
      <c r="R277" s="3">
        <v>726</v>
      </c>
      <c r="S277" s="3" t="s">
        <v>3823</v>
      </c>
      <c r="T277" s="3">
        <v>7006</v>
      </c>
      <c r="U277" s="3" t="s">
        <v>7481</v>
      </c>
      <c r="V277" s="3" t="s">
        <v>7482</v>
      </c>
      <c r="W277" s="3">
        <v>4707.1639999999998</v>
      </c>
      <c r="X277" s="3">
        <v>46313</v>
      </c>
      <c r="Y277" s="3">
        <v>46311</v>
      </c>
      <c r="AA277" t="s">
        <v>3826</v>
      </c>
      <c r="AB277" t="s">
        <v>3827</v>
      </c>
      <c r="AC277" s="3" t="s">
        <v>7479</v>
      </c>
      <c r="AD277" t="s">
        <v>4034</v>
      </c>
      <c r="AE277" t="s">
        <v>6945</v>
      </c>
      <c r="AF277" t="s">
        <v>3831</v>
      </c>
      <c r="AG277" t="s">
        <v>3832</v>
      </c>
      <c r="AH277" t="s">
        <v>3908</v>
      </c>
      <c r="AI277" t="s">
        <v>3834</v>
      </c>
      <c r="AJ277" t="s">
        <v>3956</v>
      </c>
      <c r="AK277" t="s">
        <v>3832</v>
      </c>
      <c r="AM277" s="3" t="s">
        <v>7740</v>
      </c>
      <c r="AN277" s="3"/>
      <c r="AO277" s="3"/>
      <c r="AP277" s="3"/>
      <c r="AQ277" s="3"/>
      <c r="AR277" s="3"/>
      <c r="AS277" s="3"/>
      <c r="AT277" s="3"/>
      <c r="AU277" s="3"/>
      <c r="AV277" s="3"/>
      <c r="BC277" t="s">
        <v>63</v>
      </c>
      <c r="BE277" t="s">
        <v>7473</v>
      </c>
      <c r="BF277" t="s">
        <v>7474</v>
      </c>
      <c r="BG277" t="s">
        <v>3817</v>
      </c>
      <c r="CW277" s="6" t="str" cm="1">
        <f t="array" ref="CW277">IFERROR(_xlfn.IFS(H277=TIME(7,0,0),"GY",H277=TIME(7,30,0),"GY",H277=TIME(9,0,0),"GY",H277=TIME(15,0,0),"GY",H277=TIME(8,30,0),"GY",H277=TIME(5,30,0),"GY",H277=TIME(6,0,0),"GD",H277=TIME(6,30,0),"GD",H277=TIME(8,0,0),"GY",H277=TIME(6,15,0),"GD"),"")</f>
        <v/>
      </c>
      <c r="EE277"/>
    </row>
    <row r="278" spans="1:135" x14ac:dyDescent="0.45">
      <c r="A278" s="3" t="s">
        <v>18</v>
      </c>
      <c r="B278" s="3"/>
      <c r="C278" s="3" t="s">
        <v>7483</v>
      </c>
      <c r="D278" s="3" t="s">
        <v>7484</v>
      </c>
      <c r="E278" s="100" t="s">
        <v>3817</v>
      </c>
      <c r="F278" s="3" t="s">
        <v>7485</v>
      </c>
      <c r="G278" s="4"/>
      <c r="H278" s="5"/>
      <c r="I278" s="91"/>
      <c r="J278" s="91"/>
      <c r="K278" s="91"/>
      <c r="L278" s="3"/>
      <c r="M278" s="3" t="s">
        <v>3819</v>
      </c>
      <c r="N278" s="3" t="s">
        <v>7486</v>
      </c>
      <c r="O278" t="s">
        <v>3867</v>
      </c>
      <c r="P278" s="3"/>
      <c r="Q278">
        <v>46293</v>
      </c>
      <c r="R278" s="3">
        <v>726</v>
      </c>
      <c r="S278" s="3" t="s">
        <v>3823</v>
      </c>
      <c r="T278" s="3">
        <v>7610</v>
      </c>
      <c r="U278" s="3" t="s">
        <v>7487</v>
      </c>
      <c r="V278" s="3" t="s">
        <v>7488</v>
      </c>
      <c r="W278" s="3">
        <v>11318.261</v>
      </c>
      <c r="X278" s="3">
        <v>46313</v>
      </c>
      <c r="Y278" s="3">
        <v>46311</v>
      </c>
      <c r="AA278" t="s">
        <v>3826</v>
      </c>
      <c r="AB278" t="s">
        <v>3827</v>
      </c>
      <c r="AC278" s="3" t="s">
        <v>7489</v>
      </c>
      <c r="AD278" t="s">
        <v>4034</v>
      </c>
      <c r="AE278" t="s">
        <v>6945</v>
      </c>
      <c r="AF278" t="s">
        <v>3831</v>
      </c>
      <c r="AG278" t="s">
        <v>3832</v>
      </c>
      <c r="AH278" t="s">
        <v>3908</v>
      </c>
      <c r="AI278" t="s">
        <v>3834</v>
      </c>
      <c r="AJ278" t="s">
        <v>3956</v>
      </c>
      <c r="AK278" t="s">
        <v>3832</v>
      </c>
      <c r="AM278" s="3" t="s">
        <v>7741</v>
      </c>
      <c r="AN278" s="3"/>
      <c r="AO278" s="3"/>
      <c r="AP278" s="3"/>
      <c r="AQ278" s="3"/>
      <c r="AR278" s="3"/>
      <c r="AS278" s="3"/>
      <c r="AT278" s="3"/>
      <c r="AU278" s="3"/>
      <c r="AV278" s="3"/>
      <c r="BC278" t="s">
        <v>18</v>
      </c>
      <c r="BE278" t="s">
        <v>7483</v>
      </c>
      <c r="BF278" t="s">
        <v>7484</v>
      </c>
      <c r="BG278" t="s">
        <v>3817</v>
      </c>
      <c r="CW278" s="6" t="str" cm="1">
        <f t="array" ref="CW278">IFERROR(_xlfn.IFS(H278=TIME(7,0,0),"GY",H278=TIME(7,30,0),"GY",H278=TIME(9,0,0),"GY",H278=TIME(15,0,0),"GY",H278=TIME(8,30,0),"GY",H278=TIME(5,30,0),"GY",H278=TIME(6,0,0),"GD",H278=TIME(6,30,0),"GD",H278=TIME(8,0,0),"GY",H278=TIME(6,15,0),"GD"),"")</f>
        <v/>
      </c>
      <c r="EE278"/>
    </row>
    <row r="279" spans="1:135" x14ac:dyDescent="0.45">
      <c r="A279" s="3" t="s">
        <v>18</v>
      </c>
      <c r="B279" s="3" t="s">
        <v>3944</v>
      </c>
      <c r="C279" s="3" t="s">
        <v>7490</v>
      </c>
      <c r="D279" s="3" t="s">
        <v>7491</v>
      </c>
      <c r="E279" s="100" t="s">
        <v>3817</v>
      </c>
      <c r="F279" s="3" t="s">
        <v>7492</v>
      </c>
      <c r="G279" s="4"/>
      <c r="H279" s="5"/>
      <c r="I279" s="91"/>
      <c r="J279" s="91"/>
      <c r="K279" s="91"/>
      <c r="L279" s="3"/>
      <c r="M279" s="3" t="s">
        <v>3819</v>
      </c>
      <c r="N279" s="3" t="s">
        <v>7493</v>
      </c>
      <c r="O279" t="s">
        <v>3867</v>
      </c>
      <c r="P279" s="3"/>
      <c r="Q279">
        <v>46295</v>
      </c>
      <c r="R279" s="3">
        <v>726</v>
      </c>
      <c r="S279" s="3" t="s">
        <v>3823</v>
      </c>
      <c r="T279" s="3">
        <v>23893</v>
      </c>
      <c r="U279" s="3" t="s">
        <v>7494</v>
      </c>
      <c r="V279" s="3" t="s">
        <v>7495</v>
      </c>
      <c r="W279" s="3">
        <v>10859.633</v>
      </c>
      <c r="X279" s="3">
        <v>46313</v>
      </c>
      <c r="Y279" s="3">
        <v>46311</v>
      </c>
      <c r="AA279" t="s">
        <v>3826</v>
      </c>
      <c r="AB279" t="s">
        <v>3827</v>
      </c>
      <c r="AC279" s="3" t="s">
        <v>7496</v>
      </c>
      <c r="AD279" t="s">
        <v>4034</v>
      </c>
      <c r="AE279" t="s">
        <v>6945</v>
      </c>
      <c r="AF279" t="s">
        <v>3831</v>
      </c>
      <c r="AG279" t="s">
        <v>3832</v>
      </c>
      <c r="AH279" t="s">
        <v>3908</v>
      </c>
      <c r="AI279" t="s">
        <v>3834</v>
      </c>
      <c r="AJ279" t="s">
        <v>3956</v>
      </c>
      <c r="AK279" t="s">
        <v>3832</v>
      </c>
      <c r="AM279" s="3" t="s">
        <v>7742</v>
      </c>
      <c r="AN279" s="3"/>
      <c r="AO279" s="3"/>
      <c r="AP279" s="3"/>
      <c r="AQ279" s="3"/>
      <c r="AR279" s="3"/>
      <c r="AS279" s="3"/>
      <c r="AT279" s="3"/>
      <c r="AU279" s="3"/>
      <c r="AV279" s="3"/>
      <c r="BC279" t="s">
        <v>18</v>
      </c>
      <c r="BD279" t="s">
        <v>3944</v>
      </c>
      <c r="BE279" t="s">
        <v>7490</v>
      </c>
      <c r="BF279" t="s">
        <v>7491</v>
      </c>
      <c r="BG279" t="s">
        <v>3817</v>
      </c>
      <c r="CW279" s="6" t="str" cm="1">
        <f t="array" ref="CW279">IFERROR(_xlfn.IFS(H279=TIME(7,0,0),"GY",H279=TIME(7,30,0),"GY",H279=TIME(9,0,0),"GY",H279=TIME(15,0,0),"GY",H279=TIME(8,30,0),"GY",H279=TIME(5,30,0),"GY",H279=TIME(6,0,0),"GD",H279=TIME(6,30,0),"GD",H279=TIME(8,0,0),"GY",H279=TIME(6,15,0),"GD"),"")</f>
        <v/>
      </c>
    </row>
    <row r="280" spans="1:135" x14ac:dyDescent="0.45">
      <c r="A280" s="3" t="s">
        <v>18</v>
      </c>
      <c r="B280" s="3"/>
      <c r="C280" s="3" t="s">
        <v>7497</v>
      </c>
      <c r="D280" s="3" t="s">
        <v>7498</v>
      </c>
      <c r="E280" s="100" t="s">
        <v>3817</v>
      </c>
      <c r="F280" s="3" t="s">
        <v>7499</v>
      </c>
      <c r="G280" s="4"/>
      <c r="H280" s="5"/>
      <c r="I280" s="91"/>
      <c r="J280" s="91"/>
      <c r="K280" s="91"/>
      <c r="L280" s="3"/>
      <c r="M280" s="3" t="s">
        <v>3819</v>
      </c>
      <c r="N280" s="3" t="s">
        <v>7500</v>
      </c>
      <c r="O280" t="s">
        <v>3867</v>
      </c>
      <c r="P280" s="3"/>
      <c r="Q280">
        <v>46295</v>
      </c>
      <c r="R280" s="3">
        <v>726</v>
      </c>
      <c r="S280" s="3" t="s">
        <v>3823</v>
      </c>
      <c r="T280" s="3">
        <v>11393</v>
      </c>
      <c r="U280" s="3" t="s">
        <v>7501</v>
      </c>
      <c r="V280" s="3" t="s">
        <v>7502</v>
      </c>
      <c r="W280" s="3">
        <v>11916.781000000001</v>
      </c>
      <c r="X280" s="3">
        <v>46313</v>
      </c>
      <c r="Y280" s="3">
        <v>46311</v>
      </c>
      <c r="AA280" t="s">
        <v>3826</v>
      </c>
      <c r="AB280" t="s">
        <v>3827</v>
      </c>
      <c r="AC280" s="3" t="s">
        <v>7503</v>
      </c>
      <c r="AD280" t="s">
        <v>4034</v>
      </c>
      <c r="AE280" t="s">
        <v>6945</v>
      </c>
      <c r="AF280" t="s">
        <v>3831</v>
      </c>
      <c r="AG280" t="s">
        <v>3832</v>
      </c>
      <c r="AH280" t="s">
        <v>3908</v>
      </c>
      <c r="AI280" t="s">
        <v>3834</v>
      </c>
      <c r="AJ280" t="s">
        <v>3956</v>
      </c>
      <c r="AK280" t="s">
        <v>3832</v>
      </c>
      <c r="AM280" s="3" t="s">
        <v>7743</v>
      </c>
      <c r="AN280" s="3"/>
      <c r="AO280" s="3"/>
      <c r="AP280" s="3"/>
      <c r="AQ280" s="3"/>
      <c r="AR280" s="3"/>
      <c r="AS280" s="3"/>
      <c r="AT280" s="3"/>
      <c r="AU280" s="3"/>
      <c r="AV280" s="3"/>
      <c r="BC280" t="s">
        <v>18</v>
      </c>
      <c r="BE280" t="s">
        <v>7497</v>
      </c>
      <c r="BF280" t="s">
        <v>7498</v>
      </c>
      <c r="BG280" t="s">
        <v>3817</v>
      </c>
      <c r="CW280" s="6" t="str" cm="1">
        <f t="array" ref="CW280">IFERROR(_xlfn.IFS(H280=TIME(7,0,0),"GY",H280=TIME(7,30,0),"GY",H280=TIME(9,0,0),"GY",H280=TIME(15,0,0),"GY",H280=TIME(8,30,0),"GY",H280=TIME(5,30,0),"GY",H280=TIME(6,0,0),"GD",H280=TIME(6,30,0),"GD",H280=TIME(8,0,0),"GY",H280=TIME(6,15,0),"GD"),"")</f>
        <v/>
      </c>
    </row>
    <row r="281" spans="1:135" x14ac:dyDescent="0.45">
      <c r="A281" s="3" t="s">
        <v>32</v>
      </c>
      <c r="B281" s="3" t="s">
        <v>3814</v>
      </c>
      <c r="C281" s="3" t="s">
        <v>7277</v>
      </c>
      <c r="D281" s="3" t="s">
        <v>7278</v>
      </c>
      <c r="E281" s="100" t="s">
        <v>3947</v>
      </c>
      <c r="F281" s="3" t="s">
        <v>3323</v>
      </c>
      <c r="G281" s="4"/>
      <c r="H281" s="5"/>
      <c r="I281" s="91"/>
      <c r="J281" s="91"/>
      <c r="K281" s="91"/>
      <c r="L281" s="3"/>
      <c r="M281" s="3" t="s">
        <v>3966</v>
      </c>
      <c r="N281" s="3" t="s">
        <v>7279</v>
      </c>
      <c r="O281" t="s">
        <v>3821</v>
      </c>
      <c r="P281" s="3" t="s">
        <v>3968</v>
      </c>
      <c r="Q281">
        <v>46288</v>
      </c>
      <c r="R281" s="3">
        <v>726</v>
      </c>
      <c r="S281" s="3" t="s">
        <v>3823</v>
      </c>
      <c r="T281" s="3">
        <v>264</v>
      </c>
      <c r="U281" s="3" t="s">
        <v>7280</v>
      </c>
      <c r="V281" s="3" t="s">
        <v>7281</v>
      </c>
      <c r="W281" s="3">
        <v>507.05</v>
      </c>
      <c r="X281" s="3">
        <v>46322</v>
      </c>
      <c r="Y281" s="3">
        <v>46325</v>
      </c>
      <c r="AA281" t="s">
        <v>3971</v>
      </c>
      <c r="AB281" t="s">
        <v>3972</v>
      </c>
      <c r="AC281" s="3" t="s">
        <v>7504</v>
      </c>
      <c r="AD281" t="s">
        <v>7282</v>
      </c>
      <c r="AE281" t="s">
        <v>7283</v>
      </c>
      <c r="AF281" t="s">
        <v>3976</v>
      </c>
      <c r="AG281" t="s">
        <v>3832</v>
      </c>
      <c r="AH281" t="s">
        <v>3977</v>
      </c>
      <c r="AI281" t="s">
        <v>3834</v>
      </c>
      <c r="AJ281" t="s">
        <v>3956</v>
      </c>
      <c r="AK281" t="s">
        <v>3832</v>
      </c>
      <c r="AM281" s="3" t="s">
        <v>7505</v>
      </c>
      <c r="AN281" s="3"/>
      <c r="AO281" s="3"/>
      <c r="AP281" s="3"/>
      <c r="AQ281" s="3"/>
      <c r="AR281" s="3"/>
      <c r="AS281" s="3"/>
      <c r="AT281" s="3"/>
      <c r="AU281" s="3"/>
      <c r="AV281" s="3"/>
      <c r="BC281" t="s">
        <v>32</v>
      </c>
      <c r="BD281" t="s">
        <v>3814</v>
      </c>
      <c r="BE281" t="s">
        <v>7277</v>
      </c>
      <c r="BF281" t="s">
        <v>7278</v>
      </c>
      <c r="BG281" t="s">
        <v>3947</v>
      </c>
      <c r="CW281" s="6" t="str" cm="1">
        <f t="array" ref="CW281">IFERROR(_xlfn.IFS(H281=TIME(7,0,0),"GY",H281=TIME(7,30,0),"GY",H281=TIME(9,0,0),"GY",H281=TIME(15,0,0),"GY",H281=TIME(8,30,0),"GY",H281=TIME(5,30,0),"GY",H281=TIME(6,0,0),"GD",H281=TIME(6,30,0),"GD",H281=TIME(8,0,0),"GY",H281=TIME(6,15,0),"GD"),"")</f>
        <v/>
      </c>
    </row>
    <row r="282" spans="1:135" x14ac:dyDescent="0.45">
      <c r="A282" s="3" t="s">
        <v>32</v>
      </c>
      <c r="B282" s="3" t="s">
        <v>3814</v>
      </c>
      <c r="C282" s="3" t="s">
        <v>7277</v>
      </c>
      <c r="D282" s="3" t="s">
        <v>7278</v>
      </c>
      <c r="E282" s="100" t="s">
        <v>3947</v>
      </c>
      <c r="F282" s="3" t="s">
        <v>3324</v>
      </c>
      <c r="G282" s="4"/>
      <c r="H282" s="5"/>
      <c r="I282" s="91"/>
      <c r="J282" s="91"/>
      <c r="K282" s="91"/>
      <c r="L282" s="3"/>
      <c r="M282" s="3" t="s">
        <v>3966</v>
      </c>
      <c r="N282" s="3" t="s">
        <v>7279</v>
      </c>
      <c r="O282" t="s">
        <v>3821</v>
      </c>
      <c r="P282" s="3" t="s">
        <v>3968</v>
      </c>
      <c r="Q282">
        <v>46288</v>
      </c>
      <c r="R282" s="3">
        <v>726</v>
      </c>
      <c r="S282" s="3" t="s">
        <v>3823</v>
      </c>
      <c r="T282" s="3">
        <v>980</v>
      </c>
      <c r="U282" s="3" t="s">
        <v>7284</v>
      </c>
      <c r="V282" s="3" t="s">
        <v>7285</v>
      </c>
      <c r="W282" s="3">
        <v>339.26</v>
      </c>
      <c r="X282" s="3">
        <v>46322</v>
      </c>
      <c r="Y282" s="3">
        <v>46325</v>
      </c>
      <c r="AA282" t="s">
        <v>3971</v>
      </c>
      <c r="AB282" t="s">
        <v>3972</v>
      </c>
      <c r="AC282" s="3" t="s">
        <v>7504</v>
      </c>
      <c r="AD282" t="s">
        <v>7282</v>
      </c>
      <c r="AE282" t="s">
        <v>7283</v>
      </c>
      <c r="AF282" t="s">
        <v>3976</v>
      </c>
      <c r="AG282" t="s">
        <v>3832</v>
      </c>
      <c r="AH282" t="s">
        <v>3977</v>
      </c>
      <c r="AI282" t="s">
        <v>3834</v>
      </c>
      <c r="AJ282" t="s">
        <v>3956</v>
      </c>
      <c r="AK282" t="s">
        <v>3832</v>
      </c>
      <c r="AM282" s="3" t="s">
        <v>7505</v>
      </c>
      <c r="AN282" s="3"/>
      <c r="AO282" s="3"/>
      <c r="AP282" s="3"/>
      <c r="AQ282" s="3"/>
      <c r="AR282" s="3"/>
      <c r="AS282" s="3"/>
      <c r="AT282" s="3"/>
      <c r="AU282" s="3"/>
      <c r="AV282" s="3"/>
      <c r="BC282" t="s">
        <v>32</v>
      </c>
      <c r="BD282" t="s">
        <v>3814</v>
      </c>
      <c r="BE282" t="s">
        <v>7277</v>
      </c>
      <c r="BF282" t="s">
        <v>7278</v>
      </c>
      <c r="BG282" t="s">
        <v>3947</v>
      </c>
      <c r="CW282" s="6" t="str" cm="1">
        <f t="array" ref="CW282">IFERROR(_xlfn.IFS(H282=TIME(7,0,0),"GY",H282=TIME(7,30,0),"GY",H282=TIME(9,0,0),"GY",H282=TIME(15,0,0),"GY",H282=TIME(8,30,0),"GY",H282=TIME(5,30,0),"GY",H282=TIME(6,0,0),"GD",H282=TIME(6,30,0),"GD",H282=TIME(8,0,0),"GY",H282=TIME(6,15,0),"GD"),"")</f>
        <v/>
      </c>
    </row>
    <row r="283" spans="1:135" x14ac:dyDescent="0.45">
      <c r="A283" s="3" t="s">
        <v>63</v>
      </c>
      <c r="B283" s="3"/>
      <c r="C283" s="3" t="s">
        <v>6938</v>
      </c>
      <c r="D283" s="3" t="s">
        <v>6939</v>
      </c>
      <c r="E283" s="100" t="s">
        <v>3817</v>
      </c>
      <c r="F283" s="3" t="s">
        <v>6940</v>
      </c>
      <c r="G283" s="4"/>
      <c r="H283" s="5"/>
      <c r="I283" s="91"/>
      <c r="J283" s="91"/>
      <c r="K283" s="91"/>
      <c r="L283" s="3"/>
      <c r="M283" s="3" t="s">
        <v>3819</v>
      </c>
      <c r="N283" s="3" t="s">
        <v>6941</v>
      </c>
      <c r="O283" t="s">
        <v>3867</v>
      </c>
      <c r="P283" s="3" t="s">
        <v>4030</v>
      </c>
      <c r="Q283">
        <v>46281</v>
      </c>
      <c r="R283" s="3">
        <v>726</v>
      </c>
      <c r="S283" s="3" t="s">
        <v>3823</v>
      </c>
      <c r="T283" s="3">
        <v>8901</v>
      </c>
      <c r="U283" s="3" t="s">
        <v>6942</v>
      </c>
      <c r="V283" s="3" t="s">
        <v>6943</v>
      </c>
      <c r="W283" s="3">
        <v>2643.8710000000001</v>
      </c>
      <c r="X283" s="3">
        <v>46313</v>
      </c>
      <c r="Y283" s="3">
        <v>46311</v>
      </c>
      <c r="AA283" t="s">
        <v>3826</v>
      </c>
      <c r="AB283" t="s">
        <v>3827</v>
      </c>
      <c r="AC283" s="3" t="s">
        <v>6944</v>
      </c>
      <c r="AD283" t="s">
        <v>4034</v>
      </c>
      <c r="AE283" t="s">
        <v>6945</v>
      </c>
      <c r="AF283" t="s">
        <v>3831</v>
      </c>
      <c r="AG283" t="s">
        <v>3832</v>
      </c>
      <c r="AH283" t="s">
        <v>3908</v>
      </c>
      <c r="AI283" t="s">
        <v>3834</v>
      </c>
      <c r="AJ283" t="s">
        <v>3956</v>
      </c>
      <c r="AK283" t="s">
        <v>3832</v>
      </c>
      <c r="AM283" s="3" t="s">
        <v>7265</v>
      </c>
      <c r="AN283" s="3"/>
      <c r="AO283" s="3"/>
      <c r="AP283" s="3"/>
      <c r="AQ283" s="3"/>
      <c r="AR283" s="3"/>
      <c r="AS283" s="3"/>
      <c r="AT283" s="3"/>
      <c r="AU283" s="3"/>
      <c r="AV283" s="3"/>
      <c r="BC283" t="s">
        <v>63</v>
      </c>
      <c r="BE283" t="s">
        <v>6938</v>
      </c>
      <c r="BF283" t="s">
        <v>6939</v>
      </c>
      <c r="BG283" t="s">
        <v>3817</v>
      </c>
      <c r="CW283" s="6" t="str" cm="1">
        <f t="array" ref="CW283">IFERROR(_xlfn.IFS(H283=TIME(7,0,0),"GY",H283=TIME(7,30,0),"GY",H283=TIME(9,0,0),"GY",H283=TIME(15,0,0),"GY",H283=TIME(8,30,0),"GY",H283=TIME(5,30,0),"GY",H283=TIME(6,0,0),"GD",H283=TIME(6,30,0),"GD",H283=TIME(8,0,0),"GY",H283=TIME(6,15,0),"GD"),"")</f>
        <v/>
      </c>
    </row>
    <row r="284" spans="1:135" x14ac:dyDescent="0.45">
      <c r="A284" s="3" t="s">
        <v>63</v>
      </c>
      <c r="B284" s="3"/>
      <c r="C284" s="3" t="s">
        <v>6938</v>
      </c>
      <c r="D284" s="3" t="s">
        <v>6939</v>
      </c>
      <c r="E284" s="100" t="s">
        <v>3817</v>
      </c>
      <c r="F284" s="3" t="s">
        <v>6946</v>
      </c>
      <c r="G284" s="4"/>
      <c r="H284" s="5"/>
      <c r="I284" s="91"/>
      <c r="J284" s="91"/>
      <c r="K284" s="91"/>
      <c r="L284" s="3"/>
      <c r="M284" s="3" t="s">
        <v>3819</v>
      </c>
      <c r="N284" s="3" t="s">
        <v>6941</v>
      </c>
      <c r="O284" t="s">
        <v>3867</v>
      </c>
      <c r="P284" s="3" t="s">
        <v>4030</v>
      </c>
      <c r="Q284">
        <v>46281</v>
      </c>
      <c r="R284" s="3">
        <v>726</v>
      </c>
      <c r="S284" s="3" t="s">
        <v>3823</v>
      </c>
      <c r="T284" s="3">
        <v>8887</v>
      </c>
      <c r="U284" s="3" t="s">
        <v>6947</v>
      </c>
      <c r="V284" s="3" t="s">
        <v>6948</v>
      </c>
      <c r="W284" s="3">
        <v>5728.3140000000003</v>
      </c>
      <c r="X284" s="3">
        <v>46313</v>
      </c>
      <c r="Y284" s="3">
        <v>46311</v>
      </c>
      <c r="AA284" t="s">
        <v>3826</v>
      </c>
      <c r="AB284" t="s">
        <v>3827</v>
      </c>
      <c r="AC284" s="3" t="s">
        <v>6944</v>
      </c>
      <c r="AD284" t="s">
        <v>4034</v>
      </c>
      <c r="AE284" t="s">
        <v>6945</v>
      </c>
      <c r="AF284" t="s">
        <v>3831</v>
      </c>
      <c r="AG284" t="s">
        <v>3832</v>
      </c>
      <c r="AH284" t="s">
        <v>3908</v>
      </c>
      <c r="AI284" t="s">
        <v>3834</v>
      </c>
      <c r="AJ284" t="s">
        <v>3956</v>
      </c>
      <c r="AK284" t="s">
        <v>3832</v>
      </c>
      <c r="AM284" s="3" t="s">
        <v>7265</v>
      </c>
      <c r="AN284" s="3"/>
      <c r="AO284" s="3"/>
      <c r="AP284" s="3"/>
      <c r="AQ284" s="3"/>
      <c r="AR284" s="3"/>
      <c r="AS284" s="3"/>
      <c r="AT284" s="3"/>
      <c r="AU284" s="3"/>
      <c r="AV284" s="3"/>
      <c r="BC284" t="s">
        <v>63</v>
      </c>
      <c r="BE284" t="s">
        <v>6938</v>
      </c>
      <c r="BF284" t="s">
        <v>6939</v>
      </c>
      <c r="BG284" t="s">
        <v>3817</v>
      </c>
      <c r="CW284" s="6" t="str" cm="1">
        <f t="array" ref="CW284">IFERROR(_xlfn.IFS(H284=TIME(7,0,0),"GY",H284=TIME(7,30,0),"GY",H284=TIME(9,0,0),"GY",H284=TIME(15,0,0),"GY",H284=TIME(8,30,0),"GY",H284=TIME(5,30,0),"GY",H284=TIME(6,0,0),"GD",H284=TIME(6,30,0),"GD",H284=TIME(8,0,0),"GY",H284=TIME(6,15,0),"GD"),"")</f>
        <v/>
      </c>
    </row>
    <row r="285" spans="1:135" x14ac:dyDescent="0.45">
      <c r="A285" s="3" t="s">
        <v>32</v>
      </c>
      <c r="B285" s="3" t="s">
        <v>3814</v>
      </c>
      <c r="C285" s="3" t="s">
        <v>6724</v>
      </c>
      <c r="D285" s="3" t="s">
        <v>6725</v>
      </c>
      <c r="E285" s="100" t="s">
        <v>3817</v>
      </c>
      <c r="F285" s="3" t="s">
        <v>5777</v>
      </c>
      <c r="G285" s="4"/>
      <c r="H285" s="5"/>
      <c r="I285" s="91">
        <v>46307</v>
      </c>
      <c r="J285" s="91"/>
      <c r="K285" s="91">
        <v>46305</v>
      </c>
      <c r="L285" s="3"/>
      <c r="M285" s="3" t="s">
        <v>3819</v>
      </c>
      <c r="N285" s="3" t="s">
        <v>6726</v>
      </c>
      <c r="O285" t="s">
        <v>3867</v>
      </c>
      <c r="P285" s="3" t="s">
        <v>4251</v>
      </c>
      <c r="Q285">
        <v>46280</v>
      </c>
      <c r="R285" s="3">
        <v>726</v>
      </c>
      <c r="S285" s="3" t="s">
        <v>3823</v>
      </c>
      <c r="T285" s="3">
        <v>82</v>
      </c>
      <c r="U285" s="3" t="s">
        <v>6727</v>
      </c>
      <c r="V285" s="3" t="s">
        <v>6728</v>
      </c>
      <c r="W285" s="3">
        <v>4308.1099999999997</v>
      </c>
      <c r="X285" s="3">
        <v>46316</v>
      </c>
      <c r="Y285" s="3">
        <v>46305</v>
      </c>
      <c r="AA285" t="s">
        <v>3826</v>
      </c>
      <c r="AB285" t="s">
        <v>3827</v>
      </c>
      <c r="AC285" s="3" t="s">
        <v>6729</v>
      </c>
      <c r="AD285" t="s">
        <v>3955</v>
      </c>
      <c r="AE285" t="s">
        <v>6631</v>
      </c>
      <c r="AF285" t="s">
        <v>3831</v>
      </c>
      <c r="AG285" t="s">
        <v>3832</v>
      </c>
      <c r="AH285" t="s">
        <v>3908</v>
      </c>
      <c r="AI285" t="s">
        <v>3834</v>
      </c>
      <c r="AJ285" t="s">
        <v>3956</v>
      </c>
      <c r="AK285" t="s">
        <v>3832</v>
      </c>
      <c r="AL285" t="s">
        <v>4245</v>
      </c>
      <c r="AM285" s="3" t="s">
        <v>6797</v>
      </c>
      <c r="AN285" s="3"/>
      <c r="AO285" s="3">
        <v>46307</v>
      </c>
      <c r="AP285" s="3"/>
      <c r="AQ285" s="3" t="s">
        <v>4037</v>
      </c>
      <c r="AR285" s="3"/>
      <c r="AS285" s="3" t="s">
        <v>3961</v>
      </c>
      <c r="AT285" s="3">
        <v>46319</v>
      </c>
      <c r="AU285" s="3"/>
      <c r="AV285" s="3"/>
      <c r="BC285" t="s">
        <v>32</v>
      </c>
      <c r="BD285" t="s">
        <v>3814</v>
      </c>
      <c r="BE285" t="s">
        <v>6724</v>
      </c>
      <c r="BF285" t="s">
        <v>6725</v>
      </c>
      <c r="BG285" t="s">
        <v>3817</v>
      </c>
      <c r="CW285" s="6" t="str" cm="1">
        <f t="array" ref="CW285">IFERROR(_xlfn.IFS(H285=TIME(7,0,0),"GY",H285=TIME(7,30,0),"GY",H285=TIME(9,0,0),"GY",H285=TIME(15,0,0),"GY",H285=TIME(8,30,0),"GY",H285=TIME(5,30,0),"GY",H285=TIME(6,0,0),"GD",H285=TIME(6,30,0),"GD",H285=TIME(8,0,0),"GY",H285=TIME(6,15,0),"GD"),"")</f>
        <v/>
      </c>
    </row>
    <row r="286" spans="1:135" x14ac:dyDescent="0.45">
      <c r="A286" s="3" t="s">
        <v>18</v>
      </c>
      <c r="B286" s="3" t="s">
        <v>0</v>
      </c>
      <c r="C286" s="3" t="s">
        <v>5847</v>
      </c>
      <c r="D286" s="3" t="s">
        <v>5848</v>
      </c>
      <c r="E286" s="100" t="s">
        <v>3817</v>
      </c>
      <c r="F286" s="3" t="s">
        <v>5849</v>
      </c>
      <c r="G286" s="4"/>
      <c r="H286" s="5"/>
      <c r="I286" s="91">
        <v>46307</v>
      </c>
      <c r="J286" s="91"/>
      <c r="K286" s="91">
        <v>46306</v>
      </c>
      <c r="L286" s="3"/>
      <c r="M286" s="3" t="s">
        <v>3819</v>
      </c>
      <c r="N286" s="3" t="s">
        <v>5850</v>
      </c>
      <c r="O286" t="s">
        <v>3867</v>
      </c>
      <c r="P286" s="3" t="s">
        <v>3852</v>
      </c>
      <c r="Q286">
        <v>46268</v>
      </c>
      <c r="R286" s="3">
        <v>726</v>
      </c>
      <c r="S286" s="3" t="s">
        <v>3823</v>
      </c>
      <c r="T286" s="3">
        <v>6954</v>
      </c>
      <c r="U286" s="3" t="s">
        <v>5851</v>
      </c>
      <c r="V286" s="3" t="s">
        <v>5852</v>
      </c>
      <c r="W286" s="3">
        <v>7868.8869999999997</v>
      </c>
      <c r="X286" s="3">
        <v>46298</v>
      </c>
      <c r="Y286" s="3">
        <v>46306</v>
      </c>
      <c r="AA286" t="s">
        <v>3870</v>
      </c>
      <c r="AB286" t="s">
        <v>3871</v>
      </c>
      <c r="AC286" s="3" t="s">
        <v>5853</v>
      </c>
      <c r="AD286" t="s">
        <v>4583</v>
      </c>
      <c r="AE286" t="s">
        <v>5854</v>
      </c>
      <c r="AF286" t="s">
        <v>3831</v>
      </c>
      <c r="AG286" t="s">
        <v>3832</v>
      </c>
      <c r="AH286" t="s">
        <v>3875</v>
      </c>
      <c r="AI286" t="s">
        <v>3834</v>
      </c>
      <c r="AJ286" t="s">
        <v>3835</v>
      </c>
      <c r="AK286" t="s">
        <v>3832</v>
      </c>
      <c r="AL286" t="s">
        <v>4066</v>
      </c>
      <c r="AM286" s="3" t="s">
        <v>6090</v>
      </c>
      <c r="AN286" s="3"/>
      <c r="AO286" s="3">
        <v>46307</v>
      </c>
      <c r="AP286" s="3"/>
      <c r="AQ286" s="3" t="s">
        <v>3877</v>
      </c>
      <c r="AR286" s="3"/>
      <c r="AS286" s="3"/>
      <c r="AT286" s="3">
        <v>46320</v>
      </c>
      <c r="AU286" s="3"/>
      <c r="AV286" s="3"/>
      <c r="BC286" t="s">
        <v>18</v>
      </c>
      <c r="BD286" t="s">
        <v>0</v>
      </c>
      <c r="BE286" t="s">
        <v>5847</v>
      </c>
      <c r="BF286" t="s">
        <v>5848</v>
      </c>
      <c r="BG286" t="s">
        <v>3817</v>
      </c>
      <c r="CW286" s="6" t="str" cm="1">
        <f t="array" ref="CW286">IFERROR(_xlfn.IFS(H286=TIME(7,0,0),"GY",H286=TIME(7,30,0),"GY",H286=TIME(9,0,0),"GY",H286=TIME(15,0,0),"GY",H286=TIME(8,30,0),"GY",H286=TIME(5,30,0),"GY",H286=TIME(6,0,0),"GD",H286=TIME(6,30,0),"GD",H286=TIME(8,0,0),"GY",H286=TIME(6,15,0),"GD"),"")</f>
        <v/>
      </c>
    </row>
    <row r="287" spans="1:135" x14ac:dyDescent="0.45">
      <c r="A287" s="3" t="s">
        <v>18</v>
      </c>
      <c r="B287" s="3" t="s">
        <v>0</v>
      </c>
      <c r="C287" s="3" t="s">
        <v>5847</v>
      </c>
      <c r="D287" s="3" t="s">
        <v>5848</v>
      </c>
      <c r="E287" s="100" t="s">
        <v>3817</v>
      </c>
      <c r="F287" s="3" t="s">
        <v>5855</v>
      </c>
      <c r="G287" s="4"/>
      <c r="H287" s="5"/>
      <c r="I287" s="91">
        <v>46307</v>
      </c>
      <c r="J287" s="91"/>
      <c r="K287" s="91">
        <v>46306</v>
      </c>
      <c r="L287" s="3"/>
      <c r="M287" s="3" t="s">
        <v>3819</v>
      </c>
      <c r="N287" s="3" t="s">
        <v>5850</v>
      </c>
      <c r="O287" t="s">
        <v>3867</v>
      </c>
      <c r="P287" s="3" t="s">
        <v>3852</v>
      </c>
      <c r="Q287">
        <v>46268</v>
      </c>
      <c r="R287" s="3">
        <v>726</v>
      </c>
      <c r="S287" s="3" t="s">
        <v>3823</v>
      </c>
      <c r="T287" s="3">
        <v>3505</v>
      </c>
      <c r="U287" s="3" t="s">
        <v>5856</v>
      </c>
      <c r="V287" s="3" t="s">
        <v>5857</v>
      </c>
      <c r="W287" s="3">
        <v>1485.5719999999999</v>
      </c>
      <c r="X287" s="3">
        <v>46298</v>
      </c>
      <c r="Y287" s="3">
        <v>46306</v>
      </c>
      <c r="AA287" t="s">
        <v>3870</v>
      </c>
      <c r="AB287" t="s">
        <v>3871</v>
      </c>
      <c r="AC287" s="3" t="s">
        <v>5853</v>
      </c>
      <c r="AD287" t="s">
        <v>4583</v>
      </c>
      <c r="AE287" t="s">
        <v>5854</v>
      </c>
      <c r="AF287" t="s">
        <v>3831</v>
      </c>
      <c r="AG287" t="s">
        <v>3832</v>
      </c>
      <c r="AH287" t="s">
        <v>3875</v>
      </c>
      <c r="AI287" t="s">
        <v>3834</v>
      </c>
      <c r="AJ287" t="s">
        <v>3835</v>
      </c>
      <c r="AK287" t="s">
        <v>3832</v>
      </c>
      <c r="AL287" t="s">
        <v>4066</v>
      </c>
      <c r="AM287" s="3" t="s">
        <v>6090</v>
      </c>
      <c r="AN287" s="3"/>
      <c r="AO287" s="3">
        <v>46307</v>
      </c>
      <c r="AP287" s="3"/>
      <c r="AQ287" s="3" t="s">
        <v>3877</v>
      </c>
      <c r="AR287" s="3"/>
      <c r="AS287" s="3"/>
      <c r="AT287" s="3">
        <v>46320</v>
      </c>
      <c r="AU287" s="3"/>
      <c r="AV287" s="3"/>
      <c r="BC287" t="s">
        <v>18</v>
      </c>
      <c r="BD287" t="s">
        <v>0</v>
      </c>
      <c r="BE287" t="s">
        <v>5847</v>
      </c>
      <c r="BF287" t="s">
        <v>5848</v>
      </c>
      <c r="BG287" t="s">
        <v>3817</v>
      </c>
      <c r="CW287" s="6" t="str" cm="1">
        <f t="array" ref="CW287">IFERROR(_xlfn.IFS(H287=TIME(7,0,0),"GY",H287=TIME(7,30,0),"GY",H287=TIME(9,0,0),"GY",H287=TIME(15,0,0),"GY",H287=TIME(8,30,0),"GY",H287=TIME(5,30,0),"GY",H287=TIME(6,0,0),"GD",H287=TIME(6,30,0),"GD",H287=TIME(8,0,0),"GY",H287=TIME(6,15,0),"GD"),"")</f>
        <v/>
      </c>
    </row>
    <row r="288" spans="1:135" x14ac:dyDescent="0.45">
      <c r="A288" s="3" t="s">
        <v>32</v>
      </c>
      <c r="B288" s="3" t="s">
        <v>3814</v>
      </c>
      <c r="C288" s="3" t="s">
        <v>6632</v>
      </c>
      <c r="D288" s="3" t="s">
        <v>6633</v>
      </c>
      <c r="E288" s="100" t="s">
        <v>3817</v>
      </c>
      <c r="F288" s="3" t="s">
        <v>5684</v>
      </c>
      <c r="G288" s="4"/>
      <c r="H288" s="5"/>
      <c r="I288" s="91">
        <v>46308</v>
      </c>
      <c r="J288" s="91"/>
      <c r="K288" s="91">
        <v>46307</v>
      </c>
      <c r="L288" s="3"/>
      <c r="M288" s="3" t="s">
        <v>3819</v>
      </c>
      <c r="N288" s="3" t="s">
        <v>6634</v>
      </c>
      <c r="O288" t="s">
        <v>3819</v>
      </c>
      <c r="P288" s="3" t="s">
        <v>6635</v>
      </c>
      <c r="Q288">
        <v>46280</v>
      </c>
      <c r="R288" s="3">
        <v>726</v>
      </c>
      <c r="S288" s="3" t="s">
        <v>3823</v>
      </c>
      <c r="T288" s="3">
        <v>68</v>
      </c>
      <c r="U288" s="3" t="s">
        <v>6636</v>
      </c>
      <c r="V288" s="3" t="s">
        <v>6637</v>
      </c>
      <c r="W288" s="3">
        <v>2313.8200000000002</v>
      </c>
      <c r="X288" s="3">
        <v>46306</v>
      </c>
      <c r="Y288" s="3">
        <v>46307</v>
      </c>
      <c r="Z288">
        <v>46291</v>
      </c>
      <c r="AA288" t="s">
        <v>3826</v>
      </c>
      <c r="AB288" t="s">
        <v>3827</v>
      </c>
      <c r="AC288" s="3" t="s">
        <v>6638</v>
      </c>
      <c r="AD288" t="s">
        <v>6639</v>
      </c>
      <c r="AE288" t="s">
        <v>6610</v>
      </c>
      <c r="AF288" t="s">
        <v>3831</v>
      </c>
      <c r="AG288" t="s">
        <v>3832</v>
      </c>
      <c r="AH288" t="s">
        <v>3833</v>
      </c>
      <c r="AI288" t="s">
        <v>3834</v>
      </c>
      <c r="AJ288" t="s">
        <v>3835</v>
      </c>
      <c r="AK288" t="s">
        <v>3832</v>
      </c>
      <c r="AM288" s="3" t="s">
        <v>6774</v>
      </c>
      <c r="AN288" s="3"/>
      <c r="AO288" s="3">
        <v>46307</v>
      </c>
      <c r="AP288" s="3"/>
      <c r="AQ288" s="3" t="s">
        <v>3837</v>
      </c>
      <c r="AR288" s="3" t="s">
        <v>3814</v>
      </c>
      <c r="AS288" s="3"/>
      <c r="AT288" s="3">
        <v>46321</v>
      </c>
      <c r="AU288" s="3">
        <v>46353</v>
      </c>
      <c r="AV288" s="3"/>
      <c r="BC288" t="s">
        <v>32</v>
      </c>
      <c r="BD288" t="s">
        <v>3814</v>
      </c>
      <c r="BE288" t="s">
        <v>6632</v>
      </c>
      <c r="BF288" t="s">
        <v>6633</v>
      </c>
      <c r="BG288" t="s">
        <v>3817</v>
      </c>
      <c r="CW288" s="6" t="str" cm="1">
        <f t="array" ref="CW288">IFERROR(_xlfn.IFS(H288=TIME(7,0,0),"GY",H288=TIME(7,30,0),"GY",H288=TIME(9,0,0),"GY",H288=TIME(15,0,0),"GY",H288=TIME(8,30,0),"GY",H288=TIME(5,30,0),"GY",H288=TIME(6,0,0),"GD",H288=TIME(6,30,0),"GD",H288=TIME(8,0,0),"GY",H288=TIME(6,15,0),"GD"),"")</f>
        <v/>
      </c>
    </row>
    <row r="289" spans="1:101" x14ac:dyDescent="0.45">
      <c r="A289" s="3" t="s">
        <v>32</v>
      </c>
      <c r="B289" s="3" t="s">
        <v>3814</v>
      </c>
      <c r="C289" s="3" t="s">
        <v>5672</v>
      </c>
      <c r="D289" s="3" t="s">
        <v>5673</v>
      </c>
      <c r="E289" s="100" t="s">
        <v>3817</v>
      </c>
      <c r="F289" s="3" t="s">
        <v>667</v>
      </c>
      <c r="G289" s="4"/>
      <c r="H289" s="5"/>
      <c r="I289" s="91">
        <v>46308</v>
      </c>
      <c r="J289" s="91"/>
      <c r="K289" s="91">
        <v>46307</v>
      </c>
      <c r="L289" s="3"/>
      <c r="M289" s="3" t="s">
        <v>3819</v>
      </c>
      <c r="N289" s="3" t="s">
        <v>5674</v>
      </c>
      <c r="O289" t="s">
        <v>3867</v>
      </c>
      <c r="P289" s="3" t="s">
        <v>4820</v>
      </c>
      <c r="Q289">
        <v>46261</v>
      </c>
      <c r="R289" s="3">
        <v>726</v>
      </c>
      <c r="S289" s="3" t="s">
        <v>3823</v>
      </c>
      <c r="T289" s="3">
        <v>30</v>
      </c>
      <c r="U289" s="3" t="s">
        <v>5675</v>
      </c>
      <c r="V289" s="3" t="s">
        <v>5676</v>
      </c>
      <c r="W289" s="3">
        <v>258.85000000000002</v>
      </c>
      <c r="X289" s="3">
        <v>46310</v>
      </c>
      <c r="Y289" s="3">
        <v>46307</v>
      </c>
      <c r="AA289" t="s">
        <v>3826</v>
      </c>
      <c r="AB289" t="s">
        <v>3827</v>
      </c>
      <c r="AC289" s="3" t="s">
        <v>5677</v>
      </c>
      <c r="AD289" t="s">
        <v>4698</v>
      </c>
      <c r="AE289" t="s">
        <v>4699</v>
      </c>
      <c r="AF289" t="s">
        <v>3831</v>
      </c>
      <c r="AG289" t="s">
        <v>3832</v>
      </c>
      <c r="AH289" t="s">
        <v>4700</v>
      </c>
      <c r="AI289" t="s">
        <v>3834</v>
      </c>
      <c r="AJ289" t="s">
        <v>3835</v>
      </c>
      <c r="AK289" t="s">
        <v>3832</v>
      </c>
      <c r="AM289" s="3" t="s">
        <v>5816</v>
      </c>
      <c r="AN289" s="3"/>
      <c r="AO289" s="3">
        <v>46307</v>
      </c>
      <c r="AP289" s="3"/>
      <c r="AQ289" s="3" t="s">
        <v>3837</v>
      </c>
      <c r="AR289" s="3" t="s">
        <v>3814</v>
      </c>
      <c r="AS289" s="3"/>
      <c r="AT289" s="3">
        <v>46321</v>
      </c>
      <c r="AU289" s="3">
        <v>46353</v>
      </c>
      <c r="AV289" s="3"/>
      <c r="BC289" t="s">
        <v>32</v>
      </c>
      <c r="BD289" t="s">
        <v>3814</v>
      </c>
      <c r="BE289" t="s">
        <v>5672</v>
      </c>
      <c r="BF289" t="s">
        <v>5673</v>
      </c>
      <c r="BG289" t="s">
        <v>3817</v>
      </c>
      <c r="CW289" s="6" t="str" cm="1">
        <f t="array" ref="CW289">IFERROR(_xlfn.IFS(H289=TIME(7,0,0),"GY",H289=TIME(7,30,0),"GY",H289=TIME(9,0,0),"GY",H289=TIME(15,0,0),"GY",H289=TIME(8,30,0),"GY",H289=TIME(5,30,0),"GY",H289=TIME(6,0,0),"GD",H289=TIME(6,30,0),"GD",H289=TIME(8,0,0),"GY",H289=TIME(6,15,0),"GD"),"")</f>
        <v/>
      </c>
    </row>
    <row r="290" spans="1:101" x14ac:dyDescent="0.45">
      <c r="A290" s="3" t="s">
        <v>63</v>
      </c>
      <c r="B290" s="3" t="s">
        <v>3944</v>
      </c>
      <c r="C290" s="3" t="s">
        <v>6710</v>
      </c>
      <c r="D290" s="3" t="s">
        <v>6711</v>
      </c>
      <c r="E290" s="100" t="s">
        <v>3947</v>
      </c>
      <c r="F290" s="3" t="s">
        <v>6558</v>
      </c>
      <c r="G290" s="4"/>
      <c r="H290" s="5"/>
      <c r="I290" s="91"/>
      <c r="J290" s="91"/>
      <c r="K290" s="91">
        <v>46305</v>
      </c>
      <c r="L290" s="3"/>
      <c r="M290" s="3" t="s">
        <v>3819</v>
      </c>
      <c r="N290" s="3" t="s">
        <v>6712</v>
      </c>
      <c r="O290" t="s">
        <v>3867</v>
      </c>
      <c r="P290" s="3" t="s">
        <v>4030</v>
      </c>
      <c r="Q290">
        <v>46274</v>
      </c>
      <c r="R290" s="3">
        <v>726</v>
      </c>
      <c r="S290" s="3" t="s">
        <v>3823</v>
      </c>
      <c r="T290" s="3">
        <v>5871</v>
      </c>
      <c r="U290" s="3" t="s">
        <v>6713</v>
      </c>
      <c r="V290" s="3" t="s">
        <v>6714</v>
      </c>
      <c r="W290" s="3">
        <v>1429.538</v>
      </c>
      <c r="X290" s="3">
        <v>46300</v>
      </c>
      <c r="Y290" s="3">
        <v>46305</v>
      </c>
      <c r="AA290" t="s">
        <v>3826</v>
      </c>
      <c r="AB290" t="s">
        <v>3827</v>
      </c>
      <c r="AC290" s="3" t="s">
        <v>6715</v>
      </c>
      <c r="AD290" t="s">
        <v>3955</v>
      </c>
      <c r="AE290" t="s">
        <v>6631</v>
      </c>
      <c r="AF290" t="s">
        <v>3831</v>
      </c>
      <c r="AG290" t="s">
        <v>3832</v>
      </c>
      <c r="AH290" t="s">
        <v>3908</v>
      </c>
      <c r="AI290" t="s">
        <v>3834</v>
      </c>
      <c r="AJ290" t="s">
        <v>3956</v>
      </c>
      <c r="AK290" t="s">
        <v>3832</v>
      </c>
      <c r="AM290" s="3" t="s">
        <v>6795</v>
      </c>
      <c r="AN290" s="3"/>
      <c r="AO290" s="3"/>
      <c r="AP290" s="3" t="s">
        <v>3958</v>
      </c>
      <c r="AQ290" s="3" t="s">
        <v>3959</v>
      </c>
      <c r="AR290" s="3" t="s">
        <v>7506</v>
      </c>
      <c r="AS290" s="3" t="s">
        <v>3961</v>
      </c>
      <c r="AT290" s="3"/>
      <c r="AU290" s="3"/>
      <c r="AV290" s="3"/>
      <c r="BC290" t="s">
        <v>63</v>
      </c>
      <c r="BD290" t="s">
        <v>3944</v>
      </c>
      <c r="BE290" t="s">
        <v>6710</v>
      </c>
      <c r="BF290" t="s">
        <v>6711</v>
      </c>
      <c r="BG290" t="s">
        <v>3947</v>
      </c>
      <c r="CW290" s="6" t="str" cm="1">
        <f t="array" ref="CW290">IFERROR(_xlfn.IFS(H290=TIME(7,0,0),"GY",H290=TIME(7,30,0),"GY",H290=TIME(9,0,0),"GY",H290=TIME(15,0,0),"GY",H290=TIME(8,30,0),"GY",H290=TIME(5,30,0),"GY",H290=TIME(6,0,0),"GD",H290=TIME(6,30,0),"GD",H290=TIME(8,0,0),"GY",H290=TIME(6,15,0),"GD"),"")</f>
        <v/>
      </c>
    </row>
    <row r="291" spans="1:101" x14ac:dyDescent="0.45">
      <c r="A291" s="3" t="s">
        <v>63</v>
      </c>
      <c r="B291" s="3" t="s">
        <v>3944</v>
      </c>
      <c r="C291" s="3" t="s">
        <v>6710</v>
      </c>
      <c r="D291" s="3" t="s">
        <v>6711</v>
      </c>
      <c r="E291" s="100" t="s">
        <v>3947</v>
      </c>
      <c r="F291" s="3" t="s">
        <v>6557</v>
      </c>
      <c r="G291" s="4"/>
      <c r="H291" s="5"/>
      <c r="I291" s="91"/>
      <c r="J291" s="91"/>
      <c r="K291" s="91">
        <v>46305</v>
      </c>
      <c r="L291" s="3"/>
      <c r="M291" s="3" t="s">
        <v>3819</v>
      </c>
      <c r="N291" s="3" t="s">
        <v>6712</v>
      </c>
      <c r="O291" t="s">
        <v>3867</v>
      </c>
      <c r="P291" s="3" t="s">
        <v>4030</v>
      </c>
      <c r="Q291">
        <v>46274</v>
      </c>
      <c r="R291" s="3">
        <v>726</v>
      </c>
      <c r="S291" s="3" t="s">
        <v>3823</v>
      </c>
      <c r="T291" s="3">
        <v>13703</v>
      </c>
      <c r="U291" s="3" t="s">
        <v>6716</v>
      </c>
      <c r="V291" s="3" t="s">
        <v>6717</v>
      </c>
      <c r="W291" s="3">
        <v>3612.2530000000002</v>
      </c>
      <c r="X291" s="3">
        <v>46300</v>
      </c>
      <c r="Y291" s="3">
        <v>46305</v>
      </c>
      <c r="AA291" t="s">
        <v>3826</v>
      </c>
      <c r="AB291" t="s">
        <v>3827</v>
      </c>
      <c r="AC291" s="3" t="s">
        <v>6715</v>
      </c>
      <c r="AD291" t="s">
        <v>3955</v>
      </c>
      <c r="AE291" t="s">
        <v>6631</v>
      </c>
      <c r="AF291" t="s">
        <v>3831</v>
      </c>
      <c r="AG291" t="s">
        <v>3832</v>
      </c>
      <c r="AH291" t="s">
        <v>3908</v>
      </c>
      <c r="AI291" t="s">
        <v>3834</v>
      </c>
      <c r="AJ291" t="s">
        <v>3956</v>
      </c>
      <c r="AK291" t="s">
        <v>3832</v>
      </c>
      <c r="AM291" s="3" t="s">
        <v>6795</v>
      </c>
      <c r="AN291" s="3"/>
      <c r="AO291" s="3"/>
      <c r="AP291" s="3" t="s">
        <v>3958</v>
      </c>
      <c r="AQ291" s="3" t="s">
        <v>3959</v>
      </c>
      <c r="AR291" s="3" t="s">
        <v>7506</v>
      </c>
      <c r="AS291" s="3" t="s">
        <v>3961</v>
      </c>
      <c r="AT291" s="3"/>
      <c r="AU291" s="3"/>
      <c r="AV291" s="3"/>
      <c r="BC291" t="s">
        <v>63</v>
      </c>
      <c r="BD291" t="s">
        <v>3944</v>
      </c>
      <c r="BE291" t="s">
        <v>6710</v>
      </c>
      <c r="BF291" t="s">
        <v>6711</v>
      </c>
      <c r="BG291" t="s">
        <v>3947</v>
      </c>
      <c r="CW291" s="6" t="str" cm="1">
        <f t="array" ref="CW291">IFERROR(_xlfn.IFS(H291=TIME(7,0,0),"GY",H291=TIME(7,30,0),"GY",H291=TIME(9,0,0),"GY",H291=TIME(15,0,0),"GY",H291=TIME(8,30,0),"GY",H291=TIME(5,30,0),"GY",H291=TIME(6,0,0),"GD",H291=TIME(6,30,0),"GD",H291=TIME(8,0,0),"GY",H291=TIME(6,15,0),"GD"),"")</f>
        <v/>
      </c>
    </row>
    <row r="292" spans="1:101" x14ac:dyDescent="0.45">
      <c r="A292" s="3" t="s">
        <v>63</v>
      </c>
      <c r="B292" s="3" t="s">
        <v>3944</v>
      </c>
      <c r="C292" s="3" t="s">
        <v>5402</v>
      </c>
      <c r="D292" s="3" t="s">
        <v>5403</v>
      </c>
      <c r="E292" s="100" t="s">
        <v>3947</v>
      </c>
      <c r="F292" s="3" t="s">
        <v>5404</v>
      </c>
      <c r="G292" s="4"/>
      <c r="H292" s="5"/>
      <c r="I292" s="91"/>
      <c r="J292" s="91"/>
      <c r="K292" s="91">
        <v>46300</v>
      </c>
      <c r="L292" s="3"/>
      <c r="M292" s="3" t="s">
        <v>3819</v>
      </c>
      <c r="N292" s="3" t="s">
        <v>5405</v>
      </c>
      <c r="O292" t="s">
        <v>3867</v>
      </c>
      <c r="P292" s="3" t="s">
        <v>4030</v>
      </c>
      <c r="Q292">
        <v>46259</v>
      </c>
      <c r="R292" s="3">
        <v>726</v>
      </c>
      <c r="S292" s="3" t="s">
        <v>3823</v>
      </c>
      <c r="T292" s="3">
        <v>10393</v>
      </c>
      <c r="U292" s="3" t="s">
        <v>5406</v>
      </c>
      <c r="V292" s="3" t="s">
        <v>5407</v>
      </c>
      <c r="W292" s="3">
        <v>2362.7179999999998</v>
      </c>
      <c r="X292" s="3">
        <v>46290</v>
      </c>
      <c r="Y292" s="3">
        <v>46300</v>
      </c>
      <c r="AA292" t="s">
        <v>3826</v>
      </c>
      <c r="AB292" t="s">
        <v>3827</v>
      </c>
      <c r="AC292" s="3" t="s">
        <v>5408</v>
      </c>
      <c r="AD292" t="s">
        <v>4049</v>
      </c>
      <c r="AE292" t="s">
        <v>5258</v>
      </c>
      <c r="AF292" t="s">
        <v>3831</v>
      </c>
      <c r="AG292" t="s">
        <v>3832</v>
      </c>
      <c r="AH292" t="s">
        <v>3908</v>
      </c>
      <c r="AI292" t="s">
        <v>3834</v>
      </c>
      <c r="AJ292" t="s">
        <v>3956</v>
      </c>
      <c r="AK292" t="s">
        <v>3832</v>
      </c>
      <c r="AM292" s="3" t="s">
        <v>5441</v>
      </c>
      <c r="AN292" s="3"/>
      <c r="AO292" s="3"/>
      <c r="AP292" s="3" t="s">
        <v>3958</v>
      </c>
      <c r="AQ292" s="3" t="s">
        <v>3959</v>
      </c>
      <c r="AR292" s="3" t="s">
        <v>7816</v>
      </c>
      <c r="AS292" s="3" t="s">
        <v>3961</v>
      </c>
      <c r="AT292" s="3"/>
      <c r="AU292" s="3"/>
      <c r="AV292" s="3"/>
      <c r="BC292" t="s">
        <v>63</v>
      </c>
      <c r="BD292" t="s">
        <v>3944</v>
      </c>
      <c r="BE292" t="s">
        <v>5402</v>
      </c>
      <c r="BF292" t="s">
        <v>5403</v>
      </c>
      <c r="BG292" t="s">
        <v>3947</v>
      </c>
      <c r="CW292" s="6" t="str" cm="1">
        <f t="array" ref="CW292">IFERROR(_xlfn.IFS(H292=TIME(7,0,0),"GY",H292=TIME(7,30,0),"GY",H292=TIME(9,0,0),"GY",H292=TIME(15,0,0),"GY",H292=TIME(8,30,0),"GY",H292=TIME(5,30,0),"GY",H292=TIME(6,0,0),"GD",H292=TIME(6,30,0),"GD",H292=TIME(8,0,0),"GY",H292=TIME(6,15,0),"GD"),"")</f>
        <v/>
      </c>
    </row>
    <row r="293" spans="1:101" x14ac:dyDescent="0.45">
      <c r="A293" s="3" t="s">
        <v>63</v>
      </c>
      <c r="B293" s="3" t="s">
        <v>3944</v>
      </c>
      <c r="C293" s="3" t="s">
        <v>5402</v>
      </c>
      <c r="D293" s="3" t="s">
        <v>5403</v>
      </c>
      <c r="E293" s="100" t="s">
        <v>3947</v>
      </c>
      <c r="F293" s="3" t="s">
        <v>5409</v>
      </c>
      <c r="G293" s="4"/>
      <c r="H293" s="5"/>
      <c r="I293" s="91"/>
      <c r="J293" s="91"/>
      <c r="K293" s="91">
        <v>46300</v>
      </c>
      <c r="L293" s="3"/>
      <c r="M293" s="3" t="s">
        <v>3819</v>
      </c>
      <c r="N293" s="3" t="s">
        <v>5405</v>
      </c>
      <c r="O293" t="s">
        <v>3867</v>
      </c>
      <c r="P293" s="3" t="s">
        <v>4030</v>
      </c>
      <c r="Q293">
        <v>46259</v>
      </c>
      <c r="R293" s="3">
        <v>726</v>
      </c>
      <c r="S293" s="3" t="s">
        <v>3823</v>
      </c>
      <c r="T293" s="3">
        <v>10070</v>
      </c>
      <c r="U293" s="3" t="s">
        <v>5410</v>
      </c>
      <c r="V293" s="3" t="s">
        <v>5411</v>
      </c>
      <c r="W293" s="3">
        <v>2963.8020000000001</v>
      </c>
      <c r="X293" s="3">
        <v>46290</v>
      </c>
      <c r="Y293" s="3">
        <v>46300</v>
      </c>
      <c r="AA293" t="s">
        <v>3826</v>
      </c>
      <c r="AB293" t="s">
        <v>3827</v>
      </c>
      <c r="AC293" s="3" t="s">
        <v>5408</v>
      </c>
      <c r="AD293" t="s">
        <v>4049</v>
      </c>
      <c r="AE293" t="s">
        <v>5258</v>
      </c>
      <c r="AF293" t="s">
        <v>3831</v>
      </c>
      <c r="AG293" t="s">
        <v>3832</v>
      </c>
      <c r="AH293" t="s">
        <v>3908</v>
      </c>
      <c r="AI293" t="s">
        <v>3834</v>
      </c>
      <c r="AJ293" t="s">
        <v>3956</v>
      </c>
      <c r="AK293" t="s">
        <v>3832</v>
      </c>
      <c r="AM293" s="3" t="s">
        <v>5441</v>
      </c>
      <c r="AN293" s="3"/>
      <c r="AO293" s="3"/>
      <c r="AP293" s="3" t="s">
        <v>3958</v>
      </c>
      <c r="AQ293" s="3" t="s">
        <v>3959</v>
      </c>
      <c r="AR293" s="3" t="s">
        <v>7816</v>
      </c>
      <c r="AS293" s="3" t="s">
        <v>3961</v>
      </c>
      <c r="AT293" s="3"/>
      <c r="AU293" s="3"/>
      <c r="AV293" s="3"/>
      <c r="BC293" t="s">
        <v>63</v>
      </c>
      <c r="BD293" t="s">
        <v>3944</v>
      </c>
      <c r="BE293" t="s">
        <v>5402</v>
      </c>
      <c r="BF293" t="s">
        <v>5403</v>
      </c>
      <c r="BG293" t="s">
        <v>3947</v>
      </c>
      <c r="CW293" s="6" t="str" cm="1">
        <f t="array" ref="CW293">IFERROR(_xlfn.IFS(H293=TIME(7,0,0),"GY",H293=TIME(7,30,0),"GY",H293=TIME(9,0,0),"GY",H293=TIME(15,0,0),"GY",H293=TIME(8,30,0),"GY",H293=TIME(5,30,0),"GY",H293=TIME(6,0,0),"GD",H293=TIME(6,30,0),"GD",H293=TIME(8,0,0),"GY",H293=TIME(6,15,0),"GD"),"")</f>
        <v/>
      </c>
    </row>
    <row r="294" spans="1:101" x14ac:dyDescent="0.45">
      <c r="A294" s="3" t="s">
        <v>18</v>
      </c>
      <c r="B294" s="3" t="s">
        <v>3944</v>
      </c>
      <c r="C294" s="3" t="s">
        <v>5262</v>
      </c>
      <c r="D294" s="3" t="s">
        <v>5263</v>
      </c>
      <c r="E294" s="100" t="s">
        <v>3817</v>
      </c>
      <c r="F294" s="3" t="s">
        <v>5264</v>
      </c>
      <c r="G294" s="4"/>
      <c r="H294" s="5"/>
      <c r="I294" s="91"/>
      <c r="J294" s="91"/>
      <c r="K294" s="91">
        <v>46300</v>
      </c>
      <c r="L294" s="3"/>
      <c r="M294" s="3" t="s">
        <v>3819</v>
      </c>
      <c r="N294" s="3" t="s">
        <v>5265</v>
      </c>
      <c r="O294" t="s">
        <v>3867</v>
      </c>
      <c r="P294" s="3" t="s">
        <v>3852</v>
      </c>
      <c r="Q294">
        <v>46266</v>
      </c>
      <c r="R294" s="3">
        <v>726</v>
      </c>
      <c r="S294" s="3" t="s">
        <v>3823</v>
      </c>
      <c r="T294" s="3">
        <v>19362</v>
      </c>
      <c r="U294" s="3" t="s">
        <v>5266</v>
      </c>
      <c r="V294" s="3" t="s">
        <v>5267</v>
      </c>
      <c r="W294" s="3">
        <v>8592.4339999999993</v>
      </c>
      <c r="X294" s="3">
        <v>46288</v>
      </c>
      <c r="Y294" s="3">
        <v>46300</v>
      </c>
      <c r="AA294" t="s">
        <v>3826</v>
      </c>
      <c r="AB294" t="s">
        <v>3827</v>
      </c>
      <c r="AC294" s="3" t="s">
        <v>5268</v>
      </c>
      <c r="AD294" t="s">
        <v>4049</v>
      </c>
      <c r="AE294" t="s">
        <v>5258</v>
      </c>
      <c r="AF294" t="s">
        <v>3831</v>
      </c>
      <c r="AG294" t="s">
        <v>3832</v>
      </c>
      <c r="AH294" t="s">
        <v>3908</v>
      </c>
      <c r="AI294" t="s">
        <v>3834</v>
      </c>
      <c r="AJ294" t="s">
        <v>3956</v>
      </c>
      <c r="AK294" t="s">
        <v>3832</v>
      </c>
      <c r="AM294" s="3" t="s">
        <v>5337</v>
      </c>
      <c r="AN294" s="3"/>
      <c r="AO294" s="3"/>
      <c r="AP294" s="3" t="s">
        <v>3958</v>
      </c>
      <c r="AQ294" s="3" t="s">
        <v>3959</v>
      </c>
      <c r="AR294" s="3" t="s">
        <v>7817</v>
      </c>
      <c r="AS294" s="3" t="s">
        <v>3961</v>
      </c>
      <c r="AT294" s="3"/>
      <c r="AU294" s="3"/>
      <c r="AV294" s="3"/>
      <c r="BC294" t="s">
        <v>18</v>
      </c>
      <c r="BD294" t="s">
        <v>3944</v>
      </c>
      <c r="BE294" t="s">
        <v>5262</v>
      </c>
      <c r="BF294" t="s">
        <v>5263</v>
      </c>
      <c r="BG294" t="s">
        <v>3817</v>
      </c>
      <c r="CW294" s="6" t="str" cm="1">
        <f t="array" ref="CW294">IFERROR(_xlfn.IFS(H294=TIME(7,0,0),"GY",H294=TIME(7,30,0),"GY",H294=TIME(9,0,0),"GY",H294=TIME(15,0,0),"GY",H294=TIME(8,30,0),"GY",H294=TIME(5,30,0),"GY",H294=TIME(6,0,0),"GD",H294=TIME(6,30,0),"GD",H294=TIME(8,0,0),"GY",H294=TIME(6,15,0),"GD"),"")</f>
        <v/>
      </c>
    </row>
    <row r="295" spans="1:101" x14ac:dyDescent="0.45">
      <c r="A295" s="3" t="s">
        <v>18</v>
      </c>
      <c r="B295" s="3" t="s">
        <v>3944</v>
      </c>
      <c r="C295" s="3" t="s">
        <v>5262</v>
      </c>
      <c r="D295" s="3" t="s">
        <v>5263</v>
      </c>
      <c r="E295" s="100" t="s">
        <v>3817</v>
      </c>
      <c r="F295" s="3" t="s">
        <v>5269</v>
      </c>
      <c r="G295" s="4"/>
      <c r="H295" s="5"/>
      <c r="I295" s="91"/>
      <c r="J295" s="91"/>
      <c r="K295" s="91">
        <v>46300</v>
      </c>
      <c r="L295" s="3"/>
      <c r="M295" s="3" t="s">
        <v>3819</v>
      </c>
      <c r="N295" s="3" t="s">
        <v>5265</v>
      </c>
      <c r="O295" t="s">
        <v>3867</v>
      </c>
      <c r="P295" s="3" t="s">
        <v>3852</v>
      </c>
      <c r="Q295">
        <v>46266</v>
      </c>
      <c r="R295" s="3">
        <v>726</v>
      </c>
      <c r="S295" s="3" t="s">
        <v>3823</v>
      </c>
      <c r="T295" s="3">
        <v>11404</v>
      </c>
      <c r="U295" s="3" t="s">
        <v>5270</v>
      </c>
      <c r="V295" s="3" t="s">
        <v>5271</v>
      </c>
      <c r="W295" s="3">
        <v>3344.83</v>
      </c>
      <c r="X295" s="3">
        <v>46288</v>
      </c>
      <c r="Y295" s="3">
        <v>46300</v>
      </c>
      <c r="AA295" t="s">
        <v>3826</v>
      </c>
      <c r="AB295" t="s">
        <v>3827</v>
      </c>
      <c r="AC295" s="3" t="s">
        <v>5268</v>
      </c>
      <c r="AD295" t="s">
        <v>4049</v>
      </c>
      <c r="AE295" t="s">
        <v>5258</v>
      </c>
      <c r="AF295" t="s">
        <v>3831</v>
      </c>
      <c r="AG295" t="s">
        <v>3832</v>
      </c>
      <c r="AH295" t="s">
        <v>3908</v>
      </c>
      <c r="AI295" t="s">
        <v>3834</v>
      </c>
      <c r="AJ295" t="s">
        <v>3956</v>
      </c>
      <c r="AK295" t="s">
        <v>3832</v>
      </c>
      <c r="AM295" s="3" t="s">
        <v>5337</v>
      </c>
      <c r="AN295" s="3"/>
      <c r="AO295" s="3"/>
      <c r="AP295" s="3" t="s">
        <v>3958</v>
      </c>
      <c r="AQ295" s="3" t="s">
        <v>3959</v>
      </c>
      <c r="AR295" s="3" t="s">
        <v>7817</v>
      </c>
      <c r="AS295" s="3" t="s">
        <v>3961</v>
      </c>
      <c r="AT295" s="3"/>
      <c r="AU295" s="3"/>
      <c r="AV295" s="3"/>
      <c r="BC295" t="s">
        <v>18</v>
      </c>
      <c r="BD295" t="s">
        <v>3944</v>
      </c>
      <c r="BE295" t="s">
        <v>5262</v>
      </c>
      <c r="BF295" t="s">
        <v>5263</v>
      </c>
      <c r="BG295" t="s">
        <v>3817</v>
      </c>
      <c r="CW295" s="6" t="str" cm="1">
        <f t="array" ref="CW295">IFERROR(_xlfn.IFS(H295=TIME(7,0,0),"GY",H295=TIME(7,30,0),"GY",H295=TIME(9,0,0),"GY",H295=TIME(15,0,0),"GY",H295=TIME(8,30,0),"GY",H295=TIME(5,30,0),"GY",H295=TIME(6,0,0),"GD",H295=TIME(6,30,0),"GD",H295=TIME(8,0,0),"GY",H295=TIME(6,15,0),"GD"),"")</f>
        <v/>
      </c>
    </row>
    <row r="296" spans="1:101" x14ac:dyDescent="0.45">
      <c r="A296" s="3" t="s">
        <v>63</v>
      </c>
      <c r="B296" s="3" t="s">
        <v>3944</v>
      </c>
      <c r="C296" s="3" t="s">
        <v>6117</v>
      </c>
      <c r="D296" s="3" t="s">
        <v>6118</v>
      </c>
      <c r="E296" s="100" t="s">
        <v>3947</v>
      </c>
      <c r="F296" s="3" t="s">
        <v>5915</v>
      </c>
      <c r="G296" s="4"/>
      <c r="H296" s="5"/>
      <c r="I296" s="91"/>
      <c r="J296" s="91"/>
      <c r="K296" s="91">
        <v>46293</v>
      </c>
      <c r="L296" s="3"/>
      <c r="M296" s="3" t="s">
        <v>3819</v>
      </c>
      <c r="N296" s="3" t="s">
        <v>6119</v>
      </c>
      <c r="O296" t="s">
        <v>3867</v>
      </c>
      <c r="P296" s="3" t="s">
        <v>4030</v>
      </c>
      <c r="Q296">
        <v>46267</v>
      </c>
      <c r="R296" s="3">
        <v>726</v>
      </c>
      <c r="S296" s="3" t="s">
        <v>3823</v>
      </c>
      <c r="T296" s="3">
        <v>9608</v>
      </c>
      <c r="U296" s="3" t="s">
        <v>6120</v>
      </c>
      <c r="V296" s="3" t="s">
        <v>6121</v>
      </c>
      <c r="W296" s="3">
        <v>2235.3240000000001</v>
      </c>
      <c r="X296" s="3">
        <v>46295</v>
      </c>
      <c r="Y296" s="3">
        <v>46293</v>
      </c>
      <c r="AA296" t="s">
        <v>3926</v>
      </c>
      <c r="AB296" t="s">
        <v>3927</v>
      </c>
      <c r="AC296" s="3" t="s">
        <v>6219</v>
      </c>
      <c r="AD296" t="s">
        <v>4077</v>
      </c>
      <c r="AE296" t="s">
        <v>6122</v>
      </c>
      <c r="AF296" t="s">
        <v>3831</v>
      </c>
      <c r="AG296" t="s">
        <v>3832</v>
      </c>
      <c r="AH296" t="s">
        <v>3908</v>
      </c>
      <c r="AI296" t="s">
        <v>3834</v>
      </c>
      <c r="AJ296" t="s">
        <v>3956</v>
      </c>
      <c r="AK296" t="s">
        <v>3832</v>
      </c>
      <c r="AM296" s="3" t="s">
        <v>6220</v>
      </c>
      <c r="AN296" s="3"/>
      <c r="AO296" s="3">
        <v>46310</v>
      </c>
      <c r="AP296" s="3" t="s">
        <v>3958</v>
      </c>
      <c r="AQ296" s="3" t="s">
        <v>3959</v>
      </c>
      <c r="AR296" s="3" t="s">
        <v>7933</v>
      </c>
      <c r="AS296" s="3" t="s">
        <v>3961</v>
      </c>
      <c r="AT296" s="3"/>
      <c r="AU296" s="3"/>
      <c r="AV296" s="3"/>
      <c r="BC296" t="s">
        <v>63</v>
      </c>
      <c r="BD296" t="s">
        <v>3944</v>
      </c>
      <c r="BE296" t="s">
        <v>6117</v>
      </c>
      <c r="BF296" t="s">
        <v>6118</v>
      </c>
      <c r="BG296" t="s">
        <v>3947</v>
      </c>
      <c r="CW296" s="6" t="str" cm="1">
        <f t="array" ref="CW296">IFERROR(_xlfn.IFS(H296=TIME(7,0,0),"GY",H296=TIME(7,30,0),"GY",H296=TIME(9,0,0),"GY",H296=TIME(15,0,0),"GY",H296=TIME(8,30,0),"GY",H296=TIME(5,30,0),"GY",H296=TIME(6,0,0),"GD",H296=TIME(6,30,0),"GD",H296=TIME(8,0,0),"GY",H296=TIME(6,15,0),"GD"),"")</f>
        <v/>
      </c>
    </row>
    <row r="297" spans="1:101" x14ac:dyDescent="0.45">
      <c r="A297" s="95" t="s">
        <v>63</v>
      </c>
      <c r="B297" s="95" t="s">
        <v>3944</v>
      </c>
      <c r="C297" s="95" t="s">
        <v>6117</v>
      </c>
      <c r="D297" s="95" t="s">
        <v>6118</v>
      </c>
      <c r="E297" s="102" t="s">
        <v>3947</v>
      </c>
      <c r="F297" s="95" t="s">
        <v>5916</v>
      </c>
      <c r="G297" s="96"/>
      <c r="H297" s="97"/>
      <c r="I297" s="98"/>
      <c r="J297" s="98"/>
      <c r="K297" s="98">
        <v>46293</v>
      </c>
      <c r="L297" s="95"/>
      <c r="M297" s="95" t="s">
        <v>3819</v>
      </c>
      <c r="N297" s="95" t="s">
        <v>6119</v>
      </c>
      <c r="O297" t="s">
        <v>3867</v>
      </c>
      <c r="P297" s="95" t="s">
        <v>4030</v>
      </c>
      <c r="Q297">
        <v>46267</v>
      </c>
      <c r="R297" s="95">
        <v>726</v>
      </c>
      <c r="S297" s="95" t="s">
        <v>3823</v>
      </c>
      <c r="T297" s="95">
        <v>10928</v>
      </c>
      <c r="U297" s="95" t="s">
        <v>6123</v>
      </c>
      <c r="V297" s="95" t="s">
        <v>6124</v>
      </c>
      <c r="W297" s="95">
        <v>3503.9290000000001</v>
      </c>
      <c r="X297" s="95">
        <v>46295</v>
      </c>
      <c r="Y297" s="95">
        <v>46293</v>
      </c>
      <c r="AA297" t="s">
        <v>3926</v>
      </c>
      <c r="AB297" t="s">
        <v>3927</v>
      </c>
      <c r="AC297" s="95" t="s">
        <v>6219</v>
      </c>
      <c r="AD297" t="s">
        <v>4077</v>
      </c>
      <c r="AE297" t="s">
        <v>6122</v>
      </c>
      <c r="AF297" t="s">
        <v>3831</v>
      </c>
      <c r="AG297" t="s">
        <v>3832</v>
      </c>
      <c r="AH297" t="s">
        <v>3908</v>
      </c>
      <c r="AI297" t="s">
        <v>3834</v>
      </c>
      <c r="AJ297" t="s">
        <v>3956</v>
      </c>
      <c r="AK297" t="s">
        <v>3832</v>
      </c>
      <c r="AM297" s="95" t="s">
        <v>6220</v>
      </c>
      <c r="AN297" s="95"/>
      <c r="AO297" s="95">
        <v>46310</v>
      </c>
      <c r="AP297" s="95" t="s">
        <v>3958</v>
      </c>
      <c r="AQ297" s="95" t="s">
        <v>3959</v>
      </c>
      <c r="AR297" s="95" t="s">
        <v>7933</v>
      </c>
      <c r="AS297" s="95" t="s">
        <v>3961</v>
      </c>
      <c r="AT297" s="95"/>
      <c r="AU297" s="95"/>
      <c r="AV297" s="95"/>
      <c r="BC297" t="s">
        <v>63</v>
      </c>
      <c r="BD297" t="s">
        <v>3944</v>
      </c>
      <c r="BE297" t="s">
        <v>6117</v>
      </c>
      <c r="BF297" t="s">
        <v>6118</v>
      </c>
      <c r="BG297" t="s">
        <v>3947</v>
      </c>
      <c r="CW297" s="6" t="str" cm="1">
        <f t="array" ref="CW297">IFERROR(_xlfn.IFS(H297=TIME(7,0,0),"GY",H297=TIME(7,30,0),"GY",H297=TIME(9,0,0),"GY",H297=TIME(15,0,0),"GY",H297=TIME(8,30,0),"GY",H297=TIME(5,30,0),"GY",H297=TIME(6,0,0),"GD",H297=TIME(6,30,0),"GD",H297=TIME(8,0,0),"GY",H297=TIME(6,15,0),"GD"),"")</f>
        <v/>
      </c>
    </row>
  </sheetData>
  <phoneticPr fontId="3" type="noConversion"/>
  <conditionalFormatting sqref="A1:A1048576">
    <cfRule type="cellIs" dxfId="45" priority="2" operator="equal">
      <formula>$A$5</formula>
    </cfRule>
  </conditionalFormatting>
  <conditionalFormatting sqref="G1:G1048576">
    <cfRule type="cellIs" dxfId="44" priority="1" operator="equal">
      <formula>TODAY()+1</formula>
    </cfRule>
  </conditionalFormatting>
  <conditionalFormatting sqref="H1:H1048576">
    <cfRule type="cellIs" dxfId="43" priority="4" operator="equal">
      <formula>$H$6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X3M7GMANTIXTQ35QUREZT5OK4LHJVYV2:ms-officescript%3A%2F%2Fonedrive_business_sharinglink%2Fu!aHR0cHM6Ly9pd2VvZi1teS5zaGFyZXBvaW50LmNvbS86dTovZy9wZXJzb25hbC9oeWVvbmdtaW5fcHlvX2luZ2thX2lrZWFfY29tL0lRQU5taTg0YjdDa1NabjF5dUxPbXVLNkFZQ04yVmNVNVNwaVpuLW9MZ0Q0U3Vr"/>
</scriptId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0AEB6D26944C5428A0A835C740A3023" ma:contentTypeVersion="15" ma:contentTypeDescription="새 문서를 만듭니다." ma:contentTypeScope="" ma:versionID="a744e118490e09e9b4664dfe4cc9a951">
  <xsd:schema xmlns:xsd="http://www.w3.org/2001/XMLSchema" xmlns:xs="http://www.w3.org/2001/XMLSchema" xmlns:p="http://schemas.microsoft.com/office/2006/metadata/properties" xmlns:ns2="8d028306-376d-4d2a-b3c5-034f11e21ba3" xmlns:ns3="70253abe-a8af-4d8f-81d7-550ced586f90" targetNamespace="http://schemas.microsoft.com/office/2006/metadata/properties" ma:root="true" ma:fieldsID="46cc2a3cff6f32ce46bcb92094c02a99" ns2:_="" ns3:_="">
    <xsd:import namespace="8d028306-376d-4d2a-b3c5-034f11e21ba3"/>
    <xsd:import namespace="70253abe-a8af-4d8f-81d7-550ced586f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28306-376d-4d2a-b3c5-034f11e21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0f74b9ce-e249-4914-9420-12ff0f463e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1" nillable="true" ma:displayName="사인 오프 상태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53abe-a8af-4d8f-81d7-550ced586f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0e3f9c-b703-4f39-8781-6afd4da5f0ac}" ma:internalName="TaxCatchAll" ma:showField="CatchAllData" ma:web="70253abe-a8af-4d8f-81d7-550ced586f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253abe-a8af-4d8f-81d7-550ced586f90" xsi:nil="true"/>
    <_Flow_SignoffStatus xmlns="8d028306-376d-4d2a-b3c5-034f11e21ba3" xsi:nil="true"/>
    <lcf76f155ced4ddcb4097134ff3c332f xmlns="8d028306-376d-4d2a-b3c5-034f11e21ba3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DE7F9E20-C233-4647-9FBB-D911AA7CC03F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5C09AD1C-5FE7-4CAC-A10B-2A1E28AD3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28306-376d-4d2a-b3c5-034f11e21ba3"/>
    <ds:schemaRef ds:uri="70253abe-a8af-4d8f-81d7-550ced586f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6EAACD-A0F6-4EAC-930E-8C55A4A19CD8}">
  <ds:schemaRefs>
    <ds:schemaRef ds:uri="http://schemas.microsoft.com/office/2006/metadata/properties"/>
    <ds:schemaRef ds:uri="http://schemas.microsoft.com/office/infopath/2007/PartnerControls"/>
    <ds:schemaRef ds:uri="70253abe-a8af-4d8f-81d7-550ced586f90"/>
    <ds:schemaRef ds:uri="8d028306-376d-4d2a-b3c5-034f11e21ba3"/>
  </ds:schemaRefs>
</ds:datastoreItem>
</file>

<file path=customXml/itemProps4.xml><?xml version="1.0" encoding="utf-8"?>
<ds:datastoreItem xmlns:ds="http://schemas.openxmlformats.org/officeDocument/2006/customXml" ds:itemID="{8AFF6A2A-C849-403F-BC9B-7833DCF2106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4025935-F65B-462E-BFE7-D82237F32F2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92d9f05-d449-4457-acdb-7d30940c7cbe}" enabled="1" method="Standard" siteId="{720b637a-655a-40cf-816a-f22f40755c2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Article</vt:lpstr>
      <vt:lpstr>ROI</vt:lpstr>
      <vt:lpstr>Data</vt:lpstr>
      <vt:lpstr>SHP</vt:lpstr>
    </vt:vector>
  </TitlesOfParts>
  <Manager/>
  <Company>INGKA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Hyeongmin Pyo</dc:creator>
  <cp:keywords/>
  <dc:description/>
  <cp:lastModifiedBy>Hyeongmin Pyo</cp:lastModifiedBy>
  <cp:revision/>
  <dcterms:created xsi:type="dcterms:W3CDTF">2025-12-13T05:08:21Z</dcterms:created>
  <dcterms:modified xsi:type="dcterms:W3CDTF">2026-10-15T06:39:29Z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0x010100A0AEB6D26944C5428A0A835C740A3023</vt:lpwstr>
  </property>
  <property fmtid="{D5CDD505-2E9C-101B-9397-08002B2CF9AE}" pid="3" name="MediaServiceImageTags">
    <vt:lpwstr/>
  </property>
</Properties>
</file>